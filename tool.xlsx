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元データ" sheetId="1" state="visible" r:id="rId1"/>
    <sheet xmlns:r="http://schemas.openxmlformats.org/officeDocument/2006/relationships" name="ダッシュボード" sheetId="2" state="visible" r:id="rId2"/>
    <sheet xmlns:r="http://schemas.openxmlformats.org/officeDocument/2006/relationships" name="VBAコード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yyyy\-mm\-dd\ h:mm:ss"/>
    <numFmt numFmtId="165" formatCode="yyyy/mm/dd"/>
    <numFmt numFmtId="166" formatCode="&quot;基準日：&quot;yyyy/mm/dd"/>
    <numFmt numFmtId="167" formatCode="0&quot; 件&quot;"/>
    <numFmt numFmtId="168" formatCode="0;\-0;\-"/>
    <numFmt numFmtId="169" formatCode="0;-0;&quot;-&quot;"/>
  </numFmts>
  <fonts count="6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8"/>
    </font>
    <font>
      <name val="Noto Sans CJK SC"/>
      <charset val="1"/>
      <family val="2"/>
      <b val="1"/>
      <color rgb="FF7F6000"/>
      <sz val="8"/>
    </font>
    <font>
      <name val="Arial"/>
      <charset val="1"/>
      <family val="0"/>
      <color rgb="FF000000"/>
      <sz val="8"/>
    </font>
    <font>
      <name val="Noto Sans CJK SC"/>
      <family val="2"/>
      <color rgb="FF000000"/>
      <sz val="8"/>
    </font>
    <font>
      <name val="Noto Sans CJK SC"/>
      <charset val="1"/>
      <family val="2"/>
      <color rgb="FF000000"/>
      <sz val="8"/>
    </font>
    <font>
      <name val="Arial"/>
      <charset val="1"/>
      <family val="0"/>
      <color rgb="FF7F6000"/>
      <sz val="8"/>
    </font>
    <font>
      <name val="Noto Sans CJK SC"/>
      <charset val="1"/>
      <family val="2"/>
      <b val="1"/>
      <color rgb="FFFFFFFF"/>
      <sz val="15"/>
    </font>
    <font>
      <name val="Arial"/>
      <charset val="1"/>
      <family val="0"/>
      <color rgb="FFFFFFFF"/>
      <sz val="10"/>
    </font>
    <font>
      <name val="Noto Sans CJK SC"/>
      <charset val="1"/>
      <family val="2"/>
      <b val="1"/>
      <color rgb="FF2E75B6"/>
      <sz val="9"/>
    </font>
    <font>
      <name val="Noto Sans CJK SC"/>
      <charset val="1"/>
      <family val="2"/>
      <b val="1"/>
      <color rgb="FF1F3864"/>
      <sz val="9"/>
    </font>
    <font>
      <name val="Noto Sans CJK SC"/>
      <charset val="1"/>
      <family val="2"/>
      <color rgb="FF000000"/>
      <sz val="9"/>
    </font>
    <font>
      <name val="Noto Sans CJK SC"/>
      <charset val="1"/>
      <family val="2"/>
      <b val="1"/>
      <color rgb="FFC00000"/>
      <sz val="9"/>
    </font>
    <font>
      <name val="Noto Sans CJK SC"/>
      <charset val="1"/>
      <family val="2"/>
      <color rgb="FFC00000"/>
      <sz val="9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b val="1"/>
      <color rgb="FF404040"/>
      <sz val="9"/>
    </font>
    <font>
      <name val="Arial"/>
      <charset val="1"/>
      <family val="0"/>
      <b val="1"/>
      <color rgb="FFFFFFFF"/>
      <sz val="22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ED7D31"/>
      <sz val="9"/>
    </font>
    <font>
      <name val="Arial"/>
      <charset val="1"/>
      <family val="0"/>
      <b val="1"/>
      <color rgb="FFC00000"/>
      <sz val="9"/>
    </font>
    <font>
      <name val="Noto Sans CJK SC"/>
      <family val="2"/>
      <color rgb="FF000000"/>
      <sz val="9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8"/>
    </font>
    <font>
      <name val="Noto Sans CJK SC"/>
      <family val="2"/>
      <b val="1"/>
      <color rgb="FF1F6B75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8"/>
    </font>
    <font>
      <name val="Arial"/>
      <charset val="1"/>
      <family val="0"/>
      <color rgb="FFC00000"/>
      <sz val="8"/>
    </font>
    <font>
      <name val="Noto Sans CJK SC"/>
      <family val="2"/>
      <color rgb="FF404040"/>
      <sz val="9"/>
    </font>
    <font>
      <name val="Noto Sans CJK SC"/>
      <family val="2"/>
      <color rgb="FF767676"/>
      <sz val="8"/>
    </font>
    <font>
      <name val="Arial"/>
      <charset val="1"/>
      <family val="0"/>
      <color rgb="FF767676"/>
      <sz val="8"/>
    </font>
    <font>
      <name val="Arial"/>
      <charset val="1"/>
      <family val="0"/>
      <b val="1"/>
      <color rgb="FFFFFFFF"/>
      <sz val="13"/>
    </font>
    <font>
      <name val="Noto Sans CJK SC"/>
      <family val="2"/>
      <b val="1"/>
      <color rgb="FFFFFFFF"/>
      <sz val="13"/>
    </font>
    <font>
      <name val="Noto Sans CJK SC"/>
      <charset val="1"/>
      <family val="2"/>
      <color rgb="FF1F3864"/>
      <sz val="9"/>
    </font>
    <font>
      <name val="Noto Sans CJK SC"/>
      <charset val="1"/>
      <family val="2"/>
      <b val="1"/>
      <color rgb="FFC00000"/>
      <sz val="10"/>
    </font>
    <font>
      <name val="Courier New"/>
      <charset val="1"/>
      <family val="0"/>
      <color rgb="FF000000"/>
      <sz val="9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C00000"/>
      <sz val="9"/>
    </font>
    <font>
      <name val="Arial"/>
      <color rgb="FFC00000"/>
      <sz val="9"/>
    </font>
    <font>
      <name val="Arial"/>
      <color rgb="FF000000"/>
      <sz val="8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C00000"/>
      <sz val="8"/>
    </font>
    <font>
      <name val="Arial"/>
      <b val="1"/>
      <color rgb="FF2E75B6"/>
      <sz val="9"/>
    </font>
    <font>
      <name val="Arial"/>
      <b val="1"/>
      <color rgb="FFFFFFFF"/>
      <sz val="9"/>
    </font>
    <font>
      <name val="Arial"/>
      <b val="1"/>
      <color rgb="FF1F3864"/>
      <sz val="10"/>
    </font>
    <font>
      <name val="Arial"/>
      <color rgb="FF767676"/>
      <sz val="8"/>
    </font>
    <font>
      <name val="Arial"/>
      <b val="1"/>
      <color rgb="FF1F6B75"/>
      <sz val="9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color rgb="FF7F6000"/>
      <sz val="8"/>
    </font>
    <font>
      <name val="Arial"/>
      <color rgb="FF7F6000"/>
      <sz val="8"/>
    </font>
  </fonts>
  <fills count="30">
    <fill>
      <patternFill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2CC"/>
      </patternFill>
    </fill>
    <fill>
      <patternFill patternType="solid">
        <fgColor rgb="FF1F3864"/>
        <bgColor rgb="FF333399"/>
      </patternFill>
    </fill>
    <fill>
      <patternFill patternType="solid">
        <fgColor rgb="FFEEF4FB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EF4FB"/>
      </patternFill>
    </fill>
    <fill>
      <patternFill patternType="solid">
        <fgColor rgb="FF2E75B6"/>
        <bgColor rgb="FF1F6B75"/>
      </patternFill>
    </fill>
    <fill>
      <patternFill patternType="solid">
        <fgColor rgb="FFFFFFFF"/>
        <bgColor rgb="FFEEF4FB"/>
      </patternFill>
    </fill>
    <fill>
      <patternFill patternType="solid">
        <fgColor rgb="FFFFD966"/>
        <bgColor rgb="FFFFFF99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404040"/>
      </patternFill>
    </fill>
    <fill>
      <patternFill patternType="solid">
        <fgColor rgb="FF1F6B75"/>
        <bgColor rgb="FF008080"/>
      </patternFill>
    </fill>
    <fill>
      <patternFill patternType="solid">
        <fgColor rgb="FFE2EFDA"/>
        <bgColor rgb="FFD9EEF0"/>
      </patternFill>
    </fill>
    <fill>
      <patternFill patternType="solid">
        <fgColor rgb="FFD9EEF0"/>
        <bgColor rgb="FFE2EFDA"/>
      </patternFill>
    </fill>
    <fill>
      <patternFill patternType="solid">
        <fgColor rgb="FFEEF4FB"/>
      </patternFill>
    </fill>
    <fill>
      <patternFill patternType="solid">
        <fgColor rgb="FFD9EEF0"/>
      </patternFill>
    </fill>
    <fill>
      <patternFill patternType="solid">
        <fgColor rgb="FFFFFF99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1F6B75"/>
      </patternFill>
    </fill>
    <fill>
      <patternFill patternType="solid">
        <fgColor rgb="FFE2EFDA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CCCC00"/>
      </left>
      <right style="thin">
        <color rgb="FFCCCC00"/>
      </right>
      <top style="thin">
        <color rgb="FFCCCC00"/>
      </top>
      <bottom style="thin">
        <color rgb="FFCCCC00"/>
      </bottom>
      <diagonal/>
    </border>
    <border>
      <left style="thin">
        <color rgb="FFB8B8B8"/>
      </left>
      <right/>
      <top style="thin">
        <color rgb="FFB8B8B8"/>
      </top>
      <bottom style="thin">
        <color rgb="FFB8B8B8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CAA00"/>
      </left>
      <right style="thin">
        <color rgb="FFCCAA00"/>
      </right>
      <top style="thin">
        <color rgb="FFCCAA00"/>
      </top>
      <bottom style="thin">
        <color rgb="FFCCAA0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medium">
        <color rgb="FF9E9E9E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medium">
        <color rgb="FF9E9E9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B8B8B8"/>
      </top>
      <bottom/>
      <diagonal/>
    </border>
    <border>
      <left/>
      <right/>
      <top style="thin">
        <color rgb="FFB8B8B8"/>
      </top>
      <bottom style="thin">
        <color rgb="FFB8B8B8"/>
      </bottom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CAA00"/>
      </top>
      <bottom/>
      <diagonal/>
    </border>
    <border>
      <left/>
      <right style="thin">
        <color rgb="FFCCAA00"/>
      </right>
      <top style="thin">
        <color rgb="FFCCAA00"/>
      </top>
      <bottom/>
      <diagonal/>
    </border>
    <border>
      <left/>
      <right/>
      <top style="thin">
        <color rgb="FFCCAA00"/>
      </top>
      <bottom style="thin">
        <color rgb="FFCCAA00"/>
      </bottom>
      <diagonal/>
    </border>
    <border>
      <left/>
      <right style="thin">
        <color rgb="FFCCAA00"/>
      </right>
      <top style="thin">
        <color rgb="FFCCAA00"/>
      </top>
      <bottom style="thin">
        <color rgb="FFCCAA00"/>
      </bottom>
      <diagonal/>
    </border>
    <border>
      <left/>
      <right style="thin">
        <color rgb="FFB8B8B8"/>
      </right>
      <top style="thin">
        <color rgb="FFB8B8B8"/>
      </top>
      <bottom/>
      <diagonal/>
    </border>
    <border>
      <left/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/>
      <top/>
      <bottom/>
      <diagonal/>
    </border>
    <border>
      <left style="thin">
        <color rgb="FFB8B8B8"/>
      </left>
      <right style="thin">
        <color rgb="FFB8B8B8"/>
      </right>
      <top/>
      <bottom/>
      <diagonal/>
    </border>
    <border>
      <left style="thin">
        <color rgb="FFB8B8B8"/>
      </left>
      <right style="thin">
        <color rgb="FFB8B8B8"/>
      </right>
      <top/>
      <bottom style="thin">
        <color rgb="FFB8B8B8"/>
      </bottom>
      <diagonal/>
    </border>
    <border>
      <left style="thin">
        <color rgb="FF70AD47"/>
      </left>
      <right/>
      <top/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 style="thin">
        <color rgb="FF70AD47"/>
      </right>
      <top/>
      <bottom style="medium">
        <color rgb="FF9E9E9E"/>
      </bottom>
      <diagonal/>
    </border>
    <border>
      <left style="thin">
        <color rgb="FFB8B8B8"/>
      </left>
      <right style="thin">
        <color rgb="FFB8B8B8"/>
      </right>
      <top/>
      <bottom style="medium">
        <color rgb="FF9E9E9E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  <border>
      <left style="thin">
        <color rgb="FFCCAA00"/>
      </left>
      <right style="thin">
        <color rgb="FFCCAA00"/>
      </right>
      <top style="thin">
        <color rgb="FFCCAA00"/>
      </top>
      <bottom style="thin">
        <color rgb="FFCCAA00"/>
      </bottom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</border>
    <border>
      <left style="thin">
        <color rgb="FF70AD47"/>
      </left>
      <right style="thin">
        <color rgb="FF70AD47"/>
      </right>
      <top style="thin">
        <color rgb="FF70AD47"/>
      </top>
      <bottom style="medium">
        <color rgb="FF9E9E9E"/>
      </bottom>
    </border>
    <border>
      <left style="thin">
        <color rgb="FFB8B8B8"/>
      </left>
      <right style="thin">
        <color rgb="FFB8B8B8"/>
      </right>
      <top style="thin">
        <color rgb="FFB8B8B8"/>
      </top>
      <bottom style="medium">
        <color rgb="FF9E9E9E"/>
      </bottom>
    </border>
    <border>
      <left style="thin">
        <color rgb="FF70AD47"/>
      </left>
      <right style="thin">
        <color rgb="FF70AD47"/>
      </right>
      <top/>
      <bottom style="thin">
        <color rgb="FF70AD47"/>
      </bottom>
      <diagonal/>
    </border>
    <border>
      <left style="thin">
        <color rgb="FFCCCC00"/>
      </left>
      <right style="thin">
        <color rgb="FFCCCC00"/>
      </right>
      <top style="thin">
        <color rgb="FFCCCC00"/>
      </top>
      <bottom style="thin">
        <color rgb="FFCCCC00"/>
      </bottom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left" vertical="center"/>
    </xf>
    <xf numFmtId="166" fontId="11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bottom"/>
    </xf>
    <xf numFmtId="0" fontId="13" fillId="6" borderId="1" applyAlignment="1" pivotButton="0" quotePrefix="0" xfId="0">
      <alignment horizontal="center" vertical="center"/>
    </xf>
    <xf numFmtId="0" fontId="14" fillId="6" borderId="3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left" vertical="center" wrapText="1"/>
    </xf>
    <xf numFmtId="0" fontId="17" fillId="7" borderId="4" applyAlignment="1" pivotButton="0" quotePrefix="0" xfId="0">
      <alignment horizontal="center" vertical="center"/>
    </xf>
    <xf numFmtId="0" fontId="18" fillId="7" borderId="4" applyAlignment="1" pivotButton="0" quotePrefix="0" xfId="0">
      <alignment horizontal="left" vertical="center"/>
    </xf>
    <xf numFmtId="0" fontId="0" fillId="8" borderId="5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/>
    </xf>
    <xf numFmtId="167" fontId="20" fillId="5" borderId="1" applyAlignment="1" pivotButton="0" quotePrefix="0" xfId="0">
      <alignment horizontal="center" vertical="center"/>
    </xf>
    <xf numFmtId="167" fontId="20" fillId="10" borderId="1" applyAlignment="1" pivotButton="0" quotePrefix="0" xfId="0">
      <alignment horizontal="center" vertical="center"/>
    </xf>
    <xf numFmtId="167" fontId="20" fillId="7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center" vertical="center"/>
    </xf>
    <xf numFmtId="168" fontId="23" fillId="11" borderId="1" applyAlignment="1" pivotButton="0" quotePrefix="0" xfId="0">
      <alignment horizontal="center" vertical="center"/>
    </xf>
    <xf numFmtId="168" fontId="24" fillId="12" borderId="1" applyAlignment="1" pivotButton="0" quotePrefix="0" xfId="0">
      <alignment horizontal="center" vertical="center"/>
    </xf>
    <xf numFmtId="168" fontId="25" fillId="13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168" fontId="23" fillId="6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center" vertical="center"/>
    </xf>
    <xf numFmtId="168" fontId="23" fillId="13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6" borderId="6" applyAlignment="1" pivotButton="0" quotePrefix="0" xfId="0">
      <alignment horizontal="center" vertical="center"/>
    </xf>
    <xf numFmtId="0" fontId="23" fillId="6" borderId="7" applyAlignment="1" pivotButton="0" quotePrefix="0" xfId="0">
      <alignment horizontal="left" vertical="center" wrapText="1"/>
    </xf>
    <xf numFmtId="0" fontId="31" fillId="17" borderId="1" applyAlignment="1" pivotButton="0" quotePrefix="0" xfId="0">
      <alignment horizontal="center" vertical="center"/>
    </xf>
    <xf numFmtId="168" fontId="32" fillId="17" borderId="1" applyAlignment="1" pivotButton="0" quotePrefix="0" xfId="0">
      <alignment horizontal="center" vertical="center"/>
    </xf>
    <xf numFmtId="168" fontId="23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 wrapText="1"/>
    </xf>
    <xf numFmtId="168" fontId="32" fillId="4" borderId="1" applyAlignment="1" pivotButton="0" quotePrefix="0" xfId="0">
      <alignment horizontal="center" vertical="center"/>
    </xf>
    <xf numFmtId="168" fontId="3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168" fontId="32" fillId="12" borderId="1" applyAlignment="1" pivotButton="0" quotePrefix="0" xfId="0">
      <alignment horizontal="center" vertical="center"/>
    </xf>
    <xf numFmtId="168" fontId="33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168" fontId="32" fillId="13" borderId="1" applyAlignment="1" pivotButton="0" quotePrefix="0" xfId="0">
      <alignment horizontal="center" vertical="center"/>
    </xf>
    <xf numFmtId="168" fontId="33" fillId="13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 wrapText="1"/>
    </xf>
    <xf numFmtId="0" fontId="35" fillId="11" borderId="7" applyAlignment="1" pivotButton="0" quotePrefix="0" xfId="0">
      <alignment horizontal="center" vertical="center"/>
    </xf>
    <xf numFmtId="168" fontId="32" fillId="11" borderId="7" applyAlignment="1" pivotButton="0" quotePrefix="0" xfId="0">
      <alignment horizontal="center" vertical="center"/>
    </xf>
    <xf numFmtId="168" fontId="23" fillId="11" borderId="7" applyAlignment="1" pivotButton="0" quotePrefix="0" xfId="0">
      <alignment horizontal="center" vertical="center"/>
    </xf>
    <xf numFmtId="168" fontId="6" fillId="11" borderId="7" applyAlignment="1" pivotButton="0" quotePrefix="0" xfId="0">
      <alignment horizontal="center" vertical="center"/>
    </xf>
    <xf numFmtId="0" fontId="6" fillId="11" borderId="7" applyAlignment="1" pivotButton="0" quotePrefix="0" xfId="0">
      <alignment horizontal="left" vertical="center" wrapText="1"/>
    </xf>
    <xf numFmtId="168" fontId="32" fillId="4" borderId="7" applyAlignment="1" pivotButton="0" quotePrefix="0" xfId="0">
      <alignment horizontal="center" vertical="center"/>
    </xf>
    <xf numFmtId="168" fontId="33" fillId="4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left" vertical="center" wrapText="1"/>
    </xf>
    <xf numFmtId="168" fontId="32" fillId="12" borderId="7" applyAlignment="1" pivotButton="0" quotePrefix="0" xfId="0">
      <alignment horizontal="center" vertical="center"/>
    </xf>
    <xf numFmtId="168" fontId="33" fillId="12" borderId="7" applyAlignment="1" pivotButton="0" quotePrefix="0" xfId="0">
      <alignment horizontal="center" vertical="center"/>
    </xf>
    <xf numFmtId="0" fontId="6" fillId="12" borderId="7" applyAlignment="1" pivotButton="0" quotePrefix="0" xfId="0">
      <alignment horizontal="left" vertical="center" wrapText="1"/>
    </xf>
    <xf numFmtId="168" fontId="32" fillId="13" borderId="7" applyAlignment="1" pivotButton="0" quotePrefix="0" xfId="0">
      <alignment horizontal="center" vertical="center"/>
    </xf>
    <xf numFmtId="168" fontId="33" fillId="13" borderId="7" applyAlignment="1" pivotButton="0" quotePrefix="0" xfId="0">
      <alignment horizontal="center" vertical="center"/>
    </xf>
    <xf numFmtId="0" fontId="34" fillId="13" borderId="7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8" fillId="5" borderId="0" applyAlignment="1" pivotButton="0" quotePrefix="0" xfId="0">
      <alignment horizontal="left" vertical="center"/>
    </xf>
    <xf numFmtId="0" fontId="40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41" fillId="8" borderId="1" applyAlignment="1" pivotButton="0" quotePrefix="0" xfId="0">
      <alignment horizontal="left" vertical="center"/>
    </xf>
    <xf numFmtId="0" fontId="42" fillId="9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left" vertical="center"/>
    </xf>
    <xf numFmtId="166" fontId="11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bottom"/>
    </xf>
    <xf numFmtId="0" fontId="13" fillId="6" borderId="1" applyAlignment="1" pivotButton="0" quotePrefix="0" xfId="0">
      <alignment horizontal="center" vertical="center"/>
    </xf>
    <xf numFmtId="0" fontId="14" fillId="6" borderId="3" applyAlignment="1" pivotButton="0" quotePrefix="0" xfId="0">
      <alignment horizontal="left" vertical="center" wrapText="1"/>
    </xf>
    <xf numFmtId="0" fontId="0" fillId="0" borderId="10" pivotButton="0" quotePrefix="0" xfId="0"/>
    <xf numFmtId="0" fontId="15" fillId="6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left" vertical="center" wrapText="1"/>
    </xf>
    <xf numFmtId="0" fontId="17" fillId="7" borderId="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8" fillId="7" borderId="4" applyAlignment="1" pivotButton="0" quotePrefix="0" xfId="0">
      <alignment horizontal="left" vertical="center"/>
    </xf>
    <xf numFmtId="0" fontId="0" fillId="8" borderId="5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19" fillId="9" borderId="1" applyAlignment="1" pivotButton="0" quotePrefix="0" xfId="0">
      <alignment horizontal="center" vertical="center"/>
    </xf>
    <xf numFmtId="0" fontId="0" fillId="0" borderId="20" pivotButton="0" quotePrefix="0" xfId="0"/>
    <xf numFmtId="167" fontId="20" fillId="5" borderId="1" applyAlignment="1" pivotButton="0" quotePrefix="0" xfId="0">
      <alignment horizontal="center" vertical="center"/>
    </xf>
    <xf numFmtId="167" fontId="20" fillId="10" borderId="1" applyAlignment="1" pivotButton="0" quotePrefix="0" xfId="0">
      <alignment horizontal="center" vertical="center"/>
    </xf>
    <xf numFmtId="167" fontId="20" fillId="7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center" vertical="center"/>
    </xf>
    <xf numFmtId="168" fontId="23" fillId="11" borderId="1" applyAlignment="1" pivotButton="0" quotePrefix="0" xfId="0">
      <alignment horizontal="center" vertical="center"/>
    </xf>
    <xf numFmtId="168" fontId="24" fillId="12" borderId="1" applyAlignment="1" pivotButton="0" quotePrefix="0" xfId="0">
      <alignment horizontal="center" vertical="center"/>
    </xf>
    <xf numFmtId="168" fontId="25" fillId="13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168" fontId="23" fillId="6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center" vertical="center"/>
    </xf>
    <xf numFmtId="168" fontId="23" fillId="13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0" fillId="0" borderId="23" pivotButton="0" quotePrefix="0" xfId="0"/>
    <xf numFmtId="0" fontId="30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6" borderId="6" applyAlignment="1" pivotButton="0" quotePrefix="0" xfId="0">
      <alignment horizontal="center" vertical="center"/>
    </xf>
    <xf numFmtId="0" fontId="23" fillId="6" borderId="7" applyAlignment="1" pivotButton="0" quotePrefix="0" xfId="0">
      <alignment horizontal="left" vertical="center" wrapText="1"/>
    </xf>
    <xf numFmtId="0" fontId="31" fillId="17" borderId="1" applyAlignment="1" pivotButton="0" quotePrefix="0" xfId="0">
      <alignment horizontal="center" vertical="center"/>
    </xf>
    <xf numFmtId="168" fontId="32" fillId="17" borderId="1" applyAlignment="1" pivotButton="0" quotePrefix="0" xfId="0">
      <alignment horizontal="center" vertical="center"/>
    </xf>
    <xf numFmtId="168" fontId="23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 wrapText="1"/>
    </xf>
    <xf numFmtId="168" fontId="32" fillId="4" borderId="1" applyAlignment="1" pivotButton="0" quotePrefix="0" xfId="0">
      <alignment horizontal="center" vertical="center"/>
    </xf>
    <xf numFmtId="168" fontId="3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168" fontId="32" fillId="12" borderId="1" applyAlignment="1" pivotButton="0" quotePrefix="0" xfId="0">
      <alignment horizontal="center" vertical="center"/>
    </xf>
    <xf numFmtId="168" fontId="33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168" fontId="32" fillId="13" borderId="1" applyAlignment="1" pivotButton="0" quotePrefix="0" xfId="0">
      <alignment horizontal="center" vertical="center"/>
    </xf>
    <xf numFmtId="168" fontId="33" fillId="13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5" fillId="11" borderId="7" applyAlignment="1" pivotButton="0" quotePrefix="0" xfId="0">
      <alignment horizontal="center" vertical="center"/>
    </xf>
    <xf numFmtId="168" fontId="32" fillId="11" borderId="7" applyAlignment="1" pivotButton="0" quotePrefix="0" xfId="0">
      <alignment horizontal="center" vertical="center"/>
    </xf>
    <xf numFmtId="168" fontId="23" fillId="11" borderId="7" applyAlignment="1" pivotButton="0" quotePrefix="0" xfId="0">
      <alignment horizontal="center" vertical="center"/>
    </xf>
    <xf numFmtId="168" fontId="6" fillId="11" borderId="7" applyAlignment="1" pivotButton="0" quotePrefix="0" xfId="0">
      <alignment horizontal="center" vertical="center"/>
    </xf>
    <xf numFmtId="0" fontId="6" fillId="11" borderId="7" applyAlignment="1" pivotButton="0" quotePrefix="0" xfId="0">
      <alignment horizontal="left" vertical="center" wrapText="1"/>
    </xf>
    <xf numFmtId="168" fontId="32" fillId="4" borderId="7" applyAlignment="1" pivotButton="0" quotePrefix="0" xfId="0">
      <alignment horizontal="center" vertical="center"/>
    </xf>
    <xf numFmtId="168" fontId="33" fillId="4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left" vertical="center" wrapText="1"/>
    </xf>
    <xf numFmtId="168" fontId="32" fillId="12" borderId="7" applyAlignment="1" pivotButton="0" quotePrefix="0" xfId="0">
      <alignment horizontal="center" vertical="center"/>
    </xf>
    <xf numFmtId="168" fontId="33" fillId="12" borderId="7" applyAlignment="1" pivotButton="0" quotePrefix="0" xfId="0">
      <alignment horizontal="center" vertical="center"/>
    </xf>
    <xf numFmtId="0" fontId="6" fillId="12" borderId="7" applyAlignment="1" pivotButton="0" quotePrefix="0" xfId="0">
      <alignment horizontal="left" vertical="center" wrapText="1"/>
    </xf>
    <xf numFmtId="168" fontId="32" fillId="13" borderId="7" applyAlignment="1" pivotButton="0" quotePrefix="0" xfId="0">
      <alignment horizontal="center" vertical="center"/>
    </xf>
    <xf numFmtId="168" fontId="33" fillId="13" borderId="7" applyAlignment="1" pivotButton="0" quotePrefix="0" xfId="0">
      <alignment horizontal="center" vertical="center"/>
    </xf>
    <xf numFmtId="0" fontId="34" fillId="13" borderId="7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8" fillId="5" borderId="0" applyAlignment="1" pivotButton="0" quotePrefix="0" xfId="0">
      <alignment horizontal="left" vertical="center"/>
    </xf>
    <xf numFmtId="0" fontId="40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41" fillId="8" borderId="1" applyAlignment="1" pivotButton="0" quotePrefix="0" xfId="0">
      <alignment horizontal="left" vertical="center"/>
    </xf>
    <xf numFmtId="0" fontId="42" fillId="9" borderId="8" applyAlignment="1" pivotButton="0" quotePrefix="0" xfId="0">
      <alignment horizontal="left" vertical="center"/>
    </xf>
    <xf numFmtId="0" fontId="43" fillId="18" borderId="28" applyAlignment="1" pivotButton="0" quotePrefix="0" xfId="0">
      <alignment horizontal="center" vertical="center"/>
    </xf>
    <xf numFmtId="0" fontId="44" fillId="18" borderId="28" applyAlignment="1" pivotButton="0" quotePrefix="0" xfId="0">
      <alignment horizontal="left" vertical="center" wrapText="1"/>
    </xf>
    <xf numFmtId="0" fontId="45" fillId="18" borderId="28" applyAlignment="1" pivotButton="0" quotePrefix="0" xfId="0">
      <alignment horizontal="center" vertical="center"/>
    </xf>
    <xf numFmtId="0" fontId="46" fillId="18" borderId="28" applyAlignment="1" pivotButton="0" quotePrefix="0" xfId="0">
      <alignment horizontal="left" vertical="center" wrapText="1"/>
    </xf>
    <xf numFmtId="169" fontId="44" fillId="19" borderId="28" applyAlignment="1" pivotButton="0" quotePrefix="0" xfId="0">
      <alignment horizontal="center" vertical="center"/>
    </xf>
    <xf numFmtId="169" fontId="47" fillId="19" borderId="28" applyAlignment="1" pivotButton="0" quotePrefix="0" xfId="0">
      <alignment horizontal="center" vertical="center"/>
    </xf>
    <xf numFmtId="0" fontId="47" fillId="19" borderId="28" applyAlignment="1" pivotButton="0" quotePrefix="0" xfId="0">
      <alignment horizontal="left" vertical="top" wrapText="1"/>
    </xf>
    <xf numFmtId="169" fontId="48" fillId="20" borderId="28" applyAlignment="1" pivotButton="0" quotePrefix="0" xfId="0">
      <alignment horizontal="center" vertical="center"/>
    </xf>
    <xf numFmtId="169" fontId="49" fillId="20" borderId="28" applyAlignment="1" pivotButton="0" quotePrefix="0" xfId="0">
      <alignment horizontal="center" vertical="center"/>
    </xf>
    <xf numFmtId="0" fontId="47" fillId="20" borderId="28" applyAlignment="1" pivotButton="0" quotePrefix="0" xfId="0">
      <alignment horizontal="left" vertical="top" wrapText="1"/>
    </xf>
    <xf numFmtId="169" fontId="48" fillId="21" borderId="28" applyAlignment="1" pivotButton="0" quotePrefix="0" xfId="0">
      <alignment horizontal="center" vertical="center"/>
    </xf>
    <xf numFmtId="169" fontId="49" fillId="21" borderId="28" applyAlignment="1" pivotButton="0" quotePrefix="0" xfId="0">
      <alignment horizontal="center" vertical="center"/>
    </xf>
    <xf numFmtId="0" fontId="47" fillId="21" borderId="28" applyAlignment="1" pivotButton="0" quotePrefix="0" xfId="0">
      <alignment horizontal="left" vertical="top" wrapText="1"/>
    </xf>
    <xf numFmtId="169" fontId="48" fillId="22" borderId="28" applyAlignment="1" pivotButton="0" quotePrefix="0" xfId="0">
      <alignment horizontal="center" vertical="center"/>
    </xf>
    <xf numFmtId="169" fontId="49" fillId="22" borderId="28" applyAlignment="1" pivotButton="0" quotePrefix="0" xfId="0">
      <alignment horizontal="center" vertical="center"/>
    </xf>
    <xf numFmtId="0" fontId="50" fillId="22" borderId="28" applyAlignment="1" pivotButton="0" quotePrefix="0" xfId="0">
      <alignment horizontal="left" vertical="top" wrapText="1"/>
    </xf>
    <xf numFmtId="169" fontId="44" fillId="23" borderId="28" applyAlignment="1" pivotButton="0" quotePrefix="0" xfId="0">
      <alignment horizontal="center" vertical="center"/>
    </xf>
    <xf numFmtId="169" fontId="47" fillId="23" borderId="28" applyAlignment="1" pivotButton="0" quotePrefix="0" xfId="0">
      <alignment horizontal="center" vertical="center"/>
    </xf>
    <xf numFmtId="0" fontId="47" fillId="23" borderId="28" applyAlignment="1" pivotButton="0" quotePrefix="0" xfId="0">
      <alignment horizontal="left" vertical="top" wrapText="1"/>
    </xf>
    <xf numFmtId="0" fontId="51" fillId="0" borderId="0" pivotButton="0" quotePrefix="0" xfId="0"/>
    <xf numFmtId="0" fontId="52" fillId="24" borderId="28" applyAlignment="1" pivotButton="0" quotePrefix="0" xfId="0">
      <alignment horizontal="right" vertical="center"/>
    </xf>
    <xf numFmtId="0" fontId="53" fillId="25" borderId="29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 vertical="center"/>
    </xf>
    <xf numFmtId="0" fontId="52" fillId="26" borderId="28" applyAlignment="1" pivotButton="0" quotePrefix="0" xfId="0">
      <alignment horizontal="center" vertical="center" wrapText="1"/>
    </xf>
    <xf numFmtId="0" fontId="52" fillId="24" borderId="28" applyAlignment="1" pivotButton="0" quotePrefix="0" xfId="0">
      <alignment horizontal="center" vertical="center" wrapText="1"/>
    </xf>
    <xf numFmtId="0" fontId="52" fillId="27" borderId="28" applyAlignment="1" pivotButton="0" quotePrefix="0" xfId="0">
      <alignment horizontal="center" vertical="center" wrapText="1"/>
    </xf>
    <xf numFmtId="0" fontId="0" fillId="28" borderId="30" applyAlignment="1" pivotButton="0" quotePrefix="0" xfId="0">
      <alignment horizontal="center" vertical="center"/>
    </xf>
    <xf numFmtId="0" fontId="55" fillId="19" borderId="28" applyAlignment="1" pivotButton="0" quotePrefix="0" xfId="0">
      <alignment horizontal="center" vertical="center"/>
    </xf>
    <xf numFmtId="169" fontId="56" fillId="19" borderId="28" applyAlignment="1" pivotButton="0" quotePrefix="0" xfId="0">
      <alignment horizontal="center" vertical="center"/>
    </xf>
    <xf numFmtId="0" fontId="44" fillId="19" borderId="28" applyAlignment="1" pivotButton="0" quotePrefix="0" xfId="0">
      <alignment horizontal="left" vertical="top" wrapText="1"/>
    </xf>
    <xf numFmtId="0" fontId="0" fillId="28" borderId="31" pivotButton="0" quotePrefix="0" xfId="0"/>
    <xf numFmtId="0" fontId="0" fillId="18" borderId="32" pivotButton="0" quotePrefix="0" xfId="0"/>
    <xf numFmtId="0" fontId="57" fillId="23" borderId="32" applyAlignment="1" pivotButton="0" quotePrefix="0" xfId="0">
      <alignment horizontal="center" vertical="center"/>
    </xf>
    <xf numFmtId="169" fontId="56" fillId="23" borderId="32" applyAlignment="1" pivotButton="0" quotePrefix="0" xfId="0">
      <alignment horizontal="center" vertical="center"/>
    </xf>
    <xf numFmtId="0" fontId="44" fillId="23" borderId="32" applyAlignment="1" pivotButton="0" quotePrefix="0" xfId="0">
      <alignment horizontal="left" vertical="top" wrapText="1"/>
    </xf>
    <xf numFmtId="0" fontId="52" fillId="24" borderId="28" applyAlignment="1" pivotButton="0" quotePrefix="0" xfId="0">
      <alignment horizontal="center" vertical="center"/>
    </xf>
    <xf numFmtId="0" fontId="0" fillId="24" borderId="28" pivotButton="0" quotePrefix="0" xfId="0"/>
    <xf numFmtId="0" fontId="58" fillId="24" borderId="28" applyAlignment="1" pivotButton="0" quotePrefix="0" xfId="0">
      <alignment horizontal="center" vertical="center"/>
    </xf>
    <xf numFmtId="0" fontId="0" fillId="0" borderId="33" pivotButton="0" quotePrefix="0" xfId="0"/>
    <xf numFmtId="0" fontId="59" fillId="29" borderId="34" applyAlignment="1" pivotButton="0" quotePrefix="0" xfId="0">
      <alignment horizontal="center" vertical="center"/>
    </xf>
    <xf numFmtId="0" fontId="60" fillId="20" borderId="34" applyAlignment="1" pivotButton="0" quotePrefix="0" xfId="0">
      <alignment horizontal="left" vertical="center"/>
    </xf>
    <xf numFmtId="0" fontId="0" fillId="23" borderId="35" pivotButton="0" quotePrefix="0" xfId="0"/>
    <xf numFmtId="0" fontId="52" fillId="24" borderId="28" applyAlignment="1" pivotButton="0" quotePrefix="0" xfId="0">
      <alignment horizontal="right" vertical="center"/>
    </xf>
    <xf numFmtId="0" fontId="53" fillId="25" borderId="29" applyAlignment="1" pivotButton="0" quotePrefix="0" xfId="0">
      <alignment horizontal="center" vertical="center"/>
    </xf>
    <xf numFmtId="0" fontId="54" fillId="23" borderId="35" applyAlignment="1" pivotButton="0" quotePrefix="0" xfId="0">
      <alignment horizontal="left" vertical="center"/>
    </xf>
    <xf numFmtId="0" fontId="0" fillId="28" borderId="30" applyAlignment="1" pivotButton="0" quotePrefix="0" xfId="0">
      <alignment horizontal="center" vertical="center"/>
    </xf>
    <xf numFmtId="0" fontId="55" fillId="19" borderId="28" applyAlignment="1" pivotButton="0" quotePrefix="0" xfId="0">
      <alignment horizontal="center" vertical="center"/>
    </xf>
    <xf numFmtId="169" fontId="56" fillId="19" borderId="28" applyAlignment="1" pivotButton="0" quotePrefix="0" xfId="0">
      <alignment horizontal="center" vertical="center"/>
    </xf>
    <xf numFmtId="0" fontId="57" fillId="23" borderId="32" applyAlignment="1" pivotButton="0" quotePrefix="0" xfId="0">
      <alignment horizontal="center" vertical="center"/>
    </xf>
    <xf numFmtId="169" fontId="56" fillId="23" borderId="32" applyAlignment="1" pivotButton="0" quotePrefix="0" xfId="0">
      <alignment horizontal="center" vertical="center"/>
    </xf>
    <xf numFmtId="0" fontId="52" fillId="24" borderId="28" applyAlignment="1" pivotButton="0" quotePrefix="0" xfId="0">
      <alignment horizontal="center" vertical="center"/>
    </xf>
    <xf numFmtId="0" fontId="58" fillId="24" borderId="28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6B75"/>
      <rgbColor rgb="FFB8B8B8"/>
      <rgbColor rgb="FF767676"/>
      <rgbColor rgb="FF9999FF"/>
      <rgbColor rgb="FF993366"/>
      <rgbColor rgb="FFFFF2CC"/>
      <rgbColor rgb="FFD9EE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E2EFDA"/>
      <rgbColor rgb="FFFFFF99"/>
      <rgbColor rgb="FFF2F2F2"/>
      <rgbColor rgb="FFFCE4D6"/>
      <rgbColor rgb="FFCC99FF"/>
      <rgbColor rgb="FFFFD966"/>
      <rgbColor rgb="FF2E75B6"/>
      <rgbColor rgb="FF33CCCC"/>
      <rgbColor rgb="FFCCCC00"/>
      <rgbColor rgb="FFFFCC00"/>
      <rgbColor rgb="FFCCAA00"/>
      <rgbColor rgb="FFED7D31"/>
      <rgbColor rgb="FF666699"/>
      <rgbColor rgb="FF9E9E9E"/>
      <rgbColor rgb="FF1F3864"/>
      <rgbColor rgb="FF70AD47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P2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6" min="1" max="37"/>
    <col width="10" customWidth="1" style="86" min="38" max="41"/>
    <col width="10" customWidth="1" style="87" min="42" max="42"/>
  </cols>
  <sheetData>
    <row r="1" ht="27.75" customHeight="1" s="87">
      <c r="A1" s="88" t="inlineStr">
        <is>
          <t>ApplyReceptionNo</t>
        </is>
      </c>
      <c r="B1" s="88" t="inlineStr">
        <is>
          <t>ApplyStaffId</t>
        </is>
      </c>
      <c r="C1" s="88" t="inlineStr">
        <is>
          <t>ApplyStaffName</t>
        </is>
      </c>
      <c r="D1" s="88" t="inlineStr">
        <is>
          <t>CenterMatterStatusCD</t>
        </is>
      </c>
      <c r="E1" s="88" t="inlineStr">
        <is>
          <t>CenterMatterStatusName</t>
        </is>
      </c>
      <c r="F1" s="88" t="inlineStr">
        <is>
          <t>HistoryExistCD</t>
        </is>
      </c>
      <c r="G1" s="88" t="inlineStr">
        <is>
          <t>HistoryExistName</t>
        </is>
      </c>
      <c r="H1" s="88" t="inlineStr">
        <is>
          <t>ReasonGenerateDate</t>
        </is>
      </c>
      <c r="I1" s="88" t="inlineStr">
        <is>
          <t>ApplyDate</t>
        </is>
      </c>
      <c r="J1" s="88" t="inlineStr">
        <is>
          <t>ApplyReceptionDate</t>
        </is>
      </c>
      <c r="K1" s="88" t="inlineStr">
        <is>
          <t>ContactPersonRegistDate</t>
        </is>
      </c>
      <c r="L1" s="88" t="inlineStr">
        <is>
          <t>ApprovedRegistDate</t>
        </is>
      </c>
      <c r="M1" s="88" t="inlineStr">
        <is>
          <t>ApplyDataOutputDate</t>
        </is>
      </c>
      <c r="N1" s="88" t="inlineStr">
        <is>
          <t>CompletedRegistDate</t>
        </is>
      </c>
      <c r="O1" s="88" t="inlineStr">
        <is>
          <t>CenterProcessTypeText</t>
        </is>
      </c>
      <c r="P1" s="88" t="inlineStr">
        <is>
          <t>hasTenpu</t>
        </is>
      </c>
      <c r="Q1" s="88" t="inlineStr">
        <is>
          <t>hasJyumin</t>
        </is>
      </c>
      <c r="R1" s="88" t="inlineStr">
        <is>
          <t>hasHassin</t>
        </is>
      </c>
      <c r="S1" s="88" t="inlineStr">
        <is>
          <t>hasKakunin</t>
        </is>
      </c>
      <c r="T1" s="88" t="inlineStr">
        <is>
          <t>hasKanri</t>
        </is>
      </c>
      <c r="U1" s="88" t="inlineStr">
        <is>
          <t>hasSV</t>
        </is>
      </c>
      <c r="V1" s="88" t="inlineStr">
        <is>
          <t>hasData</t>
        </is>
      </c>
      <c r="W1" s="88" t="inlineStr">
        <is>
          <t>hasSakujyo</t>
        </is>
      </c>
      <c r="X1" s="88" t="inlineStr">
        <is>
          <t>hasTokubetsu</t>
        </is>
      </c>
      <c r="Y1" s="88" t="inlineStr">
        <is>
          <t>hasTokubetsu1</t>
        </is>
      </c>
      <c r="Z1" s="88" t="inlineStr">
        <is>
          <t>hasTokubetsu2</t>
        </is>
      </c>
      <c r="AA1" s="88" t="inlineStr">
        <is>
          <t>hasTokubetsu3</t>
        </is>
      </c>
      <c r="AB1" s="88" t="inlineStr">
        <is>
          <t>NotificationReasonCD</t>
        </is>
      </c>
      <c r="AC1" s="88" t="inlineStr">
        <is>
          <t>NotificationReasonKbn</t>
        </is>
      </c>
      <c r="AD1" s="88" t="inlineStr">
        <is>
          <t>NotificationReasonKbnText</t>
        </is>
      </c>
      <c r="AE1" s="88" t="inlineStr">
        <is>
          <t>NotificationReasonKbnContent</t>
        </is>
      </c>
      <c r="AF1" s="88" t="inlineStr">
        <is>
          <t>AlimonyFlg</t>
        </is>
      </c>
      <c r="AG1" s="88" t="inlineStr">
        <is>
          <t>HealthInsuranceFlg</t>
        </is>
      </c>
      <c r="AH1" s="88" t="inlineStr">
        <is>
          <t>TaxBiteFlg</t>
        </is>
      </c>
      <c r="AI1" s="88" t="inlineStr">
        <is>
          <t>cancelFlgText</t>
        </is>
      </c>
      <c r="AJ1" s="88" t="inlineStr">
        <is>
          <t>TemporaryText</t>
        </is>
      </c>
      <c r="AK1" s="88" t="inlineStr">
        <is>
          <t>ApplyContent</t>
        </is>
      </c>
      <c r="AL1" s="89" t="inlineStr">
        <is>
          <t>★最下行</t>
        </is>
      </c>
      <c r="AM1" s="89" t="inlineStr">
        <is>
          <t>★経過日数</t>
        </is>
      </c>
      <c r="AN1" s="89" t="inlineStr">
        <is>
          <t>★未完了</t>
        </is>
      </c>
      <c r="AO1" s="89" t="inlineStr">
        <is>
          <t>★共済あり</t>
        </is>
      </c>
      <c r="AP1" s="219" t="inlineStr">
        <is>
          <t>★フラグ文字列</t>
        </is>
      </c>
    </row>
    <row r="2" ht="15" customHeight="1" s="87">
      <c r="A2" s="90" t="n">
        <v>200860002045</v>
      </c>
      <c r="B2" s="90" t="n"/>
      <c r="C2" s="90" t="n"/>
      <c r="D2" s="90" t="n">
        <v>31</v>
      </c>
      <c r="E2" s="90" t="inlineStr">
        <is>
          <t>31 ＯＰ確認中</t>
        </is>
      </c>
      <c r="F2" s="90" t="n"/>
      <c r="G2" s="90" t="n"/>
      <c r="H2" s="91" t="n">
        <v>39904</v>
      </c>
      <c r="I2" s="92" t="n">
        <v>39898</v>
      </c>
      <c r="J2" s="91" t="n">
        <v>41984</v>
      </c>
      <c r="K2" s="91" t="n">
        <v>41984</v>
      </c>
      <c r="L2" s="90" t="n"/>
      <c r="M2" s="90" t="n"/>
      <c r="N2" s="90" t="n"/>
      <c r="O2" s="90" t="inlineStr">
        <is>
          <t>21 担当者登録</t>
        </is>
      </c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  <c r="AA2" s="90" t="n"/>
      <c r="AB2" s="90" t="n">
        <v>47</v>
      </c>
      <c r="AC2" s="90" t="n">
        <v>0</v>
      </c>
      <c r="AD2" s="93" t="inlineStr">
        <is>
          <t>減</t>
        </is>
      </c>
      <c r="AE2" s="90" t="inlineStr">
        <is>
          <t>47 扶養親族の就職</t>
        </is>
      </c>
      <c r="AF2" s="93" t="inlineStr">
        <is>
          <t>減</t>
        </is>
      </c>
      <c r="AG2" s="93" t="inlineStr">
        <is>
          <t>減</t>
        </is>
      </c>
      <c r="AH2" s="93" t="inlineStr">
        <is>
          <t>減</t>
        </is>
      </c>
      <c r="AI2" s="90" t="n"/>
      <c r="AJ2" s="90" t="n"/>
      <c r="AK2" s="93" t="inlineStr">
        <is>
          <t>対応不要　該当職員無し</t>
        </is>
      </c>
      <c r="AL2" s="94">
        <f>IF(A2="","",IF(COUNTIF(A2:A$2001,A2)=1,1,0))</f>
        <v/>
      </c>
      <c r="AM2" s="94">
        <f>IF(I2="","",TODAY()-I2)</f>
        <v/>
      </c>
      <c r="AN2" s="94">
        <f>IF(A2="","",IF(AND(E2&lt;&gt;"33 確認済",E2&lt;&gt;"36 送付中"),1,0))</f>
        <v/>
      </c>
      <c r="AO2" s="94">
        <f>IF(A2="","",IF(AG2&lt;&gt;"",1,0))</f>
        <v/>
      </c>
      <c r="AP2" s="220">
        <f>IF(P2&lt;&gt;"","・添待ち","")&amp;IF(Q2&lt;&gt;"","・住民票","")&amp;IF(R2&lt;&gt;"","・発信","")&amp;IF(S2&lt;&gt;"","・確認事項","")&amp;IF(T2&lt;&gt;"","・管","")&amp;IF(U2&lt;&gt;"","・SV","")&amp;IF(V2&lt;&gt;"","・データ送付待ち","")&amp;IF(W2&lt;&gt;"","・削除","")</f>
        <v/>
      </c>
    </row>
    <row r="3" ht="15" customHeight="1" s="87">
      <c r="A3" s="90" t="n">
        <v>200860002058</v>
      </c>
      <c r="B3" s="90" t="n"/>
      <c r="C3" s="90" t="n"/>
      <c r="D3" s="90" t="n">
        <v>31</v>
      </c>
      <c r="E3" s="90" t="inlineStr">
        <is>
          <t>31 ＯＰ確認中</t>
        </is>
      </c>
      <c r="F3" s="90" t="n"/>
      <c r="G3" s="90" t="n"/>
      <c r="H3" s="91" t="n">
        <v>39872</v>
      </c>
      <c r="I3" s="92" t="n">
        <v>39898</v>
      </c>
      <c r="J3" s="91" t="n">
        <v>41984</v>
      </c>
      <c r="K3" s="91" t="n">
        <v>41984</v>
      </c>
      <c r="L3" s="90" t="n"/>
      <c r="M3" s="90" t="n"/>
      <c r="N3" s="90" t="n"/>
      <c r="O3" s="90" t="inlineStr">
        <is>
          <t>21 担当者登録</t>
        </is>
      </c>
      <c r="P3" s="90" t="n"/>
      <c r="Q3" s="90" t="n"/>
      <c r="R3" s="90" t="n"/>
      <c r="S3" s="90" t="n"/>
      <c r="T3" s="90" t="n"/>
      <c r="U3" s="90" t="n"/>
      <c r="V3" s="90" t="n"/>
      <c r="W3" s="90" t="n"/>
      <c r="X3" s="90" t="n"/>
      <c r="Y3" s="90" t="n"/>
      <c r="Z3" s="90" t="n"/>
      <c r="AA3" s="90" t="n"/>
      <c r="AB3" s="90" t="n">
        <v>22</v>
      </c>
      <c r="AC3" s="90" t="n">
        <v>1</v>
      </c>
      <c r="AD3" s="93" t="inlineStr">
        <is>
          <t>増</t>
        </is>
      </c>
      <c r="AE3" s="90" t="inlineStr">
        <is>
          <t>22 扶養親族の退職</t>
        </is>
      </c>
      <c r="AF3" s="90" t="n"/>
      <c r="AG3" s="93" t="inlineStr">
        <is>
          <t>増</t>
        </is>
      </c>
      <c r="AH3" s="90" t="n"/>
      <c r="AI3" s="90" t="n"/>
      <c r="AJ3" s="90" t="n"/>
      <c r="AK3" s="93" t="inlineStr">
        <is>
          <t>対応不要</t>
        </is>
      </c>
      <c r="AL3" s="94">
        <f>IF(A3="","",IF(COUNTIF(A3:A$2001,A3)=1,1,0))</f>
        <v/>
      </c>
      <c r="AM3" s="94">
        <f>IF(I3="","",TODAY()-I3)</f>
        <v/>
      </c>
      <c r="AN3" s="94">
        <f>IF(A3="","",IF(AND(E3&lt;&gt;"33 確認済",E3&lt;&gt;"36 送付中"),1,0))</f>
        <v/>
      </c>
      <c r="AO3" s="94">
        <f>IF(A3="","",IF(AG3&lt;&gt;"",1,0))</f>
        <v/>
      </c>
      <c r="AP3" s="220">
        <f>IF(P3&lt;&gt;"","・添待ち","")&amp;IF(Q3&lt;&gt;"","・住民票","")&amp;IF(R3&lt;&gt;"","・発信","")&amp;IF(S3&lt;&gt;"","・確認事項","")&amp;IF(T3&lt;&gt;"","・管","")&amp;IF(U3&lt;&gt;"","・SV","")&amp;IF(V3&lt;&gt;"","・データ送付待ち","")&amp;IF(W3&lt;&gt;"","・削除","")</f>
        <v/>
      </c>
    </row>
    <row r="4" ht="15" customHeight="1" s="87">
      <c r="A4" s="90" t="n">
        <v>200960002795</v>
      </c>
      <c r="B4" s="90" t="n"/>
      <c r="C4" s="90" t="n"/>
      <c r="D4" s="90" t="n">
        <v>40</v>
      </c>
      <c r="E4" s="90" t="inlineStr">
        <is>
          <t>40 差戻し</t>
        </is>
      </c>
      <c r="F4" s="90" t="n">
        <v>20</v>
      </c>
      <c r="G4" s="90" t="inlineStr">
        <is>
          <t>20 差戻し</t>
        </is>
      </c>
      <c r="H4" s="91" t="n">
        <v>30829</v>
      </c>
      <c r="I4" s="92" t="n">
        <v>40233</v>
      </c>
      <c r="J4" s="91" t="n">
        <v>40234</v>
      </c>
      <c r="K4" s="91" t="n">
        <v>40238</v>
      </c>
      <c r="L4" s="90" t="n"/>
      <c r="M4" s="90" t="n"/>
      <c r="N4" s="90" t="n"/>
      <c r="O4" s="90" t="inlineStr">
        <is>
          <t>40 ＳＶ承認</t>
        </is>
      </c>
      <c r="P4" s="90" t="n"/>
      <c r="Q4" s="90" t="n"/>
      <c r="R4" s="90" t="n"/>
      <c r="S4" s="90" t="n"/>
      <c r="T4" s="90" t="n"/>
      <c r="U4" s="90" t="n"/>
      <c r="V4" s="90" t="n"/>
      <c r="W4" s="90" t="n"/>
      <c r="X4" s="90" t="n"/>
      <c r="Y4" s="90" t="n"/>
      <c r="Z4" s="90" t="n"/>
      <c r="AA4" s="90" t="n"/>
      <c r="AB4" s="90" t="n">
        <v>23</v>
      </c>
      <c r="AC4" s="90" t="n">
        <v>1</v>
      </c>
      <c r="AD4" s="93" t="inlineStr">
        <is>
          <t>増</t>
        </is>
      </c>
      <c r="AE4" s="90" t="inlineStr">
        <is>
          <t>23 本人の結婚</t>
        </is>
      </c>
      <c r="AF4" s="90" t="n"/>
      <c r="AG4" s="90" t="n"/>
      <c r="AH4" s="90" t="n"/>
      <c r="AI4" s="90" t="n"/>
      <c r="AJ4" s="90" t="n"/>
      <c r="AK4" s="90" t="n"/>
      <c r="AL4" s="94">
        <f>IF(A4="","",IF(COUNTIF(A4:A$2001,A4)=1,1,0))</f>
        <v/>
      </c>
      <c r="AM4" s="94">
        <f>IF(I4="","",TODAY()-I4)</f>
        <v/>
      </c>
      <c r="AN4" s="94">
        <f>IF(A4="","",IF(AND(E4&lt;&gt;"33 確認済",E4&lt;&gt;"36 送付中"),1,0))</f>
        <v/>
      </c>
      <c r="AO4" s="94">
        <f>IF(A4="","",IF(AG4&lt;&gt;"",1,0))</f>
        <v/>
      </c>
      <c r="AP4" s="220">
        <f>IF(P4&lt;&gt;"","・添待ち","")&amp;IF(Q4&lt;&gt;"","・住民票","")&amp;IF(R4&lt;&gt;"","・発信","")&amp;IF(S4&lt;&gt;"","・確認事項","")&amp;IF(T4&lt;&gt;"","・管","")&amp;IF(U4&lt;&gt;"","・SV","")&amp;IF(V4&lt;&gt;"","・データ送付待ち","")&amp;IF(W4&lt;&gt;"","・削除","")</f>
        <v/>
      </c>
    </row>
    <row r="5" ht="15" customHeight="1" s="87">
      <c r="A5" s="90" t="n">
        <v>200960002795</v>
      </c>
      <c r="B5" s="90" t="n"/>
      <c r="C5" s="90" t="n"/>
      <c r="D5" s="90" t="n">
        <v>40</v>
      </c>
      <c r="E5" s="90" t="inlineStr">
        <is>
          <t>40 差戻し</t>
        </is>
      </c>
      <c r="F5" s="90" t="n">
        <v>20</v>
      </c>
      <c r="G5" s="90" t="inlineStr">
        <is>
          <t>20 差戻し</t>
        </is>
      </c>
      <c r="H5" s="91" t="n">
        <v>30829</v>
      </c>
      <c r="I5" s="92" t="n">
        <v>40233</v>
      </c>
      <c r="J5" s="91" t="n">
        <v>40234</v>
      </c>
      <c r="K5" s="91" t="n">
        <v>40238</v>
      </c>
      <c r="L5" s="90" t="n"/>
      <c r="M5" s="90" t="n"/>
      <c r="N5" s="90" t="n"/>
      <c r="O5" s="90" t="inlineStr">
        <is>
          <t>40 ＳＶ承認</t>
        </is>
      </c>
      <c r="P5" s="90" t="n"/>
      <c r="Q5" s="90" t="n"/>
      <c r="R5" s="90" t="n"/>
      <c r="S5" s="90" t="n"/>
      <c r="T5" s="90" t="n"/>
      <c r="U5" s="90" t="n"/>
      <c r="V5" s="90" t="n"/>
      <c r="W5" s="90" t="n"/>
      <c r="X5" s="90" t="n"/>
      <c r="Y5" s="90" t="n"/>
      <c r="Z5" s="90" t="n"/>
      <c r="AA5" s="90" t="n"/>
      <c r="AB5" s="90" t="n">
        <v>23</v>
      </c>
      <c r="AC5" s="90" t="n">
        <v>1</v>
      </c>
      <c r="AD5" s="93" t="inlineStr">
        <is>
          <t>増</t>
        </is>
      </c>
      <c r="AE5" s="90" t="inlineStr">
        <is>
          <t>23 結婚</t>
        </is>
      </c>
      <c r="AF5" s="90" t="n"/>
      <c r="AG5" s="90" t="n"/>
      <c r="AH5" s="90" t="n"/>
      <c r="AI5" s="90" t="n"/>
      <c r="AJ5" s="90" t="n"/>
      <c r="AK5" s="90" t="n"/>
      <c r="AL5" s="94">
        <f>IF(A5="","",IF(COUNTIF(A5:A$2001,A5)=1,1,0))</f>
        <v/>
      </c>
      <c r="AM5" s="94">
        <f>IF(I5="","",TODAY()-I5)</f>
        <v/>
      </c>
      <c r="AN5" s="94">
        <f>IF(A5="","",IF(AND(E5&lt;&gt;"33 確認済",E5&lt;&gt;"36 送付中"),1,0))</f>
        <v/>
      </c>
      <c r="AO5" s="94">
        <f>IF(A5="","",IF(AG5&lt;&gt;"",1,0))</f>
        <v/>
      </c>
      <c r="AP5" s="220">
        <f>IF(P5&lt;&gt;"","・添待ち","")&amp;IF(Q5&lt;&gt;"","・住民票","")&amp;IF(R5&lt;&gt;"","・発信","")&amp;IF(S5&lt;&gt;"","・確認事項","")&amp;IF(T5&lt;&gt;"","・管","")&amp;IF(U5&lt;&gt;"","・SV","")&amp;IF(V5&lt;&gt;"","・データ送付待ち","")&amp;IF(W5&lt;&gt;"","・削除","")</f>
        <v/>
      </c>
    </row>
    <row r="6" ht="15" customHeight="1" s="87">
      <c r="A6" s="90" t="n">
        <v>200960002929</v>
      </c>
      <c r="B6" s="90" t="n"/>
      <c r="C6" s="90" t="n"/>
      <c r="D6" s="90" t="n">
        <v>31</v>
      </c>
      <c r="E6" s="90" t="inlineStr">
        <is>
          <t>31 ＯＰ確認中</t>
        </is>
      </c>
      <c r="F6" s="90" t="n"/>
      <c r="G6" s="90" t="n"/>
      <c r="H6" s="91" t="n">
        <v>40251</v>
      </c>
      <c r="I6" s="92" t="n">
        <v>40252</v>
      </c>
      <c r="J6" s="91" t="n">
        <v>41984</v>
      </c>
      <c r="K6" s="91" t="n">
        <v>41984</v>
      </c>
      <c r="L6" s="90" t="n"/>
      <c r="M6" s="90" t="n"/>
      <c r="N6" s="90" t="n"/>
      <c r="O6" s="90" t="inlineStr">
        <is>
          <t>21 担当者登録</t>
        </is>
      </c>
      <c r="P6" s="90" t="n"/>
      <c r="Q6" s="90" t="n"/>
      <c r="R6" s="90" t="n"/>
      <c r="S6" s="90" t="n"/>
      <c r="T6" s="90" t="n"/>
      <c r="U6" s="90" t="n"/>
      <c r="V6" s="90" t="n"/>
      <c r="W6" s="90" t="n"/>
      <c r="X6" s="90" t="n"/>
      <c r="Y6" s="90" t="n"/>
      <c r="Z6" s="90" t="n"/>
      <c r="AA6" s="90" t="n"/>
      <c r="AB6" s="90" t="n">
        <v>25</v>
      </c>
      <c r="AC6" s="90" t="n">
        <v>1</v>
      </c>
      <c r="AD6" s="93" t="inlineStr">
        <is>
          <t>増</t>
        </is>
      </c>
      <c r="AE6" s="90" t="inlineStr">
        <is>
          <t>25 育休</t>
        </is>
      </c>
      <c r="AF6" s="90" t="n"/>
      <c r="AG6" s="90" t="n"/>
      <c r="AH6" s="90" t="n"/>
      <c r="AI6" s="90" t="n"/>
      <c r="AJ6" s="90" t="n"/>
      <c r="AK6" s="90" t="n"/>
      <c r="AL6" s="94">
        <f>IF(A6="","",IF(COUNTIF(A6:A$2001,A6)=1,1,0))</f>
        <v/>
      </c>
      <c r="AM6" s="94">
        <f>IF(I6="","",TODAY()-I6)</f>
        <v/>
      </c>
      <c r="AN6" s="94">
        <f>IF(A6="","",IF(AND(E6&lt;&gt;"33 確認済",E6&lt;&gt;"36 送付中"),1,0))</f>
        <v/>
      </c>
      <c r="AO6" s="94">
        <f>IF(A6="","",IF(AG6&lt;&gt;"",1,0))</f>
        <v/>
      </c>
      <c r="AP6" s="220">
        <f>IF(P6&lt;&gt;"","・添待ち","")&amp;IF(Q6&lt;&gt;"","・住民票","")&amp;IF(R6&lt;&gt;"","・発信","")&amp;IF(S6&lt;&gt;"","・確認事項","")&amp;IF(T6&lt;&gt;"","・管","")&amp;IF(U6&lt;&gt;"","・SV","")&amp;IF(V6&lt;&gt;"","・データ送付待ち","")&amp;IF(W6&lt;&gt;"","・削除","")</f>
        <v/>
      </c>
    </row>
    <row r="7" ht="15" customHeight="1" s="87">
      <c r="A7" s="90" t="n">
        <v>200960002933</v>
      </c>
      <c r="B7" s="90" t="n"/>
      <c r="C7" s="90" t="n"/>
      <c r="D7" s="90" t="n">
        <v>31</v>
      </c>
      <c r="E7" s="90" t="inlineStr">
        <is>
          <t>31 ＯＰ確認中</t>
        </is>
      </c>
      <c r="F7" s="90" t="n"/>
      <c r="G7" s="90" t="n"/>
      <c r="H7" s="91" t="n">
        <v>40238</v>
      </c>
      <c r="I7" s="92" t="n">
        <v>40253</v>
      </c>
      <c r="J7" s="91" t="n">
        <v>41984</v>
      </c>
      <c r="K7" s="91" t="n">
        <v>41984</v>
      </c>
      <c r="L7" s="90" t="n"/>
      <c r="M7" s="90" t="n"/>
      <c r="N7" s="90" t="n"/>
      <c r="O7" s="90" t="inlineStr">
        <is>
          <t>21 担当者登録</t>
        </is>
      </c>
      <c r="P7" s="90" t="n"/>
      <c r="Q7" s="90" t="n"/>
      <c r="R7" s="90" t="n"/>
      <c r="S7" s="90" t="n"/>
      <c r="T7" s="90" t="n"/>
      <c r="U7" s="90" t="n"/>
      <c r="V7" s="90" t="n"/>
      <c r="W7" s="90" t="n"/>
      <c r="X7" s="90" t="n"/>
      <c r="Y7" s="90" t="n"/>
      <c r="Z7" s="90" t="n"/>
      <c r="AA7" s="90" t="n"/>
      <c r="AB7" s="90" t="n">
        <v>21</v>
      </c>
      <c r="AC7" s="90" t="n">
        <v>1</v>
      </c>
      <c r="AD7" s="93" t="inlineStr">
        <is>
          <t>増</t>
        </is>
      </c>
      <c r="AE7" s="90" t="inlineStr">
        <is>
          <t>21 出生</t>
        </is>
      </c>
      <c r="AF7" s="93" t="inlineStr">
        <is>
          <t>増</t>
        </is>
      </c>
      <c r="AG7" s="93" t="inlineStr">
        <is>
          <t>増</t>
        </is>
      </c>
      <c r="AH7" s="93" t="inlineStr">
        <is>
          <t>増</t>
        </is>
      </c>
      <c r="AI7" s="90" t="n"/>
      <c r="AJ7" s="90" t="n"/>
      <c r="AK7" s="90" t="n"/>
      <c r="AL7" s="94">
        <f>IF(A7="","",IF(COUNTIF(A7:A$2001,A7)=1,1,0))</f>
        <v/>
      </c>
      <c r="AM7" s="94">
        <f>IF(I7="","",TODAY()-I7)</f>
        <v/>
      </c>
      <c r="AN7" s="94">
        <f>IF(A7="","",IF(AND(E7&lt;&gt;"33 確認済",E7&lt;&gt;"36 送付中"),1,0))</f>
        <v/>
      </c>
      <c r="AO7" s="94">
        <f>IF(A7="","",IF(AG7&lt;&gt;"",1,0))</f>
        <v/>
      </c>
      <c r="AP7" s="220">
        <f>IF(P7&lt;&gt;"","・添待ち","")&amp;IF(Q7&lt;&gt;"","・住民票","")&amp;IF(R7&lt;&gt;"","・発信","")&amp;IF(S7&lt;&gt;"","・確認事項","")&amp;IF(T7&lt;&gt;"","・管","")&amp;IF(U7&lt;&gt;"","・SV","")&amp;IF(V7&lt;&gt;"","・データ送付待ち","")&amp;IF(W7&lt;&gt;"","・削除","")</f>
        <v/>
      </c>
    </row>
    <row r="8" ht="15" customHeight="1" s="87">
      <c r="A8" s="90" t="n">
        <v>200960002999</v>
      </c>
      <c r="B8" s="90" t="n"/>
      <c r="C8" s="90" t="n"/>
      <c r="D8" s="90" t="n">
        <v>31</v>
      </c>
      <c r="E8" s="90" t="inlineStr">
        <is>
          <t>31 ＯＰ確認中</t>
        </is>
      </c>
      <c r="F8" s="90" t="n"/>
      <c r="G8" s="90" t="n"/>
      <c r="H8" s="91" t="n">
        <v>40238</v>
      </c>
      <c r="I8" s="92" t="n">
        <v>40262</v>
      </c>
      <c r="J8" s="91" t="n">
        <v>40266</v>
      </c>
      <c r="K8" s="91" t="n">
        <v>40266</v>
      </c>
      <c r="L8" s="90" t="n"/>
      <c r="M8" s="90" t="n"/>
      <c r="N8" s="90" t="n"/>
      <c r="O8" s="90" t="inlineStr">
        <is>
          <t>22 担当者変更</t>
        </is>
      </c>
      <c r="P8" s="90" t="n"/>
      <c r="Q8" s="90" t="n"/>
      <c r="R8" s="90" t="n"/>
      <c r="S8" s="90" t="n"/>
      <c r="T8" s="90" t="n"/>
      <c r="U8" s="90" t="n"/>
      <c r="V8" s="90" t="n"/>
      <c r="W8" s="90" t="n"/>
      <c r="X8" s="90" t="n"/>
      <c r="Y8" s="90" t="n"/>
      <c r="Z8" s="90" t="n"/>
      <c r="AA8" s="90" t="n"/>
      <c r="AB8" s="90" t="n">
        <v>26</v>
      </c>
      <c r="AC8" s="90" t="n">
        <v>1</v>
      </c>
      <c r="AD8" s="93" t="inlineStr">
        <is>
          <t>増</t>
        </is>
      </c>
      <c r="AE8" s="90" t="inlineStr">
        <is>
          <t>26 扶養者の変更</t>
        </is>
      </c>
      <c r="AF8" s="93" t="inlineStr">
        <is>
          <t>増</t>
        </is>
      </c>
      <c r="AG8" s="93" t="inlineStr">
        <is>
          <t>増</t>
        </is>
      </c>
      <c r="AH8" s="93" t="inlineStr">
        <is>
          <t>増</t>
        </is>
      </c>
      <c r="AI8" s="90" t="n"/>
      <c r="AJ8" s="90" t="n"/>
      <c r="AK8" s="90" t="n"/>
      <c r="AL8" s="94">
        <f>IF(A8="","",IF(COUNTIF(A8:A$2001,A8)=1,1,0))</f>
        <v/>
      </c>
      <c r="AM8" s="94">
        <f>IF(I8="","",TODAY()-I8)</f>
        <v/>
      </c>
      <c r="AN8" s="94">
        <f>IF(A8="","",IF(AND(E8&lt;&gt;"33 確認済",E8&lt;&gt;"36 送付中"),1,0))</f>
        <v/>
      </c>
      <c r="AO8" s="94">
        <f>IF(A8="","",IF(AG8&lt;&gt;"",1,0))</f>
        <v/>
      </c>
      <c r="AP8" s="220">
        <f>IF(P8&lt;&gt;"","・添待ち","")&amp;IF(Q8&lt;&gt;"","・住民票","")&amp;IF(R8&lt;&gt;"","・発信","")&amp;IF(S8&lt;&gt;"","・確認事項","")&amp;IF(T8&lt;&gt;"","・管","")&amp;IF(U8&lt;&gt;"","・SV","")&amp;IF(V8&lt;&gt;"","・データ送付待ち","")&amp;IF(W8&lt;&gt;"","・削除","")</f>
        <v/>
      </c>
    </row>
    <row r="9" ht="15" customHeight="1" s="87">
      <c r="A9" s="90" t="n">
        <v>200960003028</v>
      </c>
      <c r="B9" s="90" t="n"/>
      <c r="C9" s="90" t="n"/>
      <c r="D9" s="90" t="n">
        <v>31</v>
      </c>
      <c r="E9" s="90" t="inlineStr">
        <is>
          <t>31 ＯＰ確認中</t>
        </is>
      </c>
      <c r="F9" s="90" t="n"/>
      <c r="G9" s="90" t="n"/>
      <c r="H9" s="91" t="n">
        <v>40254</v>
      </c>
      <c r="I9" s="92" t="n">
        <v>40266</v>
      </c>
      <c r="J9" s="91" t="n">
        <v>40267</v>
      </c>
      <c r="K9" s="91" t="n">
        <v>40616</v>
      </c>
      <c r="L9" s="90" t="n"/>
      <c r="M9" s="90" t="n"/>
      <c r="N9" s="90" t="n"/>
      <c r="O9" s="90" t="inlineStr">
        <is>
          <t>22 担当者変更</t>
        </is>
      </c>
      <c r="P9" s="90" t="n"/>
      <c r="Q9" s="90" t="n"/>
      <c r="R9" s="90" t="n"/>
      <c r="S9" s="93" t="inlineStr">
        <is>
          <t>確</t>
        </is>
      </c>
      <c r="T9" s="90" t="n"/>
      <c r="U9" s="90" t="n"/>
      <c r="V9" s="90" t="n"/>
      <c r="W9" s="90" t="n"/>
      <c r="X9" s="90" t="n"/>
      <c r="Y9" s="90" t="n"/>
      <c r="Z9" s="90" t="n"/>
      <c r="AA9" s="90" t="n"/>
      <c r="AB9" s="90" t="n">
        <v>23</v>
      </c>
      <c r="AC9" s="90" t="n">
        <v>1</v>
      </c>
      <c r="AD9" s="93" t="inlineStr">
        <is>
          <t>増</t>
        </is>
      </c>
      <c r="AE9" s="90" t="inlineStr">
        <is>
          <t>23 本人の結婚</t>
        </is>
      </c>
      <c r="AF9" s="90" t="n"/>
      <c r="AG9" s="90" t="n"/>
      <c r="AH9" s="90" t="n"/>
      <c r="AI9" s="90" t="n"/>
      <c r="AJ9" s="90" t="n"/>
      <c r="AK9" s="90" t="n"/>
      <c r="AL9" s="94">
        <f>IF(A9="","",IF(COUNTIF(A9:A$2001,A9)=1,1,0))</f>
        <v/>
      </c>
      <c r="AM9" s="94">
        <f>IF(I9="","",TODAY()-I9)</f>
        <v/>
      </c>
      <c r="AN9" s="94">
        <f>IF(A9="","",IF(AND(E9&lt;&gt;"33 確認済",E9&lt;&gt;"36 送付中"),1,0))</f>
        <v/>
      </c>
      <c r="AO9" s="94">
        <f>IF(A9="","",IF(AG9&lt;&gt;"",1,0))</f>
        <v/>
      </c>
      <c r="AP9" s="220">
        <f>IF(P9&lt;&gt;"","・添待ち","")&amp;IF(Q9&lt;&gt;"","・住民票","")&amp;IF(R9&lt;&gt;"","・発信","")&amp;IF(S9&lt;&gt;"","・確認事項","")&amp;IF(T9&lt;&gt;"","・管","")&amp;IF(U9&lt;&gt;"","・SV","")&amp;IF(V9&lt;&gt;"","・データ送付待ち","")&amp;IF(W9&lt;&gt;"","・削除","")</f>
        <v/>
      </c>
    </row>
    <row r="10" ht="15" customHeight="1" s="87">
      <c r="A10" s="90" t="n">
        <v>200960003028</v>
      </c>
      <c r="B10" s="90" t="n"/>
      <c r="C10" s="90" t="n"/>
      <c r="D10" s="90" t="n">
        <v>31</v>
      </c>
      <c r="E10" s="90" t="inlineStr">
        <is>
          <t>31 ＯＰ確認中</t>
        </is>
      </c>
      <c r="F10" s="90" t="n"/>
      <c r="G10" s="90" t="n"/>
      <c r="H10" s="91" t="n">
        <v>40254</v>
      </c>
      <c r="I10" s="92" t="n">
        <v>40266</v>
      </c>
      <c r="J10" s="91" t="n">
        <v>40267</v>
      </c>
      <c r="K10" s="91" t="n">
        <v>40616</v>
      </c>
      <c r="L10" s="90" t="n"/>
      <c r="M10" s="90" t="n"/>
      <c r="N10" s="90" t="n"/>
      <c r="O10" s="90" t="inlineStr">
        <is>
          <t>22 担当者変更</t>
        </is>
      </c>
      <c r="P10" s="90" t="n"/>
      <c r="Q10" s="90" t="n"/>
      <c r="R10" s="90" t="n"/>
      <c r="S10" s="93" t="inlineStr">
        <is>
          <t>確</t>
        </is>
      </c>
      <c r="T10" s="90" t="n"/>
      <c r="U10" s="90" t="n"/>
      <c r="V10" s="90" t="n"/>
      <c r="W10" s="90" t="n"/>
      <c r="X10" s="90" t="n"/>
      <c r="Y10" s="90" t="n"/>
      <c r="Z10" s="90" t="n"/>
      <c r="AA10" s="90" t="n"/>
      <c r="AB10" s="90" t="n">
        <v>23</v>
      </c>
      <c r="AC10" s="90" t="n">
        <v>1</v>
      </c>
      <c r="AD10" s="93" t="inlineStr">
        <is>
          <t>増</t>
        </is>
      </c>
      <c r="AE10" s="90" t="inlineStr">
        <is>
          <t>23 結婚</t>
        </is>
      </c>
      <c r="AF10" s="90" t="n"/>
      <c r="AG10" s="90" t="n"/>
      <c r="AH10" s="90" t="n"/>
      <c r="AI10" s="90" t="n"/>
      <c r="AJ10" s="90" t="n"/>
      <c r="AK10" s="90" t="n"/>
      <c r="AL10" s="94">
        <f>IF(A10="","",IF(COUNTIF(A10:A$2001,A10)=1,1,0))</f>
        <v/>
      </c>
      <c r="AM10" s="94">
        <f>IF(I10="","",TODAY()-I10)</f>
        <v/>
      </c>
      <c r="AN10" s="94">
        <f>IF(A10="","",IF(AND(E10&lt;&gt;"33 確認済",E10&lt;&gt;"36 送付中"),1,0))</f>
        <v/>
      </c>
      <c r="AO10" s="94">
        <f>IF(A10="","",IF(AG10&lt;&gt;"",1,0))</f>
        <v/>
      </c>
      <c r="AP10" s="220">
        <f>IF(P10&lt;&gt;"","・添待ち","")&amp;IF(Q10&lt;&gt;"","・住民票","")&amp;IF(R10&lt;&gt;"","・発信","")&amp;IF(S10&lt;&gt;"","・確認事項","")&amp;IF(T10&lt;&gt;"","・管","")&amp;IF(U10&lt;&gt;"","・SV","")&amp;IF(V10&lt;&gt;"","・データ送付待ち","")&amp;IF(W10&lt;&gt;"","・削除","")</f>
        <v/>
      </c>
    </row>
    <row r="11" ht="15" customHeight="1" s="87">
      <c r="A11" s="90" t="n">
        <v>201060000063</v>
      </c>
      <c r="B11" s="90" t="n"/>
      <c r="C11" s="90" t="n"/>
      <c r="D11" s="90" t="n">
        <v>31</v>
      </c>
      <c r="E11" s="90" t="inlineStr">
        <is>
          <t>31 ＯＰ確認中</t>
        </is>
      </c>
      <c r="F11" s="90" t="n">
        <v>20</v>
      </c>
      <c r="G11" s="90" t="inlineStr">
        <is>
          <t>20 差戻し</t>
        </is>
      </c>
      <c r="H11" s="91" t="n">
        <v>40268</v>
      </c>
      <c r="I11" s="92" t="n">
        <v>40270</v>
      </c>
      <c r="J11" s="91" t="n">
        <v>41984</v>
      </c>
      <c r="K11" s="91" t="n">
        <v>41984</v>
      </c>
      <c r="L11" s="90" t="n"/>
      <c r="M11" s="90" t="n"/>
      <c r="N11" s="90" t="n"/>
      <c r="O11" s="90" t="inlineStr">
        <is>
          <t>21 担当者登録</t>
        </is>
      </c>
      <c r="P11" s="90" t="n"/>
      <c r="Q11" s="90" t="n"/>
      <c r="R11" s="90" t="n"/>
      <c r="S11" s="90" t="n"/>
      <c r="T11" s="90" t="n"/>
      <c r="U11" s="90" t="n"/>
      <c r="V11" s="90" t="n"/>
      <c r="W11" s="90" t="n"/>
      <c r="X11" s="90" t="n"/>
      <c r="Y11" s="90" t="n"/>
      <c r="Z11" s="90" t="n"/>
      <c r="AA11" s="90" t="n"/>
      <c r="AB11" s="90" t="n">
        <v>50</v>
      </c>
      <c r="AC11" s="90" t="n">
        <v>0</v>
      </c>
      <c r="AD11" s="93" t="inlineStr">
        <is>
          <t>減</t>
        </is>
      </c>
      <c r="AE11" s="90" t="inlineStr">
        <is>
          <t>50 扶養者の変更</t>
        </is>
      </c>
      <c r="AF11" s="93" t="inlineStr">
        <is>
          <t>減</t>
        </is>
      </c>
      <c r="AG11" s="93" t="inlineStr">
        <is>
          <t>減</t>
        </is>
      </c>
      <c r="AH11" s="93" t="inlineStr">
        <is>
          <t>減</t>
        </is>
      </c>
      <c r="AI11" s="90" t="n"/>
      <c r="AJ11" s="90" t="n"/>
      <c r="AK11" s="90" t="n"/>
      <c r="AL11" s="94">
        <f>IF(A11="","",IF(COUNTIF(A11:A$2001,A11)=1,1,0))</f>
        <v/>
      </c>
      <c r="AM11" s="94">
        <f>IF(I11="","",TODAY()-I11)</f>
        <v/>
      </c>
      <c r="AN11" s="94">
        <f>IF(A11="","",IF(AND(E11&lt;&gt;"33 確認済",E11&lt;&gt;"36 送付中"),1,0))</f>
        <v/>
      </c>
      <c r="AO11" s="94">
        <f>IF(A11="","",IF(AG11&lt;&gt;"",1,0))</f>
        <v/>
      </c>
      <c r="AP11" s="220">
        <f>IF(P11&lt;&gt;"","・添待ち","")&amp;IF(Q11&lt;&gt;"","・住民票","")&amp;IF(R11&lt;&gt;"","・発信","")&amp;IF(S11&lt;&gt;"","・確認事項","")&amp;IF(T11&lt;&gt;"","・管","")&amp;IF(U11&lt;&gt;"","・SV","")&amp;IF(V11&lt;&gt;"","・データ送付待ち","")&amp;IF(W11&lt;&gt;"","・削除","")</f>
        <v/>
      </c>
    </row>
    <row r="12" ht="15" customHeight="1" s="87">
      <c r="A12" s="90" t="n">
        <v>201060002518</v>
      </c>
      <c r="B12" s="90" t="n"/>
      <c r="C12" s="90" t="n"/>
      <c r="D12" s="90" t="n">
        <v>40</v>
      </c>
      <c r="E12" s="90" t="inlineStr">
        <is>
          <t>40 差戻し</t>
        </is>
      </c>
      <c r="F12" s="90" t="n">
        <v>20</v>
      </c>
      <c r="G12" s="90" t="inlineStr">
        <is>
          <t>20 差戻し</t>
        </is>
      </c>
      <c r="H12" s="91" t="n">
        <v>40273</v>
      </c>
      <c r="I12" s="92" t="n">
        <v>40574</v>
      </c>
      <c r="J12" s="91" t="n">
        <v>40617</v>
      </c>
      <c r="K12" s="91" t="n">
        <v>40617</v>
      </c>
      <c r="L12" s="90" t="n"/>
      <c r="M12" s="90" t="n"/>
      <c r="N12" s="90" t="n"/>
      <c r="O12" s="90" t="inlineStr">
        <is>
          <t>40 ＳＶ承認</t>
        </is>
      </c>
      <c r="P12" s="93" t="inlineStr">
        <is>
          <t>添</t>
        </is>
      </c>
      <c r="Q12" s="90" t="n"/>
      <c r="R12" s="90" t="n"/>
      <c r="S12" s="90" t="n"/>
      <c r="T12" s="90" t="n"/>
      <c r="U12" s="90" t="n"/>
      <c r="V12" s="90" t="n"/>
      <c r="W12" s="90" t="n"/>
      <c r="X12" s="90" t="n"/>
      <c r="Y12" s="90" t="n"/>
      <c r="Z12" s="90" t="n"/>
      <c r="AA12" s="90" t="n"/>
      <c r="AB12" s="90" t="n">
        <v>99</v>
      </c>
      <c r="AC12" s="90" t="n">
        <v>1</v>
      </c>
      <c r="AD12" s="93" t="inlineStr">
        <is>
          <t>増</t>
        </is>
      </c>
      <c r="AE12" s="90" t="inlineStr">
        <is>
          <t>99 その他</t>
        </is>
      </c>
      <c r="AF12" s="93" t="inlineStr">
        <is>
          <t>増</t>
        </is>
      </c>
      <c r="AG12" s="93" t="inlineStr">
        <is>
          <t>増</t>
        </is>
      </c>
      <c r="AH12" s="90" t="n"/>
      <c r="AI12" s="90" t="n"/>
      <c r="AJ12" s="90" t="n"/>
      <c r="AK12" s="90" t="n"/>
      <c r="AL12" s="94">
        <f>IF(A12="","",IF(COUNTIF(A12:A$2001,A12)=1,1,0))</f>
        <v/>
      </c>
      <c r="AM12" s="94">
        <f>IF(I12="","",TODAY()-I12)</f>
        <v/>
      </c>
      <c r="AN12" s="94">
        <f>IF(A12="","",IF(AND(E12&lt;&gt;"33 確認済",E12&lt;&gt;"36 送付中"),1,0))</f>
        <v/>
      </c>
      <c r="AO12" s="94">
        <f>IF(A12="","",IF(AG12&lt;&gt;"",1,0))</f>
        <v/>
      </c>
      <c r="AP12" s="220">
        <f>IF(P12&lt;&gt;"","・添待ち","")&amp;IF(Q12&lt;&gt;"","・住民票","")&amp;IF(R12&lt;&gt;"","・発信","")&amp;IF(S12&lt;&gt;"","・確認事項","")&amp;IF(T12&lt;&gt;"","・管","")&amp;IF(U12&lt;&gt;"","・SV","")&amp;IF(V12&lt;&gt;"","・データ送付待ち","")&amp;IF(W12&lt;&gt;"","・削除","")</f>
        <v/>
      </c>
    </row>
    <row r="13" ht="15" customHeight="1" s="87">
      <c r="A13" s="90" t="n">
        <v>201160000813</v>
      </c>
      <c r="B13" s="90" t="n"/>
      <c r="C13" s="90" t="n"/>
      <c r="D13" s="90" t="n">
        <v>31</v>
      </c>
      <c r="E13" s="90" t="inlineStr">
        <is>
          <t>31 ＯＰ確認中</t>
        </is>
      </c>
      <c r="F13" s="90" t="n">
        <v>20</v>
      </c>
      <c r="G13" s="90" t="inlineStr">
        <is>
          <t>20 差戻し</t>
        </is>
      </c>
      <c r="H13" s="91" t="n">
        <v>40634</v>
      </c>
      <c r="I13" s="92" t="n">
        <v>40721</v>
      </c>
      <c r="J13" s="91" t="n">
        <v>41984</v>
      </c>
      <c r="K13" s="91" t="n">
        <v>41984</v>
      </c>
      <c r="L13" s="90" t="n"/>
      <c r="M13" s="90" t="n"/>
      <c r="N13" s="90" t="n"/>
      <c r="O13" s="90" t="inlineStr">
        <is>
          <t>21 担当者登録</t>
        </is>
      </c>
      <c r="P13" s="90" t="n"/>
      <c r="Q13" s="90" t="n"/>
      <c r="R13" s="90" t="n"/>
      <c r="S13" s="90" t="n"/>
      <c r="T13" s="90" t="n"/>
      <c r="U13" s="90" t="n"/>
      <c r="V13" s="90" t="n"/>
      <c r="W13" s="90" t="n"/>
      <c r="X13" s="90" t="n"/>
      <c r="Y13" s="90" t="n"/>
      <c r="Z13" s="90" t="n"/>
      <c r="AA13" s="90" t="n"/>
      <c r="AB13" s="90" t="n">
        <v>47</v>
      </c>
      <c r="AC13" s="90" t="n">
        <v>0</v>
      </c>
      <c r="AD13" s="93" t="inlineStr">
        <is>
          <t>減</t>
        </is>
      </c>
      <c r="AE13" s="90" t="inlineStr">
        <is>
          <t>47 扶養親族の就職</t>
        </is>
      </c>
      <c r="AF13" s="90" t="n"/>
      <c r="AG13" s="93" t="inlineStr">
        <is>
          <t>減</t>
        </is>
      </c>
      <c r="AH13" s="90" t="n"/>
      <c r="AI13" s="90" t="n"/>
      <c r="AJ13" s="90" t="n"/>
      <c r="AK13" s="90" t="n"/>
      <c r="AL13" s="94">
        <f>IF(A13="","",IF(COUNTIF(A13:A$2001,A13)=1,1,0))</f>
        <v/>
      </c>
      <c r="AM13" s="94">
        <f>IF(I13="","",TODAY()-I13)</f>
        <v/>
      </c>
      <c r="AN13" s="94">
        <f>IF(A13="","",IF(AND(E13&lt;&gt;"33 確認済",E13&lt;&gt;"36 送付中"),1,0))</f>
        <v/>
      </c>
      <c r="AO13" s="94">
        <f>IF(A13="","",IF(AG13&lt;&gt;"",1,0))</f>
        <v/>
      </c>
      <c r="AP13" s="220">
        <f>IF(P13&lt;&gt;"","・添待ち","")&amp;IF(Q13&lt;&gt;"","・住民票","")&amp;IF(R13&lt;&gt;"","・発信","")&amp;IF(S13&lt;&gt;"","・確認事項","")&amp;IF(T13&lt;&gt;"","・管","")&amp;IF(U13&lt;&gt;"","・SV","")&amp;IF(V13&lt;&gt;"","・データ送付待ち","")&amp;IF(W13&lt;&gt;"","・削除","")</f>
        <v/>
      </c>
    </row>
    <row r="14" ht="15" customHeight="1" s="87">
      <c r="A14" s="90" t="n">
        <v>201260002213</v>
      </c>
      <c r="B14" s="90" t="n"/>
      <c r="C14" s="90" t="n"/>
      <c r="D14" s="90" t="n">
        <v>31</v>
      </c>
      <c r="E14" s="90" t="inlineStr">
        <is>
          <t>31 ＯＰ確認中</t>
        </is>
      </c>
      <c r="F14" s="90" t="n"/>
      <c r="G14" s="90" t="n"/>
      <c r="H14" s="91" t="n">
        <v>41259</v>
      </c>
      <c r="I14" s="92" t="n">
        <v>41260</v>
      </c>
      <c r="J14" s="91" t="n">
        <v>41984</v>
      </c>
      <c r="K14" s="91" t="n">
        <v>41984</v>
      </c>
      <c r="L14" s="90" t="n"/>
      <c r="M14" s="90" t="n"/>
      <c r="N14" s="90" t="n"/>
      <c r="O14" s="90" t="inlineStr">
        <is>
          <t>21 担当者登録</t>
        </is>
      </c>
      <c r="P14" s="90" t="n"/>
      <c r="Q14" s="90" t="n"/>
      <c r="R14" s="90" t="n"/>
      <c r="S14" s="90" t="n"/>
      <c r="T14" s="90" t="n"/>
      <c r="U14" s="90" t="n"/>
      <c r="V14" s="90" t="n"/>
      <c r="W14" s="90" t="n"/>
      <c r="X14" s="90" t="n"/>
      <c r="Y14" s="90" t="n"/>
      <c r="Z14" s="90" t="n"/>
      <c r="AA14" s="90" t="n"/>
      <c r="AB14" s="90" t="n">
        <v>22</v>
      </c>
      <c r="AC14" s="90" t="n">
        <v>1</v>
      </c>
      <c r="AD14" s="93" t="inlineStr">
        <is>
          <t>増</t>
        </is>
      </c>
      <c r="AE14" s="90" t="inlineStr">
        <is>
          <t>22 扶養親族の退職</t>
        </is>
      </c>
      <c r="AF14" s="93" t="inlineStr">
        <is>
          <t>増</t>
        </is>
      </c>
      <c r="AG14" s="93" t="inlineStr">
        <is>
          <t>増</t>
        </is>
      </c>
      <c r="AH14" s="93" t="inlineStr">
        <is>
          <t>増</t>
        </is>
      </c>
      <c r="AI14" s="90" t="n"/>
      <c r="AJ14" s="90" t="n"/>
      <c r="AK14" s="90" t="n"/>
      <c r="AL14" s="94">
        <f>IF(A14="","",IF(COUNTIF(A14:A$2001,A14)=1,1,0))</f>
        <v/>
      </c>
      <c r="AM14" s="94">
        <f>IF(I14="","",TODAY()-I14)</f>
        <v/>
      </c>
      <c r="AN14" s="94">
        <f>IF(A14="","",IF(AND(E14&lt;&gt;"33 確認済",E14&lt;&gt;"36 送付中"),1,0))</f>
        <v/>
      </c>
      <c r="AO14" s="94">
        <f>IF(A14="","",IF(AG14&lt;&gt;"",1,0))</f>
        <v/>
      </c>
      <c r="AP14" s="220">
        <f>IF(P14&lt;&gt;"","・添待ち","")&amp;IF(Q14&lt;&gt;"","・住民票","")&amp;IF(R14&lt;&gt;"","・発信","")&amp;IF(S14&lt;&gt;"","・確認事項","")&amp;IF(T14&lt;&gt;"","・管","")&amp;IF(U14&lt;&gt;"","・SV","")&amp;IF(V14&lt;&gt;"","・データ送付待ち","")&amp;IF(W14&lt;&gt;"","・削除","")</f>
        <v/>
      </c>
    </row>
    <row r="15" ht="15" customHeight="1" s="87">
      <c r="A15" s="90" t="n">
        <v>201260002232</v>
      </c>
      <c r="B15" s="90" t="n"/>
      <c r="C15" s="90" t="n"/>
      <c r="D15" s="90" t="n">
        <v>31</v>
      </c>
      <c r="E15" s="90" t="inlineStr">
        <is>
          <t>31 ＯＰ確認中</t>
        </is>
      </c>
      <c r="F15" s="90" t="n"/>
      <c r="G15" s="90" t="n"/>
      <c r="H15" s="91" t="n">
        <v>41258</v>
      </c>
      <c r="I15" s="92" t="n">
        <v>41262</v>
      </c>
      <c r="J15" s="91" t="n">
        <v>41984</v>
      </c>
      <c r="K15" s="91" t="n">
        <v>41984</v>
      </c>
      <c r="L15" s="90" t="n"/>
      <c r="M15" s="90" t="n"/>
      <c r="N15" s="90" t="n"/>
      <c r="O15" s="90" t="inlineStr">
        <is>
          <t>21 担当者登録</t>
        </is>
      </c>
      <c r="P15" s="90" t="n"/>
      <c r="Q15" s="90" t="n"/>
      <c r="R15" s="90" t="n"/>
      <c r="S15" s="90" t="n"/>
      <c r="T15" s="90" t="n"/>
      <c r="U15" s="90" t="n"/>
      <c r="V15" s="90" t="n"/>
      <c r="W15" s="90" t="n"/>
      <c r="X15" s="90" t="n"/>
      <c r="Y15" s="90" t="n"/>
      <c r="Z15" s="90" t="n"/>
      <c r="AA15" s="90" t="n"/>
      <c r="AB15" s="90" t="n">
        <v>22</v>
      </c>
      <c r="AC15" s="90" t="n">
        <v>1</v>
      </c>
      <c r="AD15" s="93" t="inlineStr">
        <is>
          <t>増</t>
        </is>
      </c>
      <c r="AE15" s="90" t="inlineStr">
        <is>
          <t>22 扶養親族の退職</t>
        </is>
      </c>
      <c r="AF15" s="93" t="inlineStr">
        <is>
          <t>増</t>
        </is>
      </c>
      <c r="AG15" s="93" t="inlineStr">
        <is>
          <t>増</t>
        </is>
      </c>
      <c r="AH15" s="93" t="inlineStr">
        <is>
          <t>増</t>
        </is>
      </c>
      <c r="AI15" s="90" t="n"/>
      <c r="AJ15" s="90" t="n"/>
      <c r="AK15" s="90" t="n"/>
      <c r="AL15" s="94">
        <f>IF(A15="","",IF(COUNTIF(A15:A$2001,A15)=1,1,0))</f>
        <v/>
      </c>
      <c r="AM15" s="94">
        <f>IF(I15="","",TODAY()-I15)</f>
        <v/>
      </c>
      <c r="AN15" s="94">
        <f>IF(A15="","",IF(AND(E15&lt;&gt;"33 確認済",E15&lt;&gt;"36 送付中"),1,0))</f>
        <v/>
      </c>
      <c r="AO15" s="94">
        <f>IF(A15="","",IF(AG15&lt;&gt;"",1,0))</f>
        <v/>
      </c>
      <c r="AP15" s="220">
        <f>IF(P15&lt;&gt;"","・添待ち","")&amp;IF(Q15&lt;&gt;"","・住民票","")&amp;IF(R15&lt;&gt;"","・発信","")&amp;IF(S15&lt;&gt;"","・確認事項","")&amp;IF(T15&lt;&gt;"","・管","")&amp;IF(U15&lt;&gt;"","・SV","")&amp;IF(V15&lt;&gt;"","・データ送付待ち","")&amp;IF(W15&lt;&gt;"","・削除","")</f>
        <v/>
      </c>
    </row>
    <row r="16" ht="15" customHeight="1" s="87">
      <c r="A16" s="90" t="n">
        <v>201260002479</v>
      </c>
      <c r="B16" s="90" t="n"/>
      <c r="C16" s="90" t="n"/>
      <c r="D16" s="90" t="n">
        <v>31</v>
      </c>
      <c r="E16" s="90" t="inlineStr">
        <is>
          <t>31 ＯＰ確認中</t>
        </is>
      </c>
      <c r="F16" s="90" t="n"/>
      <c r="G16" s="90" t="n"/>
      <c r="H16" s="91" t="n">
        <v>41309</v>
      </c>
      <c r="I16" s="92" t="n">
        <v>41309</v>
      </c>
      <c r="J16" s="91" t="n">
        <v>41984</v>
      </c>
      <c r="K16" s="91" t="n">
        <v>41984</v>
      </c>
      <c r="L16" s="90" t="n"/>
      <c r="M16" s="90" t="n"/>
      <c r="N16" s="90" t="n"/>
      <c r="O16" s="90" t="inlineStr">
        <is>
          <t>21 担当者登録</t>
        </is>
      </c>
      <c r="P16" s="90" t="n"/>
      <c r="Q16" s="90" t="n"/>
      <c r="R16" s="90" t="n"/>
      <c r="S16" s="90" t="n"/>
      <c r="T16" s="90" t="n"/>
      <c r="U16" s="90" t="n"/>
      <c r="V16" s="90" t="n"/>
      <c r="W16" s="90" t="n"/>
      <c r="X16" s="90" t="n"/>
      <c r="Y16" s="90" t="n"/>
      <c r="Z16" s="90" t="n"/>
      <c r="AA16" s="90" t="n"/>
      <c r="AB16" s="90" t="n">
        <v>26</v>
      </c>
      <c r="AC16" s="90" t="n">
        <v>1</v>
      </c>
      <c r="AD16" s="93" t="inlineStr">
        <is>
          <t>増</t>
        </is>
      </c>
      <c r="AE16" s="90" t="inlineStr">
        <is>
          <t>26 扶養者の変更</t>
        </is>
      </c>
      <c r="AF16" s="90" t="n"/>
      <c r="AG16" s="93" t="inlineStr">
        <is>
          <t>増</t>
        </is>
      </c>
      <c r="AH16" s="90" t="n"/>
      <c r="AI16" s="90" t="n"/>
      <c r="AJ16" s="90" t="n"/>
      <c r="AK16" s="90" t="n"/>
      <c r="AL16" s="94">
        <f>IF(A16="","",IF(COUNTIF(A16:A$2001,A16)=1,1,0))</f>
        <v/>
      </c>
      <c r="AM16" s="94">
        <f>IF(I16="","",TODAY()-I16)</f>
        <v/>
      </c>
      <c r="AN16" s="94">
        <f>IF(A16="","",IF(AND(E16&lt;&gt;"33 確認済",E16&lt;&gt;"36 送付中"),1,0))</f>
        <v/>
      </c>
      <c r="AO16" s="94">
        <f>IF(A16="","",IF(AG16&lt;&gt;"",1,0))</f>
        <v/>
      </c>
      <c r="AP16" s="220">
        <f>IF(P16&lt;&gt;"","・添待ち","")&amp;IF(Q16&lt;&gt;"","・住民票","")&amp;IF(R16&lt;&gt;"","・発信","")&amp;IF(S16&lt;&gt;"","・確認事項","")&amp;IF(T16&lt;&gt;"","・管","")&amp;IF(U16&lt;&gt;"","・SV","")&amp;IF(V16&lt;&gt;"","・データ送付待ち","")&amp;IF(W16&lt;&gt;"","・削除","")</f>
        <v/>
      </c>
    </row>
    <row r="17" ht="15" customHeight="1" s="87">
      <c r="A17" s="90" t="n">
        <v>201360001338</v>
      </c>
      <c r="B17" s="90" t="n"/>
      <c r="C17" s="90" t="n"/>
      <c r="D17" s="90" t="n">
        <v>40</v>
      </c>
      <c r="E17" s="90" t="inlineStr">
        <is>
          <t>40 差戻し</t>
        </is>
      </c>
      <c r="F17" s="90" t="n">
        <v>20</v>
      </c>
      <c r="G17" s="90" t="inlineStr">
        <is>
          <t>20 差戻し</t>
        </is>
      </c>
      <c r="H17" s="91" t="n">
        <v>41518</v>
      </c>
      <c r="I17" s="92" t="n">
        <v>41554</v>
      </c>
      <c r="J17" s="91" t="n">
        <v>41554</v>
      </c>
      <c r="K17" s="91" t="n">
        <v>41554</v>
      </c>
      <c r="L17" s="90" t="n"/>
      <c r="M17" s="90" t="n"/>
      <c r="N17" s="90" t="n"/>
      <c r="O17" s="90" t="inlineStr">
        <is>
          <t>57 削除待ち登録</t>
        </is>
      </c>
      <c r="P17" s="90" t="n"/>
      <c r="Q17" s="90" t="n"/>
      <c r="R17" s="90" t="n"/>
      <c r="S17" s="90" t="n"/>
      <c r="T17" s="90" t="n"/>
      <c r="U17" s="90" t="n"/>
      <c r="V17" s="90" t="n"/>
      <c r="W17" s="93" t="inlineStr">
        <is>
          <t>削</t>
        </is>
      </c>
      <c r="X17" s="90" t="n"/>
      <c r="Y17" s="90" t="n"/>
      <c r="Z17" s="90" t="n"/>
      <c r="AA17" s="90" t="n"/>
      <c r="AB17" s="90" t="n">
        <v>47</v>
      </c>
      <c r="AC17" s="90" t="n">
        <v>0</v>
      </c>
      <c r="AD17" s="93" t="inlineStr">
        <is>
          <t>減</t>
        </is>
      </c>
      <c r="AE17" s="90" t="inlineStr">
        <is>
          <t>47 扶養親族の就職</t>
        </is>
      </c>
      <c r="AF17" s="90" t="n"/>
      <c r="AG17" s="90" t="n"/>
      <c r="AH17" s="93" t="inlineStr">
        <is>
          <t>減</t>
        </is>
      </c>
      <c r="AI17" s="90" t="n"/>
      <c r="AJ17" s="90" t="n"/>
      <c r="AK17" s="90" t="n"/>
      <c r="AL17" s="94">
        <f>IF(A17="","",IF(COUNTIF(A17:A$2001,A17)=1,1,0))</f>
        <v/>
      </c>
      <c r="AM17" s="94">
        <f>IF(I17="","",TODAY()-I17)</f>
        <v/>
      </c>
      <c r="AN17" s="94">
        <f>IF(A17="","",IF(AND(E17&lt;&gt;"33 確認済",E17&lt;&gt;"36 送付中"),1,0))</f>
        <v/>
      </c>
      <c r="AO17" s="94">
        <f>IF(A17="","",IF(AG17&lt;&gt;"",1,0))</f>
        <v/>
      </c>
      <c r="AP17" s="220">
        <f>IF(P17&lt;&gt;"","・添待ち","")&amp;IF(Q17&lt;&gt;"","・住民票","")&amp;IF(R17&lt;&gt;"","・発信","")&amp;IF(S17&lt;&gt;"","・確認事項","")&amp;IF(T17&lt;&gt;"","・管","")&amp;IF(U17&lt;&gt;"","・SV","")&amp;IF(V17&lt;&gt;"","・データ送付待ち","")&amp;IF(W17&lt;&gt;"","・削除","")</f>
        <v/>
      </c>
    </row>
    <row r="18" ht="15" customHeight="1" s="87">
      <c r="A18" s="90" t="n">
        <v>201360002263</v>
      </c>
      <c r="B18" s="90" t="n"/>
      <c r="C18" s="90" t="n"/>
      <c r="D18" s="90" t="n">
        <v>40</v>
      </c>
      <c r="E18" s="90" t="inlineStr">
        <is>
          <t>40 差戻し</t>
        </is>
      </c>
      <c r="F18" s="90" t="n">
        <v>20</v>
      </c>
      <c r="G18" s="90" t="inlineStr">
        <is>
          <t>20 差戻し</t>
        </is>
      </c>
      <c r="H18" s="91" t="n">
        <v>41646</v>
      </c>
      <c r="I18" s="92" t="n">
        <v>41647</v>
      </c>
      <c r="J18" s="91" t="n">
        <v>41648</v>
      </c>
      <c r="K18" s="91" t="n">
        <v>41648</v>
      </c>
      <c r="L18" s="90" t="n"/>
      <c r="M18" s="90" t="n"/>
      <c r="N18" s="90" t="n"/>
      <c r="O18" s="90" t="inlineStr">
        <is>
          <t>57 削除待ち登録</t>
        </is>
      </c>
      <c r="P18" s="90" t="n"/>
      <c r="Q18" s="90" t="n"/>
      <c r="R18" s="90" t="n"/>
      <c r="S18" s="90" t="n"/>
      <c r="T18" s="90" t="n"/>
      <c r="U18" s="90" t="n"/>
      <c r="V18" s="90" t="n"/>
      <c r="W18" s="93" t="inlineStr">
        <is>
          <t>削</t>
        </is>
      </c>
      <c r="X18" s="90" t="n"/>
      <c r="Y18" s="90" t="n"/>
      <c r="Z18" s="90" t="n"/>
      <c r="AA18" s="90" t="n"/>
      <c r="AB18" s="90" t="n">
        <v>23</v>
      </c>
      <c r="AC18" s="90" t="n">
        <v>1</v>
      </c>
      <c r="AD18" s="93" t="inlineStr">
        <is>
          <t>増</t>
        </is>
      </c>
      <c r="AE18" s="90" t="inlineStr">
        <is>
          <t>23 本人の結婚</t>
        </is>
      </c>
      <c r="AF18" s="93" t="inlineStr">
        <is>
          <t>増</t>
        </is>
      </c>
      <c r="AG18" s="93" t="inlineStr">
        <is>
          <t>増</t>
        </is>
      </c>
      <c r="AH18" s="93" t="inlineStr">
        <is>
          <t>増</t>
        </is>
      </c>
      <c r="AI18" s="90" t="n"/>
      <c r="AJ18" s="90" t="n"/>
      <c r="AK18" s="90" t="n"/>
      <c r="AL18" s="94">
        <f>IF(A18="","",IF(COUNTIF(A18:A$2001,A18)=1,1,0))</f>
        <v/>
      </c>
      <c r="AM18" s="94">
        <f>IF(I18="","",TODAY()-I18)</f>
        <v/>
      </c>
      <c r="AN18" s="94">
        <f>IF(A18="","",IF(AND(E18&lt;&gt;"33 確認済",E18&lt;&gt;"36 送付中"),1,0))</f>
        <v/>
      </c>
      <c r="AO18" s="94">
        <f>IF(A18="","",IF(AG18&lt;&gt;"",1,0))</f>
        <v/>
      </c>
      <c r="AP18" s="220">
        <f>IF(P18&lt;&gt;"","・添待ち","")&amp;IF(Q18&lt;&gt;"","・住民票","")&amp;IF(R18&lt;&gt;"","・発信","")&amp;IF(S18&lt;&gt;"","・確認事項","")&amp;IF(T18&lt;&gt;"","・管","")&amp;IF(U18&lt;&gt;"","・SV","")&amp;IF(V18&lt;&gt;"","・データ送付待ち","")&amp;IF(W18&lt;&gt;"","・削除","")</f>
        <v/>
      </c>
    </row>
    <row r="19" ht="15" customHeight="1" s="87">
      <c r="A19" s="90" t="n">
        <v>201360002263</v>
      </c>
      <c r="B19" s="90" t="n"/>
      <c r="C19" s="90" t="n"/>
      <c r="D19" s="90" t="n">
        <v>40</v>
      </c>
      <c r="E19" s="90" t="inlineStr">
        <is>
          <t>40 差戻し</t>
        </is>
      </c>
      <c r="F19" s="90" t="n">
        <v>20</v>
      </c>
      <c r="G19" s="90" t="inlineStr">
        <is>
          <t>20 差戻し</t>
        </is>
      </c>
      <c r="H19" s="91" t="n">
        <v>41646</v>
      </c>
      <c r="I19" s="92" t="n">
        <v>41647</v>
      </c>
      <c r="J19" s="91" t="n">
        <v>41648</v>
      </c>
      <c r="K19" s="91" t="n">
        <v>41648</v>
      </c>
      <c r="L19" s="90" t="n"/>
      <c r="M19" s="90" t="n"/>
      <c r="N19" s="90" t="n"/>
      <c r="O19" s="90" t="inlineStr">
        <is>
          <t>57 削除待ち登録</t>
        </is>
      </c>
      <c r="P19" s="90" t="n"/>
      <c r="Q19" s="90" t="n"/>
      <c r="R19" s="90" t="n"/>
      <c r="S19" s="90" t="n"/>
      <c r="T19" s="90" t="n"/>
      <c r="U19" s="90" t="n"/>
      <c r="V19" s="90" t="n"/>
      <c r="W19" s="93" t="inlineStr">
        <is>
          <t>削</t>
        </is>
      </c>
      <c r="X19" s="90" t="n"/>
      <c r="Y19" s="90" t="n"/>
      <c r="Z19" s="90" t="n"/>
      <c r="AA19" s="90" t="n"/>
      <c r="AB19" s="90" t="n">
        <v>23</v>
      </c>
      <c r="AC19" s="90" t="n">
        <v>1</v>
      </c>
      <c r="AD19" s="93" t="inlineStr">
        <is>
          <t>増</t>
        </is>
      </c>
      <c r="AE19" s="90" t="inlineStr">
        <is>
          <t>23 結婚</t>
        </is>
      </c>
      <c r="AF19" s="93" t="inlineStr">
        <is>
          <t>増</t>
        </is>
      </c>
      <c r="AG19" s="93" t="inlineStr">
        <is>
          <t>増</t>
        </is>
      </c>
      <c r="AH19" s="93" t="inlineStr">
        <is>
          <t>増</t>
        </is>
      </c>
      <c r="AI19" s="90" t="n"/>
      <c r="AJ19" s="90" t="n"/>
      <c r="AK19" s="90" t="n"/>
      <c r="AL19" s="94">
        <f>IF(A19="","",IF(COUNTIF(A19:A$2001,A19)=1,1,0))</f>
        <v/>
      </c>
      <c r="AM19" s="94">
        <f>IF(I19="","",TODAY()-I19)</f>
        <v/>
      </c>
      <c r="AN19" s="94">
        <f>IF(A19="","",IF(AND(E19&lt;&gt;"33 確認済",E19&lt;&gt;"36 送付中"),1,0))</f>
        <v/>
      </c>
      <c r="AO19" s="94">
        <f>IF(A19="","",IF(AG19&lt;&gt;"",1,0))</f>
        <v/>
      </c>
      <c r="AP19" s="220">
        <f>IF(P19&lt;&gt;"","・添待ち","")&amp;IF(Q19&lt;&gt;"","・住民票","")&amp;IF(R19&lt;&gt;"","・発信","")&amp;IF(S19&lt;&gt;"","・確認事項","")&amp;IF(T19&lt;&gt;"","・管","")&amp;IF(U19&lt;&gt;"","・SV","")&amp;IF(V19&lt;&gt;"","・データ送付待ち","")&amp;IF(W19&lt;&gt;"","・削除","")</f>
        <v/>
      </c>
    </row>
    <row r="20" ht="15" customHeight="1" s="87">
      <c r="A20" s="90" t="n">
        <v>201460000430</v>
      </c>
      <c r="B20" s="90" t="n"/>
      <c r="C20" s="90" t="n"/>
      <c r="D20" s="90" t="n">
        <v>31</v>
      </c>
      <c r="E20" s="90" t="inlineStr">
        <is>
          <t>31 ＯＰ確認中</t>
        </is>
      </c>
      <c r="F20" s="90" t="n"/>
      <c r="G20" s="90" t="n"/>
      <c r="H20" s="91" t="n">
        <v>41754</v>
      </c>
      <c r="I20" s="92" t="n">
        <v>41754</v>
      </c>
      <c r="J20" s="91" t="n">
        <v>41985</v>
      </c>
      <c r="K20" s="91" t="n">
        <v>41985</v>
      </c>
      <c r="L20" s="90" t="n"/>
      <c r="M20" s="90" t="n"/>
      <c r="N20" s="90" t="n"/>
      <c r="O20" s="90" t="inlineStr">
        <is>
          <t>21 担当者登録</t>
        </is>
      </c>
      <c r="P20" s="90" t="n"/>
      <c r="Q20" s="90" t="n"/>
      <c r="R20" s="90" t="n"/>
      <c r="S20" s="90" t="n"/>
      <c r="T20" s="90" t="n"/>
      <c r="U20" s="90" t="n"/>
      <c r="V20" s="90" t="n"/>
      <c r="W20" s="90" t="n"/>
      <c r="X20" s="90" t="n"/>
      <c r="Y20" s="90" t="n"/>
      <c r="Z20" s="90" t="n"/>
      <c r="AA20" s="90" t="n"/>
      <c r="AB20" s="90" t="n">
        <v>47</v>
      </c>
      <c r="AC20" s="90" t="n">
        <v>0</v>
      </c>
      <c r="AD20" s="93" t="inlineStr">
        <is>
          <t>減</t>
        </is>
      </c>
      <c r="AE20" s="90" t="inlineStr">
        <is>
          <t>47 扶養親族の就職</t>
        </is>
      </c>
      <c r="AF20" s="93" t="inlineStr">
        <is>
          <t>減</t>
        </is>
      </c>
      <c r="AG20" s="93" t="inlineStr">
        <is>
          <t>減</t>
        </is>
      </c>
      <c r="AH20" s="93" t="inlineStr">
        <is>
          <t>減</t>
        </is>
      </c>
      <c r="AI20" s="90" t="n"/>
      <c r="AJ20" s="90" t="n"/>
      <c r="AK20" s="90" t="n"/>
      <c r="AL20" s="94">
        <f>IF(A20="","",IF(COUNTIF(A20:A$2001,A20)=1,1,0))</f>
        <v/>
      </c>
      <c r="AM20" s="94">
        <f>IF(I20="","",TODAY()-I20)</f>
        <v/>
      </c>
      <c r="AN20" s="94">
        <f>IF(A20="","",IF(AND(E20&lt;&gt;"33 確認済",E20&lt;&gt;"36 送付中"),1,0))</f>
        <v/>
      </c>
      <c r="AO20" s="94">
        <f>IF(A20="","",IF(AG20&lt;&gt;"",1,0))</f>
        <v/>
      </c>
      <c r="AP20" s="220">
        <f>IF(P20&lt;&gt;"","・添待ち","")&amp;IF(Q20&lt;&gt;"","・住民票","")&amp;IF(R20&lt;&gt;"","・発信","")&amp;IF(S20&lt;&gt;"","・確認事項","")&amp;IF(T20&lt;&gt;"","・管","")&amp;IF(U20&lt;&gt;"","・SV","")&amp;IF(V20&lt;&gt;"","・データ送付待ち","")&amp;IF(W20&lt;&gt;"","・削除","")</f>
        <v/>
      </c>
    </row>
    <row r="21" ht="15" customHeight="1" s="87">
      <c r="A21" s="90" t="n">
        <v>201560001259</v>
      </c>
      <c r="B21" s="90" t="n"/>
      <c r="C21" s="90" t="n"/>
      <c r="D21" s="90" t="n">
        <v>31</v>
      </c>
      <c r="E21" s="90" t="inlineStr">
        <is>
          <t>31 ＯＰ確認中</t>
        </is>
      </c>
      <c r="F21" s="90" t="n"/>
      <c r="G21" s="90" t="n"/>
      <c r="H21" s="91" t="n">
        <v>42189</v>
      </c>
      <c r="I21" s="92" t="n">
        <v>42230</v>
      </c>
      <c r="J21" s="91" t="n">
        <v>42431</v>
      </c>
      <c r="K21" s="91" t="n">
        <v>42431</v>
      </c>
      <c r="L21" s="90" t="n"/>
      <c r="M21" s="90" t="n"/>
      <c r="N21" s="90" t="n"/>
      <c r="O21" s="90" t="inlineStr">
        <is>
          <t>21 担当者登録</t>
        </is>
      </c>
      <c r="P21" s="90" t="n"/>
      <c r="Q21" s="90" t="n"/>
      <c r="R21" s="90" t="n"/>
      <c r="S21" s="90" t="n"/>
      <c r="T21" s="93" t="inlineStr">
        <is>
          <t>管</t>
        </is>
      </c>
      <c r="U21" s="90" t="n"/>
      <c r="V21" s="90" t="n"/>
      <c r="W21" s="90" t="n"/>
      <c r="X21" s="90" t="n"/>
      <c r="Y21" s="90" t="n"/>
      <c r="Z21" s="90" t="n"/>
      <c r="AA21" s="90" t="n"/>
      <c r="AB21" s="90" t="n">
        <v>99</v>
      </c>
      <c r="AC21" s="90" t="n">
        <v>1</v>
      </c>
      <c r="AD21" s="93" t="inlineStr">
        <is>
          <t>増</t>
        </is>
      </c>
      <c r="AE21" s="90" t="inlineStr">
        <is>
          <t>99 その他</t>
        </is>
      </c>
      <c r="AF21" s="93" t="inlineStr">
        <is>
          <t>増</t>
        </is>
      </c>
      <c r="AG21" s="90" t="n"/>
      <c r="AH21" s="93" t="inlineStr">
        <is>
          <t>増</t>
        </is>
      </c>
      <c r="AI21" s="90" t="n"/>
      <c r="AJ21" s="90" t="n"/>
      <c r="AK21" s="90" t="n"/>
      <c r="AL21" s="94">
        <f>IF(A21="","",IF(COUNTIF(A21:A$2001,A21)=1,1,0))</f>
        <v/>
      </c>
      <c r="AM21" s="94">
        <f>IF(I21="","",TODAY()-I21)</f>
        <v/>
      </c>
      <c r="AN21" s="94">
        <f>IF(A21="","",IF(AND(E21&lt;&gt;"33 確認済",E21&lt;&gt;"36 送付中"),1,0))</f>
        <v/>
      </c>
      <c r="AO21" s="94">
        <f>IF(A21="","",IF(AG21&lt;&gt;"",1,0))</f>
        <v/>
      </c>
      <c r="AP21" s="220">
        <f>IF(P21&lt;&gt;"","・添待ち","")&amp;IF(Q21&lt;&gt;"","・住民票","")&amp;IF(R21&lt;&gt;"","・発信","")&amp;IF(S21&lt;&gt;"","・確認事項","")&amp;IF(T21&lt;&gt;"","・管","")&amp;IF(U21&lt;&gt;"","・SV","")&amp;IF(V21&lt;&gt;"","・データ送付待ち","")&amp;IF(W21&lt;&gt;"","・削除","")</f>
        <v/>
      </c>
    </row>
    <row r="22" ht="15" customHeight="1" s="87">
      <c r="A22" s="90" t="n">
        <v>201560002704</v>
      </c>
      <c r="B22" s="90" t="n"/>
      <c r="C22" s="90" t="n"/>
      <c r="D22" s="90" t="n">
        <v>40</v>
      </c>
      <c r="E22" s="90" t="inlineStr">
        <is>
          <t>40 差戻し</t>
        </is>
      </c>
      <c r="F22" s="90" t="n">
        <v>20</v>
      </c>
      <c r="G22" s="90" t="inlineStr">
        <is>
          <t>20 差戻し</t>
        </is>
      </c>
      <c r="H22" s="91" t="n">
        <v>42370</v>
      </c>
      <c r="I22" s="92" t="n">
        <v>42408</v>
      </c>
      <c r="J22" s="91" t="n">
        <v>42408</v>
      </c>
      <c r="K22" s="91" t="n">
        <v>42408</v>
      </c>
      <c r="L22" s="90" t="n"/>
      <c r="M22" s="90" t="n"/>
      <c r="N22" s="90" t="n"/>
      <c r="O22" s="90" t="inlineStr">
        <is>
          <t>57 削除待ち登録</t>
        </is>
      </c>
      <c r="P22" s="90" t="n"/>
      <c r="Q22" s="90" t="n"/>
      <c r="R22" s="90" t="n"/>
      <c r="S22" s="90" t="n"/>
      <c r="T22" s="90" t="n"/>
      <c r="U22" s="90" t="n"/>
      <c r="V22" s="90" t="n"/>
      <c r="W22" s="93" t="inlineStr">
        <is>
          <t>削</t>
        </is>
      </c>
      <c r="X22" s="90" t="n"/>
      <c r="Y22" s="90" t="n"/>
      <c r="Z22" s="90" t="n"/>
      <c r="AA22" s="90" t="n"/>
      <c r="AB22" s="90" t="n">
        <v>99</v>
      </c>
      <c r="AC22" s="90" t="n">
        <v>0</v>
      </c>
      <c r="AD22" s="93" t="inlineStr">
        <is>
          <t>減</t>
        </is>
      </c>
      <c r="AE22" s="90" t="inlineStr">
        <is>
          <t>99 その他</t>
        </is>
      </c>
      <c r="AF22" s="90" t="n"/>
      <c r="AG22" s="90" t="n"/>
      <c r="AH22" s="93" t="inlineStr">
        <is>
          <t>減</t>
        </is>
      </c>
      <c r="AI22" s="90" t="n"/>
      <c r="AJ22" s="90" t="n"/>
      <c r="AK22" s="90" t="n"/>
      <c r="AL22" s="94">
        <f>IF(A22="","",IF(COUNTIF(A22:A$2001,A22)=1,1,0))</f>
        <v/>
      </c>
      <c r="AM22" s="94">
        <f>IF(I22="","",TODAY()-I22)</f>
        <v/>
      </c>
      <c r="AN22" s="94">
        <f>IF(A22="","",IF(AND(E22&lt;&gt;"33 確認済",E22&lt;&gt;"36 送付中"),1,0))</f>
        <v/>
      </c>
      <c r="AO22" s="94">
        <f>IF(A22="","",IF(AG22&lt;&gt;"",1,0))</f>
        <v/>
      </c>
      <c r="AP22" s="220">
        <f>IF(P22&lt;&gt;"","・添待ち","")&amp;IF(Q22&lt;&gt;"","・住民票","")&amp;IF(R22&lt;&gt;"","・発信","")&amp;IF(S22&lt;&gt;"","・確認事項","")&amp;IF(T22&lt;&gt;"","・管","")&amp;IF(U22&lt;&gt;"","・SV","")&amp;IF(V22&lt;&gt;"","・データ送付待ち","")&amp;IF(W22&lt;&gt;"","・削除","")</f>
        <v/>
      </c>
    </row>
    <row r="23" ht="15" customHeight="1" s="87">
      <c r="A23" s="90" t="n">
        <v>201660002819</v>
      </c>
      <c r="B23" s="90" t="n"/>
      <c r="C23" s="90" t="n"/>
      <c r="D23" s="90" t="n">
        <v>40</v>
      </c>
      <c r="E23" s="90" t="inlineStr">
        <is>
          <t>40 差戻し</t>
        </is>
      </c>
      <c r="F23" s="90" t="n">
        <v>20</v>
      </c>
      <c r="G23" s="90" t="inlineStr">
        <is>
          <t>20 差戻し</t>
        </is>
      </c>
      <c r="H23" s="91" t="n">
        <v>42566</v>
      </c>
      <c r="I23" s="92" t="n">
        <v>42732</v>
      </c>
      <c r="J23" s="91" t="n">
        <v>42739</v>
      </c>
      <c r="K23" s="91" t="n">
        <v>42739</v>
      </c>
      <c r="L23" s="90" t="n"/>
      <c r="M23" s="90" t="n"/>
      <c r="N23" s="90" t="n"/>
      <c r="O23" s="90" t="inlineStr">
        <is>
          <t>57 削除待ち登録</t>
        </is>
      </c>
      <c r="P23" s="90" t="n"/>
      <c r="Q23" s="90" t="n"/>
      <c r="R23" s="90" t="n"/>
      <c r="S23" s="90" t="n"/>
      <c r="T23" s="90" t="n"/>
      <c r="U23" s="90" t="n"/>
      <c r="V23" s="90" t="n"/>
      <c r="W23" s="93" t="inlineStr">
        <is>
          <t>削</t>
        </is>
      </c>
      <c r="X23" s="90" t="n"/>
      <c r="Y23" s="90" t="n"/>
      <c r="Z23" s="90" t="n"/>
      <c r="AA23" s="90" t="n"/>
      <c r="AB23" s="90" t="n">
        <v>9</v>
      </c>
      <c r="AC23" s="90" t="n">
        <v>0</v>
      </c>
      <c r="AD23" s="93" t="inlineStr">
        <is>
          <t>減</t>
        </is>
      </c>
      <c r="AE23" s="90" t="inlineStr">
        <is>
          <t>09 死亡</t>
        </is>
      </c>
      <c r="AF23" s="93" t="inlineStr">
        <is>
          <t>減</t>
        </is>
      </c>
      <c r="AG23" s="93" t="inlineStr">
        <is>
          <t>減</t>
        </is>
      </c>
      <c r="AH23" s="93" t="inlineStr">
        <is>
          <t>減</t>
        </is>
      </c>
      <c r="AI23" s="90" t="n"/>
      <c r="AJ23" s="90" t="n"/>
      <c r="AK23" s="90" t="n"/>
      <c r="AL23" s="94">
        <f>IF(A23="","",IF(COUNTIF(A23:A$2001,A23)=1,1,0))</f>
        <v/>
      </c>
      <c r="AM23" s="94">
        <f>IF(I23="","",TODAY()-I23)</f>
        <v/>
      </c>
      <c r="AN23" s="94">
        <f>IF(A23="","",IF(AND(E23&lt;&gt;"33 確認済",E23&lt;&gt;"36 送付中"),1,0))</f>
        <v/>
      </c>
      <c r="AO23" s="94">
        <f>IF(A23="","",IF(AG23&lt;&gt;"",1,0))</f>
        <v/>
      </c>
      <c r="AP23" s="220">
        <f>IF(P23&lt;&gt;"","・添待ち","")&amp;IF(Q23&lt;&gt;"","・住民票","")&amp;IF(R23&lt;&gt;"","・発信","")&amp;IF(S23&lt;&gt;"","・確認事項","")&amp;IF(T23&lt;&gt;"","・管","")&amp;IF(U23&lt;&gt;"","・SV","")&amp;IF(V23&lt;&gt;"","・データ送付待ち","")&amp;IF(W23&lt;&gt;"","・削除","")</f>
        <v/>
      </c>
    </row>
    <row r="24" ht="15" customHeight="1" s="87">
      <c r="A24" s="90" t="n">
        <v>201760002086</v>
      </c>
      <c r="B24" s="90" t="n"/>
      <c r="C24" s="90" t="n"/>
      <c r="D24" s="90" t="n">
        <v>40</v>
      </c>
      <c r="E24" s="90" t="inlineStr">
        <is>
          <t>40 差戻し</t>
        </is>
      </c>
      <c r="F24" s="90" t="n">
        <v>20</v>
      </c>
      <c r="G24" s="90" t="inlineStr">
        <is>
          <t>20 差戻し</t>
        </is>
      </c>
      <c r="H24" s="91" t="n">
        <v>43031</v>
      </c>
      <c r="I24" s="92" t="n">
        <v>43036</v>
      </c>
      <c r="J24" s="91" t="n">
        <v>43038</v>
      </c>
      <c r="K24" s="91" t="n">
        <v>43041</v>
      </c>
      <c r="L24" s="90" t="n"/>
      <c r="M24" s="90" t="n"/>
      <c r="N24" s="90" t="n"/>
      <c r="O24" s="90" t="inlineStr">
        <is>
          <t>57 削除待ち登録</t>
        </is>
      </c>
      <c r="P24" s="90" t="n"/>
      <c r="Q24" s="90" t="n"/>
      <c r="R24" s="90" t="n"/>
      <c r="S24" s="90" t="n"/>
      <c r="T24" s="90" t="n"/>
      <c r="U24" s="90" t="n"/>
      <c r="V24" s="90" t="n"/>
      <c r="W24" s="93" t="inlineStr">
        <is>
          <t>削</t>
        </is>
      </c>
      <c r="X24" s="90" t="n"/>
      <c r="Y24" s="90" t="n"/>
      <c r="Z24" s="90" t="n"/>
      <c r="AA24" s="90" t="n"/>
      <c r="AB24" s="90" t="n">
        <v>27</v>
      </c>
      <c r="AC24" s="90" t="n">
        <v>1</v>
      </c>
      <c r="AD24" s="93" t="inlineStr">
        <is>
          <t>増</t>
        </is>
      </c>
      <c r="AE24" s="90" t="inlineStr">
        <is>
          <t>27 収入限度額以下</t>
        </is>
      </c>
      <c r="AF24" s="90" t="n"/>
      <c r="AG24" s="90" t="n"/>
      <c r="AH24" s="93" t="inlineStr">
        <is>
          <t>増</t>
        </is>
      </c>
      <c r="AI24" s="90" t="n"/>
      <c r="AJ24" s="90" t="n"/>
      <c r="AK24" s="90" t="n"/>
      <c r="AL24" s="94">
        <f>IF(A24="","",IF(COUNTIF(A24:A$2001,A24)=1,1,0))</f>
        <v/>
      </c>
      <c r="AM24" s="94">
        <f>IF(I24="","",TODAY()-I24)</f>
        <v/>
      </c>
      <c r="AN24" s="94">
        <f>IF(A24="","",IF(AND(E24&lt;&gt;"33 確認済",E24&lt;&gt;"36 送付中"),1,0))</f>
        <v/>
      </c>
      <c r="AO24" s="94">
        <f>IF(A24="","",IF(AG24&lt;&gt;"",1,0))</f>
        <v/>
      </c>
      <c r="AP24" s="220">
        <f>IF(P24&lt;&gt;"","・添待ち","")&amp;IF(Q24&lt;&gt;"","・住民票","")&amp;IF(R24&lt;&gt;"","・発信","")&amp;IF(S24&lt;&gt;"","・確認事項","")&amp;IF(T24&lt;&gt;"","・管","")&amp;IF(U24&lt;&gt;"","・SV","")&amp;IF(V24&lt;&gt;"","・データ送付待ち","")&amp;IF(W24&lt;&gt;"","・削除","")</f>
        <v/>
      </c>
    </row>
    <row r="25" ht="15" customHeight="1" s="87">
      <c r="A25" s="90" t="n">
        <v>201860001388</v>
      </c>
      <c r="B25" s="90" t="n"/>
      <c r="C25" s="90" t="n"/>
      <c r="D25" s="90" t="n">
        <v>40</v>
      </c>
      <c r="E25" s="90" t="inlineStr">
        <is>
          <t>40 差戻し</t>
        </is>
      </c>
      <c r="F25" s="90" t="n">
        <v>20</v>
      </c>
      <c r="G25" s="90" t="inlineStr">
        <is>
          <t>20 差戻し</t>
        </is>
      </c>
      <c r="H25" s="91" t="n">
        <v>43321</v>
      </c>
      <c r="I25" s="92" t="n">
        <v>43321</v>
      </c>
      <c r="J25" s="91" t="n">
        <v>43325</v>
      </c>
      <c r="K25" s="91" t="n">
        <v>43325</v>
      </c>
      <c r="L25" s="90" t="n"/>
      <c r="M25" s="90" t="n"/>
      <c r="N25" s="90" t="n"/>
      <c r="O25" s="90" t="inlineStr">
        <is>
          <t>55 添付書類待ち登録</t>
        </is>
      </c>
      <c r="P25" s="93" t="inlineStr">
        <is>
          <t>添</t>
        </is>
      </c>
      <c r="Q25" s="90" t="n"/>
      <c r="R25" s="90" t="n"/>
      <c r="S25" s="90" t="n"/>
      <c r="T25" s="90" t="n"/>
      <c r="U25" s="93" t="inlineStr">
        <is>
          <t>Ｓ</t>
        </is>
      </c>
      <c r="V25" s="90" t="n"/>
      <c r="W25" s="90" t="n"/>
      <c r="X25" s="90" t="n"/>
      <c r="Y25" s="90" t="n"/>
      <c r="Z25" s="90" t="n"/>
      <c r="AA25" s="90" t="n"/>
      <c r="AB25" s="90" t="n">
        <v>21</v>
      </c>
      <c r="AC25" s="90" t="n">
        <v>1</v>
      </c>
      <c r="AD25" s="93" t="inlineStr">
        <is>
          <t>増</t>
        </is>
      </c>
      <c r="AE25" s="90" t="inlineStr">
        <is>
          <t>21 出生</t>
        </is>
      </c>
      <c r="AF25" s="90" t="n"/>
      <c r="AG25" s="93" t="inlineStr">
        <is>
          <t>増</t>
        </is>
      </c>
      <c r="AH25" s="90" t="n"/>
      <c r="AI25" s="90" t="n"/>
      <c r="AJ25" s="90" t="n"/>
      <c r="AK25" s="90" t="n"/>
      <c r="AL25" s="94">
        <f>IF(A25="","",IF(COUNTIF(A25:A$2001,A25)=1,1,0))</f>
        <v/>
      </c>
      <c r="AM25" s="94">
        <f>IF(I25="","",TODAY()-I25)</f>
        <v/>
      </c>
      <c r="AN25" s="94">
        <f>IF(A25="","",IF(AND(E25&lt;&gt;"33 確認済",E25&lt;&gt;"36 送付中"),1,0))</f>
        <v/>
      </c>
      <c r="AO25" s="94">
        <f>IF(A25="","",IF(AG25&lt;&gt;"",1,0))</f>
        <v/>
      </c>
      <c r="AP25" s="220">
        <f>IF(P25&lt;&gt;"","・添待ち","")&amp;IF(Q25&lt;&gt;"","・住民票","")&amp;IF(R25&lt;&gt;"","・発信","")&amp;IF(S25&lt;&gt;"","・確認事項","")&amp;IF(T25&lt;&gt;"","・管","")&amp;IF(U25&lt;&gt;"","・SV","")&amp;IF(V25&lt;&gt;"","・データ送付待ち","")&amp;IF(W25&lt;&gt;"","・削除","")</f>
        <v/>
      </c>
    </row>
    <row r="26" ht="15" customHeight="1" s="87">
      <c r="A26" s="90" t="n">
        <v>201860001862</v>
      </c>
      <c r="B26" s="90" t="n"/>
      <c r="C26" s="90" t="n"/>
      <c r="D26" s="90" t="n">
        <v>31</v>
      </c>
      <c r="E26" s="90" t="inlineStr">
        <is>
          <t>31 ＯＰ確認中</t>
        </is>
      </c>
      <c r="F26" s="90" t="n"/>
      <c r="G26" s="90" t="n"/>
      <c r="H26" s="91" t="n">
        <v>43341</v>
      </c>
      <c r="I26" s="92" t="n">
        <v>43371</v>
      </c>
      <c r="J26" s="91" t="n">
        <v>43411</v>
      </c>
      <c r="K26" s="91" t="n">
        <v>43411</v>
      </c>
      <c r="L26" s="90" t="n"/>
      <c r="M26" s="90" t="n"/>
      <c r="N26" s="90" t="n"/>
      <c r="O26" s="90" t="inlineStr">
        <is>
          <t>21 担当者登録</t>
        </is>
      </c>
      <c r="P26" s="90" t="n"/>
      <c r="Q26" s="90" t="n"/>
      <c r="R26" s="90" t="n"/>
      <c r="S26" s="90" t="n"/>
      <c r="T26" s="90" t="n"/>
      <c r="U26" s="90" t="n"/>
      <c r="V26" s="90" t="n"/>
      <c r="W26" s="90" t="n"/>
      <c r="X26" s="90" t="n"/>
      <c r="Y26" s="90" t="n"/>
      <c r="Z26" s="90" t="n"/>
      <c r="AA26" s="90" t="n"/>
      <c r="AB26" s="90" t="n">
        <v>9</v>
      </c>
      <c r="AC26" s="90" t="n">
        <v>0</v>
      </c>
      <c r="AD26" s="93" t="inlineStr">
        <is>
          <t>減</t>
        </is>
      </c>
      <c r="AE26" s="90" t="inlineStr">
        <is>
          <t>09 死亡</t>
        </is>
      </c>
      <c r="AF26" s="93" t="inlineStr">
        <is>
          <t>減</t>
        </is>
      </c>
      <c r="AG26" s="93" t="inlineStr">
        <is>
          <t>減</t>
        </is>
      </c>
      <c r="AH26" s="93" t="inlineStr">
        <is>
          <t>減</t>
        </is>
      </c>
      <c r="AI26" s="90" t="n"/>
      <c r="AJ26" s="90" t="n"/>
      <c r="AK26" s="90" t="n"/>
      <c r="AL26" s="94">
        <f>IF(A26="","",IF(COUNTIF(A26:A$2001,A26)=1,1,0))</f>
        <v/>
      </c>
      <c r="AM26" s="94">
        <f>IF(I26="","",TODAY()-I26)</f>
        <v/>
      </c>
      <c r="AN26" s="94">
        <f>IF(A26="","",IF(AND(E26&lt;&gt;"33 確認済",E26&lt;&gt;"36 送付中"),1,0))</f>
        <v/>
      </c>
      <c r="AO26" s="94">
        <f>IF(A26="","",IF(AG26&lt;&gt;"",1,0))</f>
        <v/>
      </c>
      <c r="AP26" s="220">
        <f>IF(P26&lt;&gt;"","・添待ち","")&amp;IF(Q26&lt;&gt;"","・住民票","")&amp;IF(R26&lt;&gt;"","・発信","")&amp;IF(S26&lt;&gt;"","・確認事項","")&amp;IF(T26&lt;&gt;"","・管","")&amp;IF(U26&lt;&gt;"","・SV","")&amp;IF(V26&lt;&gt;"","・データ送付待ち","")&amp;IF(W26&lt;&gt;"","・削除","")</f>
        <v/>
      </c>
    </row>
    <row r="27" ht="15" customHeight="1" s="87">
      <c r="A27" s="90" t="n">
        <v>202060000569</v>
      </c>
      <c r="B27" s="90" t="n"/>
      <c r="C27" s="90" t="n"/>
      <c r="D27" s="90" t="n">
        <v>31</v>
      </c>
      <c r="E27" s="90" t="inlineStr">
        <is>
          <t>31 ＯＰ確認中</t>
        </is>
      </c>
      <c r="F27" s="90" t="n"/>
      <c r="G27" s="90" t="n"/>
      <c r="H27" s="91" t="n">
        <v>43937</v>
      </c>
      <c r="I27" s="92" t="n">
        <v>43951</v>
      </c>
      <c r="J27" s="91" t="n">
        <v>44013</v>
      </c>
      <c r="K27" s="91" t="n">
        <v>44013</v>
      </c>
      <c r="L27" s="90" t="n"/>
      <c r="M27" s="90" t="n"/>
      <c r="N27" s="90" t="n"/>
      <c r="O27" s="90" t="inlineStr">
        <is>
          <t>21 担当者登録</t>
        </is>
      </c>
      <c r="P27" s="90" t="n"/>
      <c r="Q27" s="90" t="n"/>
      <c r="R27" s="90" t="n"/>
      <c r="S27" s="90" t="n"/>
      <c r="T27" s="90" t="n"/>
      <c r="U27" s="90" t="n"/>
      <c r="V27" s="90" t="n"/>
      <c r="W27" s="90" t="n"/>
      <c r="X27" s="90" t="n"/>
      <c r="Y27" s="90" t="n"/>
      <c r="Z27" s="90" t="n"/>
      <c r="AA27" s="90" t="n"/>
      <c r="AB27" s="90" t="n">
        <v>22</v>
      </c>
      <c r="AC27" s="90" t="n">
        <v>1</v>
      </c>
      <c r="AD27" s="93" t="inlineStr">
        <is>
          <t>増</t>
        </is>
      </c>
      <c r="AE27" s="90" t="inlineStr">
        <is>
          <t>22 扶養親族の退職</t>
        </is>
      </c>
      <c r="AF27" s="90" t="n"/>
      <c r="AG27" s="93" t="inlineStr">
        <is>
          <t>増</t>
        </is>
      </c>
      <c r="AH27" s="90" t="n"/>
      <c r="AI27" s="90" t="n"/>
      <c r="AJ27" s="90" t="n"/>
      <c r="AK27" s="90" t="n"/>
      <c r="AL27" s="94">
        <f>IF(A27="","",IF(COUNTIF(A27:A$2001,A27)=1,1,0))</f>
        <v/>
      </c>
      <c r="AM27" s="94">
        <f>IF(I27="","",TODAY()-I27)</f>
        <v/>
      </c>
      <c r="AN27" s="94">
        <f>IF(A27="","",IF(AND(E27&lt;&gt;"33 確認済",E27&lt;&gt;"36 送付中"),1,0))</f>
        <v/>
      </c>
      <c r="AO27" s="94">
        <f>IF(A27="","",IF(AG27&lt;&gt;"",1,0))</f>
        <v/>
      </c>
      <c r="AP27" s="220">
        <f>IF(P27&lt;&gt;"","・添待ち","")&amp;IF(Q27&lt;&gt;"","・住民票","")&amp;IF(R27&lt;&gt;"","・発信","")&amp;IF(S27&lt;&gt;"","・確認事項","")&amp;IF(T27&lt;&gt;"","・管","")&amp;IF(U27&lt;&gt;"","・SV","")&amp;IF(V27&lt;&gt;"","・データ送付待ち","")&amp;IF(W27&lt;&gt;"","・削除","")</f>
        <v/>
      </c>
    </row>
    <row r="28" ht="15" customHeight="1" s="87">
      <c r="A28" s="90" t="n">
        <v>202060001460</v>
      </c>
      <c r="B28" s="90" t="n"/>
      <c r="C28" s="90" t="n"/>
      <c r="D28" s="90" t="n">
        <v>40</v>
      </c>
      <c r="E28" s="90" t="inlineStr">
        <is>
          <t>40 差戻し</t>
        </is>
      </c>
      <c r="F28" s="90" t="n">
        <v>20</v>
      </c>
      <c r="G28" s="90" t="inlineStr">
        <is>
          <t>20 差戻し</t>
        </is>
      </c>
      <c r="H28" s="91" t="n">
        <v>43191</v>
      </c>
      <c r="I28" s="92" t="n">
        <v>44139</v>
      </c>
      <c r="J28" s="91" t="n">
        <v>44501</v>
      </c>
      <c r="K28" s="91" t="n">
        <v>44504</v>
      </c>
      <c r="L28" s="90" t="n"/>
      <c r="M28" s="90" t="n"/>
      <c r="N28" s="90" t="n"/>
      <c r="O28" s="90" t="inlineStr">
        <is>
          <t>55 添付書類待ち登録</t>
        </is>
      </c>
      <c r="P28" s="93" t="inlineStr">
        <is>
          <t>添</t>
        </is>
      </c>
      <c r="Q28" s="90" t="n"/>
      <c r="R28" s="90" t="n"/>
      <c r="S28" s="90" t="n"/>
      <c r="T28" s="90" t="n"/>
      <c r="U28" s="90" t="n"/>
      <c r="V28" s="90" t="n"/>
      <c r="W28" s="90" t="n"/>
      <c r="X28" s="90" t="n"/>
      <c r="Y28" s="90" t="n"/>
      <c r="Z28" s="90" t="n"/>
      <c r="AA28" s="90" t="n"/>
      <c r="AB28" s="90" t="n">
        <v>27</v>
      </c>
      <c r="AC28" s="90" t="n">
        <v>1</v>
      </c>
      <c r="AD28" s="93" t="inlineStr">
        <is>
          <t>増</t>
        </is>
      </c>
      <c r="AE28" s="90" t="inlineStr">
        <is>
          <t>27 収入限度額以下</t>
        </is>
      </c>
      <c r="AF28" s="93" t="inlineStr">
        <is>
          <t>増</t>
        </is>
      </c>
      <c r="AG28" s="93" t="inlineStr">
        <is>
          <t>増</t>
        </is>
      </c>
      <c r="AH28" s="93" t="inlineStr">
        <is>
          <t>増</t>
        </is>
      </c>
      <c r="AI28" s="90" t="n"/>
      <c r="AJ28" s="90" t="n"/>
      <c r="AK28" s="90" t="n"/>
      <c r="AL28" s="94">
        <f>IF(A28="","",IF(COUNTIF(A28:A$2001,A28)=1,1,0))</f>
        <v/>
      </c>
      <c r="AM28" s="94">
        <f>IF(I28="","",TODAY()-I28)</f>
        <v/>
      </c>
      <c r="AN28" s="94">
        <f>IF(A28="","",IF(AND(E28&lt;&gt;"33 確認済",E28&lt;&gt;"36 送付中"),1,0))</f>
        <v/>
      </c>
      <c r="AO28" s="94">
        <f>IF(A28="","",IF(AG28&lt;&gt;"",1,0))</f>
        <v/>
      </c>
      <c r="AP28" s="220">
        <f>IF(P28&lt;&gt;"","・添待ち","")&amp;IF(Q28&lt;&gt;"","・住民票","")&amp;IF(R28&lt;&gt;"","・発信","")&amp;IF(S28&lt;&gt;"","・確認事項","")&amp;IF(T28&lt;&gt;"","・管","")&amp;IF(U28&lt;&gt;"","・SV","")&amp;IF(V28&lt;&gt;"","・データ送付待ち","")&amp;IF(W28&lt;&gt;"","・削除","")</f>
        <v/>
      </c>
    </row>
    <row r="29" ht="15" customHeight="1" s="87">
      <c r="A29" s="90" t="n">
        <v>202060002466</v>
      </c>
      <c r="B29" s="90" t="n"/>
      <c r="C29" s="90" t="n"/>
      <c r="D29" s="90" t="n">
        <v>20</v>
      </c>
      <c r="E29" s="90" t="inlineStr">
        <is>
          <t>20 確認待ち</t>
        </is>
      </c>
      <c r="F29" s="90" t="n">
        <v>20</v>
      </c>
      <c r="G29" s="90" t="inlineStr">
        <is>
          <t>20 差戻し</t>
        </is>
      </c>
      <c r="H29" s="91" t="n">
        <v>44197</v>
      </c>
      <c r="I29" s="92" t="n">
        <v>44210</v>
      </c>
      <c r="J29" s="91" t="n">
        <v>44243</v>
      </c>
      <c r="K29" s="91" t="n">
        <v>45617</v>
      </c>
      <c r="L29" s="90" t="n"/>
      <c r="M29" s="90" t="n"/>
      <c r="N29" s="90" t="n"/>
      <c r="O29" s="90" t="inlineStr">
        <is>
          <t>99 データメンテナンス</t>
        </is>
      </c>
      <c r="P29" s="90" t="n"/>
      <c r="Q29" s="90" t="n"/>
      <c r="R29" s="93" t="inlineStr">
        <is>
          <t>発</t>
        </is>
      </c>
      <c r="S29" s="90" t="n"/>
      <c r="T29" s="90" t="n"/>
      <c r="U29" s="90" t="n"/>
      <c r="V29" s="90" t="n"/>
      <c r="W29" s="93" t="inlineStr">
        <is>
          <t>削</t>
        </is>
      </c>
      <c r="X29" s="90" t="n"/>
      <c r="Y29" s="90" t="n"/>
      <c r="Z29" s="90" t="n"/>
      <c r="AA29" s="90" t="n"/>
      <c r="AB29" s="90" t="n">
        <v>27</v>
      </c>
      <c r="AC29" s="90" t="n">
        <v>1</v>
      </c>
      <c r="AD29" s="93" t="inlineStr">
        <is>
          <t>増</t>
        </is>
      </c>
      <c r="AE29" s="90" t="inlineStr">
        <is>
          <t>27 収入限度額以下</t>
        </is>
      </c>
      <c r="AF29" s="93" t="inlineStr">
        <is>
          <t>増</t>
        </is>
      </c>
      <c r="AG29" s="93" t="inlineStr">
        <is>
          <t>増</t>
        </is>
      </c>
      <c r="AH29" s="90" t="n"/>
      <c r="AI29" s="90" t="n"/>
      <c r="AJ29" s="90" t="n"/>
      <c r="AK29" s="90" t="n"/>
      <c r="AL29" s="94">
        <f>IF(A29="","",IF(COUNTIF(A29:A$2001,A29)=1,1,0))</f>
        <v/>
      </c>
      <c r="AM29" s="94">
        <f>IF(I29="","",TODAY()-I29)</f>
        <v/>
      </c>
      <c r="AN29" s="94">
        <f>IF(A29="","",IF(AND(E29&lt;&gt;"33 確認済",E29&lt;&gt;"36 送付中"),1,0))</f>
        <v/>
      </c>
      <c r="AO29" s="94">
        <f>IF(A29="","",IF(AG29&lt;&gt;"",1,0))</f>
        <v/>
      </c>
      <c r="AP29" s="220">
        <f>IF(P29&lt;&gt;"","・添待ち","")&amp;IF(Q29&lt;&gt;"","・住民票","")&amp;IF(R29&lt;&gt;"","・発信","")&amp;IF(S29&lt;&gt;"","・確認事項","")&amp;IF(T29&lt;&gt;"","・管","")&amp;IF(U29&lt;&gt;"","・SV","")&amp;IF(V29&lt;&gt;"","・データ送付待ち","")&amp;IF(W29&lt;&gt;"","・削除","")</f>
        <v/>
      </c>
    </row>
    <row r="30" ht="15" customHeight="1" s="87">
      <c r="A30" s="90" t="n">
        <v>202060002824</v>
      </c>
      <c r="B30" s="90" t="n"/>
      <c r="C30" s="90" t="n"/>
      <c r="D30" s="90" t="n">
        <v>40</v>
      </c>
      <c r="E30" s="90" t="inlineStr">
        <is>
          <t>40 差戻し</t>
        </is>
      </c>
      <c r="F30" s="90" t="n">
        <v>20</v>
      </c>
      <c r="G30" s="90" t="inlineStr">
        <is>
          <t>20 差戻し</t>
        </is>
      </c>
      <c r="H30" s="91" t="n">
        <v>43497</v>
      </c>
      <c r="I30" s="92" t="n">
        <v>44232</v>
      </c>
      <c r="J30" s="91" t="n">
        <v>44236</v>
      </c>
      <c r="K30" s="91" t="n">
        <v>44236</v>
      </c>
      <c r="L30" s="90" t="n"/>
      <c r="M30" s="90" t="n"/>
      <c r="N30" s="90" t="n"/>
      <c r="O30" s="90" t="inlineStr">
        <is>
          <t>57 削除待ち登録</t>
        </is>
      </c>
      <c r="P30" s="90" t="n"/>
      <c r="Q30" s="90" t="n"/>
      <c r="R30" s="90" t="n"/>
      <c r="S30" s="90" t="n"/>
      <c r="T30" s="90" t="n"/>
      <c r="U30" s="90" t="n"/>
      <c r="V30" s="90" t="n"/>
      <c r="W30" s="93" t="inlineStr">
        <is>
          <t>削</t>
        </is>
      </c>
      <c r="X30" s="90" t="n"/>
      <c r="Y30" s="90" t="n"/>
      <c r="Z30" s="90" t="n"/>
      <c r="AA30" s="90" t="n"/>
      <c r="AB30" s="90" t="n">
        <v>51</v>
      </c>
      <c r="AC30" s="90" t="n">
        <v>0</v>
      </c>
      <c r="AD30" s="93" t="inlineStr">
        <is>
          <t>減</t>
        </is>
      </c>
      <c r="AE30" s="90" t="inlineStr">
        <is>
          <t>51 収入限度額以上</t>
        </is>
      </c>
      <c r="AF30" s="93" t="inlineStr">
        <is>
          <t>減</t>
        </is>
      </c>
      <c r="AG30" s="93" t="inlineStr">
        <is>
          <t>減</t>
        </is>
      </c>
      <c r="AH30" s="90" t="n"/>
      <c r="AI30" s="90" t="n"/>
      <c r="AJ30" s="90" t="n"/>
      <c r="AK30" s="90" t="n"/>
      <c r="AL30" s="94">
        <f>IF(A30="","",IF(COUNTIF(A30:A$2001,A30)=1,1,0))</f>
        <v/>
      </c>
      <c r="AM30" s="94">
        <f>IF(I30="","",TODAY()-I30)</f>
        <v/>
      </c>
      <c r="AN30" s="94">
        <f>IF(A30="","",IF(AND(E30&lt;&gt;"33 確認済",E30&lt;&gt;"36 送付中"),1,0))</f>
        <v/>
      </c>
      <c r="AO30" s="94">
        <f>IF(A30="","",IF(AG30&lt;&gt;"",1,0))</f>
        <v/>
      </c>
      <c r="AP30" s="220">
        <f>IF(P30&lt;&gt;"","・添待ち","")&amp;IF(Q30&lt;&gt;"","・住民票","")&amp;IF(R30&lt;&gt;"","・発信","")&amp;IF(S30&lt;&gt;"","・確認事項","")&amp;IF(T30&lt;&gt;"","・管","")&amp;IF(U30&lt;&gt;"","・SV","")&amp;IF(V30&lt;&gt;"","・データ送付待ち","")&amp;IF(W30&lt;&gt;"","・削除","")</f>
        <v/>
      </c>
    </row>
    <row r="31" ht="15" customHeight="1" s="87">
      <c r="A31" s="90" t="n">
        <v>202060003171</v>
      </c>
      <c r="B31" s="90" t="n"/>
      <c r="C31" s="90" t="n"/>
      <c r="D31" s="90" t="n">
        <v>31</v>
      </c>
      <c r="E31" s="90" t="inlineStr">
        <is>
          <t>31 ＯＰ確認中</t>
        </is>
      </c>
      <c r="F31" s="90" t="n"/>
      <c r="G31" s="90" t="n"/>
      <c r="H31" s="91" t="n">
        <v>44280</v>
      </c>
      <c r="I31" s="92" t="n">
        <v>44281</v>
      </c>
      <c r="J31" s="91" t="n">
        <v>44302</v>
      </c>
      <c r="K31" s="91" t="n">
        <v>44302</v>
      </c>
      <c r="L31" s="90" t="n"/>
      <c r="M31" s="90" t="n"/>
      <c r="N31" s="90" t="n"/>
      <c r="O31" s="90" t="inlineStr">
        <is>
          <t>21 担当者登録</t>
        </is>
      </c>
      <c r="P31" s="90" t="n"/>
      <c r="Q31" s="90" t="n"/>
      <c r="R31" s="90" t="n"/>
      <c r="S31" s="90" t="n"/>
      <c r="T31" s="90" t="n"/>
      <c r="U31" s="90" t="n"/>
      <c r="V31" s="90" t="n"/>
      <c r="W31" s="90" t="n"/>
      <c r="X31" s="90" t="n"/>
      <c r="Y31" s="90" t="n"/>
      <c r="Z31" s="90" t="n"/>
      <c r="AA31" s="90" t="n"/>
      <c r="AB31" s="90" t="n">
        <v>50</v>
      </c>
      <c r="AC31" s="90" t="n">
        <v>0</v>
      </c>
      <c r="AD31" s="93" t="inlineStr">
        <is>
          <t>減</t>
        </is>
      </c>
      <c r="AE31" s="90" t="inlineStr">
        <is>
          <t>50 扶養者の変更</t>
        </is>
      </c>
      <c r="AF31" s="93" t="inlineStr">
        <is>
          <t>減</t>
        </is>
      </c>
      <c r="AG31" s="93" t="inlineStr">
        <is>
          <t>減</t>
        </is>
      </c>
      <c r="AH31" s="93" t="inlineStr">
        <is>
          <t>減</t>
        </is>
      </c>
      <c r="AI31" s="90" t="n"/>
      <c r="AJ31" s="90" t="n"/>
      <c r="AK31" s="90" t="n"/>
      <c r="AL31" s="94">
        <f>IF(A31="","",IF(COUNTIF(A31:A$2001,A31)=1,1,0))</f>
        <v/>
      </c>
      <c r="AM31" s="94">
        <f>IF(I31="","",TODAY()-I31)</f>
        <v/>
      </c>
      <c r="AN31" s="94">
        <f>IF(A31="","",IF(AND(E31&lt;&gt;"33 確認済",E31&lt;&gt;"36 送付中"),1,0))</f>
        <v/>
      </c>
      <c r="AO31" s="94">
        <f>IF(A31="","",IF(AG31&lt;&gt;"",1,0))</f>
        <v/>
      </c>
      <c r="AP31" s="220">
        <f>IF(P31&lt;&gt;"","・添待ち","")&amp;IF(Q31&lt;&gt;"","・住民票","")&amp;IF(R31&lt;&gt;"","・発信","")&amp;IF(S31&lt;&gt;"","・確認事項","")&amp;IF(T31&lt;&gt;"","・管","")&amp;IF(U31&lt;&gt;"","・SV","")&amp;IF(V31&lt;&gt;"","・データ送付待ち","")&amp;IF(W31&lt;&gt;"","・削除","")</f>
        <v/>
      </c>
    </row>
    <row r="32" ht="15" customHeight="1" s="87">
      <c r="A32" s="90" t="n">
        <v>202360000913</v>
      </c>
      <c r="B32" s="90" t="n"/>
      <c r="C32" s="90" t="n"/>
      <c r="D32" s="90" t="n">
        <v>31</v>
      </c>
      <c r="E32" s="90" t="inlineStr">
        <is>
          <t>31 ＯＰ確認中</t>
        </is>
      </c>
      <c r="F32" s="90" t="n"/>
      <c r="G32" s="90" t="n"/>
      <c r="H32" s="91" t="n">
        <v>45062</v>
      </c>
      <c r="I32" s="92" t="n">
        <v>45096</v>
      </c>
      <c r="J32" s="91" t="n">
        <v>45098</v>
      </c>
      <c r="K32" s="91" t="n">
        <v>45148</v>
      </c>
      <c r="L32" s="90" t="n"/>
      <c r="M32" s="90" t="n"/>
      <c r="N32" s="90" t="n"/>
      <c r="O32" s="90" t="inlineStr">
        <is>
          <t>21 担当者登録</t>
        </is>
      </c>
      <c r="P32" s="90" t="n"/>
      <c r="Q32" s="90" t="n"/>
      <c r="R32" s="90" t="n"/>
      <c r="S32" s="90" t="n"/>
      <c r="T32" s="90" t="n"/>
      <c r="U32" s="90" t="n"/>
      <c r="V32" s="90" t="n"/>
      <c r="W32" s="90" t="n"/>
      <c r="X32" s="90" t="n"/>
      <c r="Y32" s="90" t="n"/>
      <c r="Z32" s="90" t="n"/>
      <c r="AA32" s="90" t="n"/>
      <c r="AB32" s="90" t="n">
        <v>3</v>
      </c>
      <c r="AC32" s="90" t="n">
        <v>0</v>
      </c>
      <c r="AD32" s="93" t="inlineStr">
        <is>
          <t>減</t>
        </is>
      </c>
      <c r="AE32" s="90" t="inlineStr">
        <is>
          <t>03 離婚</t>
        </is>
      </c>
      <c r="AF32" s="90" t="n"/>
      <c r="AG32" s="90" t="n"/>
      <c r="AH32" s="90" t="n"/>
      <c r="AI32" s="90" t="n"/>
      <c r="AJ32" s="90" t="n"/>
      <c r="AK32" s="90" t="n"/>
      <c r="AL32" s="94">
        <f>IF(A32="","",IF(COUNTIF(A32:A$2001,A32)=1,1,0))</f>
        <v/>
      </c>
      <c r="AM32" s="94">
        <f>IF(I32="","",TODAY()-I32)</f>
        <v/>
      </c>
      <c r="AN32" s="94">
        <f>IF(A32="","",IF(AND(E32&lt;&gt;"33 確認済",E32&lt;&gt;"36 送付中"),1,0))</f>
        <v/>
      </c>
      <c r="AO32" s="94">
        <f>IF(A32="","",IF(AG32&lt;&gt;"",1,0))</f>
        <v/>
      </c>
      <c r="AP32" s="220">
        <f>IF(P32&lt;&gt;"","・添待ち","")&amp;IF(Q32&lt;&gt;"","・住民票","")&amp;IF(R32&lt;&gt;"","・発信","")&amp;IF(S32&lt;&gt;"","・確認事項","")&amp;IF(T32&lt;&gt;"","・管","")&amp;IF(U32&lt;&gt;"","・SV","")&amp;IF(V32&lt;&gt;"","・データ送付待ち","")&amp;IF(W32&lt;&gt;"","・削除","")</f>
        <v/>
      </c>
    </row>
    <row r="33" ht="15" customHeight="1" s="87">
      <c r="A33" s="90" t="n">
        <v>202360003315</v>
      </c>
      <c r="B33" s="90" t="n"/>
      <c r="C33" s="90" t="n"/>
      <c r="D33" s="90" t="n">
        <v>31</v>
      </c>
      <c r="E33" s="90" t="inlineStr">
        <is>
          <t>31 ＯＰ確認中</t>
        </is>
      </c>
      <c r="F33" s="90" t="n"/>
      <c r="G33" s="90" t="n"/>
      <c r="H33" s="91" t="n">
        <v>45370</v>
      </c>
      <c r="I33" s="92" t="n">
        <v>45370</v>
      </c>
      <c r="J33" s="91" t="n">
        <v>45575</v>
      </c>
      <c r="K33" s="91" t="n">
        <v>45575</v>
      </c>
      <c r="L33" s="90" t="n"/>
      <c r="M33" s="90" t="n"/>
      <c r="N33" s="90" t="n"/>
      <c r="O33" s="90" t="inlineStr">
        <is>
          <t>21 担当者登録</t>
        </is>
      </c>
      <c r="P33" s="90" t="n"/>
      <c r="Q33" s="90" t="n"/>
      <c r="R33" s="90" t="n"/>
      <c r="S33" s="90" t="n"/>
      <c r="T33" s="90" t="n"/>
      <c r="U33" s="90" t="n"/>
      <c r="V33" s="90" t="n"/>
      <c r="W33" s="90" t="n"/>
      <c r="X33" s="90" t="n"/>
      <c r="Y33" s="90" t="n"/>
      <c r="Z33" s="90" t="n"/>
      <c r="AA33" s="90" t="n"/>
      <c r="AB33" s="90" t="n">
        <v>50</v>
      </c>
      <c r="AC33" s="90" t="n">
        <v>0</v>
      </c>
      <c r="AD33" s="93" t="inlineStr">
        <is>
          <t>減</t>
        </is>
      </c>
      <c r="AE33" s="90" t="inlineStr">
        <is>
          <t>50 扶養者の変更</t>
        </is>
      </c>
      <c r="AF33" s="93" t="inlineStr">
        <is>
          <t>減</t>
        </is>
      </c>
      <c r="AG33" s="93" t="inlineStr">
        <is>
          <t>減</t>
        </is>
      </c>
      <c r="AH33" s="93" t="inlineStr">
        <is>
          <t>減</t>
        </is>
      </c>
      <c r="AI33" s="90" t="n"/>
      <c r="AJ33" s="90" t="n"/>
      <c r="AK33" s="90" t="n"/>
      <c r="AL33" s="94">
        <f>IF(A33="","",IF(COUNTIF(A33:A$2001,A33)=1,1,0))</f>
        <v/>
      </c>
      <c r="AM33" s="94">
        <f>IF(I33="","",TODAY()-I33)</f>
        <v/>
      </c>
      <c r="AN33" s="94">
        <f>IF(A33="","",IF(AND(E33&lt;&gt;"33 確認済",E33&lt;&gt;"36 送付中"),1,0))</f>
        <v/>
      </c>
      <c r="AO33" s="94">
        <f>IF(A33="","",IF(AG33&lt;&gt;"",1,0))</f>
        <v/>
      </c>
      <c r="AP33" s="220">
        <f>IF(P33&lt;&gt;"","・添待ち","")&amp;IF(Q33&lt;&gt;"","・住民票","")&amp;IF(R33&lt;&gt;"","・発信","")&amp;IF(S33&lt;&gt;"","・確認事項","")&amp;IF(T33&lt;&gt;"","・管","")&amp;IF(U33&lt;&gt;"","・SV","")&amp;IF(V33&lt;&gt;"","・データ送付待ち","")&amp;IF(W33&lt;&gt;"","・削除","")</f>
        <v/>
      </c>
    </row>
    <row r="34" ht="15" customHeight="1" s="87">
      <c r="A34" s="90" t="n">
        <v>202360003320</v>
      </c>
      <c r="B34" s="90" t="n"/>
      <c r="C34" s="90" t="n"/>
      <c r="D34" s="90" t="n">
        <v>31</v>
      </c>
      <c r="E34" s="90" t="inlineStr">
        <is>
          <t>31 ＯＰ確認中</t>
        </is>
      </c>
      <c r="F34" s="90" t="n"/>
      <c r="G34" s="90" t="n"/>
      <c r="H34" s="91" t="n">
        <v>45352</v>
      </c>
      <c r="I34" s="92" t="n">
        <v>45370</v>
      </c>
      <c r="J34" s="91" t="n">
        <v>45373</v>
      </c>
      <c r="K34" s="91" t="n">
        <v>45373</v>
      </c>
      <c r="L34" s="90" t="n"/>
      <c r="M34" s="90" t="n"/>
      <c r="N34" s="90" t="n"/>
      <c r="O34" s="90" t="inlineStr">
        <is>
          <t>22 担当者変更</t>
        </is>
      </c>
      <c r="P34" s="90" t="n"/>
      <c r="Q34" s="90" t="n"/>
      <c r="R34" s="90" t="n"/>
      <c r="S34" s="90" t="n"/>
      <c r="T34" s="90" t="n"/>
      <c r="U34" s="90" t="n"/>
      <c r="V34" s="90" t="n"/>
      <c r="W34" s="90" t="n"/>
      <c r="X34" s="90" t="n"/>
      <c r="Y34" s="90" t="n"/>
      <c r="Z34" s="90" t="n"/>
      <c r="AA34" s="90" t="n"/>
      <c r="AB34" s="90" t="n">
        <v>23</v>
      </c>
      <c r="AC34" s="90" t="n">
        <v>1</v>
      </c>
      <c r="AD34" s="93" t="inlineStr">
        <is>
          <t>増</t>
        </is>
      </c>
      <c r="AE34" s="90" t="inlineStr">
        <is>
          <t>23 本人の結婚</t>
        </is>
      </c>
      <c r="AF34" s="90" t="n"/>
      <c r="AG34" s="90" t="n"/>
      <c r="AH34" s="90" t="n"/>
      <c r="AI34" s="90" t="n"/>
      <c r="AJ34" s="90" t="n"/>
      <c r="AK34" s="90" t="n"/>
      <c r="AL34" s="94">
        <f>IF(A34="","",IF(COUNTIF(A34:A$2001,A34)=1,1,0))</f>
        <v/>
      </c>
      <c r="AM34" s="94">
        <f>IF(I34="","",TODAY()-I34)</f>
        <v/>
      </c>
      <c r="AN34" s="94">
        <f>IF(A34="","",IF(AND(E34&lt;&gt;"33 確認済",E34&lt;&gt;"36 送付中"),1,0))</f>
        <v/>
      </c>
      <c r="AO34" s="94">
        <f>IF(A34="","",IF(AG34&lt;&gt;"",1,0))</f>
        <v/>
      </c>
      <c r="AP34" s="220">
        <f>IF(P34&lt;&gt;"","・添待ち","")&amp;IF(Q34&lt;&gt;"","・住民票","")&amp;IF(R34&lt;&gt;"","・発信","")&amp;IF(S34&lt;&gt;"","・確認事項","")&amp;IF(T34&lt;&gt;"","・管","")&amp;IF(U34&lt;&gt;"","・SV","")&amp;IF(V34&lt;&gt;"","・データ送付待ち","")&amp;IF(W34&lt;&gt;"","・削除","")</f>
        <v/>
      </c>
    </row>
    <row r="35" ht="15" customHeight="1" s="87">
      <c r="A35" s="90" t="n">
        <v>202360003320</v>
      </c>
      <c r="B35" s="90" t="n"/>
      <c r="C35" s="90" t="n"/>
      <c r="D35" s="90" t="n">
        <v>31</v>
      </c>
      <c r="E35" s="90" t="inlineStr">
        <is>
          <t>31 ＯＰ確認中</t>
        </is>
      </c>
      <c r="F35" s="90" t="n"/>
      <c r="G35" s="90" t="n"/>
      <c r="H35" s="91" t="n">
        <v>45352</v>
      </c>
      <c r="I35" s="92" t="n">
        <v>45370</v>
      </c>
      <c r="J35" s="91" t="n">
        <v>45373</v>
      </c>
      <c r="K35" s="91" t="n">
        <v>45373</v>
      </c>
      <c r="L35" s="90" t="n"/>
      <c r="M35" s="90" t="n"/>
      <c r="N35" s="90" t="n"/>
      <c r="O35" s="90" t="inlineStr">
        <is>
          <t>22 担当者変更</t>
        </is>
      </c>
      <c r="P35" s="90" t="n"/>
      <c r="Q35" s="90" t="n"/>
      <c r="R35" s="90" t="n"/>
      <c r="S35" s="90" t="n"/>
      <c r="T35" s="90" t="n"/>
      <c r="U35" s="90" t="n"/>
      <c r="V35" s="90" t="n"/>
      <c r="W35" s="90" t="n"/>
      <c r="X35" s="90" t="n"/>
      <c r="Y35" s="90" t="n"/>
      <c r="Z35" s="90" t="n"/>
      <c r="AA35" s="90" t="n"/>
      <c r="AB35" s="90" t="n">
        <v>23</v>
      </c>
      <c r="AC35" s="90" t="n">
        <v>1</v>
      </c>
      <c r="AD35" s="93" t="inlineStr">
        <is>
          <t>増</t>
        </is>
      </c>
      <c r="AE35" s="90" t="inlineStr">
        <is>
          <t>23 結婚</t>
        </is>
      </c>
      <c r="AF35" s="90" t="n"/>
      <c r="AG35" s="90" t="n"/>
      <c r="AH35" s="90" t="n"/>
      <c r="AI35" s="90" t="n"/>
      <c r="AJ35" s="90" t="n"/>
      <c r="AK35" s="90" t="n"/>
      <c r="AL35" s="94">
        <f>IF(A35="","",IF(COUNTIF(A35:A$2001,A35)=1,1,0))</f>
        <v/>
      </c>
      <c r="AM35" s="94">
        <f>IF(I35="","",TODAY()-I35)</f>
        <v/>
      </c>
      <c r="AN35" s="94">
        <f>IF(A35="","",IF(AND(E35&lt;&gt;"33 確認済",E35&lt;&gt;"36 送付中"),1,0))</f>
        <v/>
      </c>
      <c r="AO35" s="94">
        <f>IF(A35="","",IF(AG35&lt;&gt;"",1,0))</f>
        <v/>
      </c>
      <c r="AP35" s="220">
        <f>IF(P35&lt;&gt;"","・添待ち","")&amp;IF(Q35&lt;&gt;"","・住民票","")&amp;IF(R35&lt;&gt;"","・発信","")&amp;IF(S35&lt;&gt;"","・確認事項","")&amp;IF(T35&lt;&gt;"","・管","")&amp;IF(U35&lt;&gt;"","・SV","")&amp;IF(V35&lt;&gt;"","・データ送付待ち","")&amp;IF(W35&lt;&gt;"","・削除","")</f>
        <v/>
      </c>
    </row>
    <row r="36" ht="15" customHeight="1" s="87">
      <c r="A36" s="90" t="n">
        <v>202460000110</v>
      </c>
      <c r="B36" s="90" t="n"/>
      <c r="C36" s="90" t="n"/>
      <c r="D36" s="90" t="n">
        <v>20</v>
      </c>
      <c r="E36" s="90" t="inlineStr">
        <is>
          <t>20 確認待ち</t>
        </is>
      </c>
      <c r="F36" s="90" t="n">
        <v>20</v>
      </c>
      <c r="G36" s="90" t="inlineStr">
        <is>
          <t>20 差戻し</t>
        </is>
      </c>
      <c r="H36" s="91" t="n">
        <v>45383</v>
      </c>
      <c r="I36" s="92" t="n">
        <v>45405</v>
      </c>
      <c r="J36" s="91" t="n">
        <v>45387</v>
      </c>
      <c r="K36" s="91" t="n">
        <v>45617</v>
      </c>
      <c r="L36" s="90" t="n"/>
      <c r="M36" s="90" t="n"/>
      <c r="N36" s="90" t="n"/>
      <c r="O36" s="90" t="inlineStr">
        <is>
          <t>57 削除待ち登録</t>
        </is>
      </c>
      <c r="P36" s="90" t="n"/>
      <c r="Q36" s="90" t="n"/>
      <c r="R36" s="90" t="n"/>
      <c r="S36" s="90" t="n"/>
      <c r="T36" s="90" t="n"/>
      <c r="U36" s="90" t="n"/>
      <c r="V36" s="90" t="n"/>
      <c r="W36" s="93" t="inlineStr">
        <is>
          <t>削</t>
        </is>
      </c>
      <c r="X36" s="90" t="n"/>
      <c r="Y36" s="90" t="n"/>
      <c r="Z36" s="90" t="n"/>
      <c r="AA36" s="90" t="n"/>
      <c r="AB36" s="90" t="n">
        <v>22</v>
      </c>
      <c r="AC36" s="90" t="n">
        <v>1</v>
      </c>
      <c r="AD36" s="93" t="inlineStr">
        <is>
          <t>増</t>
        </is>
      </c>
      <c r="AE36" s="90" t="inlineStr">
        <is>
          <t>22 扶養親族の退職</t>
        </is>
      </c>
      <c r="AF36" s="93" t="inlineStr">
        <is>
          <t>増</t>
        </is>
      </c>
      <c r="AG36" s="93" t="inlineStr">
        <is>
          <t>増</t>
        </is>
      </c>
      <c r="AH36" s="90" t="n"/>
      <c r="AI36" s="90" t="n"/>
      <c r="AJ36" s="90" t="n"/>
      <c r="AK36" s="90" t="n"/>
      <c r="AL36" s="94">
        <f>IF(A36="","",IF(COUNTIF(A36:A$2001,A36)=1,1,0))</f>
        <v/>
      </c>
      <c r="AM36" s="94">
        <f>IF(I36="","",TODAY()-I36)</f>
        <v/>
      </c>
      <c r="AN36" s="94">
        <f>IF(A36="","",IF(AND(E36&lt;&gt;"33 確認済",E36&lt;&gt;"36 送付中"),1,0))</f>
        <v/>
      </c>
      <c r="AO36" s="94">
        <f>IF(A36="","",IF(AG36&lt;&gt;"",1,0))</f>
        <v/>
      </c>
      <c r="AP36" s="220">
        <f>IF(P36&lt;&gt;"","・添待ち","")&amp;IF(Q36&lt;&gt;"","・住民票","")&amp;IF(R36&lt;&gt;"","・発信","")&amp;IF(S36&lt;&gt;"","・確認事項","")&amp;IF(T36&lt;&gt;"","・管","")&amp;IF(U36&lt;&gt;"","・SV","")&amp;IF(V36&lt;&gt;"","・データ送付待ち","")&amp;IF(W36&lt;&gt;"","・削除","")</f>
        <v/>
      </c>
    </row>
    <row r="37" ht="15" customHeight="1" s="87">
      <c r="A37" s="90" t="n">
        <v>202460000121</v>
      </c>
      <c r="B37" s="90" t="n"/>
      <c r="C37" s="90" t="n"/>
      <c r="D37" s="90" t="n">
        <v>40</v>
      </c>
      <c r="E37" s="90" t="inlineStr">
        <is>
          <t>40 差戻し</t>
        </is>
      </c>
      <c r="F37" s="90" t="n">
        <v>20</v>
      </c>
      <c r="G37" s="90" t="inlineStr">
        <is>
          <t>20 差戻し</t>
        </is>
      </c>
      <c r="H37" s="91" t="n">
        <v>45383</v>
      </c>
      <c r="I37" s="92" t="n">
        <v>45386</v>
      </c>
      <c r="J37" s="91" t="n">
        <v>45390</v>
      </c>
      <c r="K37" s="91" t="n">
        <v>45390</v>
      </c>
      <c r="L37" s="90" t="n"/>
      <c r="M37" s="90" t="n"/>
      <c r="N37" s="90" t="n"/>
      <c r="O37" s="90" t="inlineStr">
        <is>
          <t>57 削除待ち登録</t>
        </is>
      </c>
      <c r="P37" s="90" t="n"/>
      <c r="Q37" s="90" t="n"/>
      <c r="R37" s="90" t="n"/>
      <c r="S37" s="90" t="n"/>
      <c r="T37" s="90" t="n"/>
      <c r="U37" s="90" t="n"/>
      <c r="V37" s="90" t="n"/>
      <c r="W37" s="93" t="inlineStr">
        <is>
          <t>削</t>
        </is>
      </c>
      <c r="X37" s="90" t="n"/>
      <c r="Y37" s="90" t="n"/>
      <c r="Z37" s="90" t="n"/>
      <c r="AA37" s="90" t="n"/>
      <c r="AB37" s="90" t="n">
        <v>47</v>
      </c>
      <c r="AC37" s="90" t="n">
        <v>0</v>
      </c>
      <c r="AD37" s="93" t="inlineStr">
        <is>
          <t>減</t>
        </is>
      </c>
      <c r="AE37" s="90" t="inlineStr">
        <is>
          <t>47 扶養親族の就職</t>
        </is>
      </c>
      <c r="AF37" s="93" t="inlineStr">
        <is>
          <t>減</t>
        </is>
      </c>
      <c r="AG37" s="93" t="inlineStr">
        <is>
          <t>減</t>
        </is>
      </c>
      <c r="AH37" s="93" t="inlineStr">
        <is>
          <t>減</t>
        </is>
      </c>
      <c r="AI37" s="90" t="n"/>
      <c r="AJ37" s="90" t="n"/>
      <c r="AK37" s="90" t="n"/>
      <c r="AL37" s="94">
        <f>IF(A37="","",IF(COUNTIF(A37:A$2001,A37)=1,1,0))</f>
        <v/>
      </c>
      <c r="AM37" s="94">
        <f>IF(I37="","",TODAY()-I37)</f>
        <v/>
      </c>
      <c r="AN37" s="94">
        <f>IF(A37="","",IF(AND(E37&lt;&gt;"33 確認済",E37&lt;&gt;"36 送付中"),1,0))</f>
        <v/>
      </c>
      <c r="AO37" s="94">
        <f>IF(A37="","",IF(AG37&lt;&gt;"",1,0))</f>
        <v/>
      </c>
      <c r="AP37" s="220">
        <f>IF(P37&lt;&gt;"","・添待ち","")&amp;IF(Q37&lt;&gt;"","・住民票","")&amp;IF(R37&lt;&gt;"","・発信","")&amp;IF(S37&lt;&gt;"","・確認事項","")&amp;IF(T37&lt;&gt;"","・管","")&amp;IF(U37&lt;&gt;"","・SV","")&amp;IF(V37&lt;&gt;"","・データ送付待ち","")&amp;IF(W37&lt;&gt;"","・削除","")</f>
        <v/>
      </c>
    </row>
    <row r="38" ht="15" customHeight="1" s="87">
      <c r="A38" s="90" t="n">
        <v>202460000142</v>
      </c>
      <c r="B38" s="90" t="n"/>
      <c r="C38" s="90" t="n"/>
      <c r="D38" s="90" t="n">
        <v>40</v>
      </c>
      <c r="E38" s="90" t="inlineStr">
        <is>
          <t>40 差戻し</t>
        </is>
      </c>
      <c r="F38" s="90" t="n">
        <v>20</v>
      </c>
      <c r="G38" s="90" t="inlineStr">
        <is>
          <t>20 差戻し</t>
        </is>
      </c>
      <c r="H38" s="91" t="n">
        <v>45413</v>
      </c>
      <c r="I38" s="92" t="n">
        <v>45386</v>
      </c>
      <c r="J38" s="91" t="n">
        <v>45750</v>
      </c>
      <c r="K38" s="91" t="n">
        <v>45750</v>
      </c>
      <c r="L38" s="90" t="n"/>
      <c r="M38" s="90" t="n"/>
      <c r="N38" s="90" t="n"/>
      <c r="O38" s="90" t="inlineStr">
        <is>
          <t>57 削除待ち登録</t>
        </is>
      </c>
      <c r="P38" s="90" t="n"/>
      <c r="Q38" s="90" t="n"/>
      <c r="R38" s="90" t="n"/>
      <c r="S38" s="90" t="n"/>
      <c r="T38" s="90" t="n"/>
      <c r="U38" s="90" t="n"/>
      <c r="V38" s="90" t="n"/>
      <c r="W38" s="93" t="inlineStr">
        <is>
          <t>削</t>
        </is>
      </c>
      <c r="X38" s="90" t="n"/>
      <c r="Y38" s="90" t="n"/>
      <c r="Z38" s="90" t="n"/>
      <c r="AA38" s="90" t="n"/>
      <c r="AB38" s="90" t="n">
        <v>47</v>
      </c>
      <c r="AC38" s="90" t="n">
        <v>0</v>
      </c>
      <c r="AD38" s="93" t="inlineStr">
        <is>
          <t>減</t>
        </is>
      </c>
      <c r="AE38" s="90" t="inlineStr">
        <is>
          <t>47 扶養親族の就職</t>
        </is>
      </c>
      <c r="AF38" s="90" t="n"/>
      <c r="AG38" s="93" t="inlineStr">
        <is>
          <t>減</t>
        </is>
      </c>
      <c r="AH38" s="90" t="n"/>
      <c r="AI38" s="90" t="n"/>
      <c r="AJ38" s="90" t="n"/>
      <c r="AK38" s="90" t="n"/>
      <c r="AL38" s="94">
        <f>IF(A38="","",IF(COUNTIF(A38:A$2001,A38)=1,1,0))</f>
        <v/>
      </c>
      <c r="AM38" s="94">
        <f>IF(I38="","",TODAY()-I38)</f>
        <v/>
      </c>
      <c r="AN38" s="94">
        <f>IF(A38="","",IF(AND(E38&lt;&gt;"33 確認済",E38&lt;&gt;"36 送付中"),1,0))</f>
        <v/>
      </c>
      <c r="AO38" s="94">
        <f>IF(A38="","",IF(AG38&lt;&gt;"",1,0))</f>
        <v/>
      </c>
      <c r="AP38" s="220">
        <f>IF(P38&lt;&gt;"","・添待ち","")&amp;IF(Q38&lt;&gt;"","・住民票","")&amp;IF(R38&lt;&gt;"","・発信","")&amp;IF(S38&lt;&gt;"","・確認事項","")&amp;IF(T38&lt;&gt;"","・管","")&amp;IF(U38&lt;&gt;"","・SV","")&amp;IF(V38&lt;&gt;"","・データ送付待ち","")&amp;IF(W38&lt;&gt;"","・削除","")</f>
        <v/>
      </c>
    </row>
    <row r="39" ht="15" customHeight="1" s="87">
      <c r="A39" s="90" t="n">
        <v>202460000609</v>
      </c>
      <c r="B39" s="90" t="n"/>
      <c r="C39" s="90" t="n"/>
      <c r="D39" s="90" t="n">
        <v>31</v>
      </c>
      <c r="E39" s="90" t="inlineStr">
        <is>
          <t>31 ＯＰ確認中</t>
        </is>
      </c>
      <c r="F39" s="90" t="n"/>
      <c r="G39" s="90" t="n"/>
      <c r="H39" s="91" t="n">
        <v>45296</v>
      </c>
      <c r="I39" s="92" t="n">
        <v>45413</v>
      </c>
      <c r="J39" s="91" t="n">
        <v>45420</v>
      </c>
      <c r="K39" s="91" t="n">
        <v>45425</v>
      </c>
      <c r="L39" s="90" t="n"/>
      <c r="M39" s="90" t="n"/>
      <c r="N39" s="90" t="n"/>
      <c r="O39" s="90" t="inlineStr">
        <is>
          <t>22 担当者変更</t>
        </is>
      </c>
      <c r="P39" s="90" t="n"/>
      <c r="Q39" s="90" t="n"/>
      <c r="R39" s="90" t="n"/>
      <c r="S39" s="93" t="inlineStr">
        <is>
          <t>確</t>
        </is>
      </c>
      <c r="T39" s="90" t="n"/>
      <c r="U39" s="90" t="n"/>
      <c r="V39" s="90" t="n"/>
      <c r="W39" s="90" t="n"/>
      <c r="X39" s="90" t="n"/>
      <c r="Y39" s="90" t="n"/>
      <c r="Z39" s="90" t="n"/>
      <c r="AA39" s="90" t="n"/>
      <c r="AB39" s="90" t="n">
        <v>99</v>
      </c>
      <c r="AC39" s="90" t="n">
        <v>1</v>
      </c>
      <c r="AD39" s="93" t="inlineStr">
        <is>
          <t>増</t>
        </is>
      </c>
      <c r="AE39" s="90" t="inlineStr">
        <is>
          <t>99 その他</t>
        </is>
      </c>
      <c r="AF39" s="93" t="inlineStr">
        <is>
          <t>増</t>
        </is>
      </c>
      <c r="AG39" s="93" t="inlineStr">
        <is>
          <t>増</t>
        </is>
      </c>
      <c r="AH39" s="93" t="inlineStr">
        <is>
          <t>増</t>
        </is>
      </c>
      <c r="AI39" s="90" t="n"/>
      <c r="AJ39" s="90" t="n"/>
      <c r="AK39" s="90" t="n"/>
      <c r="AL39" s="94">
        <f>IF(A39="","",IF(COUNTIF(A39:A$2001,A39)=1,1,0))</f>
        <v/>
      </c>
      <c r="AM39" s="94">
        <f>IF(I39="","",TODAY()-I39)</f>
        <v/>
      </c>
      <c r="AN39" s="94">
        <f>IF(A39="","",IF(AND(E39&lt;&gt;"33 確認済",E39&lt;&gt;"36 送付中"),1,0))</f>
        <v/>
      </c>
      <c r="AO39" s="94">
        <f>IF(A39="","",IF(AG39&lt;&gt;"",1,0))</f>
        <v/>
      </c>
      <c r="AP39" s="220">
        <f>IF(P39&lt;&gt;"","・添待ち","")&amp;IF(Q39&lt;&gt;"","・住民票","")&amp;IF(R39&lt;&gt;"","・発信","")&amp;IF(S39&lt;&gt;"","・確認事項","")&amp;IF(T39&lt;&gt;"","・管","")&amp;IF(U39&lt;&gt;"","・SV","")&amp;IF(V39&lt;&gt;"","・データ送付待ち","")&amp;IF(W39&lt;&gt;"","・削除","")</f>
        <v/>
      </c>
    </row>
    <row r="40" ht="15" customHeight="1" s="87">
      <c r="A40" s="90" t="n">
        <v>202460002704</v>
      </c>
      <c r="B40" s="90" t="n"/>
      <c r="C40" s="90" t="n"/>
      <c r="D40" s="90" t="n">
        <v>32</v>
      </c>
      <c r="E40" s="90" t="inlineStr">
        <is>
          <t>32 ＳＶ確認中</t>
        </is>
      </c>
      <c r="F40" s="90" t="n"/>
      <c r="G40" s="90" t="n"/>
      <c r="H40" s="91" t="n">
        <v>45641</v>
      </c>
      <c r="I40" s="92" t="n">
        <v>45642</v>
      </c>
      <c r="J40" s="91" t="n">
        <v>45651</v>
      </c>
      <c r="K40" s="91" t="n">
        <v>45651</v>
      </c>
      <c r="L40" s="90" t="n"/>
      <c r="M40" s="90" t="n"/>
      <c r="N40" s="90" t="n"/>
      <c r="O40" s="90" t="inlineStr">
        <is>
          <t>30 登録</t>
        </is>
      </c>
      <c r="P40" s="90" t="n"/>
      <c r="Q40" s="90" t="n"/>
      <c r="R40" s="90" t="n"/>
      <c r="S40" s="90" t="n"/>
      <c r="T40" s="90" t="n"/>
      <c r="U40" s="90" t="n"/>
      <c r="V40" s="90" t="n"/>
      <c r="W40" s="90" t="n"/>
      <c r="X40" s="90" t="n"/>
      <c r="Y40" s="90" t="n"/>
      <c r="Z40" s="90" t="n"/>
      <c r="AA40" s="90" t="n"/>
      <c r="AB40" s="90" t="n">
        <v>98</v>
      </c>
      <c r="AC40" s="90" t="n">
        <v>0</v>
      </c>
      <c r="AD40" s="93" t="inlineStr">
        <is>
          <t>減</t>
        </is>
      </c>
      <c r="AE40" s="90" t="inlineStr">
        <is>
          <t>98 年金支給に係る変更</t>
        </is>
      </c>
      <c r="AF40" s="90" t="n"/>
      <c r="AG40" s="93" t="inlineStr">
        <is>
          <t>減</t>
        </is>
      </c>
      <c r="AH40" s="90" t="n"/>
      <c r="AI40" s="90" t="n"/>
      <c r="AJ40" s="90" t="n"/>
      <c r="AK40" s="90" t="n"/>
      <c r="AL40" s="94">
        <f>IF(A40="","",IF(COUNTIF(A40:A$2001,A40)=1,1,0))</f>
        <v/>
      </c>
      <c r="AM40" s="94">
        <f>IF(I40="","",TODAY()-I40)</f>
        <v/>
      </c>
      <c r="AN40" s="94">
        <f>IF(A40="","",IF(AND(E40&lt;&gt;"33 確認済",E40&lt;&gt;"36 送付中"),1,0))</f>
        <v/>
      </c>
      <c r="AO40" s="94">
        <f>IF(A40="","",IF(AG40&lt;&gt;"",1,0))</f>
        <v/>
      </c>
      <c r="AP40" s="220">
        <f>IF(P40&lt;&gt;"","・添待ち","")&amp;IF(Q40&lt;&gt;"","・住民票","")&amp;IF(R40&lt;&gt;"","・発信","")&amp;IF(S40&lt;&gt;"","・確認事項","")&amp;IF(T40&lt;&gt;"","・管","")&amp;IF(U40&lt;&gt;"","・SV","")&amp;IF(V40&lt;&gt;"","・データ送付待ち","")&amp;IF(W40&lt;&gt;"","・削除","")</f>
        <v/>
      </c>
    </row>
    <row r="41" ht="15" customHeight="1" s="87">
      <c r="A41" s="90" t="n">
        <v>202460002924</v>
      </c>
      <c r="B41" s="90" t="n"/>
      <c r="C41" s="90" t="n"/>
      <c r="D41" s="90" t="n">
        <v>40</v>
      </c>
      <c r="E41" s="90" t="inlineStr">
        <is>
          <t>40 差戻し</t>
        </is>
      </c>
      <c r="F41" s="90" t="n">
        <v>20</v>
      </c>
      <c r="G41" s="90" t="inlineStr">
        <is>
          <t>20 差戻し</t>
        </is>
      </c>
      <c r="H41" s="91" t="n">
        <v>45626</v>
      </c>
      <c r="I41" s="92" t="n">
        <v>45681</v>
      </c>
      <c r="J41" s="91" t="n">
        <v>45734</v>
      </c>
      <c r="K41" s="91" t="n">
        <v>45735</v>
      </c>
      <c r="L41" s="90" t="n"/>
      <c r="M41" s="90" t="n"/>
      <c r="N41" s="90" t="n"/>
      <c r="O41" s="90" t="inlineStr">
        <is>
          <t>57 削除待ち登録</t>
        </is>
      </c>
      <c r="P41" s="90" t="n"/>
      <c r="Q41" s="90" t="n"/>
      <c r="R41" s="90" t="n"/>
      <c r="S41" s="90" t="n"/>
      <c r="T41" s="90" t="n"/>
      <c r="U41" s="90" t="n"/>
      <c r="V41" s="90" t="n"/>
      <c r="W41" s="93" t="inlineStr">
        <is>
          <t>削</t>
        </is>
      </c>
      <c r="X41" s="90" t="n"/>
      <c r="Y41" s="90" t="n"/>
      <c r="Z41" s="90" t="n"/>
      <c r="AA41" s="90" t="n"/>
      <c r="AB41" s="90" t="n">
        <v>22</v>
      </c>
      <c r="AC41" s="90" t="n">
        <v>1</v>
      </c>
      <c r="AD41" s="93" t="inlineStr">
        <is>
          <t>増</t>
        </is>
      </c>
      <c r="AE41" s="90" t="inlineStr">
        <is>
          <t>22 扶養親族の退職</t>
        </is>
      </c>
      <c r="AF41" s="93" t="inlineStr">
        <is>
          <t>増</t>
        </is>
      </c>
      <c r="AG41" s="93" t="inlineStr">
        <is>
          <t>増</t>
        </is>
      </c>
      <c r="AH41" s="93" t="inlineStr">
        <is>
          <t>増</t>
        </is>
      </c>
      <c r="AI41" s="90" t="n"/>
      <c r="AJ41" s="90" t="n"/>
      <c r="AK41" s="90" t="n"/>
      <c r="AL41" s="94">
        <f>IF(A41="","",IF(COUNTIF(A41:A$2001,A41)=1,1,0))</f>
        <v/>
      </c>
      <c r="AM41" s="94">
        <f>IF(I41="","",TODAY()-I41)</f>
        <v/>
      </c>
      <c r="AN41" s="94">
        <f>IF(A41="","",IF(AND(E41&lt;&gt;"33 確認済",E41&lt;&gt;"36 送付中"),1,0))</f>
        <v/>
      </c>
      <c r="AO41" s="94">
        <f>IF(A41="","",IF(AG41&lt;&gt;"",1,0))</f>
        <v/>
      </c>
      <c r="AP41" s="220">
        <f>IF(P41&lt;&gt;"","・添待ち","")&amp;IF(Q41&lt;&gt;"","・住民票","")&amp;IF(R41&lt;&gt;"","・発信","")&amp;IF(S41&lt;&gt;"","・確認事項","")&amp;IF(T41&lt;&gt;"","・管","")&amp;IF(U41&lt;&gt;"","・SV","")&amp;IF(V41&lt;&gt;"","・データ送付待ち","")&amp;IF(W41&lt;&gt;"","・削除","")</f>
        <v/>
      </c>
    </row>
    <row r="42" ht="15" customHeight="1" s="87">
      <c r="A42" s="90" t="n">
        <v>202460003120</v>
      </c>
      <c r="B42" s="90" t="n"/>
      <c r="C42" s="90" t="n"/>
      <c r="D42" s="90" t="n">
        <v>31</v>
      </c>
      <c r="E42" s="90" t="inlineStr">
        <is>
          <t>31 ＯＰ確認中</t>
        </is>
      </c>
      <c r="F42" s="90" t="n"/>
      <c r="G42" s="90" t="n"/>
      <c r="H42" s="91" t="n">
        <v>45716</v>
      </c>
      <c r="I42" s="92" t="n">
        <v>45716</v>
      </c>
      <c r="J42" s="91" t="n">
        <v>45734</v>
      </c>
      <c r="K42" s="91" t="n">
        <v>45735</v>
      </c>
      <c r="L42" s="90" t="n"/>
      <c r="M42" s="90" t="n"/>
      <c r="N42" s="90" t="n"/>
      <c r="O42" s="90" t="inlineStr">
        <is>
          <t>22 担当者変更</t>
        </is>
      </c>
      <c r="P42" s="90" t="n"/>
      <c r="Q42" s="90" t="n"/>
      <c r="R42" s="90" t="n"/>
      <c r="S42" s="90" t="n"/>
      <c r="T42" s="90" t="n"/>
      <c r="U42" s="93" t="inlineStr">
        <is>
          <t>Ｓ</t>
        </is>
      </c>
      <c r="V42" s="90" t="n"/>
      <c r="W42" s="90" t="n"/>
      <c r="X42" s="90" t="n"/>
      <c r="Y42" s="90" t="n"/>
      <c r="Z42" s="90" t="n"/>
      <c r="AA42" s="90" t="n"/>
      <c r="AB42" s="90" t="n">
        <v>51</v>
      </c>
      <c r="AC42" s="90" t="n">
        <v>0</v>
      </c>
      <c r="AD42" s="93" t="inlineStr">
        <is>
          <t>減</t>
        </is>
      </c>
      <c r="AE42" s="90" t="inlineStr">
        <is>
          <t>51 収入限度額以上</t>
        </is>
      </c>
      <c r="AF42" s="90" t="n"/>
      <c r="AG42" s="93" t="inlineStr">
        <is>
          <t>減</t>
        </is>
      </c>
      <c r="AH42" s="90" t="n"/>
      <c r="AI42" s="90" t="n"/>
      <c r="AJ42" s="90" t="n"/>
      <c r="AK42" s="90" t="n"/>
      <c r="AL42" s="94">
        <f>IF(A42="","",IF(COUNTIF(A42:A$2001,A42)=1,1,0))</f>
        <v/>
      </c>
      <c r="AM42" s="94">
        <f>IF(I42="","",TODAY()-I42)</f>
        <v/>
      </c>
      <c r="AN42" s="94">
        <f>IF(A42="","",IF(AND(E42&lt;&gt;"33 確認済",E42&lt;&gt;"36 送付中"),1,0))</f>
        <v/>
      </c>
      <c r="AO42" s="94">
        <f>IF(A42="","",IF(AG42&lt;&gt;"",1,0))</f>
        <v/>
      </c>
      <c r="AP42" s="220">
        <f>IF(P42&lt;&gt;"","・添待ち","")&amp;IF(Q42&lt;&gt;"","・住民票","")&amp;IF(R42&lt;&gt;"","・発信","")&amp;IF(S42&lt;&gt;"","・確認事項","")&amp;IF(T42&lt;&gt;"","・管","")&amp;IF(U42&lt;&gt;"","・SV","")&amp;IF(V42&lt;&gt;"","・データ送付待ち","")&amp;IF(W42&lt;&gt;"","・削除","")</f>
        <v/>
      </c>
    </row>
    <row r="43" ht="15" customHeight="1" s="87">
      <c r="A43" s="90" t="n">
        <v>202460003283</v>
      </c>
      <c r="B43" s="90" t="n"/>
      <c r="C43" s="90" t="n"/>
      <c r="D43" s="90" t="n">
        <v>31</v>
      </c>
      <c r="E43" s="90" t="inlineStr">
        <is>
          <t>31 ＯＰ確認中</t>
        </is>
      </c>
      <c r="F43" s="90" t="n"/>
      <c r="G43" s="90" t="n"/>
      <c r="H43" s="91" t="n">
        <v>45710</v>
      </c>
      <c r="I43" s="92" t="n">
        <v>45734</v>
      </c>
      <c r="J43" s="91" t="n">
        <v>45737</v>
      </c>
      <c r="K43" s="91" t="n">
        <v>45791</v>
      </c>
      <c r="L43" s="90" t="n"/>
      <c r="M43" s="90" t="n"/>
      <c r="N43" s="90" t="n"/>
      <c r="O43" s="90" t="inlineStr">
        <is>
          <t>21 担当者登録</t>
        </is>
      </c>
      <c r="P43" s="90" t="n"/>
      <c r="Q43" s="90" t="n"/>
      <c r="R43" s="90" t="n"/>
      <c r="S43" s="90" t="n"/>
      <c r="T43" s="90" t="n"/>
      <c r="U43" s="90" t="n"/>
      <c r="V43" s="90" t="n"/>
      <c r="W43" s="90" t="n"/>
      <c r="X43" s="90" t="n"/>
      <c r="Y43" s="90" t="n"/>
      <c r="Z43" s="90" t="n"/>
      <c r="AA43" s="90" t="n"/>
      <c r="AB43" s="90" t="n">
        <v>23</v>
      </c>
      <c r="AC43" s="90" t="n">
        <v>1</v>
      </c>
      <c r="AD43" s="93" t="inlineStr">
        <is>
          <t>増</t>
        </is>
      </c>
      <c r="AE43" s="90" t="inlineStr">
        <is>
          <t>23 本人の結婚</t>
        </is>
      </c>
      <c r="AF43" s="90" t="n"/>
      <c r="AG43" s="90" t="n"/>
      <c r="AH43" s="90" t="n"/>
      <c r="AI43" s="90" t="n"/>
      <c r="AJ43" s="90" t="n"/>
      <c r="AK43" s="90" t="n"/>
      <c r="AL43" s="94">
        <f>IF(A43="","",IF(COUNTIF(A43:A$2001,A43)=1,1,0))</f>
        <v/>
      </c>
      <c r="AM43" s="94">
        <f>IF(I43="","",TODAY()-I43)</f>
        <v/>
      </c>
      <c r="AN43" s="94">
        <f>IF(A43="","",IF(AND(E43&lt;&gt;"33 確認済",E43&lt;&gt;"36 送付中"),1,0))</f>
        <v/>
      </c>
      <c r="AO43" s="94">
        <f>IF(A43="","",IF(AG43&lt;&gt;"",1,0))</f>
        <v/>
      </c>
      <c r="AP43" s="220">
        <f>IF(P43&lt;&gt;"","・添待ち","")&amp;IF(Q43&lt;&gt;"","・住民票","")&amp;IF(R43&lt;&gt;"","・発信","")&amp;IF(S43&lt;&gt;"","・確認事項","")&amp;IF(T43&lt;&gt;"","・管","")&amp;IF(U43&lt;&gt;"","・SV","")&amp;IF(V43&lt;&gt;"","・データ送付待ち","")&amp;IF(W43&lt;&gt;"","・削除","")</f>
        <v/>
      </c>
    </row>
    <row r="44" ht="15" customHeight="1" s="87">
      <c r="A44" s="90" t="n">
        <v>202460003283</v>
      </c>
      <c r="B44" s="90" t="n"/>
      <c r="C44" s="90" t="n"/>
      <c r="D44" s="90" t="n">
        <v>31</v>
      </c>
      <c r="E44" s="90" t="inlineStr">
        <is>
          <t>31 ＯＰ確認中</t>
        </is>
      </c>
      <c r="F44" s="90" t="n"/>
      <c r="G44" s="90" t="n"/>
      <c r="H44" s="91" t="n">
        <v>45710</v>
      </c>
      <c r="I44" s="92" t="n">
        <v>45734</v>
      </c>
      <c r="J44" s="91" t="n">
        <v>45737</v>
      </c>
      <c r="K44" s="91" t="n">
        <v>45791</v>
      </c>
      <c r="L44" s="90" t="n"/>
      <c r="M44" s="90" t="n"/>
      <c r="N44" s="90" t="n"/>
      <c r="O44" s="90" t="inlineStr">
        <is>
          <t>21 担当者登録</t>
        </is>
      </c>
      <c r="P44" s="90" t="n"/>
      <c r="Q44" s="90" t="n"/>
      <c r="R44" s="90" t="n"/>
      <c r="S44" s="90" t="n"/>
      <c r="T44" s="90" t="n"/>
      <c r="U44" s="90" t="n"/>
      <c r="V44" s="90" t="n"/>
      <c r="W44" s="90" t="n"/>
      <c r="X44" s="90" t="n"/>
      <c r="Y44" s="90" t="n"/>
      <c r="Z44" s="90" t="n"/>
      <c r="AA44" s="90" t="n"/>
      <c r="AB44" s="90" t="n">
        <v>23</v>
      </c>
      <c r="AC44" s="90" t="n">
        <v>1</v>
      </c>
      <c r="AD44" s="93" t="inlineStr">
        <is>
          <t>増</t>
        </is>
      </c>
      <c r="AE44" s="90" t="inlineStr">
        <is>
          <t>23 結婚</t>
        </is>
      </c>
      <c r="AF44" s="90" t="n"/>
      <c r="AG44" s="90" t="n"/>
      <c r="AH44" s="90" t="n"/>
      <c r="AI44" s="90" t="n"/>
      <c r="AJ44" s="90" t="n"/>
      <c r="AK44" s="90" t="n"/>
      <c r="AL44" s="94">
        <f>IF(A44="","",IF(COUNTIF(A44:A$2001,A44)=1,1,0))</f>
        <v/>
      </c>
      <c r="AM44" s="94">
        <f>IF(I44="","",TODAY()-I44)</f>
        <v/>
      </c>
      <c r="AN44" s="94">
        <f>IF(A44="","",IF(AND(E44&lt;&gt;"33 確認済",E44&lt;&gt;"36 送付中"),1,0))</f>
        <v/>
      </c>
      <c r="AO44" s="94">
        <f>IF(A44="","",IF(AG44&lt;&gt;"",1,0))</f>
        <v/>
      </c>
      <c r="AP44" s="220">
        <f>IF(P44&lt;&gt;"","・添待ち","")&amp;IF(Q44&lt;&gt;"","・住民票","")&amp;IF(R44&lt;&gt;"","・発信","")&amp;IF(S44&lt;&gt;"","・確認事項","")&amp;IF(T44&lt;&gt;"","・管","")&amp;IF(U44&lt;&gt;"","・SV","")&amp;IF(V44&lt;&gt;"","・データ送付待ち","")&amp;IF(W44&lt;&gt;"","・削除","")</f>
        <v/>
      </c>
    </row>
    <row r="45" ht="15" customHeight="1" s="87">
      <c r="A45" s="90" t="n">
        <v>202560000309</v>
      </c>
      <c r="B45" s="90" t="n"/>
      <c r="C45" s="90" t="n"/>
      <c r="D45" s="90" t="n">
        <v>31</v>
      </c>
      <c r="E45" s="90" t="inlineStr">
        <is>
          <t>31 ＯＰ確認中</t>
        </is>
      </c>
      <c r="F45" s="90" t="n">
        <v>20</v>
      </c>
      <c r="G45" s="90" t="inlineStr">
        <is>
          <t>20 差戻し</t>
        </is>
      </c>
      <c r="H45" s="91" t="n">
        <v>45748</v>
      </c>
      <c r="I45" s="92" t="n">
        <v>45757</v>
      </c>
      <c r="J45" s="91" t="n">
        <v>45911</v>
      </c>
      <c r="K45" s="91" t="n">
        <v>45911</v>
      </c>
      <c r="L45" s="90" t="n"/>
      <c r="M45" s="90" t="n"/>
      <c r="N45" s="90" t="n"/>
      <c r="O45" s="90" t="inlineStr">
        <is>
          <t>22 担当者変更</t>
        </is>
      </c>
      <c r="P45" s="90" t="n"/>
      <c r="Q45" s="90" t="n"/>
      <c r="R45" s="90" t="n"/>
      <c r="S45" s="90" t="n"/>
      <c r="T45" s="90" t="n"/>
      <c r="U45" s="93" t="inlineStr">
        <is>
          <t>Ｓ</t>
        </is>
      </c>
      <c r="V45" s="90" t="n"/>
      <c r="W45" s="90" t="n"/>
      <c r="X45" s="90" t="n"/>
      <c r="Y45" s="90" t="n"/>
      <c r="Z45" s="90" t="n"/>
      <c r="AA45" s="90" t="n"/>
      <c r="AB45" s="90" t="n">
        <v>51</v>
      </c>
      <c r="AC45" s="90" t="n">
        <v>0</v>
      </c>
      <c r="AD45" s="93" t="inlineStr">
        <is>
          <t>減</t>
        </is>
      </c>
      <c r="AE45" s="90" t="inlineStr">
        <is>
          <t>51 収入限度額以上</t>
        </is>
      </c>
      <c r="AF45" s="93" t="inlineStr">
        <is>
          <t>減</t>
        </is>
      </c>
      <c r="AG45" s="93" t="inlineStr">
        <is>
          <t>減</t>
        </is>
      </c>
      <c r="AH45" s="90" t="n"/>
      <c r="AI45" s="90" t="n"/>
      <c r="AJ45" s="90" t="n"/>
      <c r="AK45" s="90" t="n"/>
      <c r="AL45" s="94">
        <f>IF(A45="","",IF(COUNTIF(A45:A$2001,A45)=1,1,0))</f>
        <v/>
      </c>
      <c r="AM45" s="94">
        <f>IF(I45="","",TODAY()-I45)</f>
        <v/>
      </c>
      <c r="AN45" s="94">
        <f>IF(A45="","",IF(AND(E45&lt;&gt;"33 確認済",E45&lt;&gt;"36 送付中"),1,0))</f>
        <v/>
      </c>
      <c r="AO45" s="94">
        <f>IF(A45="","",IF(AG45&lt;&gt;"",1,0))</f>
        <v/>
      </c>
      <c r="AP45" s="220">
        <f>IF(P45&lt;&gt;"","・添待ち","")&amp;IF(Q45&lt;&gt;"","・住民票","")&amp;IF(R45&lt;&gt;"","・発信","")&amp;IF(S45&lt;&gt;"","・確認事項","")&amp;IF(T45&lt;&gt;"","・管","")&amp;IF(U45&lt;&gt;"","・SV","")&amp;IF(V45&lt;&gt;"","・データ送付待ち","")&amp;IF(W45&lt;&gt;"","・削除","")</f>
        <v/>
      </c>
    </row>
    <row r="46" ht="15" customHeight="1" s="87">
      <c r="A46" s="90" t="n">
        <v>202560000569</v>
      </c>
      <c r="B46" s="90" t="n"/>
      <c r="C46" s="90" t="n"/>
      <c r="D46" s="90" t="n">
        <v>40</v>
      </c>
      <c r="E46" s="90" t="inlineStr">
        <is>
          <t>40 差戻し</t>
        </is>
      </c>
      <c r="F46" s="90" t="n">
        <v>20</v>
      </c>
      <c r="G46" s="90" t="inlineStr">
        <is>
          <t>20 差戻し</t>
        </is>
      </c>
      <c r="H46" s="91" t="n">
        <v>45748</v>
      </c>
      <c r="I46" s="92" t="n">
        <v>45778</v>
      </c>
      <c r="J46" s="91" t="n">
        <v>45945</v>
      </c>
      <c r="K46" s="91" t="n">
        <v>45945</v>
      </c>
      <c r="L46" s="90" t="n"/>
      <c r="M46" s="90" t="n"/>
      <c r="N46" s="90" t="n"/>
      <c r="O46" s="90" t="inlineStr">
        <is>
          <t>57 削除待ち登録</t>
        </is>
      </c>
      <c r="P46" s="90" t="n"/>
      <c r="Q46" s="90" t="n"/>
      <c r="R46" s="90" t="n"/>
      <c r="S46" s="90" t="n"/>
      <c r="T46" s="90" t="n"/>
      <c r="U46" s="90" t="n"/>
      <c r="V46" s="90" t="n"/>
      <c r="W46" s="93" t="inlineStr">
        <is>
          <t>削</t>
        </is>
      </c>
      <c r="X46" s="90" t="n"/>
      <c r="Y46" s="90" t="n"/>
      <c r="Z46" s="90" t="n"/>
      <c r="AA46" s="90" t="n"/>
      <c r="AB46" s="90" t="n">
        <v>22</v>
      </c>
      <c r="AC46" s="90" t="n">
        <v>1</v>
      </c>
      <c r="AD46" s="93" t="inlineStr">
        <is>
          <t>増</t>
        </is>
      </c>
      <c r="AE46" s="90" t="inlineStr">
        <is>
          <t>22 扶養親族の退職</t>
        </is>
      </c>
      <c r="AF46" s="93" t="inlineStr">
        <is>
          <t>増</t>
        </is>
      </c>
      <c r="AG46" s="93" t="inlineStr">
        <is>
          <t>増</t>
        </is>
      </c>
      <c r="AH46" s="93" t="inlineStr">
        <is>
          <t>増</t>
        </is>
      </c>
      <c r="AI46" s="90" t="n"/>
      <c r="AJ46" s="90" t="n"/>
      <c r="AK46" s="90" t="n"/>
      <c r="AL46" s="94">
        <f>IF(A46="","",IF(COUNTIF(A46:A$2001,A46)=1,1,0))</f>
        <v/>
      </c>
      <c r="AM46" s="94">
        <f>IF(I46="","",TODAY()-I46)</f>
        <v/>
      </c>
      <c r="AN46" s="94">
        <f>IF(A46="","",IF(AND(E46&lt;&gt;"33 確認済",E46&lt;&gt;"36 送付中"),1,0))</f>
        <v/>
      </c>
      <c r="AO46" s="94">
        <f>IF(A46="","",IF(AG46&lt;&gt;"",1,0))</f>
        <v/>
      </c>
      <c r="AP46" s="220">
        <f>IF(P46&lt;&gt;"","・添待ち","")&amp;IF(Q46&lt;&gt;"","・住民票","")&amp;IF(R46&lt;&gt;"","・発信","")&amp;IF(S46&lt;&gt;"","・確認事項","")&amp;IF(T46&lt;&gt;"","・管","")&amp;IF(U46&lt;&gt;"","・SV","")&amp;IF(V46&lt;&gt;"","・データ送付待ち","")&amp;IF(W46&lt;&gt;"","・削除","")</f>
        <v/>
      </c>
    </row>
    <row r="47" ht="15" customHeight="1" s="87">
      <c r="A47" s="90" t="n">
        <v>202560000773</v>
      </c>
      <c r="B47" s="90" t="n"/>
      <c r="C47" s="90" t="n"/>
      <c r="D47" s="90" t="n">
        <v>32</v>
      </c>
      <c r="E47" s="90" t="inlineStr">
        <is>
          <t>32 ＳＶ確認中</t>
        </is>
      </c>
      <c r="F47" s="90" t="n">
        <v>30</v>
      </c>
      <c r="G47" s="90" t="inlineStr">
        <is>
          <t>30 却下</t>
        </is>
      </c>
      <c r="H47" s="91" t="n">
        <v>45804</v>
      </c>
      <c r="I47" s="92" t="n">
        <v>45804</v>
      </c>
      <c r="J47" s="91" t="n">
        <v>45806</v>
      </c>
      <c r="K47" s="91" t="n">
        <v>45832</v>
      </c>
      <c r="L47" s="90" t="n"/>
      <c r="M47" s="90" t="n"/>
      <c r="N47" s="90" t="n"/>
      <c r="O47" s="90" t="inlineStr">
        <is>
          <t>51 管理スタッフ却下</t>
        </is>
      </c>
      <c r="P47" s="90" t="n"/>
      <c r="Q47" s="90" t="n"/>
      <c r="R47" s="90" t="n"/>
      <c r="S47" s="90" t="n"/>
      <c r="T47" s="90" t="n"/>
      <c r="U47" s="90" t="n"/>
      <c r="V47" s="93" t="inlineStr">
        <is>
          <t>デ</t>
        </is>
      </c>
      <c r="W47" s="90" t="n"/>
      <c r="X47" s="90" t="n"/>
      <c r="Y47" s="90" t="n"/>
      <c r="Z47" s="90" t="n"/>
      <c r="AA47" s="90" t="n"/>
      <c r="AB47" s="90" t="n">
        <v>50</v>
      </c>
      <c r="AC47" s="90" t="n">
        <v>0</v>
      </c>
      <c r="AD47" s="93" t="inlineStr">
        <is>
          <t>減</t>
        </is>
      </c>
      <c r="AE47" s="90" t="inlineStr">
        <is>
          <t>50 扶養者の変更</t>
        </is>
      </c>
      <c r="AF47" s="93" t="inlineStr">
        <is>
          <t>減</t>
        </is>
      </c>
      <c r="AG47" s="93" t="inlineStr">
        <is>
          <t>減</t>
        </is>
      </c>
      <c r="AH47" s="93" t="inlineStr">
        <is>
          <t>減</t>
        </is>
      </c>
      <c r="AI47" s="90" t="n"/>
      <c r="AJ47" s="90" t="n"/>
      <c r="AK47" s="90" t="n"/>
      <c r="AL47" s="94">
        <f>IF(A47="","",IF(COUNTIF(A47:A$2001,A47)=1,1,0))</f>
        <v/>
      </c>
      <c r="AM47" s="94">
        <f>IF(I47="","",TODAY()-I47)</f>
        <v/>
      </c>
      <c r="AN47" s="94">
        <f>IF(A47="","",IF(AND(E47&lt;&gt;"33 確認済",E47&lt;&gt;"36 送付中"),1,0))</f>
        <v/>
      </c>
      <c r="AO47" s="94">
        <f>IF(A47="","",IF(AG47&lt;&gt;"",1,0))</f>
        <v/>
      </c>
      <c r="AP47" s="220">
        <f>IF(P47&lt;&gt;"","・添待ち","")&amp;IF(Q47&lt;&gt;"","・住民票","")&amp;IF(R47&lt;&gt;"","・発信","")&amp;IF(S47&lt;&gt;"","・確認事項","")&amp;IF(T47&lt;&gt;"","・管","")&amp;IF(U47&lt;&gt;"","・SV","")&amp;IF(V47&lt;&gt;"","・データ送付待ち","")&amp;IF(W47&lt;&gt;"","・削除","")</f>
        <v/>
      </c>
    </row>
    <row r="48" ht="15" customHeight="1" s="87">
      <c r="A48" s="90" t="n">
        <v>202560001201</v>
      </c>
      <c r="B48" s="90" t="n"/>
      <c r="C48" s="90" t="n"/>
      <c r="D48" s="90" t="n">
        <v>31</v>
      </c>
      <c r="E48" s="90" t="inlineStr">
        <is>
          <t>31 ＯＰ確認中</t>
        </is>
      </c>
      <c r="F48" s="90" t="n"/>
      <c r="G48" s="90" t="n"/>
      <c r="H48" s="91" t="n">
        <v>45843</v>
      </c>
      <c r="I48" s="92" t="n">
        <v>45875</v>
      </c>
      <c r="J48" s="91" t="n">
        <v>45979</v>
      </c>
      <c r="K48" s="91" t="n">
        <v>45979</v>
      </c>
      <c r="L48" s="90" t="n"/>
      <c r="M48" s="90" t="n"/>
      <c r="N48" s="90" t="n"/>
      <c r="O48" s="90" t="inlineStr">
        <is>
          <t>21 担当者登録</t>
        </is>
      </c>
      <c r="P48" s="90" t="n"/>
      <c r="Q48" s="90" t="n"/>
      <c r="R48" s="90" t="n"/>
      <c r="S48" s="90" t="n"/>
      <c r="T48" s="90" t="n"/>
      <c r="U48" s="90" t="n"/>
      <c r="V48" s="90" t="n"/>
      <c r="W48" s="90" t="n"/>
      <c r="X48" s="90" t="n"/>
      <c r="Y48" s="90" t="n"/>
      <c r="Z48" s="90" t="n"/>
      <c r="AA48" s="90" t="n"/>
      <c r="AB48" s="90" t="n">
        <v>3</v>
      </c>
      <c r="AC48" s="90" t="n">
        <v>0</v>
      </c>
      <c r="AD48" s="93" t="inlineStr">
        <is>
          <t>減</t>
        </is>
      </c>
      <c r="AE48" s="90" t="inlineStr">
        <is>
          <t>03 離婚</t>
        </is>
      </c>
      <c r="AF48" s="93" t="inlineStr">
        <is>
          <t>減</t>
        </is>
      </c>
      <c r="AG48" s="93" t="inlineStr">
        <is>
          <t>減</t>
        </is>
      </c>
      <c r="AH48" s="93" t="inlineStr">
        <is>
          <t>減</t>
        </is>
      </c>
      <c r="AI48" s="90" t="n"/>
      <c r="AJ48" s="90" t="n"/>
      <c r="AK48" s="90" t="n"/>
      <c r="AL48" s="94">
        <f>IF(A48="","",IF(COUNTIF(A48:A$2001,A48)=1,1,0))</f>
        <v/>
      </c>
      <c r="AM48" s="94">
        <f>IF(I48="","",TODAY()-I48)</f>
        <v/>
      </c>
      <c r="AN48" s="94">
        <f>IF(A48="","",IF(AND(E48&lt;&gt;"33 確認済",E48&lt;&gt;"36 送付中"),1,0))</f>
        <v/>
      </c>
      <c r="AO48" s="94">
        <f>IF(A48="","",IF(AG48&lt;&gt;"",1,0))</f>
        <v/>
      </c>
      <c r="AP48" s="220">
        <f>IF(P48&lt;&gt;"","・添待ち","")&amp;IF(Q48&lt;&gt;"","・住民票","")&amp;IF(R48&lt;&gt;"","・発信","")&amp;IF(S48&lt;&gt;"","・確認事項","")&amp;IF(T48&lt;&gt;"","・管","")&amp;IF(U48&lt;&gt;"","・SV","")&amp;IF(V48&lt;&gt;"","・データ送付待ち","")&amp;IF(W48&lt;&gt;"","・削除","")</f>
        <v/>
      </c>
    </row>
    <row r="49" ht="15" customHeight="1" s="87">
      <c r="A49" s="90" t="n">
        <v>202560001622</v>
      </c>
      <c r="B49" s="90" t="n"/>
      <c r="C49" s="90" t="n"/>
      <c r="D49" s="90" t="n">
        <v>40</v>
      </c>
      <c r="E49" s="90" t="inlineStr">
        <is>
          <t>40 差戻し</t>
        </is>
      </c>
      <c r="F49" s="90" t="n">
        <v>20</v>
      </c>
      <c r="G49" s="90" t="inlineStr">
        <is>
          <t>20 差戻し</t>
        </is>
      </c>
      <c r="H49" s="91" t="n">
        <v>45204</v>
      </c>
      <c r="I49" s="92" t="n">
        <v>45924</v>
      </c>
      <c r="J49" s="91" t="n">
        <v>45925</v>
      </c>
      <c r="K49" s="91" t="n">
        <v>45925</v>
      </c>
      <c r="L49" s="90" t="n"/>
      <c r="M49" s="90" t="n"/>
      <c r="N49" s="90" t="n"/>
      <c r="O49" s="90" t="inlineStr">
        <is>
          <t>57 削除待ち登録</t>
        </is>
      </c>
      <c r="P49" s="90" t="n"/>
      <c r="Q49" s="90" t="n"/>
      <c r="R49" s="90" t="n"/>
      <c r="S49" s="90" t="n"/>
      <c r="T49" s="90" t="n"/>
      <c r="U49" s="90" t="n"/>
      <c r="V49" s="90" t="n"/>
      <c r="W49" s="93" t="inlineStr">
        <is>
          <t>削</t>
        </is>
      </c>
      <c r="X49" s="90" t="n"/>
      <c r="Y49" s="90" t="n"/>
      <c r="Z49" s="90" t="n"/>
      <c r="AA49" s="90" t="n"/>
      <c r="AB49" s="90" t="n">
        <v>3</v>
      </c>
      <c r="AC49" s="90" t="n">
        <v>0</v>
      </c>
      <c r="AD49" s="93" t="inlineStr">
        <is>
          <t>減</t>
        </is>
      </c>
      <c r="AE49" s="90" t="inlineStr">
        <is>
          <t>03 離婚</t>
        </is>
      </c>
      <c r="AF49" s="90" t="n"/>
      <c r="AG49" s="90" t="n"/>
      <c r="AH49" s="90" t="n"/>
      <c r="AI49" s="90" t="n"/>
      <c r="AJ49" s="90" t="n"/>
      <c r="AK49" s="90" t="n"/>
      <c r="AL49" s="94">
        <f>IF(A49="","",IF(COUNTIF(A49:A$2001,A49)=1,1,0))</f>
        <v/>
      </c>
      <c r="AM49" s="94">
        <f>IF(I49="","",TODAY()-I49)</f>
        <v/>
      </c>
      <c r="AN49" s="94">
        <f>IF(A49="","",IF(AND(E49&lt;&gt;"33 確認済",E49&lt;&gt;"36 送付中"),1,0))</f>
        <v/>
      </c>
      <c r="AO49" s="94">
        <f>IF(A49="","",IF(AG49&lt;&gt;"",1,0))</f>
        <v/>
      </c>
      <c r="AP49" s="220">
        <f>IF(P49&lt;&gt;"","・添待ち","")&amp;IF(Q49&lt;&gt;"","・住民票","")&amp;IF(R49&lt;&gt;"","・発信","")&amp;IF(S49&lt;&gt;"","・確認事項","")&amp;IF(T49&lt;&gt;"","・管","")&amp;IF(U49&lt;&gt;"","・SV","")&amp;IF(V49&lt;&gt;"","・データ送付待ち","")&amp;IF(W49&lt;&gt;"","・削除","")</f>
        <v/>
      </c>
    </row>
    <row r="50" ht="15" customHeight="1" s="87">
      <c r="A50" s="90" t="n">
        <v>202560001758</v>
      </c>
      <c r="B50" s="90" t="n"/>
      <c r="C50" s="90" t="n"/>
      <c r="D50" s="90" t="n">
        <v>40</v>
      </c>
      <c r="E50" s="90" t="inlineStr">
        <is>
          <t>40 差戻し</t>
        </is>
      </c>
      <c r="F50" s="90" t="n">
        <v>20</v>
      </c>
      <c r="G50" s="90" t="inlineStr">
        <is>
          <t>20 差戻し</t>
        </is>
      </c>
      <c r="H50" s="91" t="n">
        <v>45382</v>
      </c>
      <c r="I50" s="92" t="n">
        <v>45952</v>
      </c>
      <c r="J50" s="91" t="n">
        <v>45957</v>
      </c>
      <c r="K50" s="91" t="n">
        <v>45957</v>
      </c>
      <c r="L50" s="90" t="n"/>
      <c r="M50" s="90" t="n"/>
      <c r="N50" s="90" t="n"/>
      <c r="O50" s="90" t="inlineStr">
        <is>
          <t>40 ＳＶ承認</t>
        </is>
      </c>
      <c r="P50" s="90" t="n"/>
      <c r="Q50" s="90" t="n"/>
      <c r="R50" s="90" t="n"/>
      <c r="S50" s="90" t="n"/>
      <c r="T50" s="90" t="n"/>
      <c r="U50" s="90" t="n"/>
      <c r="V50" s="90" t="n"/>
      <c r="W50" s="90" t="n"/>
      <c r="X50" s="90" t="n"/>
      <c r="Y50" s="90" t="n"/>
      <c r="Z50" s="90" t="n"/>
      <c r="AA50" s="90" t="n"/>
      <c r="AB50" s="90" t="n">
        <v>22</v>
      </c>
      <c r="AC50" s="90" t="n">
        <v>1</v>
      </c>
      <c r="AD50" s="93" t="inlineStr">
        <is>
          <t>増</t>
        </is>
      </c>
      <c r="AE50" s="90" t="inlineStr">
        <is>
          <t>22 扶養親族の退職</t>
        </is>
      </c>
      <c r="AF50" s="93" t="inlineStr">
        <is>
          <t>増</t>
        </is>
      </c>
      <c r="AG50" s="93" t="inlineStr">
        <is>
          <t>増</t>
        </is>
      </c>
      <c r="AH50" s="93" t="inlineStr">
        <is>
          <t>増</t>
        </is>
      </c>
      <c r="AI50" s="90" t="n"/>
      <c r="AJ50" s="90" t="n"/>
      <c r="AK50" s="90" t="n"/>
      <c r="AL50" s="94">
        <f>IF(A50="","",IF(COUNTIF(A50:A$2001,A50)=1,1,0))</f>
        <v/>
      </c>
      <c r="AM50" s="94">
        <f>IF(I50="","",TODAY()-I50)</f>
        <v/>
      </c>
      <c r="AN50" s="94">
        <f>IF(A50="","",IF(AND(E50&lt;&gt;"33 確認済",E50&lt;&gt;"36 送付中"),1,0))</f>
        <v/>
      </c>
      <c r="AO50" s="94">
        <f>IF(A50="","",IF(AG50&lt;&gt;"",1,0))</f>
        <v/>
      </c>
      <c r="AP50" s="220">
        <f>IF(P50&lt;&gt;"","・添待ち","")&amp;IF(Q50&lt;&gt;"","・住民票","")&amp;IF(R50&lt;&gt;"","・発信","")&amp;IF(S50&lt;&gt;"","・確認事項","")&amp;IF(T50&lt;&gt;"","・管","")&amp;IF(U50&lt;&gt;"","・SV","")&amp;IF(V50&lt;&gt;"","・データ送付待ち","")&amp;IF(W50&lt;&gt;"","・削除","")</f>
        <v/>
      </c>
    </row>
    <row r="51" ht="15" customHeight="1" s="87">
      <c r="A51" s="90" t="n">
        <v>202560001779</v>
      </c>
      <c r="B51" s="90" t="n"/>
      <c r="C51" s="90" t="n"/>
      <c r="D51" s="90" t="n">
        <v>40</v>
      </c>
      <c r="E51" s="90" t="inlineStr">
        <is>
          <t>40 差戻し</t>
        </is>
      </c>
      <c r="F51" s="90" t="n">
        <v>20</v>
      </c>
      <c r="G51" s="90" t="inlineStr">
        <is>
          <t>20 差戻し</t>
        </is>
      </c>
      <c r="H51" s="90" t="n"/>
      <c r="I51" s="92" t="n">
        <v>45930</v>
      </c>
      <c r="J51" s="91" t="n">
        <v>45931</v>
      </c>
      <c r="K51" s="91" t="n">
        <v>45933</v>
      </c>
      <c r="L51" s="90" t="n"/>
      <c r="M51" s="90" t="n"/>
      <c r="N51" s="90" t="n"/>
      <c r="O51" s="90" t="inlineStr">
        <is>
          <t>40 ＳＶ承認</t>
        </is>
      </c>
      <c r="P51" s="90" t="n"/>
      <c r="Q51" s="90" t="n"/>
      <c r="R51" s="90" t="n"/>
      <c r="S51" s="90" t="n"/>
      <c r="T51" s="90" t="n"/>
      <c r="U51" s="90" t="n"/>
      <c r="V51" s="90" t="n"/>
      <c r="W51" s="90" t="n"/>
      <c r="X51" s="90" t="n"/>
      <c r="Y51" s="90" t="n"/>
      <c r="Z51" s="90" t="n"/>
      <c r="AA51" s="90" t="n"/>
      <c r="AB51" s="90" t="n"/>
      <c r="AC51" s="90" t="n"/>
      <c r="AD51" s="93" t="inlineStr">
        <is>
          <t>減</t>
        </is>
      </c>
      <c r="AE51" s="90" t="n"/>
      <c r="AF51" s="90" t="n"/>
      <c r="AG51" s="90" t="n"/>
      <c r="AH51" s="90" t="n"/>
      <c r="AI51" s="90" t="n"/>
      <c r="AJ51" s="93" t="inlineStr">
        <is>
          <t>一時保存</t>
        </is>
      </c>
      <c r="AK51" s="90" t="n"/>
      <c r="AL51" s="94">
        <f>IF(A51="","",IF(COUNTIF(A51:A$2001,A51)=1,1,0))</f>
        <v/>
      </c>
      <c r="AM51" s="94">
        <f>IF(I51="","",TODAY()-I51)</f>
        <v/>
      </c>
      <c r="AN51" s="94">
        <f>IF(A51="","",IF(AND(E51&lt;&gt;"33 確認済",E51&lt;&gt;"36 送付中"),1,0))</f>
        <v/>
      </c>
      <c r="AO51" s="94">
        <f>IF(A51="","",IF(AG51&lt;&gt;"",1,0))</f>
        <v/>
      </c>
      <c r="AP51" s="220">
        <f>IF(P51&lt;&gt;"","・添待ち","")&amp;IF(Q51&lt;&gt;"","・住民票","")&amp;IF(R51&lt;&gt;"","・発信","")&amp;IF(S51&lt;&gt;"","・確認事項","")&amp;IF(T51&lt;&gt;"","・管","")&amp;IF(U51&lt;&gt;"","・SV","")&amp;IF(V51&lt;&gt;"","・データ送付待ち","")&amp;IF(W51&lt;&gt;"","・削除","")</f>
        <v/>
      </c>
    </row>
    <row r="52" ht="15" customHeight="1" s="87">
      <c r="A52" s="90" t="n">
        <v>202560002505</v>
      </c>
      <c r="B52" s="90" t="n"/>
      <c r="C52" s="90" t="n"/>
      <c r="D52" s="90" t="n">
        <v>40</v>
      </c>
      <c r="E52" s="90" t="inlineStr">
        <is>
          <t>40 差戻し</t>
        </is>
      </c>
      <c r="F52" s="90" t="n">
        <v>20</v>
      </c>
      <c r="G52" s="90" t="inlineStr">
        <is>
          <t>20 差戻し</t>
        </is>
      </c>
      <c r="H52" s="91" t="n">
        <v>46006</v>
      </c>
      <c r="I52" s="92" t="n">
        <v>46017</v>
      </c>
      <c r="J52" s="91" t="n">
        <v>46142</v>
      </c>
      <c r="K52" s="91" t="n">
        <v>46142</v>
      </c>
      <c r="L52" s="90" t="n"/>
      <c r="M52" s="90" t="n"/>
      <c r="N52" s="90" t="n"/>
      <c r="O52" s="90" t="inlineStr">
        <is>
          <t>55 添付書類待ち登録</t>
        </is>
      </c>
      <c r="P52" s="93" t="inlineStr">
        <is>
          <t>添</t>
        </is>
      </c>
      <c r="Q52" s="90" t="n"/>
      <c r="R52" s="90" t="n"/>
      <c r="S52" s="90" t="n"/>
      <c r="T52" s="90" t="n"/>
      <c r="U52" s="90" t="n"/>
      <c r="V52" s="90" t="n"/>
      <c r="W52" s="90" t="n"/>
      <c r="X52" s="90" t="n"/>
      <c r="Y52" s="90" t="n"/>
      <c r="Z52" s="90" t="n"/>
      <c r="AA52" s="90" t="n"/>
      <c r="AB52" s="90" t="n">
        <v>23</v>
      </c>
      <c r="AC52" s="90" t="n">
        <v>1</v>
      </c>
      <c r="AD52" s="93" t="inlineStr">
        <is>
          <t>増</t>
        </is>
      </c>
      <c r="AE52" s="90" t="inlineStr">
        <is>
          <t>23 本人の結婚</t>
        </is>
      </c>
      <c r="AF52" s="93" t="inlineStr">
        <is>
          <t>増</t>
        </is>
      </c>
      <c r="AG52" s="93" t="inlineStr">
        <is>
          <t>増</t>
        </is>
      </c>
      <c r="AH52" s="90" t="n"/>
      <c r="AI52" s="90" t="n"/>
      <c r="AJ52" s="90" t="n"/>
      <c r="AK52" s="90" t="n"/>
      <c r="AL52" s="94">
        <f>IF(A52="","",IF(COUNTIF(A52:A$2001,A52)=1,1,0))</f>
        <v/>
      </c>
      <c r="AM52" s="94">
        <f>IF(I52="","",TODAY()-I52)</f>
        <v/>
      </c>
      <c r="AN52" s="94">
        <f>IF(A52="","",IF(AND(E52&lt;&gt;"33 確認済",E52&lt;&gt;"36 送付中"),1,0))</f>
        <v/>
      </c>
      <c r="AO52" s="94">
        <f>IF(A52="","",IF(AG52&lt;&gt;"",1,0))</f>
        <v/>
      </c>
      <c r="AP52" s="220">
        <f>IF(P52&lt;&gt;"","・添待ち","")&amp;IF(Q52&lt;&gt;"","・住民票","")&amp;IF(R52&lt;&gt;"","・発信","")&amp;IF(S52&lt;&gt;"","・確認事項","")&amp;IF(T52&lt;&gt;"","・管","")&amp;IF(U52&lt;&gt;"","・SV","")&amp;IF(V52&lt;&gt;"","・データ送付待ち","")&amp;IF(W52&lt;&gt;"","・削除","")</f>
        <v/>
      </c>
    </row>
    <row r="53" ht="15" customHeight="1" s="87">
      <c r="A53" s="90" t="n">
        <v>202560002505</v>
      </c>
      <c r="B53" s="90" t="n"/>
      <c r="C53" s="90" t="n"/>
      <c r="D53" s="90" t="n">
        <v>40</v>
      </c>
      <c r="E53" s="90" t="inlineStr">
        <is>
          <t>40 差戻し</t>
        </is>
      </c>
      <c r="F53" s="90" t="n">
        <v>20</v>
      </c>
      <c r="G53" s="90" t="inlineStr">
        <is>
          <t>20 差戻し</t>
        </is>
      </c>
      <c r="H53" s="91" t="n">
        <v>46006</v>
      </c>
      <c r="I53" s="92" t="n">
        <v>46017</v>
      </c>
      <c r="J53" s="91" t="n">
        <v>46142</v>
      </c>
      <c r="K53" s="91" t="n">
        <v>46142</v>
      </c>
      <c r="L53" s="90" t="n"/>
      <c r="M53" s="90" t="n"/>
      <c r="N53" s="90" t="n"/>
      <c r="O53" s="90" t="inlineStr">
        <is>
          <t>55 添付書類待ち登録</t>
        </is>
      </c>
      <c r="P53" s="93" t="inlineStr">
        <is>
          <t>添</t>
        </is>
      </c>
      <c r="Q53" s="90" t="n"/>
      <c r="R53" s="90" t="n"/>
      <c r="S53" s="90" t="n"/>
      <c r="T53" s="90" t="n"/>
      <c r="U53" s="90" t="n"/>
      <c r="V53" s="90" t="n"/>
      <c r="W53" s="90" t="n"/>
      <c r="X53" s="90" t="n"/>
      <c r="Y53" s="90" t="n"/>
      <c r="Z53" s="90" t="n"/>
      <c r="AA53" s="90" t="n"/>
      <c r="AB53" s="90" t="n">
        <v>23</v>
      </c>
      <c r="AC53" s="90" t="n">
        <v>1</v>
      </c>
      <c r="AD53" s="93" t="inlineStr">
        <is>
          <t>増</t>
        </is>
      </c>
      <c r="AE53" s="90" t="inlineStr">
        <is>
          <t>23 結婚</t>
        </is>
      </c>
      <c r="AF53" s="93" t="inlineStr">
        <is>
          <t>増</t>
        </is>
      </c>
      <c r="AG53" s="93" t="inlineStr">
        <is>
          <t>増</t>
        </is>
      </c>
      <c r="AH53" s="90" t="n"/>
      <c r="AI53" s="90" t="n"/>
      <c r="AJ53" s="90" t="n"/>
      <c r="AK53" s="90" t="n"/>
      <c r="AL53" s="94">
        <f>IF(A53="","",IF(COUNTIF(A53:A$2001,A53)=1,1,0))</f>
        <v/>
      </c>
      <c r="AM53" s="94">
        <f>IF(I53="","",TODAY()-I53)</f>
        <v/>
      </c>
      <c r="AN53" s="94">
        <f>IF(A53="","",IF(AND(E53&lt;&gt;"33 確認済",E53&lt;&gt;"36 送付中"),1,0))</f>
        <v/>
      </c>
      <c r="AO53" s="94">
        <f>IF(A53="","",IF(AG53&lt;&gt;"",1,0))</f>
        <v/>
      </c>
      <c r="AP53" s="220">
        <f>IF(P53&lt;&gt;"","・添待ち","")&amp;IF(Q53&lt;&gt;"","・住民票","")&amp;IF(R53&lt;&gt;"","・発信","")&amp;IF(S53&lt;&gt;"","・確認事項","")&amp;IF(T53&lt;&gt;"","・管","")&amp;IF(U53&lt;&gt;"","・SV","")&amp;IF(V53&lt;&gt;"","・データ送付待ち","")&amp;IF(W53&lt;&gt;"","・削除","")</f>
        <v/>
      </c>
    </row>
    <row r="54" ht="15" customHeight="1" s="87">
      <c r="A54" s="90" t="n">
        <v>202560002534</v>
      </c>
      <c r="B54" s="90" t="n"/>
      <c r="C54" s="90" t="n"/>
      <c r="D54" s="90" t="n">
        <v>40</v>
      </c>
      <c r="E54" s="90" t="inlineStr">
        <is>
          <t>40 差戻し</t>
        </is>
      </c>
      <c r="F54" s="90" t="n">
        <v>20</v>
      </c>
      <c r="G54" s="90" t="inlineStr">
        <is>
          <t>20 差戻し</t>
        </is>
      </c>
      <c r="H54" s="91" t="n">
        <v>46015</v>
      </c>
      <c r="I54" s="92" t="n">
        <v>46029</v>
      </c>
      <c r="J54" s="91" t="n">
        <v>46030</v>
      </c>
      <c r="K54" s="91" t="n">
        <v>46057</v>
      </c>
      <c r="L54" s="90" t="n"/>
      <c r="M54" s="90" t="n"/>
      <c r="N54" s="90" t="n"/>
      <c r="O54" s="90" t="inlineStr">
        <is>
          <t>57 削除待ち登録</t>
        </is>
      </c>
      <c r="P54" s="90" t="n"/>
      <c r="Q54" s="90" t="n"/>
      <c r="R54" s="90" t="n"/>
      <c r="S54" s="90" t="n"/>
      <c r="T54" s="90" t="n"/>
      <c r="U54" s="90" t="n"/>
      <c r="V54" s="90" t="n"/>
      <c r="W54" s="93" t="inlineStr">
        <is>
          <t>削</t>
        </is>
      </c>
      <c r="X54" s="90" t="n"/>
      <c r="Y54" s="90" t="n"/>
      <c r="Z54" s="90" t="n"/>
      <c r="AA54" s="90" t="n"/>
      <c r="AB54" s="90" t="n">
        <v>23</v>
      </c>
      <c r="AC54" s="90" t="n">
        <v>1</v>
      </c>
      <c r="AD54" s="93" t="inlineStr">
        <is>
          <t>増</t>
        </is>
      </c>
      <c r="AE54" s="90" t="inlineStr">
        <is>
          <t>23 本人の結婚</t>
        </is>
      </c>
      <c r="AF54" s="90" t="n"/>
      <c r="AG54" s="90" t="n"/>
      <c r="AH54" s="90" t="n"/>
      <c r="AI54" s="90" t="n"/>
      <c r="AJ54" s="90" t="n"/>
      <c r="AK54" s="90" t="n"/>
      <c r="AL54" s="94">
        <f>IF(A54="","",IF(COUNTIF(A54:A$2001,A54)=1,1,0))</f>
        <v/>
      </c>
      <c r="AM54" s="94">
        <f>IF(I54="","",TODAY()-I54)</f>
        <v/>
      </c>
      <c r="AN54" s="94">
        <f>IF(A54="","",IF(AND(E54&lt;&gt;"33 確認済",E54&lt;&gt;"36 送付中"),1,0))</f>
        <v/>
      </c>
      <c r="AO54" s="94">
        <f>IF(A54="","",IF(AG54&lt;&gt;"",1,0))</f>
        <v/>
      </c>
      <c r="AP54" s="220">
        <f>IF(P54&lt;&gt;"","・添待ち","")&amp;IF(Q54&lt;&gt;"","・住民票","")&amp;IF(R54&lt;&gt;"","・発信","")&amp;IF(S54&lt;&gt;"","・確認事項","")&amp;IF(T54&lt;&gt;"","・管","")&amp;IF(U54&lt;&gt;"","・SV","")&amp;IF(V54&lt;&gt;"","・データ送付待ち","")&amp;IF(W54&lt;&gt;"","・削除","")</f>
        <v/>
      </c>
    </row>
    <row r="55" ht="15" customHeight="1" s="87">
      <c r="A55" s="90" t="n">
        <v>202560002534</v>
      </c>
      <c r="B55" s="90" t="n"/>
      <c r="C55" s="90" t="n"/>
      <c r="D55" s="90" t="n">
        <v>40</v>
      </c>
      <c r="E55" s="90" t="inlineStr">
        <is>
          <t>40 差戻し</t>
        </is>
      </c>
      <c r="F55" s="90" t="n">
        <v>20</v>
      </c>
      <c r="G55" s="90" t="inlineStr">
        <is>
          <t>20 差戻し</t>
        </is>
      </c>
      <c r="H55" s="91" t="n">
        <v>46015</v>
      </c>
      <c r="I55" s="92" t="n">
        <v>46029</v>
      </c>
      <c r="J55" s="91" t="n">
        <v>46030</v>
      </c>
      <c r="K55" s="91" t="n">
        <v>46057</v>
      </c>
      <c r="L55" s="90" t="n"/>
      <c r="M55" s="90" t="n"/>
      <c r="N55" s="90" t="n"/>
      <c r="O55" s="90" t="inlineStr">
        <is>
          <t>57 削除待ち登録</t>
        </is>
      </c>
      <c r="P55" s="90" t="n"/>
      <c r="Q55" s="90" t="n"/>
      <c r="R55" s="90" t="n"/>
      <c r="S55" s="90" t="n"/>
      <c r="T55" s="90" t="n"/>
      <c r="U55" s="90" t="n"/>
      <c r="V55" s="90" t="n"/>
      <c r="W55" s="93" t="inlineStr">
        <is>
          <t>削</t>
        </is>
      </c>
      <c r="X55" s="90" t="n"/>
      <c r="Y55" s="90" t="n"/>
      <c r="Z55" s="90" t="n"/>
      <c r="AA55" s="90" t="n"/>
      <c r="AB55" s="90" t="n">
        <v>23</v>
      </c>
      <c r="AC55" s="90" t="n">
        <v>1</v>
      </c>
      <c r="AD55" s="93" t="inlineStr">
        <is>
          <t>増</t>
        </is>
      </c>
      <c r="AE55" s="90" t="inlineStr">
        <is>
          <t>23 結婚</t>
        </is>
      </c>
      <c r="AF55" s="90" t="n"/>
      <c r="AG55" s="90" t="n"/>
      <c r="AH55" s="90" t="n"/>
      <c r="AI55" s="90" t="n"/>
      <c r="AJ55" s="90" t="n"/>
      <c r="AK55" s="90" t="n"/>
      <c r="AL55" s="94">
        <f>IF(A55="","",IF(COUNTIF(A55:A$2001,A55)=1,1,0))</f>
        <v/>
      </c>
      <c r="AM55" s="94">
        <f>IF(I55="","",TODAY()-I55)</f>
        <v/>
      </c>
      <c r="AN55" s="94">
        <f>IF(A55="","",IF(AND(E55&lt;&gt;"33 確認済",E55&lt;&gt;"36 送付中"),1,0))</f>
        <v/>
      </c>
      <c r="AO55" s="94">
        <f>IF(A55="","",IF(AG55&lt;&gt;"",1,0))</f>
        <v/>
      </c>
      <c r="AP55" s="220">
        <f>IF(P55&lt;&gt;"","・添待ち","")&amp;IF(Q55&lt;&gt;"","・住民票","")&amp;IF(R55&lt;&gt;"","・発信","")&amp;IF(S55&lt;&gt;"","・確認事項","")&amp;IF(T55&lt;&gt;"","・管","")&amp;IF(U55&lt;&gt;"","・SV","")&amp;IF(V55&lt;&gt;"","・データ送付待ち","")&amp;IF(W55&lt;&gt;"","・削除","")</f>
        <v/>
      </c>
    </row>
    <row r="56" ht="15" customHeight="1" s="87">
      <c r="A56" s="90" t="n">
        <v>202560002734</v>
      </c>
      <c r="B56" s="90" t="n"/>
      <c r="C56" s="90" t="n"/>
      <c r="D56" s="90" t="n">
        <v>20</v>
      </c>
      <c r="E56" s="90" t="inlineStr">
        <is>
          <t>20 確認待ち</t>
        </is>
      </c>
      <c r="F56" s="90" t="n"/>
      <c r="G56" s="90" t="n"/>
      <c r="H56" s="90" t="n"/>
      <c r="I56" s="92" t="n">
        <v>46057</v>
      </c>
      <c r="J56" s="90" t="n"/>
      <c r="K56" s="90" t="n"/>
      <c r="L56" s="90" t="n"/>
      <c r="M56" s="90" t="n"/>
      <c r="N56" s="90" t="n"/>
      <c r="O56" s="90" t="inlineStr">
        <is>
          <t>10 申請</t>
        </is>
      </c>
      <c r="P56" s="90" t="n"/>
      <c r="Q56" s="90" t="n"/>
      <c r="R56" s="90" t="n"/>
      <c r="S56" s="90" t="n"/>
      <c r="T56" s="90" t="n"/>
      <c r="U56" s="90" t="n"/>
      <c r="V56" s="90" t="n"/>
      <c r="W56" s="90" t="n"/>
      <c r="X56" s="90" t="n"/>
      <c r="Y56" s="90" t="n"/>
      <c r="Z56" s="90" t="n"/>
      <c r="AA56" s="90" t="n"/>
      <c r="AB56" s="90" t="n"/>
      <c r="AC56" s="90" t="n"/>
      <c r="AD56" s="93" t="inlineStr">
        <is>
          <t>減</t>
        </is>
      </c>
      <c r="AE56" s="90" t="n"/>
      <c r="AF56" s="90" t="n"/>
      <c r="AG56" s="90" t="n"/>
      <c r="AH56" s="90" t="n"/>
      <c r="AI56" s="90" t="n"/>
      <c r="AJ56" s="93" t="inlineStr">
        <is>
          <t>一時保存</t>
        </is>
      </c>
      <c r="AK56" s="90" t="n"/>
      <c r="AL56" s="94">
        <f>IF(A56="","",IF(COUNTIF(A56:A$2001,A56)=1,1,0))</f>
        <v/>
      </c>
      <c r="AM56" s="94">
        <f>IF(I56="","",TODAY()-I56)</f>
        <v/>
      </c>
      <c r="AN56" s="94">
        <f>IF(A56="","",IF(AND(E56&lt;&gt;"33 確認済",E56&lt;&gt;"36 送付中"),1,0))</f>
        <v/>
      </c>
      <c r="AO56" s="94">
        <f>IF(A56="","",IF(AG56&lt;&gt;"",1,0))</f>
        <v/>
      </c>
      <c r="AP56" s="220">
        <f>IF(P56&lt;&gt;"","・添待ち","")&amp;IF(Q56&lt;&gt;"","・住民票","")&amp;IF(R56&lt;&gt;"","・発信","")&amp;IF(S56&lt;&gt;"","・確認事項","")&amp;IF(T56&lt;&gt;"","・管","")&amp;IF(U56&lt;&gt;"","・SV","")&amp;IF(V56&lt;&gt;"","・データ送付待ち","")&amp;IF(W56&lt;&gt;"","・削除","")</f>
        <v/>
      </c>
    </row>
    <row r="57" ht="15" customHeight="1" s="87">
      <c r="A57" s="90" t="n">
        <v>202560002767</v>
      </c>
      <c r="B57" s="90" t="n"/>
      <c r="C57" s="90" t="n"/>
      <c r="D57" s="90" t="n">
        <v>32</v>
      </c>
      <c r="E57" s="90" t="inlineStr">
        <is>
          <t>32 ＳＶ確認中</t>
        </is>
      </c>
      <c r="F57" s="90" t="n"/>
      <c r="G57" s="90" t="n"/>
      <c r="H57" s="91" t="n">
        <v>46113</v>
      </c>
      <c r="I57" s="92" t="n">
        <v>46113</v>
      </c>
      <c r="J57" s="91" t="n">
        <v>46127</v>
      </c>
      <c r="K57" s="91" t="n">
        <v>46127</v>
      </c>
      <c r="L57" s="90" t="n"/>
      <c r="M57" s="90" t="n"/>
      <c r="N57" s="90" t="n"/>
      <c r="O57" s="90" t="inlineStr">
        <is>
          <t>31 差戻し</t>
        </is>
      </c>
      <c r="P57" s="93" t="inlineStr">
        <is>
          <t>添</t>
        </is>
      </c>
      <c r="Q57" s="90" t="n"/>
      <c r="R57" s="90" t="n"/>
      <c r="S57" s="90" t="n"/>
      <c r="T57" s="90" t="n"/>
      <c r="U57" s="90" t="n"/>
      <c r="V57" s="90" t="n"/>
      <c r="W57" s="90" t="n"/>
      <c r="X57" s="90" t="n"/>
      <c r="Y57" s="90" t="n"/>
      <c r="Z57" s="90" t="n"/>
      <c r="AA57" s="90" t="n"/>
      <c r="AB57" s="90" t="n">
        <v>27</v>
      </c>
      <c r="AC57" s="90" t="n">
        <v>1</v>
      </c>
      <c r="AD57" s="93" t="inlineStr">
        <is>
          <t>増</t>
        </is>
      </c>
      <c r="AE57" s="90" t="inlineStr">
        <is>
          <t>27 収入限度額以下</t>
        </is>
      </c>
      <c r="AF57" s="93" t="inlineStr">
        <is>
          <t>増</t>
        </is>
      </c>
      <c r="AG57" s="93" t="inlineStr">
        <is>
          <t>増</t>
        </is>
      </c>
      <c r="AH57" s="93" t="inlineStr">
        <is>
          <t>増</t>
        </is>
      </c>
      <c r="AI57" s="90" t="n"/>
      <c r="AJ57" s="90" t="n"/>
      <c r="AK57" s="90" t="n"/>
      <c r="AL57" s="94">
        <f>IF(A57="","",IF(COUNTIF(A57:A$2001,A57)=1,1,0))</f>
        <v/>
      </c>
      <c r="AM57" s="94">
        <f>IF(I57="","",TODAY()-I57)</f>
        <v/>
      </c>
      <c r="AN57" s="94">
        <f>IF(A57="","",IF(AND(E57&lt;&gt;"33 確認済",E57&lt;&gt;"36 送付中"),1,0))</f>
        <v/>
      </c>
      <c r="AO57" s="94">
        <f>IF(A57="","",IF(AG57&lt;&gt;"",1,0))</f>
        <v/>
      </c>
      <c r="AP57" s="220">
        <f>IF(P57&lt;&gt;"","・添待ち","")&amp;IF(Q57&lt;&gt;"","・住民票","")&amp;IF(R57&lt;&gt;"","・発信","")&amp;IF(S57&lt;&gt;"","・確認事項","")&amp;IF(T57&lt;&gt;"","・管","")&amp;IF(U57&lt;&gt;"","・SV","")&amp;IF(V57&lt;&gt;"","・データ送付待ち","")&amp;IF(W57&lt;&gt;"","・削除","")</f>
        <v/>
      </c>
    </row>
    <row r="58" ht="15" customHeight="1" s="87">
      <c r="A58" s="90" t="n">
        <v>202560002878</v>
      </c>
      <c r="B58" s="90" t="n"/>
      <c r="C58" s="90" t="n"/>
      <c r="D58" s="90" t="n">
        <v>40</v>
      </c>
      <c r="E58" s="90" t="inlineStr">
        <is>
          <t>40 差戻し</t>
        </is>
      </c>
      <c r="F58" s="90" t="n">
        <v>20</v>
      </c>
      <c r="G58" s="90" t="inlineStr">
        <is>
          <t>20 差戻し</t>
        </is>
      </c>
      <c r="H58" s="91" t="n">
        <v>46052</v>
      </c>
      <c r="I58" s="92" t="n">
        <v>46092</v>
      </c>
      <c r="J58" s="91" t="n">
        <v>46133</v>
      </c>
      <c r="K58" s="91" t="n">
        <v>46260</v>
      </c>
      <c r="L58" s="90" t="n"/>
      <c r="M58" s="90" t="n"/>
      <c r="N58" s="90" t="n"/>
      <c r="O58" s="90" t="inlineStr">
        <is>
          <t>55 添付書類待ち登録</t>
        </is>
      </c>
      <c r="P58" s="93" t="inlineStr">
        <is>
          <t>添</t>
        </is>
      </c>
      <c r="Q58" s="90" t="n"/>
      <c r="R58" s="90" t="n"/>
      <c r="S58" s="90" t="n"/>
      <c r="T58" s="90" t="n"/>
      <c r="U58" s="90" t="n"/>
      <c r="V58" s="90" t="n"/>
      <c r="W58" s="90" t="n"/>
      <c r="X58" s="90" t="n"/>
      <c r="Y58" s="90" t="n"/>
      <c r="Z58" s="90" t="n"/>
      <c r="AA58" s="90" t="n"/>
      <c r="AB58" s="90" t="n">
        <v>25</v>
      </c>
      <c r="AC58" s="90" t="n">
        <v>1</v>
      </c>
      <c r="AD58" s="93" t="inlineStr">
        <is>
          <t>増</t>
        </is>
      </c>
      <c r="AE58" s="90" t="inlineStr">
        <is>
          <t>25 育休</t>
        </is>
      </c>
      <c r="AF58" s="93" t="inlineStr">
        <is>
          <t>増</t>
        </is>
      </c>
      <c r="AG58" s="90" t="n"/>
      <c r="AH58" s="93" t="inlineStr">
        <is>
          <t>増</t>
        </is>
      </c>
      <c r="AI58" s="90" t="n"/>
      <c r="AJ58" s="90" t="n"/>
      <c r="AK58" s="90" t="n"/>
      <c r="AL58" s="94">
        <f>IF(A58="","",IF(COUNTIF(A58:A$2001,A58)=1,1,0))</f>
        <v/>
      </c>
      <c r="AM58" s="94">
        <f>IF(I58="","",TODAY()-I58)</f>
        <v/>
      </c>
      <c r="AN58" s="94">
        <f>IF(A58="","",IF(AND(E58&lt;&gt;"33 確認済",E58&lt;&gt;"36 送付中"),1,0))</f>
        <v/>
      </c>
      <c r="AO58" s="94">
        <f>IF(A58="","",IF(AG58&lt;&gt;"",1,0))</f>
        <v/>
      </c>
      <c r="AP58" s="220">
        <f>IF(P58&lt;&gt;"","・添待ち","")&amp;IF(Q58&lt;&gt;"","・住民票","")&amp;IF(R58&lt;&gt;"","・発信","")&amp;IF(S58&lt;&gt;"","・確認事項","")&amp;IF(T58&lt;&gt;"","・管","")&amp;IF(U58&lt;&gt;"","・SV","")&amp;IF(V58&lt;&gt;"","・データ送付待ち","")&amp;IF(W58&lt;&gt;"","・削除","")</f>
        <v/>
      </c>
    </row>
    <row r="59" ht="15" customHeight="1" s="87">
      <c r="A59" s="90" t="n">
        <v>202560002958</v>
      </c>
      <c r="B59" s="90" t="n"/>
      <c r="C59" s="90" t="n"/>
      <c r="D59" s="90" t="n">
        <v>32</v>
      </c>
      <c r="E59" s="90" t="inlineStr">
        <is>
          <t>32 ＳＶ確認中</t>
        </is>
      </c>
      <c r="F59" s="90" t="n">
        <v>20</v>
      </c>
      <c r="G59" s="90" t="inlineStr">
        <is>
          <t>20 差戻し</t>
        </is>
      </c>
      <c r="H59" s="91" t="n">
        <v>46143</v>
      </c>
      <c r="I59" s="92" t="n">
        <v>46190</v>
      </c>
      <c r="J59" s="91" t="n">
        <v>46282</v>
      </c>
      <c r="K59" s="91" t="n">
        <v>46282</v>
      </c>
      <c r="L59" s="90" t="n"/>
      <c r="M59" s="90" t="n"/>
      <c r="N59" s="90" t="n"/>
      <c r="O59" s="90" t="inlineStr">
        <is>
          <t>30 登録</t>
        </is>
      </c>
      <c r="P59" s="90" t="n"/>
      <c r="Q59" s="90" t="n"/>
      <c r="R59" s="90" t="n"/>
      <c r="S59" s="90" t="n"/>
      <c r="T59" s="90" t="n"/>
      <c r="U59" s="90" t="n"/>
      <c r="V59" s="90" t="n"/>
      <c r="W59" s="90" t="n"/>
      <c r="X59" s="90" t="n"/>
      <c r="Y59" s="90" t="n"/>
      <c r="Z59" s="90" t="n"/>
      <c r="AA59" s="90" t="n"/>
      <c r="AB59" s="90" t="n">
        <v>49</v>
      </c>
      <c r="AC59" s="90" t="n">
        <v>0</v>
      </c>
      <c r="AD59" s="93" t="inlineStr">
        <is>
          <t>減</t>
        </is>
      </c>
      <c r="AE59" s="90" t="inlineStr">
        <is>
          <t>49 復職</t>
        </is>
      </c>
      <c r="AF59" s="90" t="n"/>
      <c r="AG59" s="90" t="n"/>
      <c r="AH59" s="93" t="inlineStr">
        <is>
          <t>減</t>
        </is>
      </c>
      <c r="AI59" s="90" t="n"/>
      <c r="AJ59" s="90" t="n"/>
      <c r="AK59" s="90" t="n"/>
      <c r="AL59" s="94">
        <f>IF(A59="","",IF(COUNTIF(A59:A$2001,A59)=1,1,0))</f>
        <v/>
      </c>
      <c r="AM59" s="94">
        <f>IF(I59="","",TODAY()-I59)</f>
        <v/>
      </c>
      <c r="AN59" s="94">
        <f>IF(A59="","",IF(AND(E59&lt;&gt;"33 確認済",E59&lt;&gt;"36 送付中"),1,0))</f>
        <v/>
      </c>
      <c r="AO59" s="94">
        <f>IF(A59="","",IF(AG59&lt;&gt;"",1,0))</f>
        <v/>
      </c>
      <c r="AP59" s="220">
        <f>IF(P59&lt;&gt;"","・添待ち","")&amp;IF(Q59&lt;&gt;"","・住民票","")&amp;IF(R59&lt;&gt;"","・発信","")&amp;IF(S59&lt;&gt;"","・確認事項","")&amp;IF(T59&lt;&gt;"","・管","")&amp;IF(U59&lt;&gt;"","・SV","")&amp;IF(V59&lt;&gt;"","・データ送付待ち","")&amp;IF(W59&lt;&gt;"","・削除","")</f>
        <v/>
      </c>
    </row>
    <row r="60" ht="15" customHeight="1" s="87">
      <c r="A60" s="90" t="n">
        <v>202560002994</v>
      </c>
      <c r="B60" s="90" t="n"/>
      <c r="C60" s="90" t="n"/>
      <c r="D60" s="90" t="n">
        <v>31</v>
      </c>
      <c r="E60" s="90" t="inlineStr">
        <is>
          <t>31 ＯＰ確認中</t>
        </is>
      </c>
      <c r="F60" s="90" t="n">
        <v>20</v>
      </c>
      <c r="G60" s="90" t="inlineStr">
        <is>
          <t>20 差戻し</t>
        </is>
      </c>
      <c r="H60" s="91" t="n">
        <v>46113</v>
      </c>
      <c r="I60" s="92" t="n">
        <v>46139</v>
      </c>
      <c r="J60" s="91" t="n">
        <v>46233</v>
      </c>
      <c r="K60" s="91" t="n">
        <v>46233</v>
      </c>
      <c r="L60" s="90" t="n"/>
      <c r="M60" s="90" t="n"/>
      <c r="N60" s="90" t="n"/>
      <c r="O60" s="90" t="inlineStr">
        <is>
          <t>22 担当者変更</t>
        </is>
      </c>
      <c r="P60" s="93" t="inlineStr">
        <is>
          <t>添</t>
        </is>
      </c>
      <c r="Q60" s="90" t="n"/>
      <c r="R60" s="90" t="n"/>
      <c r="S60" s="90" t="n"/>
      <c r="T60" s="90" t="n"/>
      <c r="U60" s="93" t="inlineStr">
        <is>
          <t>Ｓ</t>
        </is>
      </c>
      <c r="V60" s="90" t="n"/>
      <c r="W60" s="90" t="n"/>
      <c r="X60" s="90" t="n"/>
      <c r="Y60" s="90" t="n"/>
      <c r="Z60" s="90" t="n"/>
      <c r="AA60" s="90" t="n"/>
      <c r="AB60" s="90" t="n">
        <v>34</v>
      </c>
      <c r="AC60" s="90" t="n">
        <v>1</v>
      </c>
      <c r="AD60" s="93" t="inlineStr">
        <is>
          <t>増</t>
        </is>
      </c>
      <c r="AE60" s="90" t="inlineStr">
        <is>
          <t>34 廃業</t>
        </is>
      </c>
      <c r="AF60" s="93" t="inlineStr">
        <is>
          <t>増</t>
        </is>
      </c>
      <c r="AG60" s="93" t="inlineStr">
        <is>
          <t>増</t>
        </is>
      </c>
      <c r="AH60" s="93" t="inlineStr">
        <is>
          <t>増</t>
        </is>
      </c>
      <c r="AI60" s="90" t="n"/>
      <c r="AJ60" s="90" t="n"/>
      <c r="AK60" s="90" t="n"/>
      <c r="AL60" s="94">
        <f>IF(A60="","",IF(COUNTIF(A60:A$2001,A60)=1,1,0))</f>
        <v/>
      </c>
      <c r="AM60" s="94">
        <f>IF(I60="","",TODAY()-I60)</f>
        <v/>
      </c>
      <c r="AN60" s="94">
        <f>IF(A60="","",IF(AND(E60&lt;&gt;"33 確認済",E60&lt;&gt;"36 送付中"),1,0))</f>
        <v/>
      </c>
      <c r="AO60" s="94">
        <f>IF(A60="","",IF(AG60&lt;&gt;"",1,0))</f>
        <v/>
      </c>
      <c r="AP60" s="220">
        <f>IF(P60&lt;&gt;"","・添待ち","")&amp;IF(Q60&lt;&gt;"","・住民票","")&amp;IF(R60&lt;&gt;"","・発信","")&amp;IF(S60&lt;&gt;"","・確認事項","")&amp;IF(T60&lt;&gt;"","・管","")&amp;IF(U60&lt;&gt;"","・SV","")&amp;IF(V60&lt;&gt;"","・データ送付待ち","")&amp;IF(W60&lt;&gt;"","・削除","")</f>
        <v/>
      </c>
    </row>
    <row r="61" ht="15" customHeight="1" s="87">
      <c r="A61" s="90" t="n">
        <v>202560003011</v>
      </c>
      <c r="B61" s="90" t="n"/>
      <c r="C61" s="90" t="n"/>
      <c r="D61" s="90" t="n">
        <v>40</v>
      </c>
      <c r="E61" s="90" t="inlineStr">
        <is>
          <t>40 差戻し</t>
        </is>
      </c>
      <c r="F61" s="90" t="n">
        <v>20</v>
      </c>
      <c r="G61" s="90" t="inlineStr">
        <is>
          <t>20 差戻し</t>
        </is>
      </c>
      <c r="H61" s="91" t="n">
        <v>46107</v>
      </c>
      <c r="I61" s="92" t="n">
        <v>46107</v>
      </c>
      <c r="J61" s="91" t="n">
        <v>46111</v>
      </c>
      <c r="K61" s="91" t="n">
        <v>46111</v>
      </c>
      <c r="L61" s="90" t="n"/>
      <c r="M61" s="90" t="n"/>
      <c r="N61" s="90" t="n"/>
      <c r="O61" s="90" t="inlineStr">
        <is>
          <t>40 ＳＶ承認</t>
        </is>
      </c>
      <c r="P61" s="90" t="n"/>
      <c r="Q61" s="90" t="n"/>
      <c r="R61" s="90" t="n"/>
      <c r="S61" s="90" t="n"/>
      <c r="T61" s="90" t="n"/>
      <c r="U61" s="90" t="n"/>
      <c r="V61" s="90" t="n"/>
      <c r="W61" s="90" t="n"/>
      <c r="X61" s="90" t="n"/>
      <c r="Y61" s="90" t="n"/>
      <c r="Z61" s="90" t="n"/>
      <c r="AA61" s="90" t="n"/>
      <c r="AB61" s="90" t="n">
        <v>28</v>
      </c>
      <c r="AC61" s="90" t="n">
        <v>3</v>
      </c>
      <c r="AD61" s="93" t="inlineStr">
        <is>
          <t>減</t>
        </is>
      </c>
      <c r="AE61" s="90" t="n"/>
      <c r="AF61" s="90" t="n"/>
      <c r="AG61" s="90" t="n"/>
      <c r="AH61" s="93" t="inlineStr">
        <is>
          <t>増</t>
        </is>
      </c>
      <c r="AI61" s="90" t="n"/>
      <c r="AJ61" s="90" t="n"/>
      <c r="AK61" s="90" t="n"/>
      <c r="AL61" s="94">
        <f>IF(A61="","",IF(COUNTIF(A61:A$2001,A61)=1,1,0))</f>
        <v/>
      </c>
      <c r="AM61" s="94">
        <f>IF(I61="","",TODAY()-I61)</f>
        <v/>
      </c>
      <c r="AN61" s="94">
        <f>IF(A61="","",IF(AND(E61&lt;&gt;"33 確認済",E61&lt;&gt;"36 送付中"),1,0))</f>
        <v/>
      </c>
      <c r="AO61" s="94">
        <f>IF(A61="","",IF(AG61&lt;&gt;"",1,0))</f>
        <v/>
      </c>
      <c r="AP61" s="220">
        <f>IF(P61&lt;&gt;"","・添待ち","")&amp;IF(Q61&lt;&gt;"","・住民票","")&amp;IF(R61&lt;&gt;"","・発信","")&amp;IF(S61&lt;&gt;"","・確認事項","")&amp;IF(T61&lt;&gt;"","・管","")&amp;IF(U61&lt;&gt;"","・SV","")&amp;IF(V61&lt;&gt;"","・データ送付待ち","")&amp;IF(W61&lt;&gt;"","・削除","")</f>
        <v/>
      </c>
    </row>
    <row r="62" ht="15" customHeight="1" s="87">
      <c r="A62" s="90" t="n">
        <v>202560003089</v>
      </c>
      <c r="B62" s="90" t="n"/>
      <c r="C62" s="90" t="n"/>
      <c r="D62" s="90" t="n">
        <v>32</v>
      </c>
      <c r="E62" s="90" t="inlineStr">
        <is>
          <t>32 ＳＶ確認中</t>
        </is>
      </c>
      <c r="F62" s="90" t="n"/>
      <c r="G62" s="90" t="n"/>
      <c r="H62" s="91" t="n">
        <v>46113</v>
      </c>
      <c r="I62" s="92" t="n">
        <v>46115</v>
      </c>
      <c r="J62" s="91" t="n">
        <v>46118</v>
      </c>
      <c r="K62" s="91" t="n">
        <v>46118</v>
      </c>
      <c r="L62" s="90" t="n"/>
      <c r="M62" s="90" t="n"/>
      <c r="N62" s="90" t="n"/>
      <c r="O62" s="90" t="inlineStr">
        <is>
          <t>31 差戻し</t>
        </is>
      </c>
      <c r="P62" s="90" t="n"/>
      <c r="Q62" s="90" t="n"/>
      <c r="R62" s="90" t="n"/>
      <c r="S62" s="93" t="inlineStr">
        <is>
          <t>確</t>
        </is>
      </c>
      <c r="T62" s="90" t="n"/>
      <c r="U62" s="90" t="n"/>
      <c r="V62" s="90" t="n"/>
      <c r="W62" s="90" t="n"/>
      <c r="X62" s="90" t="n"/>
      <c r="Y62" s="90" t="n"/>
      <c r="Z62" s="90" t="n"/>
      <c r="AA62" s="90" t="n"/>
      <c r="AB62" s="90" t="n">
        <v>99</v>
      </c>
      <c r="AC62" s="90" t="n">
        <v>1</v>
      </c>
      <c r="AD62" s="93" t="inlineStr">
        <is>
          <t>増</t>
        </is>
      </c>
      <c r="AE62" s="90" t="inlineStr">
        <is>
          <t>99 その他</t>
        </is>
      </c>
      <c r="AF62" s="90" t="n"/>
      <c r="AG62" s="93" t="inlineStr">
        <is>
          <t>増</t>
        </is>
      </c>
      <c r="AH62" s="93" t="inlineStr">
        <is>
          <t>増</t>
        </is>
      </c>
      <c r="AI62" s="90" t="n"/>
      <c r="AJ62" s="90" t="n"/>
      <c r="AK62" s="90" t="n"/>
      <c r="AL62" s="94">
        <f>IF(A62="","",IF(COUNTIF(A62:A$2001,A62)=1,1,0))</f>
        <v/>
      </c>
      <c r="AM62" s="94">
        <f>IF(I62="","",TODAY()-I62)</f>
        <v/>
      </c>
      <c r="AN62" s="94">
        <f>IF(A62="","",IF(AND(E62&lt;&gt;"33 確認済",E62&lt;&gt;"36 送付中"),1,0))</f>
        <v/>
      </c>
      <c r="AO62" s="94">
        <f>IF(A62="","",IF(AG62&lt;&gt;"",1,0))</f>
        <v/>
      </c>
      <c r="AP62" s="220">
        <f>IF(P62&lt;&gt;"","・添待ち","")&amp;IF(Q62&lt;&gt;"","・住民票","")&amp;IF(R62&lt;&gt;"","・発信","")&amp;IF(S62&lt;&gt;"","・確認事項","")&amp;IF(T62&lt;&gt;"","・管","")&amp;IF(U62&lt;&gt;"","・SV","")&amp;IF(V62&lt;&gt;"","・データ送付待ち","")&amp;IF(W62&lt;&gt;"","・削除","")</f>
        <v/>
      </c>
    </row>
    <row r="63" ht="15" customHeight="1" s="87">
      <c r="A63" s="90" t="n">
        <v>202560003091</v>
      </c>
      <c r="B63" s="90" t="n"/>
      <c r="C63" s="90" t="n"/>
      <c r="D63" s="90" t="n">
        <v>31</v>
      </c>
      <c r="E63" s="90" t="inlineStr">
        <is>
          <t>31 ＯＰ確認中</t>
        </is>
      </c>
      <c r="F63" s="90" t="n">
        <v>20</v>
      </c>
      <c r="G63" s="90" t="inlineStr">
        <is>
          <t>20 差戻し</t>
        </is>
      </c>
      <c r="H63" s="91" t="n">
        <v>46044</v>
      </c>
      <c r="I63" s="92" t="n">
        <v>46112</v>
      </c>
      <c r="J63" s="91" t="n">
        <v>46280</v>
      </c>
      <c r="K63" s="91" t="n">
        <v>46280</v>
      </c>
      <c r="L63" s="90" t="n"/>
      <c r="M63" s="90" t="n"/>
      <c r="N63" s="90" t="n"/>
      <c r="O63" s="90" t="inlineStr">
        <is>
          <t>22 担当者変更</t>
        </is>
      </c>
      <c r="P63" s="90" t="n"/>
      <c r="Q63" s="90" t="n"/>
      <c r="R63" s="90" t="n"/>
      <c r="S63" s="90" t="n"/>
      <c r="T63" s="90" t="n"/>
      <c r="U63" s="93" t="inlineStr">
        <is>
          <t>Ｓ</t>
        </is>
      </c>
      <c r="V63" s="90" t="n"/>
      <c r="W63" s="90" t="n"/>
      <c r="X63" s="90" t="n"/>
      <c r="Y63" s="90" t="n"/>
      <c r="Z63" s="90" t="n"/>
      <c r="AA63" s="90" t="n"/>
      <c r="AB63" s="90" t="n">
        <v>54</v>
      </c>
      <c r="AC63" s="90" t="n">
        <v>0</v>
      </c>
      <c r="AD63" s="93" t="inlineStr">
        <is>
          <t>減</t>
        </is>
      </c>
      <c r="AE63" s="90" t="inlineStr">
        <is>
          <t>54 別居</t>
        </is>
      </c>
      <c r="AF63" s="93" t="inlineStr">
        <is>
          <t>減</t>
        </is>
      </c>
      <c r="AG63" s="90" t="n"/>
      <c r="AH63" s="90" t="n"/>
      <c r="AI63" s="90" t="n"/>
      <c r="AJ63" s="90" t="n"/>
      <c r="AK63" s="90" t="n"/>
      <c r="AL63" s="94">
        <f>IF(A63="","",IF(COUNTIF(A63:A$2001,A63)=1,1,0))</f>
        <v/>
      </c>
      <c r="AM63" s="94">
        <f>IF(I63="","",TODAY()-I63)</f>
        <v/>
      </c>
      <c r="AN63" s="94">
        <f>IF(A63="","",IF(AND(E63&lt;&gt;"33 確認済",E63&lt;&gt;"36 送付中"),1,0))</f>
        <v/>
      </c>
      <c r="AO63" s="94">
        <f>IF(A63="","",IF(AG63&lt;&gt;"",1,0))</f>
        <v/>
      </c>
      <c r="AP63" s="220">
        <f>IF(P63&lt;&gt;"","・添待ち","")&amp;IF(Q63&lt;&gt;"","・住民票","")&amp;IF(R63&lt;&gt;"","・発信","")&amp;IF(S63&lt;&gt;"","・確認事項","")&amp;IF(T63&lt;&gt;"","・管","")&amp;IF(U63&lt;&gt;"","・SV","")&amp;IF(V63&lt;&gt;"","・データ送付待ち","")&amp;IF(W63&lt;&gt;"","・削除","")</f>
        <v/>
      </c>
    </row>
    <row r="64" ht="15" customHeight="1" s="87">
      <c r="A64" s="90" t="n">
        <v>202660000028</v>
      </c>
      <c r="B64" s="90" t="n"/>
      <c r="C64" s="90" t="n"/>
      <c r="D64" s="90" t="n">
        <v>20</v>
      </c>
      <c r="E64" s="90" t="inlineStr">
        <is>
          <t>20 確認待ち</t>
        </is>
      </c>
      <c r="F64" s="90" t="n"/>
      <c r="G64" s="90" t="n"/>
      <c r="H64" s="91" t="n">
        <v>46113</v>
      </c>
      <c r="I64" s="92" t="n">
        <v>46115</v>
      </c>
      <c r="J64" s="90" t="n"/>
      <c r="K64" s="90" t="n"/>
      <c r="L64" s="90" t="n"/>
      <c r="M64" s="90" t="n"/>
      <c r="N64" s="90" t="n"/>
      <c r="O64" s="90" t="inlineStr">
        <is>
          <t>10 申請</t>
        </is>
      </c>
      <c r="P64" s="90" t="n"/>
      <c r="Q64" s="90" t="n"/>
      <c r="R64" s="93" t="inlineStr">
        <is>
          <t>発</t>
        </is>
      </c>
      <c r="S64" s="90" t="n"/>
      <c r="T64" s="90" t="n"/>
      <c r="U64" s="90" t="n"/>
      <c r="V64" s="90" t="n"/>
      <c r="W64" s="90" t="n"/>
      <c r="X64" s="90" t="n"/>
      <c r="Y64" s="90" t="n"/>
      <c r="Z64" s="90" t="n"/>
      <c r="AA64" s="90" t="n"/>
      <c r="AB64" s="90" t="n">
        <v>50</v>
      </c>
      <c r="AC64" s="90" t="n">
        <v>0</v>
      </c>
      <c r="AD64" s="93" t="inlineStr">
        <is>
          <t>減</t>
        </is>
      </c>
      <c r="AE64" s="90" t="inlineStr">
        <is>
          <t>50 扶養者の変更</t>
        </is>
      </c>
      <c r="AF64" s="93" t="inlineStr">
        <is>
          <t>減</t>
        </is>
      </c>
      <c r="AG64" s="90" t="n"/>
      <c r="AH64" s="90" t="n"/>
      <c r="AI64" s="90" t="n"/>
      <c r="AJ64" s="90" t="n"/>
      <c r="AK64" s="90" t="n"/>
      <c r="AL64" s="94">
        <f>IF(A64="","",IF(COUNTIF(A64:A$2001,A64)=1,1,0))</f>
        <v/>
      </c>
      <c r="AM64" s="94">
        <f>IF(I64="","",TODAY()-I64)</f>
        <v/>
      </c>
      <c r="AN64" s="94">
        <f>IF(A64="","",IF(AND(E64&lt;&gt;"33 確認済",E64&lt;&gt;"36 送付中"),1,0))</f>
        <v/>
      </c>
      <c r="AO64" s="94">
        <f>IF(A64="","",IF(AG64&lt;&gt;"",1,0))</f>
        <v/>
      </c>
      <c r="AP64" s="220">
        <f>IF(P64&lt;&gt;"","・添待ち","")&amp;IF(Q64&lt;&gt;"","・住民票","")&amp;IF(R64&lt;&gt;"","・発信","")&amp;IF(S64&lt;&gt;"","・確認事項","")&amp;IF(T64&lt;&gt;"","・管","")&amp;IF(U64&lt;&gt;"","・SV","")&amp;IF(V64&lt;&gt;"","・データ送付待ち","")&amp;IF(W64&lt;&gt;"","・削除","")</f>
        <v/>
      </c>
    </row>
    <row r="65" ht="15" customHeight="1" s="87">
      <c r="A65" s="90" t="n">
        <v>202660000073</v>
      </c>
      <c r="B65" s="90" t="n"/>
      <c r="C65" s="90" t="n"/>
      <c r="D65" s="90" t="n">
        <v>20</v>
      </c>
      <c r="E65" s="90" t="inlineStr">
        <is>
          <t>20 確認待ち</t>
        </is>
      </c>
      <c r="F65" s="90" t="n">
        <v>20</v>
      </c>
      <c r="G65" s="90" t="inlineStr">
        <is>
          <t>20 差戻し</t>
        </is>
      </c>
      <c r="H65" s="91" t="n">
        <v>46113</v>
      </c>
      <c r="I65" s="92" t="n">
        <v>46116</v>
      </c>
      <c r="J65" s="91" t="n">
        <v>46153</v>
      </c>
      <c r="K65" s="91" t="n">
        <v>46153</v>
      </c>
      <c r="L65" s="90" t="n"/>
      <c r="M65" s="90" t="n"/>
      <c r="N65" s="90" t="n"/>
      <c r="O65" s="90" t="inlineStr">
        <is>
          <t>11 差戻し申請</t>
        </is>
      </c>
      <c r="P65" s="90" t="n"/>
      <c r="Q65" s="90" t="n"/>
      <c r="R65" s="90" t="n"/>
      <c r="S65" s="93" t="inlineStr">
        <is>
          <t>確</t>
        </is>
      </c>
      <c r="T65" s="90" t="n"/>
      <c r="U65" s="90" t="n"/>
      <c r="V65" s="90" t="n"/>
      <c r="W65" s="90" t="n"/>
      <c r="X65" s="90" t="n"/>
      <c r="Y65" s="90" t="n"/>
      <c r="Z65" s="90" t="n"/>
      <c r="AA65" s="90" t="n"/>
      <c r="AB65" s="90" t="n">
        <v>99</v>
      </c>
      <c r="AC65" s="90" t="n">
        <v>0</v>
      </c>
      <c r="AD65" s="93" t="inlineStr">
        <is>
          <t>減</t>
        </is>
      </c>
      <c r="AE65" s="90" t="inlineStr">
        <is>
          <t>99 その他</t>
        </is>
      </c>
      <c r="AF65" s="93" t="inlineStr">
        <is>
          <t>減</t>
        </is>
      </c>
      <c r="AG65" s="93" t="inlineStr">
        <is>
          <t>減</t>
        </is>
      </c>
      <c r="AH65" s="93" t="inlineStr">
        <is>
          <t>減</t>
        </is>
      </c>
      <c r="AI65" s="90" t="n"/>
      <c r="AJ65" s="90" t="n"/>
      <c r="AK65" s="90" t="n"/>
      <c r="AL65" s="94">
        <f>IF(A65="","",IF(COUNTIF(A65:A$2001,A65)=1,1,0))</f>
        <v/>
      </c>
      <c r="AM65" s="94">
        <f>IF(I65="","",TODAY()-I65)</f>
        <v/>
      </c>
      <c r="AN65" s="94">
        <f>IF(A65="","",IF(AND(E65&lt;&gt;"33 確認済",E65&lt;&gt;"36 送付中"),1,0))</f>
        <v/>
      </c>
      <c r="AO65" s="94">
        <f>IF(A65="","",IF(AG65&lt;&gt;"",1,0))</f>
        <v/>
      </c>
      <c r="AP65" s="220">
        <f>IF(P65&lt;&gt;"","・添待ち","")&amp;IF(Q65&lt;&gt;"","・住民票","")&amp;IF(R65&lt;&gt;"","・発信","")&amp;IF(S65&lt;&gt;"","・確認事項","")&amp;IF(T65&lt;&gt;"","・管","")&amp;IF(U65&lt;&gt;"","・SV","")&amp;IF(V65&lt;&gt;"","・データ送付待ち","")&amp;IF(W65&lt;&gt;"","・削除","")</f>
        <v/>
      </c>
    </row>
    <row r="66" ht="15" customHeight="1" s="87">
      <c r="A66" s="90" t="n">
        <v>202660000276</v>
      </c>
      <c r="B66" s="90" t="n"/>
      <c r="C66" s="90" t="n"/>
      <c r="D66" s="90" t="n">
        <v>40</v>
      </c>
      <c r="E66" s="90" t="inlineStr">
        <is>
          <t>40 差戻し</t>
        </is>
      </c>
      <c r="F66" s="90" t="n">
        <v>20</v>
      </c>
      <c r="G66" s="90" t="inlineStr">
        <is>
          <t>20 差戻し</t>
        </is>
      </c>
      <c r="H66" s="91" t="n">
        <v>46113</v>
      </c>
      <c r="I66" s="92" t="n">
        <v>46125</v>
      </c>
      <c r="J66" s="91" t="n">
        <v>46188</v>
      </c>
      <c r="K66" s="91" t="n">
        <v>46188</v>
      </c>
      <c r="L66" s="90" t="n"/>
      <c r="M66" s="90" t="n"/>
      <c r="N66" s="90" t="n"/>
      <c r="O66" s="90" t="inlineStr">
        <is>
          <t>55 添付書類待ち登録</t>
        </is>
      </c>
      <c r="P66" s="93" t="inlineStr">
        <is>
          <t>添</t>
        </is>
      </c>
      <c r="Q66" s="90" t="n"/>
      <c r="R66" s="90" t="n"/>
      <c r="S66" s="90" t="n"/>
      <c r="T66" s="90" t="n"/>
      <c r="U66" s="90" t="n"/>
      <c r="V66" s="90" t="n"/>
      <c r="W66" s="90" t="n"/>
      <c r="X66" s="90" t="n"/>
      <c r="Y66" s="90" t="n"/>
      <c r="Z66" s="90" t="n"/>
      <c r="AA66" s="90" t="n"/>
      <c r="AB66" s="90" t="n">
        <v>47</v>
      </c>
      <c r="AC66" s="90" t="n">
        <v>0</v>
      </c>
      <c r="AD66" s="93" t="inlineStr">
        <is>
          <t>減</t>
        </is>
      </c>
      <c r="AE66" s="90" t="inlineStr">
        <is>
          <t>47 扶養親族の就職</t>
        </is>
      </c>
      <c r="AF66" s="90" t="n"/>
      <c r="AG66" s="90" t="n"/>
      <c r="AH66" s="90" t="n"/>
      <c r="AI66" s="90" t="n"/>
      <c r="AJ66" s="90" t="n"/>
      <c r="AK66" s="90" t="n"/>
      <c r="AL66" s="94">
        <f>IF(A66="","",IF(COUNTIF(A66:A$2001,A66)=1,1,0))</f>
        <v/>
      </c>
      <c r="AM66" s="94">
        <f>IF(I66="","",TODAY()-I66)</f>
        <v/>
      </c>
      <c r="AN66" s="94">
        <f>IF(A66="","",IF(AND(E66&lt;&gt;"33 確認済",E66&lt;&gt;"36 送付中"),1,0))</f>
        <v/>
      </c>
      <c r="AO66" s="94">
        <f>IF(A66="","",IF(AG66&lt;&gt;"",1,0))</f>
        <v/>
      </c>
      <c r="AP66" s="220">
        <f>IF(P66&lt;&gt;"","・添待ち","")&amp;IF(Q66&lt;&gt;"","・住民票","")&amp;IF(R66&lt;&gt;"","・発信","")&amp;IF(S66&lt;&gt;"","・確認事項","")&amp;IF(T66&lt;&gt;"","・管","")&amp;IF(U66&lt;&gt;"","・SV","")&amp;IF(V66&lt;&gt;"","・データ送付待ち","")&amp;IF(W66&lt;&gt;"","・削除","")</f>
        <v/>
      </c>
    </row>
    <row r="67" ht="15" customHeight="1" s="87">
      <c r="A67" s="90" t="n">
        <v>202660000336</v>
      </c>
      <c r="B67" s="90" t="n"/>
      <c r="C67" s="90" t="n"/>
      <c r="D67" s="90" t="n">
        <v>36</v>
      </c>
      <c r="E67" s="90" t="inlineStr">
        <is>
          <t>36 送付中</t>
        </is>
      </c>
      <c r="F67" s="90" t="n">
        <v>20</v>
      </c>
      <c r="G67" s="90" t="inlineStr">
        <is>
          <t>20 差戻し</t>
        </is>
      </c>
      <c r="H67" s="91" t="n">
        <v>46113</v>
      </c>
      <c r="I67" s="92" t="n">
        <v>46155</v>
      </c>
      <c r="J67" s="91" t="n">
        <v>46279</v>
      </c>
      <c r="K67" s="91" t="n">
        <v>46279</v>
      </c>
      <c r="L67" s="91" t="n">
        <v>46289</v>
      </c>
      <c r="M67" s="91" t="n">
        <v>46289</v>
      </c>
      <c r="N67" s="90" t="n"/>
      <c r="O67" s="90" t="inlineStr">
        <is>
          <t>70 申請データ出力</t>
        </is>
      </c>
      <c r="P67" s="90" t="n"/>
      <c r="Q67" s="90" t="n"/>
      <c r="R67" s="90" t="n"/>
      <c r="S67" s="90" t="n"/>
      <c r="T67" s="90" t="n"/>
      <c r="U67" s="90" t="n"/>
      <c r="V67" s="90" t="n"/>
      <c r="W67" s="90" t="n"/>
      <c r="X67" s="90" t="n"/>
      <c r="Y67" s="90" t="n"/>
      <c r="Z67" s="90" t="n"/>
      <c r="AA67" s="90" t="n"/>
      <c r="AB67" s="90" t="n">
        <v>51</v>
      </c>
      <c r="AC67" s="90" t="n">
        <v>0</v>
      </c>
      <c r="AD67" s="93" t="inlineStr">
        <is>
          <t>減</t>
        </is>
      </c>
      <c r="AE67" s="90" t="inlineStr">
        <is>
          <t>51 収入限度額以上</t>
        </is>
      </c>
      <c r="AF67" s="90" t="n"/>
      <c r="AG67" s="93" t="inlineStr">
        <is>
          <t>減</t>
        </is>
      </c>
      <c r="AH67" s="93" t="inlineStr">
        <is>
          <t>減</t>
        </is>
      </c>
      <c r="AI67" s="90" t="n"/>
      <c r="AJ67" s="90" t="n"/>
      <c r="AK67" s="90" t="n"/>
      <c r="AL67" s="94">
        <f>IF(A67="","",IF(COUNTIF(A67:A$2001,A67)=1,1,0))</f>
        <v/>
      </c>
      <c r="AM67" s="94">
        <f>IF(I67="","",TODAY()-I67)</f>
        <v/>
      </c>
      <c r="AN67" s="94">
        <f>IF(A67="","",IF(AND(E67&lt;&gt;"33 確認済",E67&lt;&gt;"36 送付中"),1,0))</f>
        <v/>
      </c>
      <c r="AO67" s="94">
        <f>IF(A67="","",IF(AG67&lt;&gt;"",1,0))</f>
        <v/>
      </c>
      <c r="AP67" s="220">
        <f>IF(P67&lt;&gt;"","・添待ち","")&amp;IF(Q67&lt;&gt;"","・住民票","")&amp;IF(R67&lt;&gt;"","・発信","")&amp;IF(S67&lt;&gt;"","・確認事項","")&amp;IF(T67&lt;&gt;"","・管","")&amp;IF(U67&lt;&gt;"","・SV","")&amp;IF(V67&lt;&gt;"","・データ送付待ち","")&amp;IF(W67&lt;&gt;"","・削除","")</f>
        <v/>
      </c>
    </row>
    <row r="68" ht="15" customHeight="1" s="87">
      <c r="A68" s="90" t="n">
        <v>202660000364</v>
      </c>
      <c r="B68" s="90" t="n"/>
      <c r="C68" s="90" t="n"/>
      <c r="D68" s="90" t="n">
        <v>20</v>
      </c>
      <c r="E68" s="90" t="inlineStr">
        <is>
          <t>20 確認待ち</t>
        </is>
      </c>
      <c r="F68" s="90" t="n"/>
      <c r="G68" s="90" t="n"/>
      <c r="H68" s="91" t="n">
        <v>46113</v>
      </c>
      <c r="I68" s="92" t="n">
        <v>46132</v>
      </c>
      <c r="J68" s="90" t="n"/>
      <c r="K68" s="90" t="n"/>
      <c r="L68" s="90" t="n"/>
      <c r="M68" s="90" t="n"/>
      <c r="N68" s="90" t="n"/>
      <c r="O68" s="90" t="inlineStr">
        <is>
          <t>10 申請</t>
        </is>
      </c>
      <c r="P68" s="93" t="inlineStr">
        <is>
          <t>添</t>
        </is>
      </c>
      <c r="Q68" s="90" t="n"/>
      <c r="R68" s="90" t="n"/>
      <c r="S68" s="90" t="n"/>
      <c r="T68" s="90" t="n"/>
      <c r="U68" s="90" t="n"/>
      <c r="V68" s="90" t="n"/>
      <c r="W68" s="90" t="n"/>
      <c r="X68" s="90" t="n"/>
      <c r="Y68" s="90" t="n"/>
      <c r="Z68" s="90" t="n"/>
      <c r="AA68" s="90" t="n"/>
      <c r="AB68" s="90" t="n">
        <v>47</v>
      </c>
      <c r="AC68" s="90" t="n">
        <v>0</v>
      </c>
      <c r="AD68" s="93" t="inlineStr">
        <is>
          <t>減</t>
        </is>
      </c>
      <c r="AE68" s="90" t="inlineStr">
        <is>
          <t>47 扶養親族の就職</t>
        </is>
      </c>
      <c r="AF68" s="93" t="inlineStr">
        <is>
          <t>減</t>
        </is>
      </c>
      <c r="AG68" s="93" t="inlineStr">
        <is>
          <t>減</t>
        </is>
      </c>
      <c r="AH68" s="93" t="inlineStr">
        <is>
          <t>減</t>
        </is>
      </c>
      <c r="AI68" s="90" t="n"/>
      <c r="AJ68" s="90" t="n"/>
      <c r="AK68" s="90" t="n"/>
      <c r="AL68" s="94">
        <f>IF(A68="","",IF(COUNTIF(A68:A$2001,A68)=1,1,0))</f>
        <v/>
      </c>
      <c r="AM68" s="94">
        <f>IF(I68="","",TODAY()-I68)</f>
        <v/>
      </c>
      <c r="AN68" s="94">
        <f>IF(A68="","",IF(AND(E68&lt;&gt;"33 確認済",E68&lt;&gt;"36 送付中"),1,0))</f>
        <v/>
      </c>
      <c r="AO68" s="94">
        <f>IF(A68="","",IF(AG68&lt;&gt;"",1,0))</f>
        <v/>
      </c>
      <c r="AP68" s="220">
        <f>IF(P68&lt;&gt;"","・添待ち","")&amp;IF(Q68&lt;&gt;"","・住民票","")&amp;IF(R68&lt;&gt;"","・発信","")&amp;IF(S68&lt;&gt;"","・確認事項","")&amp;IF(T68&lt;&gt;"","・管","")&amp;IF(U68&lt;&gt;"","・SV","")&amp;IF(V68&lt;&gt;"","・データ送付待ち","")&amp;IF(W68&lt;&gt;"","・削除","")</f>
        <v/>
      </c>
    </row>
    <row r="69" ht="15" customHeight="1" s="87">
      <c r="A69" s="90" t="n">
        <v>202660000434</v>
      </c>
      <c r="B69" s="90" t="n"/>
      <c r="C69" s="90" t="n"/>
      <c r="D69" s="90" t="n">
        <v>20</v>
      </c>
      <c r="E69" s="90" t="inlineStr">
        <is>
          <t>20 確認待ち</t>
        </is>
      </c>
      <c r="F69" s="90" t="n"/>
      <c r="G69" s="90" t="n"/>
      <c r="H69" s="90" t="n"/>
      <c r="I69" s="92" t="n">
        <v>46139</v>
      </c>
      <c r="J69" s="90" t="n"/>
      <c r="K69" s="90" t="n"/>
      <c r="L69" s="90" t="n"/>
      <c r="M69" s="90" t="n"/>
      <c r="N69" s="90" t="n"/>
      <c r="O69" s="90" t="inlineStr">
        <is>
          <t>10 申請</t>
        </is>
      </c>
      <c r="P69" s="90" t="n"/>
      <c r="Q69" s="90" t="n"/>
      <c r="R69" s="90" t="n"/>
      <c r="S69" s="90" t="n"/>
      <c r="T69" s="90" t="n"/>
      <c r="U69" s="90" t="n"/>
      <c r="V69" s="90" t="n"/>
      <c r="W69" s="90" t="n"/>
      <c r="X69" s="90" t="n"/>
      <c r="Y69" s="90" t="n"/>
      <c r="Z69" s="90" t="n"/>
      <c r="AA69" s="90" t="n"/>
      <c r="AB69" s="90" t="n"/>
      <c r="AC69" s="90" t="n"/>
      <c r="AD69" s="93" t="inlineStr">
        <is>
          <t>減</t>
        </is>
      </c>
      <c r="AE69" s="90" t="n"/>
      <c r="AF69" s="90" t="n"/>
      <c r="AG69" s="90" t="n"/>
      <c r="AH69" s="90" t="n"/>
      <c r="AI69" s="90" t="n"/>
      <c r="AJ69" s="93" t="inlineStr">
        <is>
          <t>一時保存</t>
        </is>
      </c>
      <c r="AK69" s="90" t="n"/>
      <c r="AL69" s="94">
        <f>IF(A69="","",IF(COUNTIF(A69:A$2001,A69)=1,1,0))</f>
        <v/>
      </c>
      <c r="AM69" s="94">
        <f>IF(I69="","",TODAY()-I69)</f>
        <v/>
      </c>
      <c r="AN69" s="94">
        <f>IF(A69="","",IF(AND(E69&lt;&gt;"33 確認済",E69&lt;&gt;"36 送付中"),1,0))</f>
        <v/>
      </c>
      <c r="AO69" s="94">
        <f>IF(A69="","",IF(AG69&lt;&gt;"",1,0))</f>
        <v/>
      </c>
      <c r="AP69" s="220">
        <f>IF(P69&lt;&gt;"","・添待ち","")&amp;IF(Q69&lt;&gt;"","・住民票","")&amp;IF(R69&lt;&gt;"","・発信","")&amp;IF(S69&lt;&gt;"","・確認事項","")&amp;IF(T69&lt;&gt;"","・管","")&amp;IF(U69&lt;&gt;"","・SV","")&amp;IF(V69&lt;&gt;"","・データ送付待ち","")&amp;IF(W69&lt;&gt;"","・削除","")</f>
        <v/>
      </c>
    </row>
    <row r="70" ht="15" customHeight="1" s="87">
      <c r="A70" s="90" t="n">
        <v>202660000452</v>
      </c>
      <c r="B70" s="90" t="n"/>
      <c r="C70" s="90" t="n"/>
      <c r="D70" s="90" t="n">
        <v>20</v>
      </c>
      <c r="E70" s="90" t="inlineStr">
        <is>
          <t>20 確認待ち</t>
        </is>
      </c>
      <c r="F70" s="90" t="n"/>
      <c r="G70" s="90" t="n"/>
      <c r="H70" s="91" t="n">
        <v>46113</v>
      </c>
      <c r="I70" s="92" t="n">
        <v>46266</v>
      </c>
      <c r="J70" s="90" t="n"/>
      <c r="K70" s="90" t="n"/>
      <c r="L70" s="90" t="n"/>
      <c r="M70" s="90" t="n"/>
      <c r="N70" s="90" t="n"/>
      <c r="O70" s="90" t="inlineStr">
        <is>
          <t>55 添付書類待ち登録</t>
        </is>
      </c>
      <c r="P70" s="93" t="inlineStr">
        <is>
          <t>添</t>
        </is>
      </c>
      <c r="Q70" s="90" t="n"/>
      <c r="R70" s="90" t="n"/>
      <c r="S70" s="90" t="n"/>
      <c r="T70" s="90" t="n"/>
      <c r="U70" s="90" t="n"/>
      <c r="V70" s="90" t="n"/>
      <c r="W70" s="90" t="n"/>
      <c r="X70" s="90" t="n"/>
      <c r="Y70" s="90" t="n"/>
      <c r="Z70" s="90" t="n"/>
      <c r="AA70" s="90" t="n"/>
      <c r="AB70" s="90" t="n">
        <v>47</v>
      </c>
      <c r="AC70" s="90" t="n">
        <v>0</v>
      </c>
      <c r="AD70" s="93" t="inlineStr">
        <is>
          <t>減</t>
        </is>
      </c>
      <c r="AE70" s="90" t="inlineStr">
        <is>
          <t>47 扶養親族の就職</t>
        </is>
      </c>
      <c r="AF70" s="93" t="inlineStr">
        <is>
          <t>減</t>
        </is>
      </c>
      <c r="AG70" s="93" t="inlineStr">
        <is>
          <t>減</t>
        </is>
      </c>
      <c r="AH70" s="93" t="inlineStr">
        <is>
          <t>減</t>
        </is>
      </c>
      <c r="AI70" s="90" t="n"/>
      <c r="AJ70" s="90" t="n"/>
      <c r="AK70" s="90" t="n"/>
      <c r="AL70" s="94">
        <f>IF(A70="","",IF(COUNTIF(A70:A$2001,A70)=1,1,0))</f>
        <v/>
      </c>
      <c r="AM70" s="94">
        <f>IF(I70="","",TODAY()-I70)</f>
        <v/>
      </c>
      <c r="AN70" s="94">
        <f>IF(A70="","",IF(AND(E70&lt;&gt;"33 確認済",E70&lt;&gt;"36 送付中"),1,0))</f>
        <v/>
      </c>
      <c r="AO70" s="94">
        <f>IF(A70="","",IF(AG70&lt;&gt;"",1,0))</f>
        <v/>
      </c>
      <c r="AP70" s="220">
        <f>IF(P70&lt;&gt;"","・添待ち","")&amp;IF(Q70&lt;&gt;"","・住民票","")&amp;IF(R70&lt;&gt;"","・発信","")&amp;IF(S70&lt;&gt;"","・確認事項","")&amp;IF(T70&lt;&gt;"","・管","")&amp;IF(U70&lt;&gt;"","・SV","")&amp;IF(V70&lt;&gt;"","・データ送付待ち","")&amp;IF(W70&lt;&gt;"","・削除","")</f>
        <v/>
      </c>
    </row>
    <row r="71" ht="15" customHeight="1" s="87">
      <c r="A71" s="90" t="n">
        <v>202660000466</v>
      </c>
      <c r="B71" s="90" t="n"/>
      <c r="C71" s="90" t="n"/>
      <c r="D71" s="90" t="n">
        <v>40</v>
      </c>
      <c r="E71" s="90" t="inlineStr">
        <is>
          <t>40 差戻し</t>
        </is>
      </c>
      <c r="F71" s="90" t="n">
        <v>20</v>
      </c>
      <c r="G71" s="90" t="inlineStr">
        <is>
          <t>20 差戻し</t>
        </is>
      </c>
      <c r="H71" s="91" t="n">
        <v>46135</v>
      </c>
      <c r="I71" s="92" t="n">
        <v>46142</v>
      </c>
      <c r="J71" s="91" t="n">
        <v>46163</v>
      </c>
      <c r="K71" s="91" t="n">
        <v>46163</v>
      </c>
      <c r="L71" s="90" t="n"/>
      <c r="M71" s="90" t="n"/>
      <c r="N71" s="90" t="n"/>
      <c r="O71" s="90" t="inlineStr">
        <is>
          <t>57 削除待ち登録</t>
        </is>
      </c>
      <c r="P71" s="90" t="n"/>
      <c r="Q71" s="90" t="n"/>
      <c r="R71" s="90" t="n"/>
      <c r="S71" s="90" t="n"/>
      <c r="T71" s="90" t="n"/>
      <c r="U71" s="90" t="n"/>
      <c r="V71" s="90" t="n"/>
      <c r="W71" s="93" t="inlineStr">
        <is>
          <t>削</t>
        </is>
      </c>
      <c r="X71" s="90" t="n"/>
      <c r="Y71" s="90" t="n"/>
      <c r="Z71" s="90" t="n"/>
      <c r="AA71" s="90" t="n"/>
      <c r="AB71" s="90" t="n">
        <v>26</v>
      </c>
      <c r="AC71" s="90" t="n">
        <v>1</v>
      </c>
      <c r="AD71" s="93" t="inlineStr">
        <is>
          <t>増</t>
        </is>
      </c>
      <c r="AE71" s="90" t="inlineStr">
        <is>
          <t>26 扶養者の変更</t>
        </is>
      </c>
      <c r="AF71" s="93" t="inlineStr">
        <is>
          <t>増</t>
        </is>
      </c>
      <c r="AG71" s="90" t="n"/>
      <c r="AH71" s="93" t="inlineStr">
        <is>
          <t>増</t>
        </is>
      </c>
      <c r="AI71" s="90" t="n"/>
      <c r="AJ71" s="90" t="n"/>
      <c r="AK71" s="90" t="n"/>
      <c r="AL71" s="94">
        <f>IF(A71="","",IF(COUNTIF(A71:A$2001,A71)=1,1,0))</f>
        <v/>
      </c>
      <c r="AM71" s="94">
        <f>IF(I71="","",TODAY()-I71)</f>
        <v/>
      </c>
      <c r="AN71" s="94">
        <f>IF(A71="","",IF(AND(E71&lt;&gt;"33 確認済",E71&lt;&gt;"36 送付中"),1,0))</f>
        <v/>
      </c>
      <c r="AO71" s="94">
        <f>IF(A71="","",IF(AG71&lt;&gt;"",1,0))</f>
        <v/>
      </c>
      <c r="AP71" s="220">
        <f>IF(P71&lt;&gt;"","・添待ち","")&amp;IF(Q71&lt;&gt;"","・住民票","")&amp;IF(R71&lt;&gt;"","・発信","")&amp;IF(S71&lt;&gt;"","・確認事項","")&amp;IF(T71&lt;&gt;"","・管","")&amp;IF(U71&lt;&gt;"","・SV","")&amp;IF(V71&lt;&gt;"","・データ送付待ち","")&amp;IF(W71&lt;&gt;"","・削除","")</f>
        <v/>
      </c>
    </row>
    <row r="72" ht="15" customHeight="1" s="87">
      <c r="A72" s="90" t="n">
        <v>202660000490</v>
      </c>
      <c r="B72" s="90" t="n"/>
      <c r="C72" s="90" t="n"/>
      <c r="D72" s="90" t="n">
        <v>40</v>
      </c>
      <c r="E72" s="90" t="inlineStr">
        <is>
          <t>40 差戻し</t>
        </is>
      </c>
      <c r="F72" s="90" t="n">
        <v>20</v>
      </c>
      <c r="G72" s="90" t="inlineStr">
        <is>
          <t>20 差戻し</t>
        </is>
      </c>
      <c r="H72" s="91" t="n">
        <v>46054</v>
      </c>
      <c r="I72" s="92" t="n">
        <v>46142</v>
      </c>
      <c r="J72" s="91" t="n">
        <v>46279</v>
      </c>
      <c r="K72" s="91" t="n">
        <v>46279</v>
      </c>
      <c r="L72" s="90" t="n"/>
      <c r="M72" s="90" t="n"/>
      <c r="N72" s="90" t="n"/>
      <c r="O72" s="90" t="inlineStr">
        <is>
          <t>55 添付書類待ち登録</t>
        </is>
      </c>
      <c r="P72" s="93" t="inlineStr">
        <is>
          <t>添</t>
        </is>
      </c>
      <c r="Q72" s="90" t="n"/>
      <c r="R72" s="90" t="n"/>
      <c r="S72" s="90" t="n"/>
      <c r="T72" s="90" t="n"/>
      <c r="U72" s="90" t="n"/>
      <c r="V72" s="90" t="n"/>
      <c r="W72" s="90" t="n"/>
      <c r="X72" s="90" t="n"/>
      <c r="Y72" s="90" t="n"/>
      <c r="Z72" s="90" t="n"/>
      <c r="AA72" s="90" t="n"/>
      <c r="AB72" s="90" t="n">
        <v>25</v>
      </c>
      <c r="AC72" s="90" t="n">
        <v>1</v>
      </c>
      <c r="AD72" s="93" t="inlineStr">
        <is>
          <t>増</t>
        </is>
      </c>
      <c r="AE72" s="90" t="inlineStr">
        <is>
          <t>25 育休</t>
        </is>
      </c>
      <c r="AF72" s="93" t="inlineStr">
        <is>
          <t>増</t>
        </is>
      </c>
      <c r="AG72" s="93" t="inlineStr">
        <is>
          <t>増</t>
        </is>
      </c>
      <c r="AH72" s="93" t="inlineStr">
        <is>
          <t>増</t>
        </is>
      </c>
      <c r="AI72" s="90" t="n"/>
      <c r="AJ72" s="90" t="n"/>
      <c r="AK72" s="90" t="n"/>
      <c r="AL72" s="94">
        <f>IF(A72="","",IF(COUNTIF(A72:A$2001,A72)=1,1,0))</f>
        <v/>
      </c>
      <c r="AM72" s="94">
        <f>IF(I72="","",TODAY()-I72)</f>
        <v/>
      </c>
      <c r="AN72" s="94">
        <f>IF(A72="","",IF(AND(E72&lt;&gt;"33 確認済",E72&lt;&gt;"36 送付中"),1,0))</f>
        <v/>
      </c>
      <c r="AO72" s="94">
        <f>IF(A72="","",IF(AG72&lt;&gt;"",1,0))</f>
        <v/>
      </c>
      <c r="AP72" s="220">
        <f>IF(P72&lt;&gt;"","・添待ち","")&amp;IF(Q72&lt;&gt;"","・住民票","")&amp;IF(R72&lt;&gt;"","・発信","")&amp;IF(S72&lt;&gt;"","・確認事項","")&amp;IF(T72&lt;&gt;"","・管","")&amp;IF(U72&lt;&gt;"","・SV","")&amp;IF(V72&lt;&gt;"","・データ送付待ち","")&amp;IF(W72&lt;&gt;"","・削除","")</f>
        <v/>
      </c>
    </row>
    <row r="73" ht="15" customHeight="1" s="87">
      <c r="A73" s="90" t="n">
        <v>202660000559</v>
      </c>
      <c r="B73" s="90" t="n"/>
      <c r="C73" s="90" t="n"/>
      <c r="D73" s="90" t="n">
        <v>36</v>
      </c>
      <c r="E73" s="90" t="inlineStr">
        <is>
          <t>36 送付中</t>
        </is>
      </c>
      <c r="F73" s="90" t="n">
        <v>20</v>
      </c>
      <c r="G73" s="90" t="inlineStr">
        <is>
          <t>20 差戻し</t>
        </is>
      </c>
      <c r="H73" s="91" t="n">
        <v>46154</v>
      </c>
      <c r="I73" s="92" t="n">
        <v>46174</v>
      </c>
      <c r="J73" s="91" t="n">
        <v>46280</v>
      </c>
      <c r="K73" s="91" t="n">
        <v>46280</v>
      </c>
      <c r="L73" s="91" t="n">
        <v>46289</v>
      </c>
      <c r="M73" s="91" t="n">
        <v>46289</v>
      </c>
      <c r="N73" s="90" t="n"/>
      <c r="O73" s="90" t="inlineStr">
        <is>
          <t>70 申請データ出力</t>
        </is>
      </c>
      <c r="P73" s="90" t="n"/>
      <c r="Q73" s="90" t="n"/>
      <c r="R73" s="90" t="n"/>
      <c r="S73" s="90" t="n"/>
      <c r="T73" s="90" t="n"/>
      <c r="U73" s="90" t="n"/>
      <c r="V73" s="90" t="n"/>
      <c r="W73" s="90" t="n"/>
      <c r="X73" s="90" t="n"/>
      <c r="Y73" s="90" t="n"/>
      <c r="Z73" s="90" t="n"/>
      <c r="AA73" s="90" t="n"/>
      <c r="AB73" s="90" t="n">
        <v>54</v>
      </c>
      <c r="AC73" s="90" t="n">
        <v>0</v>
      </c>
      <c r="AD73" s="93" t="inlineStr">
        <is>
          <t>減</t>
        </is>
      </c>
      <c r="AE73" s="90" t="inlineStr">
        <is>
          <t>54 別居</t>
        </is>
      </c>
      <c r="AF73" s="93" t="inlineStr">
        <is>
          <t>減</t>
        </is>
      </c>
      <c r="AG73" s="93" t="inlineStr">
        <is>
          <t>減</t>
        </is>
      </c>
      <c r="AH73" s="93" t="inlineStr">
        <is>
          <t>減</t>
        </is>
      </c>
      <c r="AI73" s="90" t="n"/>
      <c r="AJ73" s="90" t="n"/>
      <c r="AK73" s="90" t="n"/>
      <c r="AL73" s="94">
        <f>IF(A73="","",IF(COUNTIF(A73:A$2001,A73)=1,1,0))</f>
        <v/>
      </c>
      <c r="AM73" s="94">
        <f>IF(I73="","",TODAY()-I73)</f>
        <v/>
      </c>
      <c r="AN73" s="94">
        <f>IF(A73="","",IF(AND(E73&lt;&gt;"33 確認済",E73&lt;&gt;"36 送付中"),1,0))</f>
        <v/>
      </c>
      <c r="AO73" s="94">
        <f>IF(A73="","",IF(AG73&lt;&gt;"",1,0))</f>
        <v/>
      </c>
      <c r="AP73" s="220">
        <f>IF(P73&lt;&gt;"","・添待ち","")&amp;IF(Q73&lt;&gt;"","・住民票","")&amp;IF(R73&lt;&gt;"","・発信","")&amp;IF(S73&lt;&gt;"","・確認事項","")&amp;IF(T73&lt;&gt;"","・管","")&amp;IF(U73&lt;&gt;"","・SV","")&amp;IF(V73&lt;&gt;"","・データ送付待ち","")&amp;IF(W73&lt;&gt;"","・削除","")</f>
        <v/>
      </c>
    </row>
    <row r="74" ht="15" customHeight="1" s="87">
      <c r="A74" s="90" t="n">
        <v>202660000573</v>
      </c>
      <c r="B74" s="90" t="n"/>
      <c r="C74" s="90" t="n"/>
      <c r="D74" s="90" t="n">
        <v>33</v>
      </c>
      <c r="E74" s="90" t="inlineStr">
        <is>
          <t>33 確認済</t>
        </is>
      </c>
      <c r="F74" s="90" t="n"/>
      <c r="G74" s="90" t="n"/>
      <c r="H74" s="91" t="n">
        <v>46134</v>
      </c>
      <c r="I74" s="92" t="n">
        <v>46156</v>
      </c>
      <c r="J74" s="91" t="n">
        <v>46157</v>
      </c>
      <c r="K74" s="91" t="n">
        <v>46161</v>
      </c>
      <c r="L74" s="90" t="n"/>
      <c r="M74" s="90" t="n"/>
      <c r="N74" s="90" t="n"/>
      <c r="O74" s="90" t="inlineStr">
        <is>
          <t>40 ＳＶ承認</t>
        </is>
      </c>
      <c r="P74" s="90" t="n"/>
      <c r="Q74" s="90" t="n"/>
      <c r="R74" s="90" t="n"/>
      <c r="S74" s="90" t="n"/>
      <c r="T74" s="90" t="n"/>
      <c r="U74" s="90" t="n"/>
      <c r="V74" s="90" t="n"/>
      <c r="W74" s="90" t="n"/>
      <c r="X74" s="90" t="n"/>
      <c r="Y74" s="90" t="n"/>
      <c r="Z74" s="90" t="n"/>
      <c r="AA74" s="90" t="n"/>
      <c r="AB74" s="90" t="n">
        <v>23</v>
      </c>
      <c r="AC74" s="90" t="n">
        <v>1</v>
      </c>
      <c r="AD74" s="93" t="inlineStr">
        <is>
          <t>増</t>
        </is>
      </c>
      <c r="AE74" s="90" t="inlineStr">
        <is>
          <t>23 本人の結婚</t>
        </is>
      </c>
      <c r="AF74" s="90" t="n"/>
      <c r="AG74" s="90" t="n"/>
      <c r="AH74" s="90" t="n"/>
      <c r="AI74" s="90" t="n"/>
      <c r="AJ74" s="90" t="n"/>
      <c r="AK74" s="90" t="n"/>
      <c r="AL74" s="94">
        <f>IF(A74="","",IF(COUNTIF(A74:A$2001,A74)=1,1,0))</f>
        <v/>
      </c>
      <c r="AM74" s="94">
        <f>IF(I74="","",TODAY()-I74)</f>
        <v/>
      </c>
      <c r="AN74" s="94">
        <f>IF(A74="","",IF(AND(E74&lt;&gt;"33 確認済",E74&lt;&gt;"36 送付中"),1,0))</f>
        <v/>
      </c>
      <c r="AO74" s="94">
        <f>IF(A74="","",IF(AG74&lt;&gt;"",1,0))</f>
        <v/>
      </c>
      <c r="AP74" s="220">
        <f>IF(P74&lt;&gt;"","・添待ち","")&amp;IF(Q74&lt;&gt;"","・住民票","")&amp;IF(R74&lt;&gt;"","・発信","")&amp;IF(S74&lt;&gt;"","・確認事項","")&amp;IF(T74&lt;&gt;"","・管","")&amp;IF(U74&lt;&gt;"","・SV","")&amp;IF(V74&lt;&gt;"","・データ送付待ち","")&amp;IF(W74&lt;&gt;"","・削除","")</f>
        <v/>
      </c>
    </row>
    <row r="75" ht="15" customHeight="1" s="87">
      <c r="A75" s="90" t="n">
        <v>202660000573</v>
      </c>
      <c r="B75" s="90" t="n"/>
      <c r="C75" s="90" t="n"/>
      <c r="D75" s="90" t="n">
        <v>33</v>
      </c>
      <c r="E75" s="90" t="inlineStr">
        <is>
          <t>33 確認済</t>
        </is>
      </c>
      <c r="F75" s="90" t="n"/>
      <c r="G75" s="90" t="n"/>
      <c r="H75" s="91" t="n">
        <v>46134</v>
      </c>
      <c r="I75" s="92" t="n">
        <v>46156</v>
      </c>
      <c r="J75" s="91" t="n">
        <v>46157</v>
      </c>
      <c r="K75" s="91" t="n">
        <v>46161</v>
      </c>
      <c r="L75" s="90" t="n"/>
      <c r="M75" s="90" t="n"/>
      <c r="N75" s="90" t="n"/>
      <c r="O75" s="90" t="inlineStr">
        <is>
          <t>40 ＳＶ承認</t>
        </is>
      </c>
      <c r="P75" s="90" t="n"/>
      <c r="Q75" s="90" t="n"/>
      <c r="R75" s="90" t="n"/>
      <c r="S75" s="90" t="n"/>
      <c r="T75" s="90" t="n"/>
      <c r="U75" s="90" t="n"/>
      <c r="V75" s="90" t="n"/>
      <c r="W75" s="90" t="n"/>
      <c r="X75" s="90" t="n"/>
      <c r="Y75" s="90" t="n"/>
      <c r="Z75" s="90" t="n"/>
      <c r="AA75" s="90" t="n"/>
      <c r="AB75" s="90" t="n">
        <v>23</v>
      </c>
      <c r="AC75" s="90" t="n">
        <v>1</v>
      </c>
      <c r="AD75" s="93" t="inlineStr">
        <is>
          <t>増</t>
        </is>
      </c>
      <c r="AE75" s="90" t="inlineStr">
        <is>
          <t>23 結婚</t>
        </is>
      </c>
      <c r="AF75" s="90" t="n"/>
      <c r="AG75" s="90" t="n"/>
      <c r="AH75" s="90" t="n"/>
      <c r="AI75" s="90" t="n"/>
      <c r="AJ75" s="90" t="n"/>
      <c r="AK75" s="90" t="n"/>
      <c r="AL75" s="94">
        <f>IF(A75="","",IF(COUNTIF(A75:A$2001,A75)=1,1,0))</f>
        <v/>
      </c>
      <c r="AM75" s="94">
        <f>IF(I75="","",TODAY()-I75)</f>
        <v/>
      </c>
      <c r="AN75" s="94">
        <f>IF(A75="","",IF(AND(E75&lt;&gt;"33 確認済",E75&lt;&gt;"36 送付中"),1,0))</f>
        <v/>
      </c>
      <c r="AO75" s="94">
        <f>IF(A75="","",IF(AG75&lt;&gt;"",1,0))</f>
        <v/>
      </c>
      <c r="AP75" s="220">
        <f>IF(P75&lt;&gt;"","・添待ち","")&amp;IF(Q75&lt;&gt;"","・住民票","")&amp;IF(R75&lt;&gt;"","・発信","")&amp;IF(S75&lt;&gt;"","・確認事項","")&amp;IF(T75&lt;&gt;"","・管","")&amp;IF(U75&lt;&gt;"","・SV","")&amp;IF(V75&lt;&gt;"","・データ送付待ち","")&amp;IF(W75&lt;&gt;"","・削除","")</f>
        <v/>
      </c>
    </row>
    <row r="76" ht="15" customHeight="1" s="87">
      <c r="A76" s="90" t="n">
        <v>202660000574</v>
      </c>
      <c r="B76" s="90" t="n"/>
      <c r="C76" s="90" t="n"/>
      <c r="D76" s="90" t="n">
        <v>40</v>
      </c>
      <c r="E76" s="90" t="inlineStr">
        <is>
          <t>40 差戻し</t>
        </is>
      </c>
      <c r="F76" s="90" t="n">
        <v>20</v>
      </c>
      <c r="G76" s="90" t="inlineStr">
        <is>
          <t>20 差戻し</t>
        </is>
      </c>
      <c r="H76" s="91" t="n">
        <v>46113</v>
      </c>
      <c r="I76" s="92" t="n">
        <v>46156</v>
      </c>
      <c r="J76" s="91" t="n">
        <v>46239</v>
      </c>
      <c r="K76" s="91" t="n">
        <v>46239</v>
      </c>
      <c r="L76" s="90" t="n"/>
      <c r="M76" s="90" t="n"/>
      <c r="N76" s="90" t="n"/>
      <c r="O76" s="90" t="inlineStr">
        <is>
          <t>55 添付書類待ち登録</t>
        </is>
      </c>
      <c r="P76" s="93" t="inlineStr">
        <is>
          <t>添</t>
        </is>
      </c>
      <c r="Q76" s="90" t="n"/>
      <c r="R76" s="90" t="n"/>
      <c r="S76" s="90" t="n"/>
      <c r="T76" s="90" t="n"/>
      <c r="U76" s="90" t="n"/>
      <c r="V76" s="90" t="n"/>
      <c r="W76" s="90" t="n"/>
      <c r="X76" s="90" t="n"/>
      <c r="Y76" s="90" t="n"/>
      <c r="Z76" s="90" t="n"/>
      <c r="AA76" s="90" t="n"/>
      <c r="AB76" s="90" t="n">
        <v>51</v>
      </c>
      <c r="AC76" s="90" t="n">
        <v>0</v>
      </c>
      <c r="AD76" s="93" t="inlineStr">
        <is>
          <t>減</t>
        </is>
      </c>
      <c r="AE76" s="90" t="inlineStr">
        <is>
          <t>51 収入限度額以上</t>
        </is>
      </c>
      <c r="AF76" s="90" t="n"/>
      <c r="AG76" s="93" t="inlineStr">
        <is>
          <t>減</t>
        </is>
      </c>
      <c r="AH76" s="93" t="inlineStr">
        <is>
          <t>減</t>
        </is>
      </c>
      <c r="AI76" s="90" t="n"/>
      <c r="AJ76" s="90" t="n"/>
      <c r="AK76" s="90" t="n"/>
      <c r="AL76" s="94">
        <f>IF(A76="","",IF(COUNTIF(A76:A$2001,A76)=1,1,0))</f>
        <v/>
      </c>
      <c r="AM76" s="94">
        <f>IF(I76="","",TODAY()-I76)</f>
        <v/>
      </c>
      <c r="AN76" s="94">
        <f>IF(A76="","",IF(AND(E76&lt;&gt;"33 確認済",E76&lt;&gt;"36 送付中"),1,0))</f>
        <v/>
      </c>
      <c r="AO76" s="94">
        <f>IF(A76="","",IF(AG76&lt;&gt;"",1,0))</f>
        <v/>
      </c>
      <c r="AP76" s="220">
        <f>IF(P76&lt;&gt;"","・添待ち","")&amp;IF(Q76&lt;&gt;"","・住民票","")&amp;IF(R76&lt;&gt;"","・発信","")&amp;IF(S76&lt;&gt;"","・確認事項","")&amp;IF(T76&lt;&gt;"","・管","")&amp;IF(U76&lt;&gt;"","・SV","")&amp;IF(V76&lt;&gt;"","・データ送付待ち","")&amp;IF(W76&lt;&gt;"","・削除","")</f>
        <v/>
      </c>
    </row>
    <row r="77" ht="15" customHeight="1" s="87">
      <c r="A77" s="90" t="n">
        <v>202660000578</v>
      </c>
      <c r="B77" s="90" t="n"/>
      <c r="C77" s="90" t="n"/>
      <c r="D77" s="90" t="n">
        <v>20</v>
      </c>
      <c r="E77" s="90" t="inlineStr">
        <is>
          <t>20 確認待ち</t>
        </is>
      </c>
      <c r="F77" s="90" t="n">
        <v>20</v>
      </c>
      <c r="G77" s="90" t="inlineStr">
        <is>
          <t>20 差戻し</t>
        </is>
      </c>
      <c r="H77" s="91" t="n">
        <v>46113</v>
      </c>
      <c r="I77" s="92" t="n">
        <v>46157</v>
      </c>
      <c r="J77" s="91" t="n">
        <v>46160</v>
      </c>
      <c r="K77" s="91" t="n">
        <v>46160</v>
      </c>
      <c r="L77" s="90" t="n"/>
      <c r="M77" s="90" t="n"/>
      <c r="N77" s="90" t="n"/>
      <c r="O77" s="90" t="inlineStr">
        <is>
          <t>11 差戻し申請</t>
        </is>
      </c>
      <c r="P77" s="90" t="n"/>
      <c r="Q77" s="90" t="n"/>
      <c r="R77" s="90" t="n"/>
      <c r="S77" s="93" t="inlineStr">
        <is>
          <t>確</t>
        </is>
      </c>
      <c r="T77" s="90" t="n"/>
      <c r="U77" s="90" t="n"/>
      <c r="V77" s="90" t="n"/>
      <c r="W77" s="90" t="n"/>
      <c r="X77" s="90" t="n"/>
      <c r="Y77" s="90" t="n"/>
      <c r="Z77" s="90" t="n"/>
      <c r="AA77" s="90" t="n"/>
      <c r="AB77" s="90" t="n">
        <v>26</v>
      </c>
      <c r="AC77" s="90" t="n">
        <v>1</v>
      </c>
      <c r="AD77" s="93" t="inlineStr">
        <is>
          <t>増</t>
        </is>
      </c>
      <c r="AE77" s="90" t="inlineStr">
        <is>
          <t>26 扶養者の変更</t>
        </is>
      </c>
      <c r="AF77" s="93" t="inlineStr">
        <is>
          <t>増</t>
        </is>
      </c>
      <c r="AG77" s="93" t="inlineStr">
        <is>
          <t>増</t>
        </is>
      </c>
      <c r="AH77" s="93" t="inlineStr">
        <is>
          <t>増</t>
        </is>
      </c>
      <c r="AI77" s="90" t="n"/>
      <c r="AJ77" s="90" t="n"/>
      <c r="AK77" s="90" t="n"/>
      <c r="AL77" s="94">
        <f>IF(A77="","",IF(COUNTIF(A77:A$2001,A77)=1,1,0))</f>
        <v/>
      </c>
      <c r="AM77" s="94">
        <f>IF(I77="","",TODAY()-I77)</f>
        <v/>
      </c>
      <c r="AN77" s="94">
        <f>IF(A77="","",IF(AND(E77&lt;&gt;"33 確認済",E77&lt;&gt;"36 送付中"),1,0))</f>
        <v/>
      </c>
      <c r="AO77" s="94">
        <f>IF(A77="","",IF(AG77&lt;&gt;"",1,0))</f>
        <v/>
      </c>
      <c r="AP77" s="220">
        <f>IF(P77&lt;&gt;"","・添待ち","")&amp;IF(Q77&lt;&gt;"","・住民票","")&amp;IF(R77&lt;&gt;"","・発信","")&amp;IF(S77&lt;&gt;"","・確認事項","")&amp;IF(T77&lt;&gt;"","・管","")&amp;IF(U77&lt;&gt;"","・SV","")&amp;IF(V77&lt;&gt;"","・データ送付待ち","")&amp;IF(W77&lt;&gt;"","・削除","")</f>
        <v/>
      </c>
    </row>
    <row r="78" ht="15" customHeight="1" s="87">
      <c r="A78" s="90" t="n">
        <v>202660000643</v>
      </c>
      <c r="B78" s="90" t="n"/>
      <c r="C78" s="90" t="n"/>
      <c r="D78" s="90" t="n">
        <v>32</v>
      </c>
      <c r="E78" s="90" t="inlineStr">
        <is>
          <t>32 ＳＶ確認中</t>
        </is>
      </c>
      <c r="F78" s="90" t="n"/>
      <c r="G78" s="90" t="n"/>
      <c r="H78" s="91" t="n">
        <v>46143</v>
      </c>
      <c r="I78" s="92" t="n">
        <v>46175</v>
      </c>
      <c r="J78" s="91" t="n">
        <v>46185</v>
      </c>
      <c r="K78" s="91" t="n">
        <v>46185</v>
      </c>
      <c r="L78" s="90" t="n"/>
      <c r="M78" s="90" t="n"/>
      <c r="N78" s="90" t="n"/>
      <c r="O78" s="90" t="inlineStr">
        <is>
          <t>31 差戻し</t>
        </is>
      </c>
      <c r="P78" s="90" t="n"/>
      <c r="Q78" s="90" t="n"/>
      <c r="R78" s="90" t="n"/>
      <c r="S78" s="90" t="n"/>
      <c r="T78" s="90" t="n"/>
      <c r="U78" s="93" t="inlineStr">
        <is>
          <t>Ｓ</t>
        </is>
      </c>
      <c r="V78" s="90" t="n"/>
      <c r="W78" s="90" t="n"/>
      <c r="X78" s="90" t="n"/>
      <c r="Y78" s="90" t="n"/>
      <c r="Z78" s="90" t="n"/>
      <c r="AA78" s="90" t="n"/>
      <c r="AB78" s="90" t="n">
        <v>51</v>
      </c>
      <c r="AC78" s="90" t="n">
        <v>0</v>
      </c>
      <c r="AD78" s="93" t="inlineStr">
        <is>
          <t>減</t>
        </is>
      </c>
      <c r="AE78" s="90" t="inlineStr">
        <is>
          <t>51 収入限度額以上</t>
        </is>
      </c>
      <c r="AF78" s="93" t="inlineStr">
        <is>
          <t>減</t>
        </is>
      </c>
      <c r="AG78" s="93" t="inlineStr">
        <is>
          <t>減</t>
        </is>
      </c>
      <c r="AH78" s="93" t="inlineStr">
        <is>
          <t>減</t>
        </is>
      </c>
      <c r="AI78" s="90" t="n"/>
      <c r="AJ78" s="90" t="n"/>
      <c r="AK78" s="90" t="n"/>
      <c r="AL78" s="94">
        <f>IF(A78="","",IF(COUNTIF(A78:A$2001,A78)=1,1,0))</f>
        <v/>
      </c>
      <c r="AM78" s="94">
        <f>IF(I78="","",TODAY()-I78)</f>
        <v/>
      </c>
      <c r="AN78" s="94">
        <f>IF(A78="","",IF(AND(E78&lt;&gt;"33 確認済",E78&lt;&gt;"36 送付中"),1,0))</f>
        <v/>
      </c>
      <c r="AO78" s="94">
        <f>IF(A78="","",IF(AG78&lt;&gt;"",1,0))</f>
        <v/>
      </c>
      <c r="AP78" s="220">
        <f>IF(P78&lt;&gt;"","・添待ち","")&amp;IF(Q78&lt;&gt;"","・住民票","")&amp;IF(R78&lt;&gt;"","・発信","")&amp;IF(S78&lt;&gt;"","・確認事項","")&amp;IF(T78&lt;&gt;"","・管","")&amp;IF(U78&lt;&gt;"","・SV","")&amp;IF(V78&lt;&gt;"","・データ送付待ち","")&amp;IF(W78&lt;&gt;"","・削除","")</f>
        <v/>
      </c>
    </row>
    <row r="79" ht="15" customHeight="1" s="87">
      <c r="A79" s="90" t="n">
        <v>202660000646</v>
      </c>
      <c r="B79" s="90" t="n"/>
      <c r="C79" s="90" t="n"/>
      <c r="D79" s="90" t="n">
        <v>32</v>
      </c>
      <c r="E79" s="90" t="inlineStr">
        <is>
          <t>32 ＳＶ確認中</t>
        </is>
      </c>
      <c r="F79" s="90" t="n">
        <v>20</v>
      </c>
      <c r="G79" s="90" t="inlineStr">
        <is>
          <t>20 差戻し</t>
        </is>
      </c>
      <c r="H79" s="91" t="n">
        <v>46167</v>
      </c>
      <c r="I79" s="92" t="n">
        <v>46167</v>
      </c>
      <c r="J79" s="91" t="n">
        <v>46283</v>
      </c>
      <c r="K79" s="91" t="n">
        <v>46283</v>
      </c>
      <c r="L79" s="90" t="n"/>
      <c r="M79" s="90" t="n"/>
      <c r="N79" s="90" t="n"/>
      <c r="O79" s="90" t="inlineStr">
        <is>
          <t>31 差戻し</t>
        </is>
      </c>
      <c r="P79" s="90" t="n"/>
      <c r="Q79" s="90" t="n"/>
      <c r="R79" s="90" t="n"/>
      <c r="S79" s="90" t="n"/>
      <c r="T79" s="90" t="n"/>
      <c r="U79" s="90" t="n"/>
      <c r="V79" s="90" t="n"/>
      <c r="W79" s="90" t="n"/>
      <c r="X79" s="90" t="n"/>
      <c r="Y79" s="90" t="n"/>
      <c r="Z79" s="90" t="n"/>
      <c r="AA79" s="90" t="n"/>
      <c r="AB79" s="90" t="n">
        <v>47</v>
      </c>
      <c r="AC79" s="90" t="n">
        <v>0</v>
      </c>
      <c r="AD79" s="93" t="inlineStr">
        <is>
          <t>減</t>
        </is>
      </c>
      <c r="AE79" s="90" t="inlineStr">
        <is>
          <t>47 扶養親族の就職</t>
        </is>
      </c>
      <c r="AF79" s="93" t="inlineStr">
        <is>
          <t>減</t>
        </is>
      </c>
      <c r="AG79" s="93" t="inlineStr">
        <is>
          <t>減</t>
        </is>
      </c>
      <c r="AH79" s="93" t="inlineStr">
        <is>
          <t>減</t>
        </is>
      </c>
      <c r="AI79" s="90" t="n"/>
      <c r="AJ79" s="90" t="n"/>
      <c r="AK79" s="90" t="n"/>
      <c r="AL79" s="94">
        <f>IF(A79="","",IF(COUNTIF(A79:A$2001,A79)=1,1,0))</f>
        <v/>
      </c>
      <c r="AM79" s="94">
        <f>IF(I79="","",TODAY()-I79)</f>
        <v/>
      </c>
      <c r="AN79" s="94">
        <f>IF(A79="","",IF(AND(E79&lt;&gt;"33 確認済",E79&lt;&gt;"36 送付中"),1,0))</f>
        <v/>
      </c>
      <c r="AO79" s="94">
        <f>IF(A79="","",IF(AG79&lt;&gt;"",1,0))</f>
        <v/>
      </c>
      <c r="AP79" s="220">
        <f>IF(P79&lt;&gt;"","・添待ち","")&amp;IF(Q79&lt;&gt;"","・住民票","")&amp;IF(R79&lt;&gt;"","・発信","")&amp;IF(S79&lt;&gt;"","・確認事項","")&amp;IF(T79&lt;&gt;"","・管","")&amp;IF(U79&lt;&gt;"","・SV","")&amp;IF(V79&lt;&gt;"","・データ送付待ち","")&amp;IF(W79&lt;&gt;"","・削除","")</f>
        <v/>
      </c>
    </row>
    <row r="80" ht="15" customHeight="1" s="87">
      <c r="A80" s="90" t="n">
        <v>202660000682</v>
      </c>
      <c r="B80" s="90" t="n"/>
      <c r="C80" s="90" t="n"/>
      <c r="D80" s="90" t="n">
        <v>40</v>
      </c>
      <c r="E80" s="90" t="inlineStr">
        <is>
          <t>40 差戻し</t>
        </is>
      </c>
      <c r="F80" s="90" t="n">
        <v>20</v>
      </c>
      <c r="G80" s="90" t="inlineStr">
        <is>
          <t>20 差戻し</t>
        </is>
      </c>
      <c r="H80" s="91" t="n">
        <v>46074</v>
      </c>
      <c r="I80" s="92" t="n">
        <v>46177</v>
      </c>
      <c r="J80" s="91" t="n">
        <v>46188</v>
      </c>
      <c r="K80" s="91" t="n">
        <v>46188</v>
      </c>
      <c r="L80" s="90" t="n"/>
      <c r="M80" s="90" t="n"/>
      <c r="N80" s="90" t="n"/>
      <c r="O80" s="90" t="inlineStr">
        <is>
          <t>55 添付書類待ち登録</t>
        </is>
      </c>
      <c r="P80" s="93" t="inlineStr">
        <is>
          <t>添</t>
        </is>
      </c>
      <c r="Q80" s="90" t="n"/>
      <c r="R80" s="90" t="n"/>
      <c r="S80" s="90" t="n"/>
      <c r="T80" s="90" t="n"/>
      <c r="U80" s="90" t="n"/>
      <c r="V80" s="90" t="n"/>
      <c r="W80" s="90" t="n"/>
      <c r="X80" s="90" t="n"/>
      <c r="Y80" s="90" t="n"/>
      <c r="Z80" s="90" t="n"/>
      <c r="AA80" s="90" t="n"/>
      <c r="AB80" s="90" t="n">
        <v>27</v>
      </c>
      <c r="AC80" s="90" t="n">
        <v>1</v>
      </c>
      <c r="AD80" s="93" t="inlineStr">
        <is>
          <t>増</t>
        </is>
      </c>
      <c r="AE80" s="90" t="inlineStr">
        <is>
          <t>27 収入限度額以下</t>
        </is>
      </c>
      <c r="AF80" s="93" t="inlineStr">
        <is>
          <t>増</t>
        </is>
      </c>
      <c r="AG80" s="93" t="inlineStr">
        <is>
          <t>増</t>
        </is>
      </c>
      <c r="AH80" s="93" t="inlineStr">
        <is>
          <t>増</t>
        </is>
      </c>
      <c r="AI80" s="90" t="n"/>
      <c r="AJ80" s="90" t="n"/>
      <c r="AK80" s="90" t="n"/>
      <c r="AL80" s="94">
        <f>IF(A80="","",IF(COUNTIF(A80:A$2001,A80)=1,1,0))</f>
        <v/>
      </c>
      <c r="AM80" s="94">
        <f>IF(I80="","",TODAY()-I80)</f>
        <v/>
      </c>
      <c r="AN80" s="94">
        <f>IF(A80="","",IF(AND(E80&lt;&gt;"33 確認済",E80&lt;&gt;"36 送付中"),1,0))</f>
        <v/>
      </c>
      <c r="AO80" s="94">
        <f>IF(A80="","",IF(AG80&lt;&gt;"",1,0))</f>
        <v/>
      </c>
      <c r="AP80" s="220">
        <f>IF(P80&lt;&gt;"","・添待ち","")&amp;IF(Q80&lt;&gt;"","・住民票","")&amp;IF(R80&lt;&gt;"","・発信","")&amp;IF(S80&lt;&gt;"","・確認事項","")&amp;IF(T80&lt;&gt;"","・管","")&amp;IF(U80&lt;&gt;"","・SV","")&amp;IF(V80&lt;&gt;"","・データ送付待ち","")&amp;IF(W80&lt;&gt;"","・削除","")</f>
        <v/>
      </c>
    </row>
    <row r="81" ht="15" customHeight="1" s="87">
      <c r="A81" s="90" t="n">
        <v>202660000703</v>
      </c>
      <c r="B81" s="90" t="n"/>
      <c r="C81" s="90" t="n"/>
      <c r="D81" s="90" t="n">
        <v>20</v>
      </c>
      <c r="E81" s="90" t="inlineStr">
        <is>
          <t>20 確認待ち</t>
        </is>
      </c>
      <c r="F81" s="90" t="n"/>
      <c r="G81" s="90" t="n"/>
      <c r="H81" s="91" t="n">
        <v>46113</v>
      </c>
      <c r="I81" s="92" t="n">
        <v>46174</v>
      </c>
      <c r="J81" s="90" t="n"/>
      <c r="K81" s="90" t="n"/>
      <c r="L81" s="90" t="n"/>
      <c r="M81" s="90" t="n"/>
      <c r="N81" s="90" t="n"/>
      <c r="O81" s="90" t="inlineStr">
        <is>
          <t>55 添付書類待ち登録</t>
        </is>
      </c>
      <c r="P81" s="93" t="inlineStr">
        <is>
          <t>添</t>
        </is>
      </c>
      <c r="Q81" s="90" t="n"/>
      <c r="R81" s="90" t="n"/>
      <c r="S81" s="90" t="n"/>
      <c r="T81" s="90" t="n"/>
      <c r="U81" s="90" t="n"/>
      <c r="V81" s="90" t="n"/>
      <c r="W81" s="90" t="n"/>
      <c r="X81" s="90" t="n"/>
      <c r="Y81" s="90" t="n"/>
      <c r="Z81" s="90" t="n"/>
      <c r="AA81" s="90" t="n"/>
      <c r="AB81" s="90" t="n">
        <v>26</v>
      </c>
      <c r="AC81" s="90" t="n">
        <v>1</v>
      </c>
      <c r="AD81" s="93" t="inlineStr">
        <is>
          <t>増</t>
        </is>
      </c>
      <c r="AE81" s="90" t="inlineStr">
        <is>
          <t>26 扶養者の変更</t>
        </is>
      </c>
      <c r="AF81" s="90" t="n"/>
      <c r="AG81" s="93" t="inlineStr">
        <is>
          <t>増</t>
        </is>
      </c>
      <c r="AH81" s="93" t="inlineStr">
        <is>
          <t>増</t>
        </is>
      </c>
      <c r="AI81" s="90" t="n"/>
      <c r="AJ81" s="90" t="n"/>
      <c r="AK81" s="90" t="n"/>
      <c r="AL81" s="94">
        <f>IF(A81="","",IF(COUNTIF(A81:A$2001,A81)=1,1,0))</f>
        <v/>
      </c>
      <c r="AM81" s="94">
        <f>IF(I81="","",TODAY()-I81)</f>
        <v/>
      </c>
      <c r="AN81" s="94">
        <f>IF(A81="","",IF(AND(E81&lt;&gt;"33 確認済",E81&lt;&gt;"36 送付中"),1,0))</f>
        <v/>
      </c>
      <c r="AO81" s="94">
        <f>IF(A81="","",IF(AG81&lt;&gt;"",1,0))</f>
        <v/>
      </c>
      <c r="AP81" s="220">
        <f>IF(P81&lt;&gt;"","・添待ち","")&amp;IF(Q81&lt;&gt;"","・住民票","")&amp;IF(R81&lt;&gt;"","・発信","")&amp;IF(S81&lt;&gt;"","・確認事項","")&amp;IF(T81&lt;&gt;"","・管","")&amp;IF(U81&lt;&gt;"","・SV","")&amp;IF(V81&lt;&gt;"","・データ送付待ち","")&amp;IF(W81&lt;&gt;"","・削除","")</f>
        <v/>
      </c>
    </row>
    <row r="82" ht="15" customHeight="1" s="87">
      <c r="A82" s="90" t="n">
        <v>202660000721</v>
      </c>
      <c r="B82" s="90" t="n"/>
      <c r="C82" s="90" t="n"/>
      <c r="D82" s="90" t="n">
        <v>20</v>
      </c>
      <c r="E82" s="90" t="inlineStr">
        <is>
          <t>20 確認待ち</t>
        </is>
      </c>
      <c r="F82" s="90" t="n">
        <v>20</v>
      </c>
      <c r="G82" s="90" t="inlineStr">
        <is>
          <t>20 差戻し</t>
        </is>
      </c>
      <c r="H82" s="91" t="n">
        <v>46139</v>
      </c>
      <c r="I82" s="92" t="n">
        <v>46181</v>
      </c>
      <c r="J82" s="91" t="n">
        <v>46189</v>
      </c>
      <c r="K82" s="91" t="n">
        <v>46189</v>
      </c>
      <c r="L82" s="90" t="n"/>
      <c r="M82" s="90" t="n"/>
      <c r="N82" s="90" t="n"/>
      <c r="O82" s="90" t="inlineStr">
        <is>
          <t>11 差戻し申請</t>
        </is>
      </c>
      <c r="P82" s="90" t="n"/>
      <c r="Q82" s="90" t="n"/>
      <c r="R82" s="90" t="n"/>
      <c r="S82" s="93" t="inlineStr">
        <is>
          <t>確</t>
        </is>
      </c>
      <c r="T82" s="90" t="n"/>
      <c r="U82" s="90" t="n"/>
      <c r="V82" s="90" t="n"/>
      <c r="W82" s="90" t="n"/>
      <c r="X82" s="90" t="n"/>
      <c r="Y82" s="90" t="n"/>
      <c r="Z82" s="90" t="n"/>
      <c r="AA82" s="90" t="n"/>
      <c r="AB82" s="90" t="n">
        <v>23</v>
      </c>
      <c r="AC82" s="90" t="n">
        <v>1</v>
      </c>
      <c r="AD82" s="93" t="inlineStr">
        <is>
          <t>増</t>
        </is>
      </c>
      <c r="AE82" s="90" t="inlineStr">
        <is>
          <t>23 本人の結婚</t>
        </is>
      </c>
      <c r="AF82" s="90" t="n"/>
      <c r="AG82" s="90" t="n"/>
      <c r="AH82" s="93" t="inlineStr">
        <is>
          <t>増</t>
        </is>
      </c>
      <c r="AI82" s="90" t="n"/>
      <c r="AJ82" s="90" t="n"/>
      <c r="AK82" s="90" t="n"/>
      <c r="AL82" s="94">
        <f>IF(A82="","",IF(COUNTIF(A82:A$2001,A82)=1,1,0))</f>
        <v/>
      </c>
      <c r="AM82" s="94">
        <f>IF(I82="","",TODAY()-I82)</f>
        <v/>
      </c>
      <c r="AN82" s="94">
        <f>IF(A82="","",IF(AND(E82&lt;&gt;"33 確認済",E82&lt;&gt;"36 送付中"),1,0))</f>
        <v/>
      </c>
      <c r="AO82" s="94">
        <f>IF(A82="","",IF(AG82&lt;&gt;"",1,0))</f>
        <v/>
      </c>
      <c r="AP82" s="220">
        <f>IF(P82&lt;&gt;"","・添待ち","")&amp;IF(Q82&lt;&gt;"","・住民票","")&amp;IF(R82&lt;&gt;"","・発信","")&amp;IF(S82&lt;&gt;"","・確認事項","")&amp;IF(T82&lt;&gt;"","・管","")&amp;IF(U82&lt;&gt;"","・SV","")&amp;IF(V82&lt;&gt;"","・データ送付待ち","")&amp;IF(W82&lt;&gt;"","・削除","")</f>
        <v/>
      </c>
    </row>
    <row r="83" ht="15" customHeight="1" s="87">
      <c r="A83" s="90" t="n">
        <v>202660000721</v>
      </c>
      <c r="B83" s="90" t="n"/>
      <c r="C83" s="90" t="n"/>
      <c r="D83" s="90" t="n">
        <v>20</v>
      </c>
      <c r="E83" s="90" t="inlineStr">
        <is>
          <t>20 確認待ち</t>
        </is>
      </c>
      <c r="F83" s="90" t="n">
        <v>20</v>
      </c>
      <c r="G83" s="90" t="inlineStr">
        <is>
          <t>20 差戻し</t>
        </is>
      </c>
      <c r="H83" s="91" t="n">
        <v>46139</v>
      </c>
      <c r="I83" s="92" t="n">
        <v>46181</v>
      </c>
      <c r="J83" s="91" t="n">
        <v>46189</v>
      </c>
      <c r="K83" s="91" t="n">
        <v>46189</v>
      </c>
      <c r="L83" s="90" t="n"/>
      <c r="M83" s="90" t="n"/>
      <c r="N83" s="90" t="n"/>
      <c r="O83" s="90" t="inlineStr">
        <is>
          <t>11 差戻し申請</t>
        </is>
      </c>
      <c r="P83" s="90" t="n"/>
      <c r="Q83" s="90" t="n"/>
      <c r="R83" s="90" t="n"/>
      <c r="S83" s="93" t="inlineStr">
        <is>
          <t>確</t>
        </is>
      </c>
      <c r="T83" s="90" t="n"/>
      <c r="U83" s="90" t="n"/>
      <c r="V83" s="90" t="n"/>
      <c r="W83" s="90" t="n"/>
      <c r="X83" s="90" t="n"/>
      <c r="Y83" s="90" t="n"/>
      <c r="Z83" s="90" t="n"/>
      <c r="AA83" s="90" t="n"/>
      <c r="AB83" s="90" t="n">
        <v>23</v>
      </c>
      <c r="AC83" s="90" t="n">
        <v>1</v>
      </c>
      <c r="AD83" s="93" t="inlineStr">
        <is>
          <t>増</t>
        </is>
      </c>
      <c r="AE83" s="90" t="inlineStr">
        <is>
          <t>23 結婚</t>
        </is>
      </c>
      <c r="AF83" s="90" t="n"/>
      <c r="AG83" s="90" t="n"/>
      <c r="AH83" s="93" t="inlineStr">
        <is>
          <t>増</t>
        </is>
      </c>
      <c r="AI83" s="90" t="n"/>
      <c r="AJ83" s="90" t="n"/>
      <c r="AK83" s="90" t="n"/>
      <c r="AL83" s="94">
        <f>IF(A83="","",IF(COUNTIF(A83:A$2001,A83)=1,1,0))</f>
        <v/>
      </c>
      <c r="AM83" s="94">
        <f>IF(I83="","",TODAY()-I83)</f>
        <v/>
      </c>
      <c r="AN83" s="94">
        <f>IF(A83="","",IF(AND(E83&lt;&gt;"33 確認済",E83&lt;&gt;"36 送付中"),1,0))</f>
        <v/>
      </c>
      <c r="AO83" s="94">
        <f>IF(A83="","",IF(AG83&lt;&gt;"",1,0))</f>
        <v/>
      </c>
      <c r="AP83" s="220">
        <f>IF(P83&lt;&gt;"","・添待ち","")&amp;IF(Q83&lt;&gt;"","・住民票","")&amp;IF(R83&lt;&gt;"","・発信","")&amp;IF(S83&lt;&gt;"","・確認事項","")&amp;IF(T83&lt;&gt;"","・管","")&amp;IF(U83&lt;&gt;"","・SV","")&amp;IF(V83&lt;&gt;"","・データ送付待ち","")&amp;IF(W83&lt;&gt;"","・削除","")</f>
        <v/>
      </c>
    </row>
    <row r="84" ht="15" customHeight="1" s="87">
      <c r="A84" s="90" t="n">
        <v>202660000762</v>
      </c>
      <c r="B84" s="90" t="n"/>
      <c r="C84" s="90" t="n"/>
      <c r="D84" s="90" t="n">
        <v>32</v>
      </c>
      <c r="E84" s="90" t="inlineStr">
        <is>
          <t>32 ＳＶ確認中</t>
        </is>
      </c>
      <c r="F84" s="90" t="n"/>
      <c r="G84" s="90" t="n"/>
      <c r="H84" s="91" t="n">
        <v>46174</v>
      </c>
      <c r="I84" s="92" t="n">
        <v>46182</v>
      </c>
      <c r="J84" s="91" t="n">
        <v>46196</v>
      </c>
      <c r="K84" s="91" t="n">
        <v>46196</v>
      </c>
      <c r="L84" s="90" t="n"/>
      <c r="M84" s="90" t="n"/>
      <c r="N84" s="90" t="n"/>
      <c r="O84" s="90" t="inlineStr">
        <is>
          <t>31 差戻し</t>
        </is>
      </c>
      <c r="P84" s="90" t="n"/>
      <c r="Q84" s="90" t="n"/>
      <c r="R84" s="93" t="inlineStr">
        <is>
          <t>発</t>
        </is>
      </c>
      <c r="S84" s="90" t="n"/>
      <c r="T84" s="90" t="n"/>
      <c r="U84" s="93" t="inlineStr">
        <is>
          <t>Ｓ</t>
        </is>
      </c>
      <c r="V84" s="90" t="n"/>
      <c r="W84" s="90" t="n"/>
      <c r="X84" s="90" t="n"/>
      <c r="Y84" s="90" t="n"/>
      <c r="Z84" s="90" t="n"/>
      <c r="AA84" s="90" t="n"/>
      <c r="AB84" s="90" t="n">
        <v>27</v>
      </c>
      <c r="AC84" s="90" t="n">
        <v>1</v>
      </c>
      <c r="AD84" s="93" t="inlineStr">
        <is>
          <t>増</t>
        </is>
      </c>
      <c r="AE84" s="90" t="inlineStr">
        <is>
          <t>27 収入限度額以下</t>
        </is>
      </c>
      <c r="AF84" s="93" t="inlineStr">
        <is>
          <t>増</t>
        </is>
      </c>
      <c r="AG84" s="93" t="inlineStr">
        <is>
          <t>増</t>
        </is>
      </c>
      <c r="AH84" s="93" t="inlineStr">
        <is>
          <t>増</t>
        </is>
      </c>
      <c r="AI84" s="90" t="n"/>
      <c r="AJ84" s="90" t="n"/>
      <c r="AK84" s="90" t="n"/>
      <c r="AL84" s="94">
        <f>IF(A84="","",IF(COUNTIF(A84:A$2001,A84)=1,1,0))</f>
        <v/>
      </c>
      <c r="AM84" s="94">
        <f>IF(I84="","",TODAY()-I84)</f>
        <v/>
      </c>
      <c r="AN84" s="94">
        <f>IF(A84="","",IF(AND(E84&lt;&gt;"33 確認済",E84&lt;&gt;"36 送付中"),1,0))</f>
        <v/>
      </c>
      <c r="AO84" s="94">
        <f>IF(A84="","",IF(AG84&lt;&gt;"",1,0))</f>
        <v/>
      </c>
      <c r="AP84" s="220">
        <f>IF(P84&lt;&gt;"","・添待ち","")&amp;IF(Q84&lt;&gt;"","・住民票","")&amp;IF(R84&lt;&gt;"","・発信","")&amp;IF(S84&lt;&gt;"","・確認事項","")&amp;IF(T84&lt;&gt;"","・管","")&amp;IF(U84&lt;&gt;"","・SV","")&amp;IF(V84&lt;&gt;"","・データ送付待ち","")&amp;IF(W84&lt;&gt;"","・削除","")</f>
        <v/>
      </c>
    </row>
    <row r="85" ht="15" customHeight="1" s="87">
      <c r="A85" s="90" t="n">
        <v>202660000774</v>
      </c>
      <c r="B85" s="90" t="n"/>
      <c r="C85" s="90" t="n"/>
      <c r="D85" s="90" t="n">
        <v>33</v>
      </c>
      <c r="E85" s="90" t="inlineStr">
        <is>
          <t>33 確認済</t>
        </is>
      </c>
      <c r="F85" s="90" t="n">
        <v>20</v>
      </c>
      <c r="G85" s="90" t="inlineStr">
        <is>
          <t>20 差戻し</t>
        </is>
      </c>
      <c r="H85" s="91" t="n">
        <v>46175</v>
      </c>
      <c r="I85" s="92" t="n">
        <v>46231</v>
      </c>
      <c r="J85" s="91" t="n">
        <v>46280</v>
      </c>
      <c r="K85" s="91" t="n">
        <v>46280</v>
      </c>
      <c r="L85" s="90" t="n"/>
      <c r="M85" s="90" t="n"/>
      <c r="N85" s="90" t="n"/>
      <c r="O85" s="90" t="inlineStr">
        <is>
          <t>40 ＳＶ承認</t>
        </is>
      </c>
      <c r="P85" s="90" t="n"/>
      <c r="Q85" s="90" t="n"/>
      <c r="R85" s="90" t="n"/>
      <c r="S85" s="90" t="n"/>
      <c r="T85" s="90" t="n"/>
      <c r="U85" s="90" t="n"/>
      <c r="V85" s="90" t="n"/>
      <c r="W85" s="90" t="n"/>
      <c r="X85" s="90" t="n"/>
      <c r="Y85" s="90" t="n"/>
      <c r="Z85" s="90" t="n"/>
      <c r="AA85" s="90" t="n"/>
      <c r="AB85" s="90" t="n">
        <v>21</v>
      </c>
      <c r="AC85" s="90" t="n">
        <v>1</v>
      </c>
      <c r="AD85" s="93" t="inlineStr">
        <is>
          <t>増</t>
        </is>
      </c>
      <c r="AE85" s="90" t="inlineStr">
        <is>
          <t>21 出生</t>
        </is>
      </c>
      <c r="AF85" s="93" t="inlineStr">
        <is>
          <t>増</t>
        </is>
      </c>
      <c r="AG85" s="93" t="inlineStr">
        <is>
          <t>増</t>
        </is>
      </c>
      <c r="AH85" s="93" t="inlineStr">
        <is>
          <t>増</t>
        </is>
      </c>
      <c r="AI85" s="90" t="n"/>
      <c r="AJ85" s="90" t="n"/>
      <c r="AK85" s="90" t="n"/>
      <c r="AL85" s="94">
        <f>IF(A85="","",IF(COUNTIF(A85:A$2001,A85)=1,1,0))</f>
        <v/>
      </c>
      <c r="AM85" s="94">
        <f>IF(I85="","",TODAY()-I85)</f>
        <v/>
      </c>
      <c r="AN85" s="94">
        <f>IF(A85="","",IF(AND(E85&lt;&gt;"33 確認済",E85&lt;&gt;"36 送付中"),1,0))</f>
        <v/>
      </c>
      <c r="AO85" s="94">
        <f>IF(A85="","",IF(AG85&lt;&gt;"",1,0))</f>
        <v/>
      </c>
      <c r="AP85" s="220">
        <f>IF(P85&lt;&gt;"","・添待ち","")&amp;IF(Q85&lt;&gt;"","・住民票","")&amp;IF(R85&lt;&gt;"","・発信","")&amp;IF(S85&lt;&gt;"","・確認事項","")&amp;IF(T85&lt;&gt;"","・管","")&amp;IF(U85&lt;&gt;"","・SV","")&amp;IF(V85&lt;&gt;"","・データ送付待ち","")&amp;IF(W85&lt;&gt;"","・削除","")</f>
        <v/>
      </c>
    </row>
    <row r="86" ht="15" customHeight="1" s="87">
      <c r="A86" s="90" t="n">
        <v>202660000808</v>
      </c>
      <c r="B86" s="90" t="n"/>
      <c r="C86" s="90" t="n"/>
      <c r="D86" s="90" t="n">
        <v>31</v>
      </c>
      <c r="E86" s="90" t="inlineStr">
        <is>
          <t>31 ＯＰ確認中</t>
        </is>
      </c>
      <c r="F86" s="90" t="n"/>
      <c r="G86" s="90" t="n"/>
      <c r="H86" s="91" t="n">
        <v>46172</v>
      </c>
      <c r="I86" s="92" t="n">
        <v>46188</v>
      </c>
      <c r="J86" s="91" t="n">
        <v>46189</v>
      </c>
      <c r="K86" s="91" t="n">
        <v>46239</v>
      </c>
      <c r="L86" s="90" t="n"/>
      <c r="M86" s="90" t="n"/>
      <c r="N86" s="90" t="n"/>
      <c r="O86" s="90" t="inlineStr">
        <is>
          <t>21 担当者登録</t>
        </is>
      </c>
      <c r="P86" s="90" t="n"/>
      <c r="Q86" s="90" t="n"/>
      <c r="R86" s="90" t="n"/>
      <c r="S86" s="90" t="n"/>
      <c r="T86" s="90" t="n"/>
      <c r="U86" s="90" t="n"/>
      <c r="V86" s="90" t="n"/>
      <c r="W86" s="90" t="n"/>
      <c r="X86" s="90" t="n"/>
      <c r="Y86" s="90" t="n"/>
      <c r="Z86" s="90" t="n"/>
      <c r="AA86" s="90" t="n"/>
      <c r="AB86" s="90" t="n">
        <v>23</v>
      </c>
      <c r="AC86" s="90" t="n">
        <v>1</v>
      </c>
      <c r="AD86" s="93" t="inlineStr">
        <is>
          <t>増</t>
        </is>
      </c>
      <c r="AE86" s="90" t="inlineStr">
        <is>
          <t>23 本人の結婚</t>
        </is>
      </c>
      <c r="AF86" s="90" t="n"/>
      <c r="AG86" s="90" t="n"/>
      <c r="AH86" s="90" t="n"/>
      <c r="AI86" s="90" t="n"/>
      <c r="AJ86" s="90" t="n"/>
      <c r="AK86" s="90" t="n"/>
      <c r="AL86" s="94">
        <f>IF(A86="","",IF(COUNTIF(A86:A$2001,A86)=1,1,0))</f>
        <v/>
      </c>
      <c r="AM86" s="94">
        <f>IF(I86="","",TODAY()-I86)</f>
        <v/>
      </c>
      <c r="AN86" s="94">
        <f>IF(A86="","",IF(AND(E86&lt;&gt;"33 確認済",E86&lt;&gt;"36 送付中"),1,0))</f>
        <v/>
      </c>
      <c r="AO86" s="94">
        <f>IF(A86="","",IF(AG86&lt;&gt;"",1,0))</f>
        <v/>
      </c>
      <c r="AP86" s="220">
        <f>IF(P86&lt;&gt;"","・添待ち","")&amp;IF(Q86&lt;&gt;"","・住民票","")&amp;IF(R86&lt;&gt;"","・発信","")&amp;IF(S86&lt;&gt;"","・確認事項","")&amp;IF(T86&lt;&gt;"","・管","")&amp;IF(U86&lt;&gt;"","・SV","")&amp;IF(V86&lt;&gt;"","・データ送付待ち","")&amp;IF(W86&lt;&gt;"","・削除","")</f>
        <v/>
      </c>
    </row>
    <row r="87" ht="15" customHeight="1" s="87">
      <c r="A87" s="90" t="n">
        <v>202660000808</v>
      </c>
      <c r="B87" s="90" t="n"/>
      <c r="C87" s="90" t="n"/>
      <c r="D87" s="90" t="n">
        <v>31</v>
      </c>
      <c r="E87" s="90" t="inlineStr">
        <is>
          <t>31 ＯＰ確認中</t>
        </is>
      </c>
      <c r="F87" s="90" t="n"/>
      <c r="G87" s="90" t="n"/>
      <c r="H87" s="91" t="n">
        <v>46172</v>
      </c>
      <c r="I87" s="92" t="n">
        <v>46188</v>
      </c>
      <c r="J87" s="91" t="n">
        <v>46189</v>
      </c>
      <c r="K87" s="91" t="n">
        <v>46239</v>
      </c>
      <c r="L87" s="90" t="n"/>
      <c r="M87" s="90" t="n"/>
      <c r="N87" s="90" t="n"/>
      <c r="O87" s="90" t="inlineStr">
        <is>
          <t>21 担当者登録</t>
        </is>
      </c>
      <c r="P87" s="90" t="n"/>
      <c r="Q87" s="90" t="n"/>
      <c r="R87" s="90" t="n"/>
      <c r="S87" s="90" t="n"/>
      <c r="T87" s="90" t="n"/>
      <c r="U87" s="90" t="n"/>
      <c r="V87" s="90" t="n"/>
      <c r="W87" s="90" t="n"/>
      <c r="X87" s="90" t="n"/>
      <c r="Y87" s="90" t="n"/>
      <c r="Z87" s="90" t="n"/>
      <c r="AA87" s="90" t="n"/>
      <c r="AB87" s="90" t="n">
        <v>23</v>
      </c>
      <c r="AC87" s="90" t="n">
        <v>1</v>
      </c>
      <c r="AD87" s="93" t="inlineStr">
        <is>
          <t>増</t>
        </is>
      </c>
      <c r="AE87" s="90" t="inlineStr">
        <is>
          <t>23 結婚</t>
        </is>
      </c>
      <c r="AF87" s="90" t="n"/>
      <c r="AG87" s="90" t="n"/>
      <c r="AH87" s="90" t="n"/>
      <c r="AI87" s="90" t="n"/>
      <c r="AJ87" s="90" t="n"/>
      <c r="AK87" s="90" t="n"/>
      <c r="AL87" s="94">
        <f>IF(A87="","",IF(COUNTIF(A87:A$2001,A87)=1,1,0))</f>
        <v/>
      </c>
      <c r="AM87" s="94">
        <f>IF(I87="","",TODAY()-I87)</f>
        <v/>
      </c>
      <c r="AN87" s="94">
        <f>IF(A87="","",IF(AND(E87&lt;&gt;"33 確認済",E87&lt;&gt;"36 送付中"),1,0))</f>
        <v/>
      </c>
      <c r="AO87" s="94">
        <f>IF(A87="","",IF(AG87&lt;&gt;"",1,0))</f>
        <v/>
      </c>
      <c r="AP87" s="220">
        <f>IF(P87&lt;&gt;"","・添待ち","")&amp;IF(Q87&lt;&gt;"","・住民票","")&amp;IF(R87&lt;&gt;"","・発信","")&amp;IF(S87&lt;&gt;"","・確認事項","")&amp;IF(T87&lt;&gt;"","・管","")&amp;IF(U87&lt;&gt;"","・SV","")&amp;IF(V87&lt;&gt;"","・データ送付待ち","")&amp;IF(W87&lt;&gt;"","・削除","")</f>
        <v/>
      </c>
    </row>
    <row r="88" ht="15" customHeight="1" s="87">
      <c r="A88" s="90" t="n">
        <v>202660000834</v>
      </c>
      <c r="B88" s="90" t="n"/>
      <c r="C88" s="90" t="n"/>
      <c r="D88" s="90" t="n">
        <v>20</v>
      </c>
      <c r="E88" s="90" t="inlineStr">
        <is>
          <t>20 確認待ち</t>
        </is>
      </c>
      <c r="F88" s="90" t="n">
        <v>20</v>
      </c>
      <c r="G88" s="90" t="inlineStr">
        <is>
          <t>20 差戻し</t>
        </is>
      </c>
      <c r="H88" s="91" t="n">
        <v>46181</v>
      </c>
      <c r="I88" s="92" t="n">
        <v>46204</v>
      </c>
      <c r="J88" s="91" t="n">
        <v>46226</v>
      </c>
      <c r="K88" s="91" t="n">
        <v>46226</v>
      </c>
      <c r="L88" s="90" t="n"/>
      <c r="M88" s="90" t="n"/>
      <c r="N88" s="90" t="n"/>
      <c r="O88" s="90" t="inlineStr">
        <is>
          <t>56 添付書類待ち解除</t>
        </is>
      </c>
      <c r="P88" s="90" t="n"/>
      <c r="Q88" s="90" t="n"/>
      <c r="R88" s="90" t="n"/>
      <c r="S88" s="93" t="inlineStr">
        <is>
          <t>確</t>
        </is>
      </c>
      <c r="T88" s="90" t="n"/>
      <c r="U88" s="90" t="n"/>
      <c r="V88" s="90" t="n"/>
      <c r="W88" s="90" t="n"/>
      <c r="X88" s="90" t="n"/>
      <c r="Y88" s="90" t="n"/>
      <c r="Z88" s="90" t="n"/>
      <c r="AA88" s="90" t="n"/>
      <c r="AB88" s="90" t="n">
        <v>24</v>
      </c>
      <c r="AC88" s="90" t="n">
        <v>1</v>
      </c>
      <c r="AD88" s="93" t="inlineStr">
        <is>
          <t>増</t>
        </is>
      </c>
      <c r="AE88" s="90" t="inlineStr">
        <is>
          <t>24 雇用保険受給終了</t>
        </is>
      </c>
      <c r="AF88" s="93" t="inlineStr">
        <is>
          <t>増</t>
        </is>
      </c>
      <c r="AG88" s="93" t="inlineStr">
        <is>
          <t>増</t>
        </is>
      </c>
      <c r="AH88" s="90" t="n"/>
      <c r="AI88" s="90" t="n"/>
      <c r="AJ88" s="90" t="n"/>
      <c r="AK88" s="90" t="n"/>
      <c r="AL88" s="94">
        <f>IF(A88="","",IF(COUNTIF(A88:A$2001,A88)=1,1,0))</f>
        <v/>
      </c>
      <c r="AM88" s="94">
        <f>IF(I88="","",TODAY()-I88)</f>
        <v/>
      </c>
      <c r="AN88" s="94">
        <f>IF(A88="","",IF(AND(E88&lt;&gt;"33 確認済",E88&lt;&gt;"36 送付中"),1,0))</f>
        <v/>
      </c>
      <c r="AO88" s="94">
        <f>IF(A88="","",IF(AG88&lt;&gt;"",1,0))</f>
        <v/>
      </c>
      <c r="AP88" s="220">
        <f>IF(P88&lt;&gt;"","・添待ち","")&amp;IF(Q88&lt;&gt;"","・住民票","")&amp;IF(R88&lt;&gt;"","・発信","")&amp;IF(S88&lt;&gt;"","・確認事項","")&amp;IF(T88&lt;&gt;"","・管","")&amp;IF(U88&lt;&gt;"","・SV","")&amp;IF(V88&lt;&gt;"","・データ送付待ち","")&amp;IF(W88&lt;&gt;"","・削除","")</f>
        <v/>
      </c>
    </row>
    <row r="89" ht="15" customHeight="1" s="87">
      <c r="A89" s="90" t="n">
        <v>202660000842</v>
      </c>
      <c r="B89" s="90" t="n"/>
      <c r="C89" s="90" t="n"/>
      <c r="D89" s="90" t="n">
        <v>40</v>
      </c>
      <c r="E89" s="90" t="inlineStr">
        <is>
          <t>40 差戻し</t>
        </is>
      </c>
      <c r="F89" s="90" t="n">
        <v>20</v>
      </c>
      <c r="G89" s="90" t="inlineStr">
        <is>
          <t>20 差戻し</t>
        </is>
      </c>
      <c r="H89" s="91" t="n">
        <v>46174</v>
      </c>
      <c r="I89" s="92" t="n">
        <v>46248</v>
      </c>
      <c r="J89" s="91" t="n">
        <v>46252</v>
      </c>
      <c r="K89" s="91" t="n">
        <v>46279</v>
      </c>
      <c r="L89" s="90" t="n"/>
      <c r="M89" s="90" t="n"/>
      <c r="N89" s="90" t="n"/>
      <c r="O89" s="90" t="inlineStr">
        <is>
          <t>57 削除待ち登録</t>
        </is>
      </c>
      <c r="P89" s="90" t="n"/>
      <c r="Q89" s="90" t="n"/>
      <c r="R89" s="90" t="n"/>
      <c r="S89" s="90" t="n"/>
      <c r="T89" s="90" t="n"/>
      <c r="U89" s="90" t="n"/>
      <c r="V89" s="90" t="n"/>
      <c r="W89" s="93" t="inlineStr">
        <is>
          <t>削</t>
        </is>
      </c>
      <c r="X89" s="90" t="n"/>
      <c r="Y89" s="90" t="n"/>
      <c r="Z89" s="90" t="n"/>
      <c r="AA89" s="90" t="n"/>
      <c r="AB89" s="90" t="n">
        <v>47</v>
      </c>
      <c r="AC89" s="90" t="n">
        <v>0</v>
      </c>
      <c r="AD89" s="93" t="inlineStr">
        <is>
          <t>減</t>
        </is>
      </c>
      <c r="AE89" s="90" t="inlineStr">
        <is>
          <t>47 扶養親族の就職</t>
        </is>
      </c>
      <c r="AF89" s="90" t="n"/>
      <c r="AG89" s="93" t="inlineStr">
        <is>
          <t>減</t>
        </is>
      </c>
      <c r="AH89" s="93" t="inlineStr">
        <is>
          <t>減</t>
        </is>
      </c>
      <c r="AI89" s="90" t="n"/>
      <c r="AJ89" s="90" t="n"/>
      <c r="AK89" s="90" t="n"/>
      <c r="AL89" s="94">
        <f>IF(A89="","",IF(COUNTIF(A89:A$2001,A89)=1,1,0))</f>
        <v/>
      </c>
      <c r="AM89" s="94">
        <f>IF(I89="","",TODAY()-I89)</f>
        <v/>
      </c>
      <c r="AN89" s="94">
        <f>IF(A89="","",IF(AND(E89&lt;&gt;"33 確認済",E89&lt;&gt;"36 送付中"),1,0))</f>
        <v/>
      </c>
      <c r="AO89" s="94">
        <f>IF(A89="","",IF(AG89&lt;&gt;"",1,0))</f>
        <v/>
      </c>
      <c r="AP89" s="220">
        <f>IF(P89&lt;&gt;"","・添待ち","")&amp;IF(Q89&lt;&gt;"","・住民票","")&amp;IF(R89&lt;&gt;"","・発信","")&amp;IF(S89&lt;&gt;"","・確認事項","")&amp;IF(T89&lt;&gt;"","・管","")&amp;IF(U89&lt;&gt;"","・SV","")&amp;IF(V89&lt;&gt;"","・データ送付待ち","")&amp;IF(W89&lt;&gt;"","・削除","")</f>
        <v/>
      </c>
    </row>
    <row r="90" ht="15" customHeight="1" s="87">
      <c r="A90" s="90" t="n">
        <v>202660000850</v>
      </c>
      <c r="B90" s="90" t="n"/>
      <c r="C90" s="90" t="n"/>
      <c r="D90" s="90" t="n">
        <v>31</v>
      </c>
      <c r="E90" s="90" t="inlineStr">
        <is>
          <t>31 ＯＰ確認中</t>
        </is>
      </c>
      <c r="F90" s="90" t="n">
        <v>20</v>
      </c>
      <c r="G90" s="90" t="inlineStr">
        <is>
          <t>20 差戻し</t>
        </is>
      </c>
      <c r="H90" s="91" t="n">
        <v>46167</v>
      </c>
      <c r="I90" s="92" t="n">
        <v>46225</v>
      </c>
      <c r="J90" s="91" t="n">
        <v>46282</v>
      </c>
      <c r="K90" s="91" t="n">
        <v>46282</v>
      </c>
      <c r="L90" s="90" t="n"/>
      <c r="M90" s="90" t="n"/>
      <c r="N90" s="90" t="n"/>
      <c r="O90" s="90" t="inlineStr">
        <is>
          <t>21 担当者登録</t>
        </is>
      </c>
      <c r="P90" s="90" t="n"/>
      <c r="Q90" s="90" t="n"/>
      <c r="R90" s="90" t="n"/>
      <c r="S90" s="93" t="inlineStr">
        <is>
          <t>確</t>
        </is>
      </c>
      <c r="T90" s="90" t="n"/>
      <c r="U90" s="90" t="n"/>
      <c r="V90" s="90" t="n"/>
      <c r="W90" s="90" t="n"/>
      <c r="X90" s="90" t="n"/>
      <c r="Y90" s="90" t="n"/>
      <c r="Z90" s="90" t="n"/>
      <c r="AA90" s="90" t="n"/>
      <c r="AB90" s="90" t="n">
        <v>22</v>
      </c>
      <c r="AC90" s="90" t="n">
        <v>1</v>
      </c>
      <c r="AD90" s="93" t="inlineStr">
        <is>
          <t>増</t>
        </is>
      </c>
      <c r="AE90" s="90" t="inlineStr">
        <is>
          <t>22 扶養親族の退職</t>
        </is>
      </c>
      <c r="AF90" s="93" t="inlineStr">
        <is>
          <t>増</t>
        </is>
      </c>
      <c r="AG90" s="93" t="inlineStr">
        <is>
          <t>増</t>
        </is>
      </c>
      <c r="AH90" s="93" t="inlineStr">
        <is>
          <t>増</t>
        </is>
      </c>
      <c r="AI90" s="90" t="n"/>
      <c r="AJ90" s="90" t="n"/>
      <c r="AK90" s="90" t="n"/>
      <c r="AL90" s="94">
        <f>IF(A90="","",IF(COUNTIF(A90:A$2001,A90)=1,1,0))</f>
        <v/>
      </c>
      <c r="AM90" s="94">
        <f>IF(I90="","",TODAY()-I90)</f>
        <v/>
      </c>
      <c r="AN90" s="94">
        <f>IF(A90="","",IF(AND(E90&lt;&gt;"33 確認済",E90&lt;&gt;"36 送付中"),1,0))</f>
        <v/>
      </c>
      <c r="AO90" s="94">
        <f>IF(A90="","",IF(AG90&lt;&gt;"",1,0))</f>
        <v/>
      </c>
      <c r="AP90" s="220">
        <f>IF(P90&lt;&gt;"","・添待ち","")&amp;IF(Q90&lt;&gt;"","・住民票","")&amp;IF(R90&lt;&gt;"","・発信","")&amp;IF(S90&lt;&gt;"","・確認事項","")&amp;IF(T90&lt;&gt;"","・管","")&amp;IF(U90&lt;&gt;"","・SV","")&amp;IF(V90&lt;&gt;"","・データ送付待ち","")&amp;IF(W90&lt;&gt;"","・削除","")</f>
        <v/>
      </c>
    </row>
    <row r="91" ht="15" customHeight="1" s="87">
      <c r="A91" s="90" t="n">
        <v>202660000868</v>
      </c>
      <c r="B91" s="90" t="n"/>
      <c r="C91" s="90" t="n"/>
      <c r="D91" s="90" t="n">
        <v>31</v>
      </c>
      <c r="E91" s="90" t="inlineStr">
        <is>
          <t>31 ＯＰ確認中</t>
        </is>
      </c>
      <c r="F91" s="90" t="n"/>
      <c r="G91" s="90" t="n"/>
      <c r="H91" s="91" t="n">
        <v>46113</v>
      </c>
      <c r="I91" s="92" t="n">
        <v>46197</v>
      </c>
      <c r="J91" s="91" t="n">
        <v>46198</v>
      </c>
      <c r="K91" s="91" t="n">
        <v>46198</v>
      </c>
      <c r="L91" s="90" t="n"/>
      <c r="M91" s="90" t="n"/>
      <c r="N91" s="90" t="n"/>
      <c r="O91" s="90" t="inlineStr">
        <is>
          <t>22 担当者変更</t>
        </is>
      </c>
      <c r="P91" s="93" t="inlineStr">
        <is>
          <t>添</t>
        </is>
      </c>
      <c r="Q91" s="90" t="n"/>
      <c r="R91" s="90" t="n"/>
      <c r="S91" s="90" t="n"/>
      <c r="T91" s="90" t="n"/>
      <c r="U91" s="93" t="inlineStr">
        <is>
          <t>Ｓ</t>
        </is>
      </c>
      <c r="V91" s="90" t="n"/>
      <c r="W91" s="90" t="n"/>
      <c r="X91" s="90" t="n"/>
      <c r="Y91" s="90" t="n"/>
      <c r="Z91" s="90" t="n"/>
      <c r="AA91" s="90" t="n"/>
      <c r="AB91" s="90" t="n">
        <v>50</v>
      </c>
      <c r="AC91" s="90" t="n">
        <v>0</v>
      </c>
      <c r="AD91" s="93" t="inlineStr">
        <is>
          <t>減</t>
        </is>
      </c>
      <c r="AE91" s="90" t="inlineStr">
        <is>
          <t>50 扶養者の変更</t>
        </is>
      </c>
      <c r="AF91" s="90" t="n"/>
      <c r="AG91" s="93" t="inlineStr">
        <is>
          <t>減</t>
        </is>
      </c>
      <c r="AH91" s="90" t="n"/>
      <c r="AI91" s="90" t="n"/>
      <c r="AJ91" s="90" t="n"/>
      <c r="AK91" s="90" t="n"/>
      <c r="AL91" s="94">
        <f>IF(A91="","",IF(COUNTIF(A91:A$2001,A91)=1,1,0))</f>
        <v/>
      </c>
      <c r="AM91" s="94">
        <f>IF(I91="","",TODAY()-I91)</f>
        <v/>
      </c>
      <c r="AN91" s="94">
        <f>IF(A91="","",IF(AND(E91&lt;&gt;"33 確認済",E91&lt;&gt;"36 送付中"),1,0))</f>
        <v/>
      </c>
      <c r="AO91" s="94">
        <f>IF(A91="","",IF(AG91&lt;&gt;"",1,0))</f>
        <v/>
      </c>
      <c r="AP91" s="220">
        <f>IF(P91&lt;&gt;"","・添待ち","")&amp;IF(Q91&lt;&gt;"","・住民票","")&amp;IF(R91&lt;&gt;"","・発信","")&amp;IF(S91&lt;&gt;"","・確認事項","")&amp;IF(T91&lt;&gt;"","・管","")&amp;IF(U91&lt;&gt;"","・SV","")&amp;IF(V91&lt;&gt;"","・データ送付待ち","")&amp;IF(W91&lt;&gt;"","・削除","")</f>
        <v/>
      </c>
    </row>
    <row r="92" ht="15" customHeight="1" s="87">
      <c r="A92" s="90" t="n">
        <v>202660000900</v>
      </c>
      <c r="B92" s="90" t="n"/>
      <c r="C92" s="90" t="n"/>
      <c r="D92" s="90" t="n">
        <v>33</v>
      </c>
      <c r="E92" s="90" t="inlineStr">
        <is>
          <t>33 確認済</t>
        </is>
      </c>
      <c r="F92" s="90" t="n">
        <v>20</v>
      </c>
      <c r="G92" s="90" t="inlineStr">
        <is>
          <t>20 差戻し</t>
        </is>
      </c>
      <c r="H92" s="91" t="n">
        <v>46188</v>
      </c>
      <c r="I92" s="92" t="n">
        <v>46203</v>
      </c>
      <c r="J92" s="91" t="n">
        <v>46279</v>
      </c>
      <c r="K92" s="91" t="n">
        <v>46279</v>
      </c>
      <c r="L92" s="90" t="n"/>
      <c r="M92" s="90" t="n"/>
      <c r="N92" s="90" t="n"/>
      <c r="O92" s="90" t="inlineStr">
        <is>
          <t>40 ＳＶ承認</t>
        </is>
      </c>
      <c r="P92" s="90" t="n"/>
      <c r="Q92" s="90" t="n"/>
      <c r="R92" s="90" t="n"/>
      <c r="S92" s="90" t="n"/>
      <c r="T92" s="90" t="n"/>
      <c r="U92" s="90" t="n"/>
      <c r="V92" s="90" t="n"/>
      <c r="W92" s="90" t="n"/>
      <c r="X92" s="90" t="n"/>
      <c r="Y92" s="90" t="n"/>
      <c r="Z92" s="90" t="n"/>
      <c r="AA92" s="90" t="n"/>
      <c r="AB92" s="90" t="n">
        <v>21</v>
      </c>
      <c r="AC92" s="90" t="n">
        <v>1</v>
      </c>
      <c r="AD92" s="93" t="inlineStr">
        <is>
          <t>増</t>
        </is>
      </c>
      <c r="AE92" s="90" t="inlineStr">
        <is>
          <t>21 出生</t>
        </is>
      </c>
      <c r="AF92" s="93" t="inlineStr">
        <is>
          <t>増</t>
        </is>
      </c>
      <c r="AG92" s="90" t="n"/>
      <c r="AH92" s="90" t="n"/>
      <c r="AI92" s="90" t="n"/>
      <c r="AJ92" s="90" t="n"/>
      <c r="AK92" s="90" t="n"/>
      <c r="AL92" s="94">
        <f>IF(A92="","",IF(COUNTIF(A92:A$2001,A92)=1,1,0))</f>
        <v/>
      </c>
      <c r="AM92" s="94">
        <f>IF(I92="","",TODAY()-I92)</f>
        <v/>
      </c>
      <c r="AN92" s="94">
        <f>IF(A92="","",IF(AND(E92&lt;&gt;"33 確認済",E92&lt;&gt;"36 送付中"),1,0))</f>
        <v/>
      </c>
      <c r="AO92" s="94">
        <f>IF(A92="","",IF(AG92&lt;&gt;"",1,0))</f>
        <v/>
      </c>
      <c r="AP92" s="220">
        <f>IF(P92&lt;&gt;"","・添待ち","")&amp;IF(Q92&lt;&gt;"","・住民票","")&amp;IF(R92&lt;&gt;"","・発信","")&amp;IF(S92&lt;&gt;"","・確認事項","")&amp;IF(T92&lt;&gt;"","・管","")&amp;IF(U92&lt;&gt;"","・SV","")&amp;IF(V92&lt;&gt;"","・データ送付待ち","")&amp;IF(W92&lt;&gt;"","・削除","")</f>
        <v/>
      </c>
    </row>
    <row r="93" ht="15" customHeight="1" s="87">
      <c r="A93" s="90" t="n">
        <v>202660000967</v>
      </c>
      <c r="B93" s="90" t="n"/>
      <c r="C93" s="90" t="n"/>
      <c r="D93" s="90" t="n">
        <v>20</v>
      </c>
      <c r="E93" s="90" t="inlineStr">
        <is>
          <t>20 確認待ち</t>
        </is>
      </c>
      <c r="F93" s="90" t="n">
        <v>20</v>
      </c>
      <c r="G93" s="90" t="inlineStr">
        <is>
          <t>20 差戻し</t>
        </is>
      </c>
      <c r="H93" s="91" t="n">
        <v>46054</v>
      </c>
      <c r="I93" s="92" t="n">
        <v>46226</v>
      </c>
      <c r="J93" s="91" t="n">
        <v>46231</v>
      </c>
      <c r="K93" s="91" t="n">
        <v>46231</v>
      </c>
      <c r="L93" s="90" t="n"/>
      <c r="M93" s="90" t="n"/>
      <c r="N93" s="90" t="n"/>
      <c r="O93" s="90" t="inlineStr">
        <is>
          <t>11 差戻し申請</t>
        </is>
      </c>
      <c r="P93" s="93" t="inlineStr">
        <is>
          <t>添</t>
        </is>
      </c>
      <c r="Q93" s="90" t="n"/>
      <c r="R93" s="90" t="n"/>
      <c r="S93" s="90" t="n"/>
      <c r="T93" s="90" t="n"/>
      <c r="U93" s="90" t="n"/>
      <c r="V93" s="90" t="n"/>
      <c r="W93" s="90" t="n"/>
      <c r="X93" s="90" t="n"/>
      <c r="Y93" s="90" t="n"/>
      <c r="Z93" s="90" t="n"/>
      <c r="AA93" s="90" t="n"/>
      <c r="AB93" s="90" t="n">
        <v>47</v>
      </c>
      <c r="AC93" s="90" t="n">
        <v>0</v>
      </c>
      <c r="AD93" s="93" t="inlineStr">
        <is>
          <t>減</t>
        </is>
      </c>
      <c r="AE93" s="90" t="inlineStr">
        <is>
          <t>47 扶養親族の就職</t>
        </is>
      </c>
      <c r="AF93" s="93" t="inlineStr">
        <is>
          <t>減</t>
        </is>
      </c>
      <c r="AG93" s="93" t="inlineStr">
        <is>
          <t>減</t>
        </is>
      </c>
      <c r="AH93" s="90" t="n"/>
      <c r="AI93" s="90" t="n"/>
      <c r="AJ93" s="90" t="n"/>
      <c r="AK93" s="90" t="n"/>
      <c r="AL93" s="94">
        <f>IF(A93="","",IF(COUNTIF(A93:A$2001,A93)=1,1,0))</f>
        <v/>
      </c>
      <c r="AM93" s="94">
        <f>IF(I93="","",TODAY()-I93)</f>
        <v/>
      </c>
      <c r="AN93" s="94">
        <f>IF(A93="","",IF(AND(E93&lt;&gt;"33 確認済",E93&lt;&gt;"36 送付中"),1,0))</f>
        <v/>
      </c>
      <c r="AO93" s="94">
        <f>IF(A93="","",IF(AG93&lt;&gt;"",1,0))</f>
        <v/>
      </c>
      <c r="AP93" s="220">
        <f>IF(P93&lt;&gt;"","・添待ち","")&amp;IF(Q93&lt;&gt;"","・住民票","")&amp;IF(R93&lt;&gt;"","・発信","")&amp;IF(S93&lt;&gt;"","・確認事項","")&amp;IF(T93&lt;&gt;"","・管","")&amp;IF(U93&lt;&gt;"","・SV","")&amp;IF(V93&lt;&gt;"","・データ送付待ち","")&amp;IF(W93&lt;&gt;"","・削除","")</f>
        <v/>
      </c>
    </row>
    <row r="94" ht="15" customHeight="1" s="87">
      <c r="A94" s="90" t="n">
        <v>202660001000</v>
      </c>
      <c r="B94" s="90" t="n"/>
      <c r="C94" s="90" t="n"/>
      <c r="D94" s="90" t="n">
        <v>40</v>
      </c>
      <c r="E94" s="90" t="inlineStr">
        <is>
          <t>40 差戻し</t>
        </is>
      </c>
      <c r="F94" s="90" t="n">
        <v>20</v>
      </c>
      <c r="G94" s="90" t="inlineStr">
        <is>
          <t>20 差戻し</t>
        </is>
      </c>
      <c r="H94" s="91" t="n">
        <v>46204</v>
      </c>
      <c r="I94" s="92" t="n">
        <v>46216</v>
      </c>
      <c r="J94" s="91" t="n">
        <v>46220</v>
      </c>
      <c r="K94" s="91" t="n">
        <v>46220</v>
      </c>
      <c r="L94" s="90" t="n"/>
      <c r="M94" s="90" t="n"/>
      <c r="N94" s="90" t="n"/>
      <c r="O94" s="90" t="inlineStr">
        <is>
          <t>55 添付書類待ち登録</t>
        </is>
      </c>
      <c r="P94" s="93" t="inlineStr">
        <is>
          <t>添</t>
        </is>
      </c>
      <c r="Q94" s="90" t="n"/>
      <c r="R94" s="90" t="n"/>
      <c r="S94" s="90" t="n"/>
      <c r="T94" s="90" t="n"/>
      <c r="U94" s="90" t="n"/>
      <c r="V94" s="90" t="n"/>
      <c r="W94" s="90" t="n"/>
      <c r="X94" s="90" t="n"/>
      <c r="Y94" s="90" t="n"/>
      <c r="Z94" s="90" t="n"/>
      <c r="AA94" s="90" t="n"/>
      <c r="AB94" s="90" t="n">
        <v>26</v>
      </c>
      <c r="AC94" s="90" t="n">
        <v>1</v>
      </c>
      <c r="AD94" s="93" t="inlineStr">
        <is>
          <t>増</t>
        </is>
      </c>
      <c r="AE94" s="90" t="inlineStr">
        <is>
          <t>26 扶養者の変更</t>
        </is>
      </c>
      <c r="AF94" s="93" t="inlineStr">
        <is>
          <t>増</t>
        </is>
      </c>
      <c r="AG94" s="93" t="inlineStr">
        <is>
          <t>増</t>
        </is>
      </c>
      <c r="AH94" s="93" t="inlineStr">
        <is>
          <t>増</t>
        </is>
      </c>
      <c r="AI94" s="90" t="n"/>
      <c r="AJ94" s="90" t="n"/>
      <c r="AK94" s="90" t="n"/>
      <c r="AL94" s="94">
        <f>IF(A94="","",IF(COUNTIF(A94:A$2001,A94)=1,1,0))</f>
        <v/>
      </c>
      <c r="AM94" s="94">
        <f>IF(I94="","",TODAY()-I94)</f>
        <v/>
      </c>
      <c r="AN94" s="94">
        <f>IF(A94="","",IF(AND(E94&lt;&gt;"33 確認済",E94&lt;&gt;"36 送付中"),1,0))</f>
        <v/>
      </c>
      <c r="AO94" s="94">
        <f>IF(A94="","",IF(AG94&lt;&gt;"",1,0))</f>
        <v/>
      </c>
      <c r="AP94" s="220">
        <f>IF(P94&lt;&gt;"","・添待ち","")&amp;IF(Q94&lt;&gt;"","・住民票","")&amp;IF(R94&lt;&gt;"","・発信","")&amp;IF(S94&lt;&gt;"","・確認事項","")&amp;IF(T94&lt;&gt;"","・管","")&amp;IF(U94&lt;&gt;"","・SV","")&amp;IF(V94&lt;&gt;"","・データ送付待ち","")&amp;IF(W94&lt;&gt;"","・削除","")</f>
        <v/>
      </c>
    </row>
    <row r="95" ht="15" customHeight="1" s="87">
      <c r="A95" s="90" t="n">
        <v>202660001008</v>
      </c>
      <c r="B95" s="90" t="n"/>
      <c r="C95" s="90" t="n"/>
      <c r="D95" s="90" t="n">
        <v>31</v>
      </c>
      <c r="E95" s="90" t="inlineStr">
        <is>
          <t>31 ＯＰ確認中</t>
        </is>
      </c>
      <c r="F95" s="90" t="n"/>
      <c r="G95" s="90" t="n"/>
      <c r="H95" s="91" t="n">
        <v>46217</v>
      </c>
      <c r="I95" s="92" t="n">
        <v>46227</v>
      </c>
      <c r="J95" s="91" t="n">
        <v>46237</v>
      </c>
      <c r="K95" s="91" t="n">
        <v>46237</v>
      </c>
      <c r="L95" s="90" t="n"/>
      <c r="M95" s="90" t="n"/>
      <c r="N95" s="90" t="n"/>
      <c r="O95" s="90" t="inlineStr">
        <is>
          <t>22 担当者変更</t>
        </is>
      </c>
      <c r="P95" s="93" t="inlineStr">
        <is>
          <t>添</t>
        </is>
      </c>
      <c r="Q95" s="90" t="n"/>
      <c r="R95" s="90" t="n"/>
      <c r="S95" s="90" t="n"/>
      <c r="T95" s="90" t="n"/>
      <c r="U95" s="93" t="inlineStr">
        <is>
          <t>Ｓ</t>
        </is>
      </c>
      <c r="V95" s="90" t="n"/>
      <c r="W95" s="90" t="n"/>
      <c r="X95" s="90" t="n"/>
      <c r="Y95" s="90" t="n"/>
      <c r="Z95" s="90" t="n"/>
      <c r="AA95" s="90" t="n"/>
      <c r="AB95" s="90" t="n">
        <v>26</v>
      </c>
      <c r="AC95" s="90" t="n">
        <v>1</v>
      </c>
      <c r="AD95" s="93" t="inlineStr">
        <is>
          <t>増</t>
        </is>
      </c>
      <c r="AE95" s="90" t="inlineStr">
        <is>
          <t>26 扶養者の変更</t>
        </is>
      </c>
      <c r="AF95" s="93" t="inlineStr">
        <is>
          <t>増</t>
        </is>
      </c>
      <c r="AG95" s="93" t="inlineStr">
        <is>
          <t>増</t>
        </is>
      </c>
      <c r="AH95" s="93" t="inlineStr">
        <is>
          <t>増</t>
        </is>
      </c>
      <c r="AI95" s="90" t="n"/>
      <c r="AJ95" s="90" t="n"/>
      <c r="AK95" s="90" t="n"/>
      <c r="AL95" s="94">
        <f>IF(A95="","",IF(COUNTIF(A95:A$2001,A95)=1,1,0))</f>
        <v/>
      </c>
      <c r="AM95" s="94">
        <f>IF(I95="","",TODAY()-I95)</f>
        <v/>
      </c>
      <c r="AN95" s="94">
        <f>IF(A95="","",IF(AND(E95&lt;&gt;"33 確認済",E95&lt;&gt;"36 送付中"),1,0))</f>
        <v/>
      </c>
      <c r="AO95" s="94">
        <f>IF(A95="","",IF(AG95&lt;&gt;"",1,0))</f>
        <v/>
      </c>
      <c r="AP95" s="220">
        <f>IF(P95&lt;&gt;"","・添待ち","")&amp;IF(Q95&lt;&gt;"","・住民票","")&amp;IF(R95&lt;&gt;"","・発信","")&amp;IF(S95&lt;&gt;"","・確認事項","")&amp;IF(T95&lt;&gt;"","・管","")&amp;IF(U95&lt;&gt;"","・SV","")&amp;IF(V95&lt;&gt;"","・データ送付待ち","")&amp;IF(W95&lt;&gt;"","・削除","")</f>
        <v/>
      </c>
    </row>
    <row r="96" ht="15" customHeight="1" s="87">
      <c r="A96" s="90" t="n">
        <v>202660001026</v>
      </c>
      <c r="B96" s="90" t="n"/>
      <c r="C96" s="90" t="n"/>
      <c r="D96" s="90" t="n">
        <v>32</v>
      </c>
      <c r="E96" s="90" t="inlineStr">
        <is>
          <t>32 ＳＶ確認中</t>
        </is>
      </c>
      <c r="F96" s="90" t="n"/>
      <c r="G96" s="90" t="n"/>
      <c r="H96" s="91" t="n">
        <v>46204</v>
      </c>
      <c r="I96" s="92" t="n">
        <v>46220</v>
      </c>
      <c r="J96" s="91" t="n">
        <v>46224</v>
      </c>
      <c r="K96" s="91" t="n">
        <v>46224</v>
      </c>
      <c r="L96" s="90" t="n"/>
      <c r="M96" s="90" t="n"/>
      <c r="N96" s="90" t="n"/>
      <c r="O96" s="90" t="inlineStr">
        <is>
          <t>31 差戻し</t>
        </is>
      </c>
      <c r="P96" s="93" t="inlineStr">
        <is>
          <t>添</t>
        </is>
      </c>
      <c r="Q96" s="90" t="n"/>
      <c r="R96" s="90" t="n"/>
      <c r="S96" s="90" t="n"/>
      <c r="T96" s="90" t="n"/>
      <c r="U96" s="93" t="inlineStr">
        <is>
          <t>Ｓ</t>
        </is>
      </c>
      <c r="V96" s="90" t="n"/>
      <c r="W96" s="90" t="n"/>
      <c r="X96" s="90" t="n"/>
      <c r="Y96" s="90" t="n"/>
      <c r="Z96" s="90" t="n"/>
      <c r="AA96" s="90" t="n"/>
      <c r="AB96" s="90" t="n">
        <v>22</v>
      </c>
      <c r="AC96" s="90" t="n">
        <v>1</v>
      </c>
      <c r="AD96" s="93" t="inlineStr">
        <is>
          <t>増</t>
        </is>
      </c>
      <c r="AE96" s="90" t="inlineStr">
        <is>
          <t>22 扶養親族の退職</t>
        </is>
      </c>
      <c r="AF96" s="90" t="n"/>
      <c r="AG96" s="93" t="inlineStr">
        <is>
          <t>増</t>
        </is>
      </c>
      <c r="AH96" s="90" t="n"/>
      <c r="AI96" s="90" t="n"/>
      <c r="AJ96" s="90" t="n"/>
      <c r="AK96" s="90" t="n"/>
      <c r="AL96" s="94">
        <f>IF(A96="","",IF(COUNTIF(A96:A$2001,A96)=1,1,0))</f>
        <v/>
      </c>
      <c r="AM96" s="94">
        <f>IF(I96="","",TODAY()-I96)</f>
        <v/>
      </c>
      <c r="AN96" s="94">
        <f>IF(A96="","",IF(AND(E96&lt;&gt;"33 確認済",E96&lt;&gt;"36 送付中"),1,0))</f>
        <v/>
      </c>
      <c r="AO96" s="94">
        <f>IF(A96="","",IF(AG96&lt;&gt;"",1,0))</f>
        <v/>
      </c>
      <c r="AP96" s="220">
        <f>IF(P96&lt;&gt;"","・添待ち","")&amp;IF(Q96&lt;&gt;"","・住民票","")&amp;IF(R96&lt;&gt;"","・発信","")&amp;IF(S96&lt;&gt;"","・確認事項","")&amp;IF(T96&lt;&gt;"","・管","")&amp;IF(U96&lt;&gt;"","・SV","")&amp;IF(V96&lt;&gt;"","・データ送付待ち","")&amp;IF(W96&lt;&gt;"","・削除","")</f>
        <v/>
      </c>
    </row>
    <row r="97" ht="15" customHeight="1" s="87">
      <c r="A97" s="90" t="n">
        <v>202660001028</v>
      </c>
      <c r="B97" s="90" t="n"/>
      <c r="C97" s="90" t="n"/>
      <c r="D97" s="90" t="n">
        <v>36</v>
      </c>
      <c r="E97" s="90" t="inlineStr">
        <is>
          <t>36 送付中</t>
        </is>
      </c>
      <c r="F97" s="90" t="n"/>
      <c r="G97" s="90" t="n"/>
      <c r="H97" s="91" t="n">
        <v>46023</v>
      </c>
      <c r="I97" s="92" t="n">
        <v>46220</v>
      </c>
      <c r="J97" s="91" t="n">
        <v>46262</v>
      </c>
      <c r="K97" s="91" t="n">
        <v>46262</v>
      </c>
      <c r="L97" s="91" t="n">
        <v>46289</v>
      </c>
      <c r="M97" s="91" t="n">
        <v>46289</v>
      </c>
      <c r="N97" s="90" t="n"/>
      <c r="O97" s="90" t="inlineStr">
        <is>
          <t>70 申請データ出力</t>
        </is>
      </c>
      <c r="P97" s="90" t="n"/>
      <c r="Q97" s="90" t="n"/>
      <c r="R97" s="90" t="n"/>
      <c r="S97" s="90" t="n"/>
      <c r="T97" s="90" t="n"/>
      <c r="U97" s="90" t="n"/>
      <c r="V97" s="90" t="n"/>
      <c r="W97" s="90" t="n"/>
      <c r="X97" s="90" t="n"/>
      <c r="Y97" s="90" t="n"/>
      <c r="Z97" s="90" t="n"/>
      <c r="AA97" s="90" t="n"/>
      <c r="AB97" s="90" t="n">
        <v>25</v>
      </c>
      <c r="AC97" s="90" t="n">
        <v>1</v>
      </c>
      <c r="AD97" s="93" t="inlineStr">
        <is>
          <t>増</t>
        </is>
      </c>
      <c r="AE97" s="90" t="inlineStr">
        <is>
          <t>25 育休</t>
        </is>
      </c>
      <c r="AF97" s="90" t="n"/>
      <c r="AG97" s="90" t="n"/>
      <c r="AH97" s="93" t="inlineStr">
        <is>
          <t>増</t>
        </is>
      </c>
      <c r="AI97" s="90" t="n"/>
      <c r="AJ97" s="90" t="n"/>
      <c r="AK97" s="90" t="n"/>
      <c r="AL97" s="94">
        <f>IF(A97="","",IF(COUNTIF(A97:A$2001,A97)=1,1,0))</f>
        <v/>
      </c>
      <c r="AM97" s="94">
        <f>IF(I97="","",TODAY()-I97)</f>
        <v/>
      </c>
      <c r="AN97" s="94">
        <f>IF(A97="","",IF(AND(E97&lt;&gt;"33 確認済",E97&lt;&gt;"36 送付中"),1,0))</f>
        <v/>
      </c>
      <c r="AO97" s="94">
        <f>IF(A97="","",IF(AG97&lt;&gt;"",1,0))</f>
        <v/>
      </c>
      <c r="AP97" s="220">
        <f>IF(P97&lt;&gt;"","・添待ち","")&amp;IF(Q97&lt;&gt;"","・住民票","")&amp;IF(R97&lt;&gt;"","・発信","")&amp;IF(S97&lt;&gt;"","・確認事項","")&amp;IF(T97&lt;&gt;"","・管","")&amp;IF(U97&lt;&gt;"","・SV","")&amp;IF(V97&lt;&gt;"","・データ送付待ち","")&amp;IF(W97&lt;&gt;"","・削除","")</f>
        <v/>
      </c>
    </row>
    <row r="98" ht="15" customHeight="1" s="87">
      <c r="A98" s="90" t="n">
        <v>202660001033</v>
      </c>
      <c r="B98" s="90" t="n"/>
      <c r="C98" s="90" t="n"/>
      <c r="D98" s="90" t="n">
        <v>32</v>
      </c>
      <c r="E98" s="90" t="inlineStr">
        <is>
          <t>32 ＳＶ確認中</t>
        </is>
      </c>
      <c r="F98" s="90" t="n">
        <v>20</v>
      </c>
      <c r="G98" s="90" t="inlineStr">
        <is>
          <t>20 差戻し</t>
        </is>
      </c>
      <c r="H98" s="91" t="n">
        <v>46237</v>
      </c>
      <c r="I98" s="92" t="n">
        <v>46247</v>
      </c>
      <c r="J98" s="91" t="n">
        <v>46279</v>
      </c>
      <c r="K98" s="91" t="n">
        <v>46279</v>
      </c>
      <c r="L98" s="90" t="n"/>
      <c r="M98" s="90" t="n"/>
      <c r="N98" s="90" t="n"/>
      <c r="O98" s="90" t="inlineStr">
        <is>
          <t>30 登録</t>
        </is>
      </c>
      <c r="P98" s="90" t="n"/>
      <c r="Q98" s="90" t="n"/>
      <c r="R98" s="90" t="n"/>
      <c r="S98" s="90" t="n"/>
      <c r="T98" s="90" t="n"/>
      <c r="U98" s="90" t="n"/>
      <c r="V98" s="90" t="n"/>
      <c r="W98" s="90" t="n"/>
      <c r="X98" s="90" t="n"/>
      <c r="Y98" s="90" t="n"/>
      <c r="Z98" s="90" t="n"/>
      <c r="AA98" s="90" t="n"/>
      <c r="AB98" s="90" t="n">
        <v>21</v>
      </c>
      <c r="AC98" s="90" t="n">
        <v>1</v>
      </c>
      <c r="AD98" s="93" t="inlineStr">
        <is>
          <t>増</t>
        </is>
      </c>
      <c r="AE98" s="90" t="inlineStr">
        <is>
          <t>21 出生</t>
        </is>
      </c>
      <c r="AF98" s="93" t="inlineStr">
        <is>
          <t>増</t>
        </is>
      </c>
      <c r="AG98" s="93" t="inlineStr">
        <is>
          <t>増</t>
        </is>
      </c>
      <c r="AH98" s="93" t="inlineStr">
        <is>
          <t>増</t>
        </is>
      </c>
      <c r="AI98" s="90" t="n"/>
      <c r="AJ98" s="90" t="n"/>
      <c r="AK98" s="90" t="n"/>
      <c r="AL98" s="94">
        <f>IF(A98="","",IF(COUNTIF(A98:A$2001,A98)=1,1,0))</f>
        <v/>
      </c>
      <c r="AM98" s="94">
        <f>IF(I98="","",TODAY()-I98)</f>
        <v/>
      </c>
      <c r="AN98" s="94">
        <f>IF(A98="","",IF(AND(E98&lt;&gt;"33 確認済",E98&lt;&gt;"36 送付中"),1,0))</f>
        <v/>
      </c>
      <c r="AO98" s="94">
        <f>IF(A98="","",IF(AG98&lt;&gt;"",1,0))</f>
        <v/>
      </c>
      <c r="AP98" s="220">
        <f>IF(P98&lt;&gt;"","・添待ち","")&amp;IF(Q98&lt;&gt;"","・住民票","")&amp;IF(R98&lt;&gt;"","・発信","")&amp;IF(S98&lt;&gt;"","・確認事項","")&amp;IF(T98&lt;&gt;"","・管","")&amp;IF(U98&lt;&gt;"","・SV","")&amp;IF(V98&lt;&gt;"","・データ送付待ち","")&amp;IF(W98&lt;&gt;"","・削除","")</f>
        <v/>
      </c>
    </row>
    <row r="99" ht="15" customHeight="1" s="87">
      <c r="A99" s="90" t="n">
        <v>202660001034</v>
      </c>
      <c r="B99" s="90" t="n"/>
      <c r="C99" s="90" t="n"/>
      <c r="D99" s="90" t="n">
        <v>33</v>
      </c>
      <c r="E99" s="90" t="inlineStr">
        <is>
          <t>33 確認済</t>
        </is>
      </c>
      <c r="F99" s="90" t="n">
        <v>20</v>
      </c>
      <c r="G99" s="90" t="inlineStr">
        <is>
          <t>20 差戻し</t>
        </is>
      </c>
      <c r="H99" s="91" t="n">
        <v>46214</v>
      </c>
      <c r="I99" s="92" t="n">
        <v>46237</v>
      </c>
      <c r="J99" s="91" t="n">
        <v>46280</v>
      </c>
      <c r="K99" s="91" t="n">
        <v>46280</v>
      </c>
      <c r="L99" s="90" t="n"/>
      <c r="M99" s="90" t="n"/>
      <c r="N99" s="90" t="n"/>
      <c r="O99" s="90" t="inlineStr">
        <is>
          <t>40 ＳＶ承認</t>
        </is>
      </c>
      <c r="P99" s="90" t="n"/>
      <c r="Q99" s="90" t="n"/>
      <c r="R99" s="90" t="n"/>
      <c r="S99" s="90" t="n"/>
      <c r="T99" s="90" t="n"/>
      <c r="U99" s="90" t="n"/>
      <c r="V99" s="90" t="n"/>
      <c r="W99" s="90" t="n"/>
      <c r="X99" s="90" t="n"/>
      <c r="Y99" s="90" t="n"/>
      <c r="Z99" s="90" t="n"/>
      <c r="AA99" s="90" t="n"/>
      <c r="AB99" s="90" t="n">
        <v>21</v>
      </c>
      <c r="AC99" s="90" t="n">
        <v>1</v>
      </c>
      <c r="AD99" s="93" t="inlineStr">
        <is>
          <t>増</t>
        </is>
      </c>
      <c r="AE99" s="90" t="inlineStr">
        <is>
          <t>21 出生</t>
        </is>
      </c>
      <c r="AF99" s="93" t="inlineStr">
        <is>
          <t>増</t>
        </is>
      </c>
      <c r="AG99" s="93" t="inlineStr">
        <is>
          <t>増</t>
        </is>
      </c>
      <c r="AH99" s="93" t="inlineStr">
        <is>
          <t>増</t>
        </is>
      </c>
      <c r="AI99" s="90" t="n"/>
      <c r="AJ99" s="90" t="n"/>
      <c r="AK99" s="90" t="n"/>
      <c r="AL99" s="94">
        <f>IF(A99="","",IF(COUNTIF(A99:A$2001,A99)=1,1,0))</f>
        <v/>
      </c>
      <c r="AM99" s="94">
        <f>IF(I99="","",TODAY()-I99)</f>
        <v/>
      </c>
      <c r="AN99" s="94">
        <f>IF(A99="","",IF(AND(E99&lt;&gt;"33 確認済",E99&lt;&gt;"36 送付中"),1,0))</f>
        <v/>
      </c>
      <c r="AO99" s="94">
        <f>IF(A99="","",IF(AG99&lt;&gt;"",1,0))</f>
        <v/>
      </c>
      <c r="AP99" s="220">
        <f>IF(P99&lt;&gt;"","・添待ち","")&amp;IF(Q99&lt;&gt;"","・住民票","")&amp;IF(R99&lt;&gt;"","・発信","")&amp;IF(S99&lt;&gt;"","・確認事項","")&amp;IF(T99&lt;&gt;"","・管","")&amp;IF(U99&lt;&gt;"","・SV","")&amp;IF(V99&lt;&gt;"","・データ送付待ち","")&amp;IF(W99&lt;&gt;"","・削除","")</f>
        <v/>
      </c>
    </row>
    <row r="100" ht="15" customHeight="1" s="87">
      <c r="A100" s="90" t="n">
        <v>202660001060</v>
      </c>
      <c r="B100" s="90" t="n"/>
      <c r="C100" s="90" t="n"/>
      <c r="D100" s="90" t="n">
        <v>40</v>
      </c>
      <c r="E100" s="90" t="inlineStr">
        <is>
          <t>40 差戻し</t>
        </is>
      </c>
      <c r="F100" s="90" t="n">
        <v>20</v>
      </c>
      <c r="G100" s="90" t="inlineStr">
        <is>
          <t>20 差戻し</t>
        </is>
      </c>
      <c r="H100" s="91" t="n">
        <v>46211</v>
      </c>
      <c r="I100" s="92" t="n">
        <v>46227</v>
      </c>
      <c r="J100" s="91" t="n">
        <v>46262</v>
      </c>
      <c r="K100" s="91" t="n">
        <v>46262</v>
      </c>
      <c r="L100" s="90" t="n"/>
      <c r="M100" s="90" t="n"/>
      <c r="N100" s="90" t="n"/>
      <c r="O100" s="90" t="inlineStr">
        <is>
          <t>55 添付書類待ち登録</t>
        </is>
      </c>
      <c r="P100" s="93" t="inlineStr">
        <is>
          <t>添</t>
        </is>
      </c>
      <c r="Q100" s="90" t="n"/>
      <c r="R100" s="90" t="n"/>
      <c r="S100" s="90" t="n"/>
      <c r="T100" s="90" t="n"/>
      <c r="U100" s="90" t="n"/>
      <c r="V100" s="90" t="n"/>
      <c r="W100" s="90" t="n"/>
      <c r="X100" s="90" t="n"/>
      <c r="Y100" s="90" t="n"/>
      <c r="Z100" s="90" t="n"/>
      <c r="AA100" s="90" t="n"/>
      <c r="AB100" s="90" t="n">
        <v>21</v>
      </c>
      <c r="AC100" s="90" t="n">
        <v>1</v>
      </c>
      <c r="AD100" s="93" t="inlineStr">
        <is>
          <t>増</t>
        </is>
      </c>
      <c r="AE100" s="90" t="inlineStr">
        <is>
          <t>21 出生</t>
        </is>
      </c>
      <c r="AF100" s="93" t="inlineStr">
        <is>
          <t>増</t>
        </is>
      </c>
      <c r="AG100" s="93" t="inlineStr">
        <is>
          <t>増</t>
        </is>
      </c>
      <c r="AH100" s="93" t="inlineStr">
        <is>
          <t>増</t>
        </is>
      </c>
      <c r="AI100" s="90" t="n"/>
      <c r="AJ100" s="90" t="n"/>
      <c r="AK100" s="90" t="n"/>
      <c r="AL100" s="94">
        <f>IF(A100="","",IF(COUNTIF(A100:A$2001,A100)=1,1,0))</f>
        <v/>
      </c>
      <c r="AM100" s="94">
        <f>IF(I100="","",TODAY()-I100)</f>
        <v/>
      </c>
      <c r="AN100" s="94">
        <f>IF(A100="","",IF(AND(E100&lt;&gt;"33 確認済",E100&lt;&gt;"36 送付中"),1,0))</f>
        <v/>
      </c>
      <c r="AO100" s="94">
        <f>IF(A100="","",IF(AG100&lt;&gt;"",1,0))</f>
        <v/>
      </c>
      <c r="AP100" s="220">
        <f>IF(P100&lt;&gt;"","・添待ち","")&amp;IF(Q100&lt;&gt;"","・住民票","")&amp;IF(R100&lt;&gt;"","・発信","")&amp;IF(S100&lt;&gt;"","・確認事項","")&amp;IF(T100&lt;&gt;"","・管","")&amp;IF(U100&lt;&gt;"","・SV","")&amp;IF(V100&lt;&gt;"","・データ送付待ち","")&amp;IF(W100&lt;&gt;"","・削除","")</f>
        <v/>
      </c>
    </row>
    <row r="101" ht="15" customHeight="1" s="87">
      <c r="A101" s="90" t="n">
        <v>202660001066</v>
      </c>
      <c r="B101" s="90" t="n"/>
      <c r="C101" s="90" t="n"/>
      <c r="D101" s="90" t="n">
        <v>40</v>
      </c>
      <c r="E101" s="90" t="inlineStr">
        <is>
          <t>40 差戻し</t>
        </is>
      </c>
      <c r="F101" s="90" t="n">
        <v>20</v>
      </c>
      <c r="G101" s="90" t="inlineStr">
        <is>
          <t>20 差戻し</t>
        </is>
      </c>
      <c r="H101" s="91" t="n">
        <v>46204</v>
      </c>
      <c r="I101" s="92" t="n">
        <v>46232</v>
      </c>
      <c r="J101" s="91" t="n">
        <v>46255</v>
      </c>
      <c r="K101" s="91" t="n">
        <v>46255</v>
      </c>
      <c r="L101" s="90" t="n"/>
      <c r="M101" s="90" t="n"/>
      <c r="N101" s="90" t="n"/>
      <c r="O101" s="90" t="inlineStr">
        <is>
          <t>55 添付書類待ち登録</t>
        </is>
      </c>
      <c r="P101" s="93" t="inlineStr">
        <is>
          <t>添</t>
        </is>
      </c>
      <c r="Q101" s="90" t="n"/>
      <c r="R101" s="90" t="n"/>
      <c r="S101" s="90" t="n"/>
      <c r="T101" s="90" t="n"/>
      <c r="U101" s="93" t="inlineStr">
        <is>
          <t>Ｓ</t>
        </is>
      </c>
      <c r="V101" s="90" t="n"/>
      <c r="W101" s="90" t="n"/>
      <c r="X101" s="90" t="n"/>
      <c r="Y101" s="90" t="n"/>
      <c r="Z101" s="90" t="n"/>
      <c r="AA101" s="90" t="n"/>
      <c r="AB101" s="90" t="n">
        <v>51</v>
      </c>
      <c r="AC101" s="90" t="n">
        <v>0</v>
      </c>
      <c r="AD101" s="93" t="inlineStr">
        <is>
          <t>減</t>
        </is>
      </c>
      <c r="AE101" s="90" t="inlineStr">
        <is>
          <t>51 収入限度額以上</t>
        </is>
      </c>
      <c r="AF101" s="93" t="inlineStr">
        <is>
          <t>減</t>
        </is>
      </c>
      <c r="AG101" s="93" t="inlineStr">
        <is>
          <t>減</t>
        </is>
      </c>
      <c r="AH101" s="93" t="inlineStr">
        <is>
          <t>減</t>
        </is>
      </c>
      <c r="AI101" s="90" t="n"/>
      <c r="AJ101" s="90" t="n"/>
      <c r="AK101" s="90" t="n"/>
      <c r="AL101" s="94">
        <f>IF(A101="","",IF(COUNTIF(A101:A$2001,A101)=1,1,0))</f>
        <v/>
      </c>
      <c r="AM101" s="94">
        <f>IF(I101="","",TODAY()-I101)</f>
        <v/>
      </c>
      <c r="AN101" s="94">
        <f>IF(A101="","",IF(AND(E101&lt;&gt;"33 確認済",E101&lt;&gt;"36 送付中"),1,0))</f>
        <v/>
      </c>
      <c r="AO101" s="94">
        <f>IF(A101="","",IF(AG101&lt;&gt;"",1,0))</f>
        <v/>
      </c>
      <c r="AP101" s="220">
        <f>IF(P101&lt;&gt;"","・添待ち","")&amp;IF(Q101&lt;&gt;"","・住民票","")&amp;IF(R101&lt;&gt;"","・発信","")&amp;IF(S101&lt;&gt;"","・確認事項","")&amp;IF(T101&lt;&gt;"","・管","")&amp;IF(U101&lt;&gt;"","・SV","")&amp;IF(V101&lt;&gt;"","・データ送付待ち","")&amp;IF(W101&lt;&gt;"","・削除","")</f>
        <v/>
      </c>
    </row>
    <row r="102" ht="15" customHeight="1" s="87">
      <c r="A102" s="90" t="n">
        <v>202660001070</v>
      </c>
      <c r="B102" s="90" t="n"/>
      <c r="C102" s="90" t="n"/>
      <c r="D102" s="90" t="n">
        <v>32</v>
      </c>
      <c r="E102" s="90" t="inlineStr">
        <is>
          <t>32 ＳＶ確認中</t>
        </is>
      </c>
      <c r="F102" s="90" t="n">
        <v>20</v>
      </c>
      <c r="G102" s="90" t="inlineStr">
        <is>
          <t>20 差戻し</t>
        </is>
      </c>
      <c r="H102" s="91" t="n">
        <v>46186</v>
      </c>
      <c r="I102" s="92" t="n">
        <v>46231</v>
      </c>
      <c r="J102" s="91" t="n">
        <v>46233</v>
      </c>
      <c r="K102" s="91" t="n">
        <v>46233</v>
      </c>
      <c r="L102" s="90" t="n"/>
      <c r="M102" s="90" t="n"/>
      <c r="N102" s="90" t="n"/>
      <c r="O102" s="90" t="inlineStr">
        <is>
          <t>99 データメンテナンス</t>
        </is>
      </c>
      <c r="P102" s="93" t="inlineStr">
        <is>
          <t>添</t>
        </is>
      </c>
      <c r="Q102" s="90" t="n"/>
      <c r="R102" s="90" t="n"/>
      <c r="S102" s="90" t="n"/>
      <c r="T102" s="90" t="n"/>
      <c r="U102" s="93" t="inlineStr">
        <is>
          <t>Ｓ</t>
        </is>
      </c>
      <c r="V102" s="90" t="n"/>
      <c r="W102" s="90" t="n"/>
      <c r="X102" s="90" t="n"/>
      <c r="Y102" s="90" t="n"/>
      <c r="Z102" s="90" t="n"/>
      <c r="AA102" s="90" t="n"/>
      <c r="AB102" s="90" t="n">
        <v>31</v>
      </c>
      <c r="AC102" s="90" t="n">
        <v>1</v>
      </c>
      <c r="AD102" s="93" t="inlineStr">
        <is>
          <t>増</t>
        </is>
      </c>
      <c r="AE102" s="90" t="inlineStr">
        <is>
          <t>31 同居</t>
        </is>
      </c>
      <c r="AF102" s="93" t="inlineStr">
        <is>
          <t>増</t>
        </is>
      </c>
      <c r="AG102" s="93" t="inlineStr">
        <is>
          <t>増</t>
        </is>
      </c>
      <c r="AH102" s="93" t="inlineStr">
        <is>
          <t>増</t>
        </is>
      </c>
      <c r="AI102" s="90" t="n"/>
      <c r="AJ102" s="90" t="n"/>
      <c r="AK102" s="90" t="n"/>
      <c r="AL102" s="94">
        <f>IF(A102="","",IF(COUNTIF(A102:A$2001,A102)=1,1,0))</f>
        <v/>
      </c>
      <c r="AM102" s="94">
        <f>IF(I102="","",TODAY()-I102)</f>
        <v/>
      </c>
      <c r="AN102" s="94">
        <f>IF(A102="","",IF(AND(E102&lt;&gt;"33 確認済",E102&lt;&gt;"36 送付中"),1,0))</f>
        <v/>
      </c>
      <c r="AO102" s="94">
        <f>IF(A102="","",IF(AG102&lt;&gt;"",1,0))</f>
        <v/>
      </c>
      <c r="AP102" s="220">
        <f>IF(P102&lt;&gt;"","・添待ち","")&amp;IF(Q102&lt;&gt;"","・住民票","")&amp;IF(R102&lt;&gt;"","・発信","")&amp;IF(S102&lt;&gt;"","・確認事項","")&amp;IF(T102&lt;&gt;"","・管","")&amp;IF(U102&lt;&gt;"","・SV","")&amp;IF(V102&lt;&gt;"","・データ送付待ち","")&amp;IF(W102&lt;&gt;"","・削除","")</f>
        <v/>
      </c>
    </row>
    <row r="103" ht="15" customHeight="1" s="87">
      <c r="A103" s="90" t="n">
        <v>202660001080</v>
      </c>
      <c r="B103" s="90" t="n"/>
      <c r="C103" s="90" t="n"/>
      <c r="D103" s="90" t="n">
        <v>20</v>
      </c>
      <c r="E103" s="90" t="inlineStr">
        <is>
          <t>20 確認待ち</t>
        </is>
      </c>
      <c r="F103" s="90" t="n">
        <v>20</v>
      </c>
      <c r="G103" s="90" t="inlineStr">
        <is>
          <t>20 差戻し</t>
        </is>
      </c>
      <c r="H103" s="91" t="n">
        <v>46204</v>
      </c>
      <c r="I103" s="92" t="n">
        <v>46232</v>
      </c>
      <c r="J103" s="91" t="n">
        <v>46253</v>
      </c>
      <c r="K103" s="91" t="n">
        <v>46253</v>
      </c>
      <c r="L103" s="90" t="n"/>
      <c r="M103" s="90" t="n"/>
      <c r="N103" s="90" t="n"/>
      <c r="O103" s="90" t="inlineStr">
        <is>
          <t>11 差戻し申請</t>
        </is>
      </c>
      <c r="P103" s="93" t="inlineStr">
        <is>
          <t>添</t>
        </is>
      </c>
      <c r="Q103" s="90" t="n"/>
      <c r="R103" s="90" t="n"/>
      <c r="S103" s="90" t="n"/>
      <c r="T103" s="90" t="n"/>
      <c r="U103" s="90" t="n"/>
      <c r="V103" s="90" t="n"/>
      <c r="W103" s="90" t="n"/>
      <c r="X103" s="90" t="n"/>
      <c r="Y103" s="90" t="n"/>
      <c r="Z103" s="90" t="n"/>
      <c r="AA103" s="90" t="n"/>
      <c r="AB103" s="90" t="n">
        <v>22</v>
      </c>
      <c r="AC103" s="90" t="n">
        <v>1</v>
      </c>
      <c r="AD103" s="93" t="inlineStr">
        <is>
          <t>増</t>
        </is>
      </c>
      <c r="AE103" s="90" t="inlineStr">
        <is>
          <t>22 扶養親族の退職</t>
        </is>
      </c>
      <c r="AF103" s="93" t="inlineStr">
        <is>
          <t>増</t>
        </is>
      </c>
      <c r="AG103" s="93" t="inlineStr">
        <is>
          <t>増</t>
        </is>
      </c>
      <c r="AH103" s="90" t="n"/>
      <c r="AI103" s="90" t="n"/>
      <c r="AJ103" s="90" t="n"/>
      <c r="AK103" s="90" t="n"/>
      <c r="AL103" s="94">
        <f>IF(A103="","",IF(COUNTIF(A103:A$2001,A103)=1,1,0))</f>
        <v/>
      </c>
      <c r="AM103" s="94">
        <f>IF(I103="","",TODAY()-I103)</f>
        <v/>
      </c>
      <c r="AN103" s="94">
        <f>IF(A103="","",IF(AND(E103&lt;&gt;"33 確認済",E103&lt;&gt;"36 送付中"),1,0))</f>
        <v/>
      </c>
      <c r="AO103" s="94">
        <f>IF(A103="","",IF(AG103&lt;&gt;"",1,0))</f>
        <v/>
      </c>
      <c r="AP103" s="220">
        <f>IF(P103&lt;&gt;"","・添待ち","")&amp;IF(Q103&lt;&gt;"","・住民票","")&amp;IF(R103&lt;&gt;"","・発信","")&amp;IF(S103&lt;&gt;"","・確認事項","")&amp;IF(T103&lt;&gt;"","・管","")&amp;IF(U103&lt;&gt;"","・SV","")&amp;IF(V103&lt;&gt;"","・データ送付待ち","")&amp;IF(W103&lt;&gt;"","・削除","")</f>
        <v/>
      </c>
    </row>
    <row r="104" ht="15" customHeight="1" s="87">
      <c r="A104" s="90" t="n">
        <v>202660001083</v>
      </c>
      <c r="B104" s="90" t="n"/>
      <c r="C104" s="90" t="n"/>
      <c r="D104" s="90" t="n">
        <v>31</v>
      </c>
      <c r="E104" s="90" t="inlineStr">
        <is>
          <t>31 ＯＰ確認中</t>
        </is>
      </c>
      <c r="F104" s="90" t="n">
        <v>20</v>
      </c>
      <c r="G104" s="90" t="inlineStr">
        <is>
          <t>20 差戻し</t>
        </is>
      </c>
      <c r="H104" s="91" t="n">
        <v>46232</v>
      </c>
      <c r="I104" s="92" t="n">
        <v>46232</v>
      </c>
      <c r="J104" s="91" t="n">
        <v>46289</v>
      </c>
      <c r="K104" s="91" t="n">
        <v>46289</v>
      </c>
      <c r="L104" s="90" t="n"/>
      <c r="M104" s="90" t="n"/>
      <c r="N104" s="90" t="n"/>
      <c r="O104" s="90" t="inlineStr">
        <is>
          <t>22 担当者変更</t>
        </is>
      </c>
      <c r="P104" s="90" t="n"/>
      <c r="Q104" s="90" t="n"/>
      <c r="R104" s="90" t="n"/>
      <c r="S104" s="90" t="n"/>
      <c r="T104" s="90" t="n"/>
      <c r="U104" s="90" t="n"/>
      <c r="V104" s="90" t="n"/>
      <c r="W104" s="90" t="n"/>
      <c r="X104" s="90" t="n"/>
      <c r="Y104" s="90" t="n"/>
      <c r="Z104" s="90" t="n"/>
      <c r="AA104" s="90" t="n"/>
      <c r="AB104" s="90" t="n">
        <v>26</v>
      </c>
      <c r="AC104" s="90" t="n">
        <v>1</v>
      </c>
      <c r="AD104" s="93" t="inlineStr">
        <is>
          <t>増</t>
        </is>
      </c>
      <c r="AE104" s="90" t="inlineStr">
        <is>
          <t>26 扶養者の変更</t>
        </is>
      </c>
      <c r="AF104" s="93" t="inlineStr">
        <is>
          <t>増</t>
        </is>
      </c>
      <c r="AG104" s="93" t="inlineStr">
        <is>
          <t>増</t>
        </is>
      </c>
      <c r="AH104" s="93" t="inlineStr">
        <is>
          <t>増</t>
        </is>
      </c>
      <c r="AI104" s="90" t="n"/>
      <c r="AJ104" s="90" t="n"/>
      <c r="AK104" s="90" t="n"/>
      <c r="AL104" s="94">
        <f>IF(A104="","",IF(COUNTIF(A104:A$2001,A104)=1,1,0))</f>
        <v/>
      </c>
      <c r="AM104" s="94">
        <f>IF(I104="","",TODAY()-I104)</f>
        <v/>
      </c>
      <c r="AN104" s="94">
        <f>IF(A104="","",IF(AND(E104&lt;&gt;"33 確認済",E104&lt;&gt;"36 送付中"),1,0))</f>
        <v/>
      </c>
      <c r="AO104" s="94">
        <f>IF(A104="","",IF(AG104&lt;&gt;"",1,0))</f>
        <v/>
      </c>
      <c r="AP104" s="220">
        <f>IF(P104&lt;&gt;"","・添待ち","")&amp;IF(Q104&lt;&gt;"","・住民票","")&amp;IF(R104&lt;&gt;"","・発信","")&amp;IF(S104&lt;&gt;"","・確認事項","")&amp;IF(T104&lt;&gt;"","・管","")&amp;IF(U104&lt;&gt;"","・SV","")&amp;IF(V104&lt;&gt;"","・データ送付待ち","")&amp;IF(W104&lt;&gt;"","・削除","")</f>
        <v/>
      </c>
    </row>
    <row r="105" ht="15" customHeight="1" s="87">
      <c r="A105" s="90" t="n">
        <v>202660001086</v>
      </c>
      <c r="B105" s="90" t="n"/>
      <c r="C105" s="90" t="n"/>
      <c r="D105" s="90" t="n">
        <v>40</v>
      </c>
      <c r="E105" s="90" t="inlineStr">
        <is>
          <t>40 差戻し</t>
        </is>
      </c>
      <c r="F105" s="90" t="n">
        <v>20</v>
      </c>
      <c r="G105" s="90" t="inlineStr">
        <is>
          <t>20 差戻し</t>
        </is>
      </c>
      <c r="H105" s="91" t="n">
        <v>46108</v>
      </c>
      <c r="I105" s="92" t="n">
        <v>46235</v>
      </c>
      <c r="J105" s="91" t="n">
        <v>46238</v>
      </c>
      <c r="K105" s="91" t="n">
        <v>46241</v>
      </c>
      <c r="L105" s="90" t="n"/>
      <c r="M105" s="90" t="n"/>
      <c r="N105" s="90" t="n"/>
      <c r="O105" s="90" t="inlineStr">
        <is>
          <t>57 削除待ち登録</t>
        </is>
      </c>
      <c r="P105" s="90" t="n"/>
      <c r="Q105" s="90" t="n"/>
      <c r="R105" s="90" t="n"/>
      <c r="S105" s="90" t="n"/>
      <c r="T105" s="90" t="n"/>
      <c r="U105" s="90" t="n"/>
      <c r="V105" s="90" t="n"/>
      <c r="W105" s="93" t="inlineStr">
        <is>
          <t>削</t>
        </is>
      </c>
      <c r="X105" s="90" t="n"/>
      <c r="Y105" s="90" t="n"/>
      <c r="Z105" s="90" t="n"/>
      <c r="AA105" s="90" t="n"/>
      <c r="AB105" s="90" t="n">
        <v>51</v>
      </c>
      <c r="AC105" s="90" t="n">
        <v>0</v>
      </c>
      <c r="AD105" s="93" t="inlineStr">
        <is>
          <t>減</t>
        </is>
      </c>
      <c r="AE105" s="90" t="inlineStr">
        <is>
          <t>51 収入限度額以上</t>
        </is>
      </c>
      <c r="AF105" s="93" t="inlineStr">
        <is>
          <t>減</t>
        </is>
      </c>
      <c r="AG105" s="93" t="inlineStr">
        <is>
          <t>減</t>
        </is>
      </c>
      <c r="AH105" s="93" t="inlineStr">
        <is>
          <t>減</t>
        </is>
      </c>
      <c r="AI105" s="90" t="n"/>
      <c r="AJ105" s="90" t="n"/>
      <c r="AK105" s="90" t="n"/>
      <c r="AL105" s="94">
        <f>IF(A105="","",IF(COUNTIF(A105:A$2001,A105)=1,1,0))</f>
        <v/>
      </c>
      <c r="AM105" s="94">
        <f>IF(I105="","",TODAY()-I105)</f>
        <v/>
      </c>
      <c r="AN105" s="94">
        <f>IF(A105="","",IF(AND(E105&lt;&gt;"33 確認済",E105&lt;&gt;"36 送付中"),1,0))</f>
        <v/>
      </c>
      <c r="AO105" s="94">
        <f>IF(A105="","",IF(AG105&lt;&gt;"",1,0))</f>
        <v/>
      </c>
      <c r="AP105" s="220">
        <f>IF(P105&lt;&gt;"","・添待ち","")&amp;IF(Q105&lt;&gt;"","・住民票","")&amp;IF(R105&lt;&gt;"","・発信","")&amp;IF(S105&lt;&gt;"","・確認事項","")&amp;IF(T105&lt;&gt;"","・管","")&amp;IF(U105&lt;&gt;"","・SV","")&amp;IF(V105&lt;&gt;"","・データ送付待ち","")&amp;IF(W105&lt;&gt;"","・削除","")</f>
        <v/>
      </c>
    </row>
    <row r="106" ht="15" customHeight="1" s="87">
      <c r="A106" s="90" t="n">
        <v>202660001090</v>
      </c>
      <c r="B106" s="90" t="n"/>
      <c r="C106" s="90" t="n"/>
      <c r="D106" s="90" t="n">
        <v>20</v>
      </c>
      <c r="E106" s="90" t="inlineStr">
        <is>
          <t>20 確認待ち</t>
        </is>
      </c>
      <c r="F106" s="90" t="n">
        <v>20</v>
      </c>
      <c r="G106" s="90" t="inlineStr">
        <is>
          <t>20 差戻し</t>
        </is>
      </c>
      <c r="H106" s="91" t="n">
        <v>46228</v>
      </c>
      <c r="I106" s="92" t="n">
        <v>46234</v>
      </c>
      <c r="J106" s="91" t="n">
        <v>46267</v>
      </c>
      <c r="K106" s="91" t="n">
        <v>46267</v>
      </c>
      <c r="L106" s="90" t="n"/>
      <c r="M106" s="90" t="n"/>
      <c r="N106" s="90" t="n"/>
      <c r="O106" s="90" t="inlineStr">
        <is>
          <t>11 差戻し申請</t>
        </is>
      </c>
      <c r="P106" s="93" t="inlineStr">
        <is>
          <t>添</t>
        </is>
      </c>
      <c r="Q106" s="90" t="n"/>
      <c r="R106" s="90" t="n"/>
      <c r="S106" s="90" t="n"/>
      <c r="T106" s="90" t="n"/>
      <c r="U106" s="90" t="n"/>
      <c r="V106" s="90" t="n"/>
      <c r="W106" s="90" t="n"/>
      <c r="X106" s="90" t="n"/>
      <c r="Y106" s="90" t="n"/>
      <c r="Z106" s="90" t="n"/>
      <c r="AA106" s="90" t="n"/>
      <c r="AB106" s="90" t="n">
        <v>22</v>
      </c>
      <c r="AC106" s="90" t="n">
        <v>1</v>
      </c>
      <c r="AD106" s="93" t="inlineStr">
        <is>
          <t>増</t>
        </is>
      </c>
      <c r="AE106" s="90" t="inlineStr">
        <is>
          <t>22 扶養親族の退職</t>
        </is>
      </c>
      <c r="AF106" s="93" t="inlineStr">
        <is>
          <t>増</t>
        </is>
      </c>
      <c r="AG106" s="93" t="inlineStr">
        <is>
          <t>増</t>
        </is>
      </c>
      <c r="AH106" s="90" t="n"/>
      <c r="AI106" s="90" t="n"/>
      <c r="AJ106" s="90" t="n"/>
      <c r="AK106" s="90" t="n"/>
      <c r="AL106" s="94">
        <f>IF(A106="","",IF(COUNTIF(A106:A$2001,A106)=1,1,0))</f>
        <v/>
      </c>
      <c r="AM106" s="94">
        <f>IF(I106="","",TODAY()-I106)</f>
        <v/>
      </c>
      <c r="AN106" s="94">
        <f>IF(A106="","",IF(AND(E106&lt;&gt;"33 確認済",E106&lt;&gt;"36 送付中"),1,0))</f>
        <v/>
      </c>
      <c r="AO106" s="94">
        <f>IF(A106="","",IF(AG106&lt;&gt;"",1,0))</f>
        <v/>
      </c>
      <c r="AP106" s="220">
        <f>IF(P106&lt;&gt;"","・添待ち","")&amp;IF(Q106&lt;&gt;"","・住民票","")&amp;IF(R106&lt;&gt;"","・発信","")&amp;IF(S106&lt;&gt;"","・確認事項","")&amp;IF(T106&lt;&gt;"","・管","")&amp;IF(U106&lt;&gt;"","・SV","")&amp;IF(V106&lt;&gt;"","・データ送付待ち","")&amp;IF(W106&lt;&gt;"","・削除","")</f>
        <v/>
      </c>
    </row>
    <row r="107" ht="15" customHeight="1" s="87">
      <c r="A107" s="90" t="n">
        <v>202660001097</v>
      </c>
      <c r="B107" s="90" t="n"/>
      <c r="C107" s="90" t="n"/>
      <c r="D107" s="90" t="n">
        <v>33</v>
      </c>
      <c r="E107" s="90" t="inlineStr">
        <is>
          <t>33 確認済</t>
        </is>
      </c>
      <c r="F107" s="90" t="n">
        <v>20</v>
      </c>
      <c r="G107" s="90" t="inlineStr">
        <is>
          <t>20 差戻し</t>
        </is>
      </c>
      <c r="H107" s="91" t="n">
        <v>46205</v>
      </c>
      <c r="I107" s="92" t="n">
        <v>46234</v>
      </c>
      <c r="J107" s="91" t="n">
        <v>46280</v>
      </c>
      <c r="K107" s="91" t="n">
        <v>46280</v>
      </c>
      <c r="L107" s="90" t="n"/>
      <c r="M107" s="90" t="n"/>
      <c r="N107" s="90" t="n"/>
      <c r="O107" s="90" t="inlineStr">
        <is>
          <t>40 ＳＶ承認</t>
        </is>
      </c>
      <c r="P107" s="90" t="n"/>
      <c r="Q107" s="90" t="n"/>
      <c r="R107" s="90" t="n"/>
      <c r="S107" s="90" t="n"/>
      <c r="T107" s="90" t="n"/>
      <c r="U107" s="90" t="n"/>
      <c r="V107" s="90" t="n"/>
      <c r="W107" s="90" t="n"/>
      <c r="X107" s="90" t="n"/>
      <c r="Y107" s="90" t="n"/>
      <c r="Z107" s="90" t="n"/>
      <c r="AA107" s="90" t="n"/>
      <c r="AB107" s="90" t="n">
        <v>47</v>
      </c>
      <c r="AC107" s="90" t="n">
        <v>0</v>
      </c>
      <c r="AD107" s="93" t="inlineStr">
        <is>
          <t>減</t>
        </is>
      </c>
      <c r="AE107" s="90" t="inlineStr">
        <is>
          <t>47 扶養親族の就職</t>
        </is>
      </c>
      <c r="AF107" s="93" t="inlineStr">
        <is>
          <t>減</t>
        </is>
      </c>
      <c r="AG107" s="93" t="inlineStr">
        <is>
          <t>減</t>
        </is>
      </c>
      <c r="AH107" s="90" t="n"/>
      <c r="AI107" s="90" t="n"/>
      <c r="AJ107" s="90" t="n"/>
      <c r="AK107" s="90" t="n"/>
      <c r="AL107" s="94">
        <f>IF(A107="","",IF(COUNTIF(A107:A$2001,A107)=1,1,0))</f>
        <v/>
      </c>
      <c r="AM107" s="94">
        <f>IF(I107="","",TODAY()-I107)</f>
        <v/>
      </c>
      <c r="AN107" s="94">
        <f>IF(A107="","",IF(AND(E107&lt;&gt;"33 確認済",E107&lt;&gt;"36 送付中"),1,0))</f>
        <v/>
      </c>
      <c r="AO107" s="94">
        <f>IF(A107="","",IF(AG107&lt;&gt;"",1,0))</f>
        <v/>
      </c>
      <c r="AP107" s="220">
        <f>IF(P107&lt;&gt;"","・添待ち","")&amp;IF(Q107&lt;&gt;"","・住民票","")&amp;IF(R107&lt;&gt;"","・発信","")&amp;IF(S107&lt;&gt;"","・確認事項","")&amp;IF(T107&lt;&gt;"","・管","")&amp;IF(U107&lt;&gt;"","・SV","")&amp;IF(V107&lt;&gt;"","・データ送付待ち","")&amp;IF(W107&lt;&gt;"","・削除","")</f>
        <v/>
      </c>
    </row>
    <row r="108" ht="15" customHeight="1" s="87">
      <c r="A108" s="90" t="n">
        <v>202660001108</v>
      </c>
      <c r="B108" s="90" t="n"/>
      <c r="C108" s="90" t="n"/>
      <c r="D108" s="90" t="n">
        <v>32</v>
      </c>
      <c r="E108" s="90" t="inlineStr">
        <is>
          <t>32 ＳＶ確認中</t>
        </is>
      </c>
      <c r="F108" s="90" t="n"/>
      <c r="G108" s="90" t="n"/>
      <c r="H108" s="91" t="n">
        <v>46204</v>
      </c>
      <c r="I108" s="92" t="n">
        <v>46261</v>
      </c>
      <c r="J108" s="91" t="n">
        <v>46265</v>
      </c>
      <c r="K108" s="91" t="n">
        <v>46279</v>
      </c>
      <c r="L108" s="90" t="n"/>
      <c r="M108" s="90" t="n"/>
      <c r="N108" s="90" t="n"/>
      <c r="O108" s="90" t="inlineStr">
        <is>
          <t>30 登録</t>
        </is>
      </c>
      <c r="P108" s="90" t="n"/>
      <c r="Q108" s="90" t="n"/>
      <c r="R108" s="90" t="n"/>
      <c r="S108" s="90" t="n"/>
      <c r="T108" s="90" t="n"/>
      <c r="U108" s="90" t="n"/>
      <c r="V108" s="90" t="n"/>
      <c r="W108" s="90" t="n"/>
      <c r="X108" s="90" t="n"/>
      <c r="Y108" s="90" t="n"/>
      <c r="Z108" s="90" t="n"/>
      <c r="AA108" s="90" t="n"/>
      <c r="AB108" s="90" t="n">
        <v>47</v>
      </c>
      <c r="AC108" s="90" t="n">
        <v>0</v>
      </c>
      <c r="AD108" s="93" t="inlineStr">
        <is>
          <t>減</t>
        </is>
      </c>
      <c r="AE108" s="90" t="inlineStr">
        <is>
          <t>47 扶養親族の就職</t>
        </is>
      </c>
      <c r="AF108" s="90" t="n"/>
      <c r="AG108" s="90" t="n"/>
      <c r="AH108" s="93" t="inlineStr">
        <is>
          <t>減</t>
        </is>
      </c>
      <c r="AI108" s="90" t="n"/>
      <c r="AJ108" s="90" t="n"/>
      <c r="AK108" s="90" t="n"/>
      <c r="AL108" s="94">
        <f>IF(A108="","",IF(COUNTIF(A108:A$2001,A108)=1,1,0))</f>
        <v/>
      </c>
      <c r="AM108" s="94">
        <f>IF(I108="","",TODAY()-I108)</f>
        <v/>
      </c>
      <c r="AN108" s="94">
        <f>IF(A108="","",IF(AND(E108&lt;&gt;"33 確認済",E108&lt;&gt;"36 送付中"),1,0))</f>
        <v/>
      </c>
      <c r="AO108" s="94">
        <f>IF(A108="","",IF(AG108&lt;&gt;"",1,0))</f>
        <v/>
      </c>
      <c r="AP108" s="220">
        <f>IF(P108&lt;&gt;"","・添待ち","")&amp;IF(Q108&lt;&gt;"","・住民票","")&amp;IF(R108&lt;&gt;"","・発信","")&amp;IF(S108&lt;&gt;"","・確認事項","")&amp;IF(T108&lt;&gt;"","・管","")&amp;IF(U108&lt;&gt;"","・SV","")&amp;IF(V108&lt;&gt;"","・データ送付待ち","")&amp;IF(W108&lt;&gt;"","・削除","")</f>
        <v/>
      </c>
    </row>
    <row r="109" ht="15" customHeight="1" s="87">
      <c r="A109" s="90" t="n">
        <v>202660001115</v>
      </c>
      <c r="B109" s="90" t="n"/>
      <c r="C109" s="90" t="n"/>
      <c r="D109" s="90" t="n">
        <v>32</v>
      </c>
      <c r="E109" s="90" t="inlineStr">
        <is>
          <t>32 ＳＶ確認中</t>
        </is>
      </c>
      <c r="F109" s="90" t="n">
        <v>20</v>
      </c>
      <c r="G109" s="90" t="inlineStr">
        <is>
          <t>20 差戻し</t>
        </is>
      </c>
      <c r="H109" s="91" t="n">
        <v>46226</v>
      </c>
      <c r="I109" s="92" t="n">
        <v>46230</v>
      </c>
      <c r="J109" s="91" t="n">
        <v>46279</v>
      </c>
      <c r="K109" s="91" t="n">
        <v>46279</v>
      </c>
      <c r="L109" s="90" t="n"/>
      <c r="M109" s="90" t="n"/>
      <c r="N109" s="90" t="n"/>
      <c r="O109" s="90" t="inlineStr">
        <is>
          <t>30 登録</t>
        </is>
      </c>
      <c r="P109" s="90" t="n"/>
      <c r="Q109" s="90" t="n"/>
      <c r="R109" s="90" t="n"/>
      <c r="S109" s="90" t="n"/>
      <c r="T109" s="90" t="n"/>
      <c r="U109" s="90" t="n"/>
      <c r="V109" s="90" t="n"/>
      <c r="W109" s="90" t="n"/>
      <c r="X109" s="90" t="n"/>
      <c r="Y109" s="90" t="n"/>
      <c r="Z109" s="90" t="n"/>
      <c r="AA109" s="90" t="n"/>
      <c r="AB109" s="90" t="n">
        <v>21</v>
      </c>
      <c r="AC109" s="90" t="n">
        <v>1</v>
      </c>
      <c r="AD109" s="93" t="inlineStr">
        <is>
          <t>増</t>
        </is>
      </c>
      <c r="AE109" s="90" t="inlineStr">
        <is>
          <t>21 出生</t>
        </is>
      </c>
      <c r="AF109" s="93" t="inlineStr">
        <is>
          <t>増</t>
        </is>
      </c>
      <c r="AG109" s="90" t="n"/>
      <c r="AH109" s="90" t="n"/>
      <c r="AI109" s="90" t="n"/>
      <c r="AJ109" s="90" t="n"/>
      <c r="AK109" s="90" t="n"/>
      <c r="AL109" s="94">
        <f>IF(A109="","",IF(COUNTIF(A109:A$2001,A109)=1,1,0))</f>
        <v/>
      </c>
      <c r="AM109" s="94">
        <f>IF(I109="","",TODAY()-I109)</f>
        <v/>
      </c>
      <c r="AN109" s="94">
        <f>IF(A109="","",IF(AND(E109&lt;&gt;"33 確認済",E109&lt;&gt;"36 送付中"),1,0))</f>
        <v/>
      </c>
      <c r="AO109" s="94">
        <f>IF(A109="","",IF(AG109&lt;&gt;"",1,0))</f>
        <v/>
      </c>
      <c r="AP109" s="220">
        <f>IF(P109&lt;&gt;"","・添待ち","")&amp;IF(Q109&lt;&gt;"","・住民票","")&amp;IF(R109&lt;&gt;"","・発信","")&amp;IF(S109&lt;&gt;"","・確認事項","")&amp;IF(T109&lt;&gt;"","・管","")&amp;IF(U109&lt;&gt;"","・SV","")&amp;IF(V109&lt;&gt;"","・データ送付待ち","")&amp;IF(W109&lt;&gt;"","・削除","")</f>
        <v/>
      </c>
    </row>
    <row r="110" ht="15" customHeight="1" s="87">
      <c r="A110" s="90" t="n">
        <v>202660001121</v>
      </c>
      <c r="B110" s="90" t="n"/>
      <c r="C110" s="90" t="n"/>
      <c r="D110" s="90" t="n">
        <v>30</v>
      </c>
      <c r="E110" s="90" t="inlineStr">
        <is>
          <t>30 申請受付</t>
        </is>
      </c>
      <c r="F110" s="90" t="n"/>
      <c r="G110" s="90" t="n"/>
      <c r="H110" s="91" t="n">
        <v>45830</v>
      </c>
      <c r="I110" s="92" t="n">
        <v>46238</v>
      </c>
      <c r="J110" s="91" t="n">
        <v>46240</v>
      </c>
      <c r="K110" s="90" t="n"/>
      <c r="L110" s="90" t="n"/>
      <c r="M110" s="90" t="n"/>
      <c r="N110" s="90" t="n"/>
      <c r="O110" s="90" t="inlineStr">
        <is>
          <t>20 申請受付</t>
        </is>
      </c>
      <c r="P110" s="90" t="n"/>
      <c r="Q110" s="90" t="n"/>
      <c r="R110" s="90" t="n"/>
      <c r="S110" s="90" t="n"/>
      <c r="T110" s="90" t="n"/>
      <c r="U110" s="90" t="n"/>
      <c r="V110" s="90" t="n"/>
      <c r="W110" s="90" t="n"/>
      <c r="X110" s="90" t="n"/>
      <c r="Y110" s="90" t="n"/>
      <c r="Z110" s="90" t="n"/>
      <c r="AA110" s="90" t="n"/>
      <c r="AB110" s="90" t="n">
        <v>55</v>
      </c>
      <c r="AC110" s="90" t="n">
        <v>0</v>
      </c>
      <c r="AD110" s="93" t="inlineStr">
        <is>
          <t>減</t>
        </is>
      </c>
      <c r="AE110" s="90" t="inlineStr">
        <is>
          <t>55 扶養親族の結婚</t>
        </is>
      </c>
      <c r="AF110" s="93" t="inlineStr">
        <is>
          <t>減</t>
        </is>
      </c>
      <c r="AG110" s="93" t="inlineStr">
        <is>
          <t>減</t>
        </is>
      </c>
      <c r="AH110" s="93" t="inlineStr">
        <is>
          <t>減</t>
        </is>
      </c>
      <c r="AI110" s="90" t="n"/>
      <c r="AJ110" s="90" t="n"/>
      <c r="AK110" s="90" t="n"/>
      <c r="AL110" s="94">
        <f>IF(A110="","",IF(COUNTIF(A110:A$2001,A110)=1,1,0))</f>
        <v/>
      </c>
      <c r="AM110" s="94">
        <f>IF(I110="","",TODAY()-I110)</f>
        <v/>
      </c>
      <c r="AN110" s="94">
        <f>IF(A110="","",IF(AND(E110&lt;&gt;"33 確認済",E110&lt;&gt;"36 送付中"),1,0))</f>
        <v/>
      </c>
      <c r="AO110" s="94">
        <f>IF(A110="","",IF(AG110&lt;&gt;"",1,0))</f>
        <v/>
      </c>
      <c r="AP110" s="220">
        <f>IF(P110&lt;&gt;"","・添待ち","")&amp;IF(Q110&lt;&gt;"","・住民票","")&amp;IF(R110&lt;&gt;"","・発信","")&amp;IF(S110&lt;&gt;"","・確認事項","")&amp;IF(T110&lt;&gt;"","・管","")&amp;IF(U110&lt;&gt;"","・SV","")&amp;IF(V110&lt;&gt;"","・データ送付待ち","")&amp;IF(W110&lt;&gt;"","・削除","")</f>
        <v/>
      </c>
    </row>
    <row r="111" ht="15" customHeight="1" s="87">
      <c r="A111" s="90" t="n">
        <v>202660001125</v>
      </c>
      <c r="B111" s="90" t="n"/>
      <c r="C111" s="90" t="n"/>
      <c r="D111" s="90" t="n">
        <v>32</v>
      </c>
      <c r="E111" s="90" t="inlineStr">
        <is>
          <t>32 ＳＶ確認中</t>
        </is>
      </c>
      <c r="F111" s="90" t="n"/>
      <c r="G111" s="90" t="n"/>
      <c r="H111" s="91" t="n">
        <v>45566</v>
      </c>
      <c r="I111" s="92" t="n">
        <v>46238</v>
      </c>
      <c r="J111" s="91" t="n">
        <v>46240</v>
      </c>
      <c r="K111" s="91" t="n">
        <v>46241</v>
      </c>
      <c r="L111" s="90" t="n"/>
      <c r="M111" s="90" t="n"/>
      <c r="N111" s="90" t="n"/>
      <c r="O111" s="90" t="inlineStr">
        <is>
          <t>31 差戻し</t>
        </is>
      </c>
      <c r="P111" s="90" t="n"/>
      <c r="Q111" s="90" t="n"/>
      <c r="R111" s="90" t="n"/>
      <c r="S111" s="90" t="n"/>
      <c r="T111" s="90" t="n"/>
      <c r="U111" s="90" t="n"/>
      <c r="V111" s="90" t="n"/>
      <c r="W111" s="93" t="inlineStr">
        <is>
          <t>削</t>
        </is>
      </c>
      <c r="X111" s="90" t="n"/>
      <c r="Y111" s="90" t="n"/>
      <c r="Z111" s="90" t="n"/>
      <c r="AA111" s="90" t="n"/>
      <c r="AB111" s="90" t="n">
        <v>51</v>
      </c>
      <c r="AC111" s="90" t="n">
        <v>0</v>
      </c>
      <c r="AD111" s="93" t="inlineStr">
        <is>
          <t>減</t>
        </is>
      </c>
      <c r="AE111" s="90" t="inlineStr">
        <is>
          <t>51 収入限度額以上</t>
        </is>
      </c>
      <c r="AF111" s="90" t="n"/>
      <c r="AG111" s="93" t="inlineStr">
        <is>
          <t>減</t>
        </is>
      </c>
      <c r="AH111" s="90" t="n"/>
      <c r="AI111" s="90" t="n"/>
      <c r="AJ111" s="90" t="n"/>
      <c r="AK111" s="90" t="n"/>
      <c r="AL111" s="94">
        <f>IF(A111="","",IF(COUNTIF(A111:A$2001,A111)=1,1,0))</f>
        <v/>
      </c>
      <c r="AM111" s="94">
        <f>IF(I111="","",TODAY()-I111)</f>
        <v/>
      </c>
      <c r="AN111" s="94">
        <f>IF(A111="","",IF(AND(E111&lt;&gt;"33 確認済",E111&lt;&gt;"36 送付中"),1,0))</f>
        <v/>
      </c>
      <c r="AO111" s="94">
        <f>IF(A111="","",IF(AG111&lt;&gt;"",1,0))</f>
        <v/>
      </c>
      <c r="AP111" s="220">
        <f>IF(P111&lt;&gt;"","・添待ち","")&amp;IF(Q111&lt;&gt;"","・住民票","")&amp;IF(R111&lt;&gt;"","・発信","")&amp;IF(S111&lt;&gt;"","・確認事項","")&amp;IF(T111&lt;&gt;"","・管","")&amp;IF(U111&lt;&gt;"","・SV","")&amp;IF(V111&lt;&gt;"","・データ送付待ち","")&amp;IF(W111&lt;&gt;"","・削除","")</f>
        <v/>
      </c>
    </row>
    <row r="112" ht="15" customHeight="1" s="87">
      <c r="A112" s="90" t="n">
        <v>202660001131</v>
      </c>
      <c r="B112" s="90" t="n"/>
      <c r="C112" s="90" t="n"/>
      <c r="D112" s="90" t="n">
        <v>31</v>
      </c>
      <c r="E112" s="90" t="inlineStr">
        <is>
          <t>31 ＯＰ確認中</t>
        </is>
      </c>
      <c r="F112" s="90" t="n"/>
      <c r="G112" s="90" t="n"/>
      <c r="H112" s="91" t="n">
        <v>46221</v>
      </c>
      <c r="I112" s="92" t="n">
        <v>46239</v>
      </c>
      <c r="J112" s="91" t="n">
        <v>46240</v>
      </c>
      <c r="K112" s="91" t="n">
        <v>46241</v>
      </c>
      <c r="L112" s="90" t="n"/>
      <c r="M112" s="90" t="n"/>
      <c r="N112" s="90" t="n"/>
      <c r="O112" s="90" t="inlineStr">
        <is>
          <t>22 担当者変更</t>
        </is>
      </c>
      <c r="P112" s="90" t="n"/>
      <c r="Q112" s="90" t="n"/>
      <c r="R112" s="90" t="n"/>
      <c r="S112" s="93" t="inlineStr">
        <is>
          <t>確</t>
        </is>
      </c>
      <c r="T112" s="90" t="n"/>
      <c r="U112" s="90" t="n"/>
      <c r="V112" s="90" t="n"/>
      <c r="W112" s="90" t="n"/>
      <c r="X112" s="90" t="n"/>
      <c r="Y112" s="90" t="n"/>
      <c r="Z112" s="90" t="n"/>
      <c r="AA112" s="90" t="n"/>
      <c r="AB112" s="90" t="n">
        <v>22</v>
      </c>
      <c r="AC112" s="90" t="n">
        <v>1</v>
      </c>
      <c r="AD112" s="93" t="inlineStr">
        <is>
          <t>増</t>
        </is>
      </c>
      <c r="AE112" s="90" t="inlineStr">
        <is>
          <t>22 扶養親族の退職</t>
        </is>
      </c>
      <c r="AF112" s="93" t="inlineStr">
        <is>
          <t>増</t>
        </is>
      </c>
      <c r="AG112" s="93" t="inlineStr">
        <is>
          <t>増</t>
        </is>
      </c>
      <c r="AH112" s="93" t="inlineStr">
        <is>
          <t>増</t>
        </is>
      </c>
      <c r="AI112" s="90" t="n"/>
      <c r="AJ112" s="90" t="n"/>
      <c r="AK112" s="90" t="n"/>
      <c r="AL112" s="94">
        <f>IF(A112="","",IF(COUNTIF(A112:A$2001,A112)=1,1,0))</f>
        <v/>
      </c>
      <c r="AM112" s="94">
        <f>IF(I112="","",TODAY()-I112)</f>
        <v/>
      </c>
      <c r="AN112" s="94">
        <f>IF(A112="","",IF(AND(E112&lt;&gt;"33 確認済",E112&lt;&gt;"36 送付中"),1,0))</f>
        <v/>
      </c>
      <c r="AO112" s="94">
        <f>IF(A112="","",IF(AG112&lt;&gt;"",1,0))</f>
        <v/>
      </c>
      <c r="AP112" s="220">
        <f>IF(P112&lt;&gt;"","・添待ち","")&amp;IF(Q112&lt;&gt;"","・住民票","")&amp;IF(R112&lt;&gt;"","・発信","")&amp;IF(S112&lt;&gt;"","・確認事項","")&amp;IF(T112&lt;&gt;"","・管","")&amp;IF(U112&lt;&gt;"","・SV","")&amp;IF(V112&lt;&gt;"","・データ送付待ち","")&amp;IF(W112&lt;&gt;"","・削除","")</f>
        <v/>
      </c>
    </row>
    <row r="113" ht="15" customHeight="1" s="87">
      <c r="A113" s="90" t="n">
        <v>202660001142</v>
      </c>
      <c r="B113" s="90" t="n"/>
      <c r="C113" s="90" t="n"/>
      <c r="D113" s="90" t="n">
        <v>33</v>
      </c>
      <c r="E113" s="90" t="inlineStr">
        <is>
          <t>33 確認済</t>
        </is>
      </c>
      <c r="F113" s="90" t="n">
        <v>20</v>
      </c>
      <c r="G113" s="90" t="inlineStr">
        <is>
          <t>20 差戻し</t>
        </is>
      </c>
      <c r="H113" s="91" t="n">
        <v>46234</v>
      </c>
      <c r="I113" s="92" t="n">
        <v>46241</v>
      </c>
      <c r="J113" s="91" t="n">
        <v>46281</v>
      </c>
      <c r="K113" s="91" t="n">
        <v>46281</v>
      </c>
      <c r="L113" s="90" t="n"/>
      <c r="M113" s="90" t="n"/>
      <c r="N113" s="90" t="n"/>
      <c r="O113" s="90" t="inlineStr">
        <is>
          <t>40 ＳＶ承認</t>
        </is>
      </c>
      <c r="P113" s="90" t="n"/>
      <c r="Q113" s="90" t="n"/>
      <c r="R113" s="90" t="n"/>
      <c r="S113" s="90" t="n"/>
      <c r="T113" s="90" t="n"/>
      <c r="U113" s="90" t="n"/>
      <c r="V113" s="90" t="n"/>
      <c r="W113" s="90" t="n"/>
      <c r="X113" s="90" t="n"/>
      <c r="Y113" s="90" t="n"/>
      <c r="Z113" s="90" t="n"/>
      <c r="AA113" s="90" t="n"/>
      <c r="AB113" s="90" t="n">
        <v>21</v>
      </c>
      <c r="AC113" s="90" t="n">
        <v>1</v>
      </c>
      <c r="AD113" s="93" t="inlineStr">
        <is>
          <t>増</t>
        </is>
      </c>
      <c r="AE113" s="90" t="inlineStr">
        <is>
          <t>21 出生</t>
        </is>
      </c>
      <c r="AF113" s="93" t="inlineStr">
        <is>
          <t>増</t>
        </is>
      </c>
      <c r="AG113" s="93" t="inlineStr">
        <is>
          <t>増</t>
        </is>
      </c>
      <c r="AH113" s="93" t="inlineStr">
        <is>
          <t>増</t>
        </is>
      </c>
      <c r="AI113" s="90" t="n"/>
      <c r="AJ113" s="90" t="n"/>
      <c r="AK113" s="90" t="n"/>
      <c r="AL113" s="94">
        <f>IF(A113="","",IF(COUNTIF(A113:A$2001,A113)=1,1,0))</f>
        <v/>
      </c>
      <c r="AM113" s="94">
        <f>IF(I113="","",TODAY()-I113)</f>
        <v/>
      </c>
      <c r="AN113" s="94">
        <f>IF(A113="","",IF(AND(E113&lt;&gt;"33 確認済",E113&lt;&gt;"36 送付中"),1,0))</f>
        <v/>
      </c>
      <c r="AO113" s="94">
        <f>IF(A113="","",IF(AG113&lt;&gt;"",1,0))</f>
        <v/>
      </c>
      <c r="AP113" s="220">
        <f>IF(P113&lt;&gt;"","・添待ち","")&amp;IF(Q113&lt;&gt;"","・住民票","")&amp;IF(R113&lt;&gt;"","・発信","")&amp;IF(S113&lt;&gt;"","・確認事項","")&amp;IF(T113&lt;&gt;"","・管","")&amp;IF(U113&lt;&gt;"","・SV","")&amp;IF(V113&lt;&gt;"","・データ送付待ち","")&amp;IF(W113&lt;&gt;"","・削除","")</f>
        <v/>
      </c>
    </row>
    <row r="114" ht="15" customHeight="1" s="87">
      <c r="A114" s="90" t="n">
        <v>202660001144</v>
      </c>
      <c r="B114" s="90" t="n"/>
      <c r="C114" s="90" t="n"/>
      <c r="D114" s="90" t="n">
        <v>33</v>
      </c>
      <c r="E114" s="90" t="inlineStr">
        <is>
          <t>33 確認済</t>
        </is>
      </c>
      <c r="F114" s="90" t="n">
        <v>20</v>
      </c>
      <c r="G114" s="90" t="inlineStr">
        <is>
          <t>20 差戻し</t>
        </is>
      </c>
      <c r="H114" s="91" t="n">
        <v>46237</v>
      </c>
      <c r="I114" s="92" t="n">
        <v>46251</v>
      </c>
      <c r="J114" s="91" t="n">
        <v>46280</v>
      </c>
      <c r="K114" s="91" t="n">
        <v>46280</v>
      </c>
      <c r="L114" s="90" t="n"/>
      <c r="M114" s="90" t="n"/>
      <c r="N114" s="90" t="n"/>
      <c r="O114" s="90" t="inlineStr">
        <is>
          <t>40 ＳＶ承認</t>
        </is>
      </c>
      <c r="P114" s="90" t="n"/>
      <c r="Q114" s="90" t="n"/>
      <c r="R114" s="90" t="n"/>
      <c r="S114" s="90" t="n"/>
      <c r="T114" s="90" t="n"/>
      <c r="U114" s="90" t="n"/>
      <c r="V114" s="90" t="n"/>
      <c r="W114" s="90" t="n"/>
      <c r="X114" s="90" t="n"/>
      <c r="Y114" s="90" t="n"/>
      <c r="Z114" s="90" t="n"/>
      <c r="AA114" s="90" t="n"/>
      <c r="AB114" s="90" t="n">
        <v>21</v>
      </c>
      <c r="AC114" s="90" t="n">
        <v>1</v>
      </c>
      <c r="AD114" s="93" t="inlineStr">
        <is>
          <t>増</t>
        </is>
      </c>
      <c r="AE114" s="90" t="inlineStr">
        <is>
          <t>21 出生</t>
        </is>
      </c>
      <c r="AF114" s="93" t="inlineStr">
        <is>
          <t>増</t>
        </is>
      </c>
      <c r="AG114" s="93" t="inlineStr">
        <is>
          <t>増</t>
        </is>
      </c>
      <c r="AH114" s="93" t="inlineStr">
        <is>
          <t>増</t>
        </is>
      </c>
      <c r="AI114" s="90" t="n"/>
      <c r="AJ114" s="90" t="n"/>
      <c r="AK114" s="90" t="n"/>
      <c r="AL114" s="94">
        <f>IF(A114="","",IF(COUNTIF(A114:A$2001,A114)=1,1,0))</f>
        <v/>
      </c>
      <c r="AM114" s="94">
        <f>IF(I114="","",TODAY()-I114)</f>
        <v/>
      </c>
      <c r="AN114" s="94">
        <f>IF(A114="","",IF(AND(E114&lt;&gt;"33 確認済",E114&lt;&gt;"36 送付中"),1,0))</f>
        <v/>
      </c>
      <c r="AO114" s="94">
        <f>IF(A114="","",IF(AG114&lt;&gt;"",1,0))</f>
        <v/>
      </c>
      <c r="AP114" s="220">
        <f>IF(P114&lt;&gt;"","・添待ち","")&amp;IF(Q114&lt;&gt;"","・住民票","")&amp;IF(R114&lt;&gt;"","・発信","")&amp;IF(S114&lt;&gt;"","・確認事項","")&amp;IF(T114&lt;&gt;"","・管","")&amp;IF(U114&lt;&gt;"","・SV","")&amp;IF(V114&lt;&gt;"","・データ送付待ち","")&amp;IF(W114&lt;&gt;"","・削除","")</f>
        <v/>
      </c>
    </row>
    <row r="115" ht="15" customHeight="1" s="87">
      <c r="A115" s="90" t="n">
        <v>202660001153</v>
      </c>
      <c r="B115" s="90" t="n"/>
      <c r="C115" s="90" t="n"/>
      <c r="D115" s="90" t="n">
        <v>20</v>
      </c>
      <c r="E115" s="90" t="inlineStr">
        <is>
          <t>20 確認待ち</t>
        </is>
      </c>
      <c r="F115" s="90" t="n"/>
      <c r="G115" s="90" t="n"/>
      <c r="H115" s="91" t="n">
        <v>46229</v>
      </c>
      <c r="I115" s="92" t="n">
        <v>46237</v>
      </c>
      <c r="J115" s="90" t="n"/>
      <c r="K115" s="90" t="n"/>
      <c r="L115" s="90" t="n"/>
      <c r="M115" s="90" t="n"/>
      <c r="N115" s="90" t="n"/>
      <c r="O115" s="90" t="inlineStr">
        <is>
          <t>55 添付書類待ち登録</t>
        </is>
      </c>
      <c r="P115" s="93" t="inlineStr">
        <is>
          <t>添</t>
        </is>
      </c>
      <c r="Q115" s="90" t="n"/>
      <c r="R115" s="90" t="n"/>
      <c r="S115" s="90" t="n"/>
      <c r="T115" s="90" t="n"/>
      <c r="U115" s="90" t="n"/>
      <c r="V115" s="90" t="n"/>
      <c r="W115" s="90" t="n"/>
      <c r="X115" s="90" t="n"/>
      <c r="Y115" s="90" t="n"/>
      <c r="Z115" s="90" t="n"/>
      <c r="AA115" s="90" t="n"/>
      <c r="AB115" s="90" t="n">
        <v>21</v>
      </c>
      <c r="AC115" s="90" t="n">
        <v>1</v>
      </c>
      <c r="AD115" s="93" t="inlineStr">
        <is>
          <t>増</t>
        </is>
      </c>
      <c r="AE115" s="90" t="inlineStr">
        <is>
          <t>21 出生</t>
        </is>
      </c>
      <c r="AF115" s="93" t="inlineStr">
        <is>
          <t>増</t>
        </is>
      </c>
      <c r="AG115" s="93" t="inlineStr">
        <is>
          <t>増</t>
        </is>
      </c>
      <c r="AH115" s="93" t="inlineStr">
        <is>
          <t>増</t>
        </is>
      </c>
      <c r="AI115" s="90" t="n"/>
      <c r="AJ115" s="90" t="n"/>
      <c r="AK115" s="90" t="n"/>
      <c r="AL115" s="94">
        <f>IF(A115="","",IF(COUNTIF(A115:A$2001,A115)=1,1,0))</f>
        <v/>
      </c>
      <c r="AM115" s="94">
        <f>IF(I115="","",TODAY()-I115)</f>
        <v/>
      </c>
      <c r="AN115" s="94">
        <f>IF(A115="","",IF(AND(E115&lt;&gt;"33 確認済",E115&lt;&gt;"36 送付中"),1,0))</f>
        <v/>
      </c>
      <c r="AO115" s="94">
        <f>IF(A115="","",IF(AG115&lt;&gt;"",1,0))</f>
        <v/>
      </c>
      <c r="AP115" s="220">
        <f>IF(P115&lt;&gt;"","・添待ち","")&amp;IF(Q115&lt;&gt;"","・住民票","")&amp;IF(R115&lt;&gt;"","・発信","")&amp;IF(S115&lt;&gt;"","・確認事項","")&amp;IF(T115&lt;&gt;"","・管","")&amp;IF(U115&lt;&gt;"","・SV","")&amp;IF(V115&lt;&gt;"","・データ送付待ち","")&amp;IF(W115&lt;&gt;"","・削除","")</f>
        <v/>
      </c>
    </row>
    <row r="116" ht="15" customHeight="1" s="87">
      <c r="A116" s="90" t="n">
        <v>202660001157</v>
      </c>
      <c r="B116" s="90" t="n"/>
      <c r="C116" s="90" t="n"/>
      <c r="D116" s="90" t="n">
        <v>40</v>
      </c>
      <c r="E116" s="90" t="inlineStr">
        <is>
          <t>40 差戻し</t>
        </is>
      </c>
      <c r="F116" s="90" t="n">
        <v>20</v>
      </c>
      <c r="G116" s="90" t="inlineStr">
        <is>
          <t>20 差戻し</t>
        </is>
      </c>
      <c r="H116" s="90" t="n"/>
      <c r="I116" s="92" t="n">
        <v>46246</v>
      </c>
      <c r="J116" s="91" t="n">
        <v>46248</v>
      </c>
      <c r="K116" s="91" t="n">
        <v>46248</v>
      </c>
      <c r="L116" s="90" t="n"/>
      <c r="M116" s="90" t="n"/>
      <c r="N116" s="90" t="n"/>
      <c r="O116" s="90" t="inlineStr">
        <is>
          <t>55 添付書類待ち登録</t>
        </is>
      </c>
      <c r="P116" s="93" t="inlineStr">
        <is>
          <t>添</t>
        </is>
      </c>
      <c r="Q116" s="90" t="n"/>
      <c r="R116" s="90" t="n"/>
      <c r="S116" s="90" t="n"/>
      <c r="T116" s="90" t="n"/>
      <c r="U116" s="90" t="n"/>
      <c r="V116" s="90" t="n"/>
      <c r="W116" s="90" t="n"/>
      <c r="X116" s="90" t="n"/>
      <c r="Y116" s="90" t="n"/>
      <c r="Z116" s="90" t="n"/>
      <c r="AA116" s="90" t="n"/>
      <c r="AB116" s="90" t="n"/>
      <c r="AC116" s="90" t="n"/>
      <c r="AD116" s="93" t="inlineStr">
        <is>
          <t>減</t>
        </is>
      </c>
      <c r="AE116" s="90" t="n"/>
      <c r="AF116" s="90" t="n"/>
      <c r="AG116" s="90" t="n"/>
      <c r="AH116" s="90" t="n"/>
      <c r="AI116" s="90" t="n"/>
      <c r="AJ116" s="93" t="inlineStr">
        <is>
          <t>一時保存</t>
        </is>
      </c>
      <c r="AK116" s="90" t="n"/>
      <c r="AL116" s="94">
        <f>IF(A116="","",IF(COUNTIF(A116:A$2001,A116)=1,1,0))</f>
        <v/>
      </c>
      <c r="AM116" s="94">
        <f>IF(I116="","",TODAY()-I116)</f>
        <v/>
      </c>
      <c r="AN116" s="94">
        <f>IF(A116="","",IF(AND(E116&lt;&gt;"33 確認済",E116&lt;&gt;"36 送付中"),1,0))</f>
        <v/>
      </c>
      <c r="AO116" s="94">
        <f>IF(A116="","",IF(AG116&lt;&gt;"",1,0))</f>
        <v/>
      </c>
      <c r="AP116" s="220">
        <f>IF(P116&lt;&gt;"","・添待ち","")&amp;IF(Q116&lt;&gt;"","・住民票","")&amp;IF(R116&lt;&gt;"","・発信","")&amp;IF(S116&lt;&gt;"","・確認事項","")&amp;IF(T116&lt;&gt;"","・管","")&amp;IF(U116&lt;&gt;"","・SV","")&amp;IF(V116&lt;&gt;"","・データ送付待ち","")&amp;IF(W116&lt;&gt;"","・削除","")</f>
        <v/>
      </c>
    </row>
    <row r="117" ht="15" customHeight="1" s="87">
      <c r="A117" s="90" t="n">
        <v>202660001163</v>
      </c>
      <c r="B117" s="90" t="n"/>
      <c r="C117" s="90" t="n"/>
      <c r="D117" s="90" t="n">
        <v>32</v>
      </c>
      <c r="E117" s="90" t="inlineStr">
        <is>
          <t>32 ＳＶ確認中</t>
        </is>
      </c>
      <c r="F117" s="90" t="n"/>
      <c r="G117" s="90" t="n"/>
      <c r="H117" s="91" t="n">
        <v>46244</v>
      </c>
      <c r="I117" s="92" t="n">
        <v>46246</v>
      </c>
      <c r="J117" s="91" t="n">
        <v>46248</v>
      </c>
      <c r="K117" s="91" t="n">
        <v>46248</v>
      </c>
      <c r="L117" s="90" t="n"/>
      <c r="M117" s="90" t="n"/>
      <c r="N117" s="90" t="n"/>
      <c r="O117" s="90" t="inlineStr">
        <is>
          <t>31 差戻し</t>
        </is>
      </c>
      <c r="P117" s="90" t="n"/>
      <c r="Q117" s="90" t="n"/>
      <c r="R117" s="90" t="n"/>
      <c r="S117" s="90" t="n"/>
      <c r="T117" s="90" t="n"/>
      <c r="U117" s="90" t="n"/>
      <c r="V117" s="90" t="n"/>
      <c r="W117" s="90" t="n"/>
      <c r="X117" s="90" t="n"/>
      <c r="Y117" s="90" t="n"/>
      <c r="Z117" s="90" t="n"/>
      <c r="AA117" s="90" t="n"/>
      <c r="AB117" s="90" t="n">
        <v>20</v>
      </c>
      <c r="AC117" s="90" t="n">
        <v>2</v>
      </c>
      <c r="AD117" s="93" t="inlineStr">
        <is>
          <t>減</t>
        </is>
      </c>
      <c r="AE117" s="90" t="n"/>
      <c r="AF117" s="90" t="n"/>
      <c r="AG117" s="90" t="n"/>
      <c r="AH117" s="90" t="n"/>
      <c r="AI117" s="90" t="n"/>
      <c r="AJ117" s="90" t="n"/>
      <c r="AK117" s="90" t="n"/>
      <c r="AL117" s="94">
        <f>IF(A117="","",IF(COUNTIF(A117:A$2001,A117)=1,1,0))</f>
        <v/>
      </c>
      <c r="AM117" s="94">
        <f>IF(I117="","",TODAY()-I117)</f>
        <v/>
      </c>
      <c r="AN117" s="94">
        <f>IF(A117="","",IF(AND(E117&lt;&gt;"33 確認済",E117&lt;&gt;"36 送付中"),1,0))</f>
        <v/>
      </c>
      <c r="AO117" s="94">
        <f>IF(A117="","",IF(AG117&lt;&gt;"",1,0))</f>
        <v/>
      </c>
      <c r="AP117" s="220">
        <f>IF(P117&lt;&gt;"","・添待ち","")&amp;IF(Q117&lt;&gt;"","・住民票","")&amp;IF(R117&lt;&gt;"","・発信","")&amp;IF(S117&lt;&gt;"","・確認事項","")&amp;IF(T117&lt;&gt;"","・管","")&amp;IF(U117&lt;&gt;"","・SV","")&amp;IF(V117&lt;&gt;"","・データ送付待ち","")&amp;IF(W117&lt;&gt;"","・削除","")</f>
        <v/>
      </c>
    </row>
    <row r="118" ht="15" customHeight="1" s="87">
      <c r="A118" s="90" t="n">
        <v>202660001164</v>
      </c>
      <c r="B118" s="90" t="n"/>
      <c r="C118" s="90" t="n"/>
      <c r="D118" s="90" t="n">
        <v>30</v>
      </c>
      <c r="E118" s="90" t="inlineStr">
        <is>
          <t>30 申請受付</t>
        </is>
      </c>
      <c r="F118" s="90" t="n"/>
      <c r="G118" s="90" t="n"/>
      <c r="H118" s="91" t="n">
        <v>46143</v>
      </c>
      <c r="I118" s="92" t="n">
        <v>46246</v>
      </c>
      <c r="J118" s="91" t="n">
        <v>46248</v>
      </c>
      <c r="K118" s="90" t="n"/>
      <c r="L118" s="90" t="n"/>
      <c r="M118" s="90" t="n"/>
      <c r="N118" s="90" t="n"/>
      <c r="O118" s="90" t="inlineStr">
        <is>
          <t>20 申請受付</t>
        </is>
      </c>
      <c r="P118" s="90" t="n"/>
      <c r="Q118" s="90" t="n"/>
      <c r="R118" s="90" t="n"/>
      <c r="S118" s="90" t="n"/>
      <c r="T118" s="90" t="n"/>
      <c r="U118" s="90" t="n"/>
      <c r="V118" s="90" t="n"/>
      <c r="W118" s="90" t="n"/>
      <c r="X118" s="90" t="n"/>
      <c r="Y118" s="90" t="n"/>
      <c r="Z118" s="90" t="n"/>
      <c r="AA118" s="90" t="n"/>
      <c r="AB118" s="90" t="n">
        <v>49</v>
      </c>
      <c r="AC118" s="90" t="n">
        <v>0</v>
      </c>
      <c r="AD118" s="93" t="inlineStr">
        <is>
          <t>減</t>
        </is>
      </c>
      <c r="AE118" s="90" t="inlineStr">
        <is>
          <t>49 復職</t>
        </is>
      </c>
      <c r="AF118" s="90" t="n"/>
      <c r="AG118" s="90" t="n"/>
      <c r="AH118" s="93" t="inlineStr">
        <is>
          <t>減</t>
        </is>
      </c>
      <c r="AI118" s="90" t="n"/>
      <c r="AJ118" s="90" t="n"/>
      <c r="AK118" s="90" t="n"/>
      <c r="AL118" s="94">
        <f>IF(A118="","",IF(COUNTIF(A118:A$2001,A118)=1,1,0))</f>
        <v/>
      </c>
      <c r="AM118" s="94">
        <f>IF(I118="","",TODAY()-I118)</f>
        <v/>
      </c>
      <c r="AN118" s="94">
        <f>IF(A118="","",IF(AND(E118&lt;&gt;"33 確認済",E118&lt;&gt;"36 送付中"),1,0))</f>
        <v/>
      </c>
      <c r="AO118" s="94">
        <f>IF(A118="","",IF(AG118&lt;&gt;"",1,0))</f>
        <v/>
      </c>
      <c r="AP118" s="220">
        <f>IF(P118&lt;&gt;"","・添待ち","")&amp;IF(Q118&lt;&gt;"","・住民票","")&amp;IF(R118&lt;&gt;"","・発信","")&amp;IF(S118&lt;&gt;"","・確認事項","")&amp;IF(T118&lt;&gt;"","・管","")&amp;IF(U118&lt;&gt;"","・SV","")&amp;IF(V118&lt;&gt;"","・データ送付待ち","")&amp;IF(W118&lt;&gt;"","・削除","")</f>
        <v/>
      </c>
    </row>
    <row r="119" ht="15" customHeight="1" s="87">
      <c r="A119" s="90" t="n">
        <v>202660001165</v>
      </c>
      <c r="B119" s="90" t="n"/>
      <c r="C119" s="90" t="n"/>
      <c r="D119" s="90" t="n">
        <v>31</v>
      </c>
      <c r="E119" s="90" t="inlineStr">
        <is>
          <t>31 ＯＰ確認中</t>
        </is>
      </c>
      <c r="F119" s="90" t="n">
        <v>20</v>
      </c>
      <c r="G119" s="90" t="inlineStr">
        <is>
          <t>20 差戻し</t>
        </is>
      </c>
      <c r="H119" s="91" t="n">
        <v>46204</v>
      </c>
      <c r="I119" s="92" t="n">
        <v>46246</v>
      </c>
      <c r="J119" s="91" t="n">
        <v>46282</v>
      </c>
      <c r="K119" s="91" t="n">
        <v>46282</v>
      </c>
      <c r="L119" s="90" t="n"/>
      <c r="M119" s="90" t="n"/>
      <c r="N119" s="90" t="n"/>
      <c r="O119" s="90" t="inlineStr">
        <is>
          <t>22 担当者変更</t>
        </is>
      </c>
      <c r="P119" s="90" t="n"/>
      <c r="Q119" s="90" t="n"/>
      <c r="R119" s="90" t="n"/>
      <c r="S119" s="90" t="n"/>
      <c r="T119" s="90" t="n"/>
      <c r="U119" s="93" t="inlineStr">
        <is>
          <t>Ｓ</t>
        </is>
      </c>
      <c r="V119" s="90" t="n"/>
      <c r="W119" s="90" t="n"/>
      <c r="X119" s="90" t="n"/>
      <c r="Y119" s="90" t="n"/>
      <c r="Z119" s="90" t="n"/>
      <c r="AA119" s="90" t="n"/>
      <c r="AB119" s="90" t="n">
        <v>26</v>
      </c>
      <c r="AC119" s="90" t="n">
        <v>1</v>
      </c>
      <c r="AD119" s="93" t="inlineStr">
        <is>
          <t>増</t>
        </is>
      </c>
      <c r="AE119" s="90" t="inlineStr">
        <is>
          <t>26 扶養者の変更</t>
        </is>
      </c>
      <c r="AF119" s="93" t="inlineStr">
        <is>
          <t>増</t>
        </is>
      </c>
      <c r="AG119" s="93" t="inlineStr">
        <is>
          <t>増</t>
        </is>
      </c>
      <c r="AH119" s="93" t="inlineStr">
        <is>
          <t>増</t>
        </is>
      </c>
      <c r="AI119" s="90" t="n"/>
      <c r="AJ119" s="90" t="n"/>
      <c r="AK119" s="90" t="n"/>
      <c r="AL119" s="94">
        <f>IF(A119="","",IF(COUNTIF(A119:A$2001,A119)=1,1,0))</f>
        <v/>
      </c>
      <c r="AM119" s="94">
        <f>IF(I119="","",TODAY()-I119)</f>
        <v/>
      </c>
      <c r="AN119" s="94">
        <f>IF(A119="","",IF(AND(E119&lt;&gt;"33 確認済",E119&lt;&gt;"36 送付中"),1,0))</f>
        <v/>
      </c>
      <c r="AO119" s="94">
        <f>IF(A119="","",IF(AG119&lt;&gt;"",1,0))</f>
        <v/>
      </c>
      <c r="AP119" s="220">
        <f>IF(P119&lt;&gt;"","・添待ち","")&amp;IF(Q119&lt;&gt;"","・住民票","")&amp;IF(R119&lt;&gt;"","・発信","")&amp;IF(S119&lt;&gt;"","・確認事項","")&amp;IF(T119&lt;&gt;"","・管","")&amp;IF(U119&lt;&gt;"","・SV","")&amp;IF(V119&lt;&gt;"","・データ送付待ち","")&amp;IF(W119&lt;&gt;"","・削除","")</f>
        <v/>
      </c>
    </row>
    <row r="120" ht="15" customHeight="1" s="87">
      <c r="A120" s="90" t="n">
        <v>202660001169</v>
      </c>
      <c r="B120" s="90" t="n"/>
      <c r="C120" s="90" t="n"/>
      <c r="D120" s="90" t="n">
        <v>30</v>
      </c>
      <c r="E120" s="90" t="inlineStr">
        <is>
          <t>30 申請受付</t>
        </is>
      </c>
      <c r="F120" s="90" t="n"/>
      <c r="G120" s="90" t="n"/>
      <c r="H120" s="91" t="n">
        <v>46027</v>
      </c>
      <c r="I120" s="92" t="n">
        <v>46247</v>
      </c>
      <c r="J120" s="91" t="n">
        <v>46255</v>
      </c>
      <c r="K120" s="90" t="n"/>
      <c r="L120" s="90" t="n"/>
      <c r="M120" s="90" t="n"/>
      <c r="N120" s="90" t="n"/>
      <c r="O120" s="90" t="inlineStr">
        <is>
          <t>20 申請受付</t>
        </is>
      </c>
      <c r="P120" s="90" t="n"/>
      <c r="Q120" s="90" t="n"/>
      <c r="R120" s="90" t="n"/>
      <c r="S120" s="90" t="n"/>
      <c r="T120" s="90" t="n"/>
      <c r="U120" s="90" t="n"/>
      <c r="V120" s="90" t="n"/>
      <c r="W120" s="90" t="n"/>
      <c r="X120" s="90" t="n"/>
      <c r="Y120" s="90" t="n"/>
      <c r="Z120" s="90" t="n"/>
      <c r="AA120" s="90" t="n"/>
      <c r="AB120" s="90" t="n">
        <v>97</v>
      </c>
      <c r="AC120" s="90" t="n">
        <v>3</v>
      </c>
      <c r="AD120" s="93" t="inlineStr">
        <is>
          <t>減</t>
        </is>
      </c>
      <c r="AE120" s="90" t="n"/>
      <c r="AF120" s="90" t="n"/>
      <c r="AG120" s="90" t="n"/>
      <c r="AH120" s="93" t="inlineStr">
        <is>
          <t>増</t>
        </is>
      </c>
      <c r="AI120" s="90" t="n"/>
      <c r="AJ120" s="90" t="n"/>
      <c r="AK120" s="90" t="n"/>
      <c r="AL120" s="94">
        <f>IF(A120="","",IF(COUNTIF(A120:A$2001,A120)=1,1,0))</f>
        <v/>
      </c>
      <c r="AM120" s="94">
        <f>IF(I120="","",TODAY()-I120)</f>
        <v/>
      </c>
      <c r="AN120" s="94">
        <f>IF(A120="","",IF(AND(E120&lt;&gt;"33 確認済",E120&lt;&gt;"36 送付中"),1,0))</f>
        <v/>
      </c>
      <c r="AO120" s="94">
        <f>IF(A120="","",IF(AG120&lt;&gt;"",1,0))</f>
        <v/>
      </c>
      <c r="AP120" s="220">
        <f>IF(P120&lt;&gt;"","・添待ち","")&amp;IF(Q120&lt;&gt;"","・住民票","")&amp;IF(R120&lt;&gt;"","・発信","")&amp;IF(S120&lt;&gt;"","・確認事項","")&amp;IF(T120&lt;&gt;"","・管","")&amp;IF(U120&lt;&gt;"","・SV","")&amp;IF(V120&lt;&gt;"","・データ送付待ち","")&amp;IF(W120&lt;&gt;"","・削除","")</f>
        <v/>
      </c>
    </row>
    <row r="121" ht="15" customHeight="1" s="87">
      <c r="A121" s="90" t="n">
        <v>202660001171</v>
      </c>
      <c r="B121" s="90" t="n"/>
      <c r="C121" s="90" t="n"/>
      <c r="D121" s="90" t="n">
        <v>40</v>
      </c>
      <c r="E121" s="90" t="inlineStr">
        <is>
          <t>40 差戻し</t>
        </is>
      </c>
      <c r="F121" s="90" t="n">
        <v>20</v>
      </c>
      <c r="G121" s="90" t="inlineStr">
        <is>
          <t>20 差戻し</t>
        </is>
      </c>
      <c r="H121" s="91" t="n">
        <v>46113</v>
      </c>
      <c r="I121" s="92" t="n">
        <v>46251</v>
      </c>
      <c r="J121" s="91" t="n">
        <v>46261</v>
      </c>
      <c r="K121" s="91" t="n">
        <v>46261</v>
      </c>
      <c r="L121" s="90" t="n"/>
      <c r="M121" s="90" t="n"/>
      <c r="N121" s="90" t="n"/>
      <c r="O121" s="90" t="inlineStr">
        <is>
          <t>55 添付書類待ち登録</t>
        </is>
      </c>
      <c r="P121" s="93" t="inlineStr">
        <is>
          <t>添</t>
        </is>
      </c>
      <c r="Q121" s="90" t="n"/>
      <c r="R121" s="90" t="n"/>
      <c r="S121" s="90" t="n"/>
      <c r="T121" s="90" t="n"/>
      <c r="U121" s="90" t="n"/>
      <c r="V121" s="90" t="n"/>
      <c r="W121" s="90" t="n"/>
      <c r="X121" s="90" t="n"/>
      <c r="Y121" s="90" t="n"/>
      <c r="Z121" s="90" t="n"/>
      <c r="AA121" s="90" t="n"/>
      <c r="AB121" s="90" t="n">
        <v>27</v>
      </c>
      <c r="AC121" s="90" t="n">
        <v>1</v>
      </c>
      <c r="AD121" s="93" t="inlineStr">
        <is>
          <t>増</t>
        </is>
      </c>
      <c r="AE121" s="90" t="inlineStr">
        <is>
          <t>27 収入限度額以下</t>
        </is>
      </c>
      <c r="AF121" s="93" t="inlineStr">
        <is>
          <t>増</t>
        </is>
      </c>
      <c r="AG121" s="93" t="inlineStr">
        <is>
          <t>増</t>
        </is>
      </c>
      <c r="AH121" s="93" t="inlineStr">
        <is>
          <t>増</t>
        </is>
      </c>
      <c r="AI121" s="90" t="n"/>
      <c r="AJ121" s="90" t="n"/>
      <c r="AK121" s="90" t="n"/>
      <c r="AL121" s="94">
        <f>IF(A121="","",IF(COUNTIF(A121:A$2001,A121)=1,1,0))</f>
        <v/>
      </c>
      <c r="AM121" s="94">
        <f>IF(I121="","",TODAY()-I121)</f>
        <v/>
      </c>
      <c r="AN121" s="94">
        <f>IF(A121="","",IF(AND(E121&lt;&gt;"33 確認済",E121&lt;&gt;"36 送付中"),1,0))</f>
        <v/>
      </c>
      <c r="AO121" s="94">
        <f>IF(A121="","",IF(AG121&lt;&gt;"",1,0))</f>
        <v/>
      </c>
      <c r="AP121" s="220">
        <f>IF(P121&lt;&gt;"","・添待ち","")&amp;IF(Q121&lt;&gt;"","・住民票","")&amp;IF(R121&lt;&gt;"","・発信","")&amp;IF(S121&lt;&gt;"","・確認事項","")&amp;IF(T121&lt;&gt;"","・管","")&amp;IF(U121&lt;&gt;"","・SV","")&amp;IF(V121&lt;&gt;"","・データ送付待ち","")&amp;IF(W121&lt;&gt;"","・削除","")</f>
        <v/>
      </c>
    </row>
    <row r="122" ht="15" customHeight="1" s="87">
      <c r="A122" s="90" t="n">
        <v>202660001173</v>
      </c>
      <c r="B122" s="90" t="n"/>
      <c r="C122" s="90" t="n"/>
      <c r="D122" s="90" t="n">
        <v>20</v>
      </c>
      <c r="E122" s="90" t="inlineStr">
        <is>
          <t>20 確認待ち</t>
        </is>
      </c>
      <c r="F122" s="90" t="n">
        <v>20</v>
      </c>
      <c r="G122" s="90" t="inlineStr">
        <is>
          <t>20 差戻し</t>
        </is>
      </c>
      <c r="H122" s="91" t="n">
        <v>46247</v>
      </c>
      <c r="I122" s="92" t="n">
        <v>46247</v>
      </c>
      <c r="J122" s="91" t="n">
        <v>46267</v>
      </c>
      <c r="K122" s="91" t="n">
        <v>46267</v>
      </c>
      <c r="L122" s="90" t="n"/>
      <c r="M122" s="90" t="n"/>
      <c r="N122" s="90" t="n"/>
      <c r="O122" s="90" t="inlineStr">
        <is>
          <t>11 差戻し申請</t>
        </is>
      </c>
      <c r="P122" s="93" t="inlineStr">
        <is>
          <t>添</t>
        </is>
      </c>
      <c r="Q122" s="90" t="n"/>
      <c r="R122" s="90" t="n"/>
      <c r="S122" s="90" t="n"/>
      <c r="T122" s="90" t="n"/>
      <c r="U122" s="90" t="n"/>
      <c r="V122" s="90" t="n"/>
      <c r="W122" s="90" t="n"/>
      <c r="X122" s="90" t="n"/>
      <c r="Y122" s="90" t="n"/>
      <c r="Z122" s="90" t="n"/>
      <c r="AA122" s="90" t="n"/>
      <c r="AB122" s="90" t="n">
        <v>24</v>
      </c>
      <c r="AC122" s="90" t="n">
        <v>1</v>
      </c>
      <c r="AD122" s="93" t="inlineStr">
        <is>
          <t>増</t>
        </is>
      </c>
      <c r="AE122" s="90" t="inlineStr">
        <is>
          <t>24 雇用保険受給終了</t>
        </is>
      </c>
      <c r="AF122" s="93" t="inlineStr">
        <is>
          <t>増</t>
        </is>
      </c>
      <c r="AG122" s="93" t="inlineStr">
        <is>
          <t>増</t>
        </is>
      </c>
      <c r="AH122" s="90" t="n"/>
      <c r="AI122" s="90" t="n"/>
      <c r="AJ122" s="90" t="n"/>
      <c r="AK122" s="90" t="n"/>
      <c r="AL122" s="94">
        <f>IF(A122="","",IF(COUNTIF(A122:A$2001,A122)=1,1,0))</f>
        <v/>
      </c>
      <c r="AM122" s="94">
        <f>IF(I122="","",TODAY()-I122)</f>
        <v/>
      </c>
      <c r="AN122" s="94">
        <f>IF(A122="","",IF(AND(E122&lt;&gt;"33 確認済",E122&lt;&gt;"36 送付中"),1,0))</f>
        <v/>
      </c>
      <c r="AO122" s="94">
        <f>IF(A122="","",IF(AG122&lt;&gt;"",1,0))</f>
        <v/>
      </c>
      <c r="AP122" s="220">
        <f>IF(P122&lt;&gt;"","・添待ち","")&amp;IF(Q122&lt;&gt;"","・住民票","")&amp;IF(R122&lt;&gt;"","・発信","")&amp;IF(S122&lt;&gt;"","・確認事項","")&amp;IF(T122&lt;&gt;"","・管","")&amp;IF(U122&lt;&gt;"","・SV","")&amp;IF(V122&lt;&gt;"","・データ送付待ち","")&amp;IF(W122&lt;&gt;"","・削除","")</f>
        <v/>
      </c>
    </row>
    <row r="123" ht="15" customHeight="1" s="87">
      <c r="A123" s="90" t="n">
        <v>202660001183</v>
      </c>
      <c r="B123" s="90" t="n"/>
      <c r="C123" s="90" t="n"/>
      <c r="D123" s="90" t="n">
        <v>40</v>
      </c>
      <c r="E123" s="90" t="inlineStr">
        <is>
          <t>40 差戻し</t>
        </is>
      </c>
      <c r="F123" s="90" t="n">
        <v>20</v>
      </c>
      <c r="G123" s="90" t="inlineStr">
        <is>
          <t>20 差戻し</t>
        </is>
      </c>
      <c r="H123" s="91" t="n">
        <v>46219</v>
      </c>
      <c r="I123" s="92" t="n">
        <v>46249</v>
      </c>
      <c r="J123" s="91" t="n">
        <v>46253</v>
      </c>
      <c r="K123" s="91" t="n">
        <v>46253</v>
      </c>
      <c r="L123" s="90" t="n"/>
      <c r="M123" s="90" t="n"/>
      <c r="N123" s="90" t="n"/>
      <c r="O123" s="90" t="inlineStr">
        <is>
          <t>55 添付書類待ち登録</t>
        </is>
      </c>
      <c r="P123" s="93" t="inlineStr">
        <is>
          <t>添</t>
        </is>
      </c>
      <c r="Q123" s="90" t="n"/>
      <c r="R123" s="90" t="n"/>
      <c r="S123" s="90" t="n"/>
      <c r="T123" s="90" t="n"/>
      <c r="U123" s="90" t="n"/>
      <c r="V123" s="90" t="n"/>
      <c r="W123" s="90" t="n"/>
      <c r="X123" s="90" t="n"/>
      <c r="Y123" s="90" t="n"/>
      <c r="Z123" s="90" t="n"/>
      <c r="AA123" s="90" t="n"/>
      <c r="AB123" s="90" t="n">
        <v>22</v>
      </c>
      <c r="AC123" s="90" t="n">
        <v>1</v>
      </c>
      <c r="AD123" s="93" t="inlineStr">
        <is>
          <t>増</t>
        </is>
      </c>
      <c r="AE123" s="90" t="inlineStr">
        <is>
          <t>22 扶養親族の退職</t>
        </is>
      </c>
      <c r="AF123" s="93" t="inlineStr">
        <is>
          <t>増</t>
        </is>
      </c>
      <c r="AG123" s="93" t="inlineStr">
        <is>
          <t>増</t>
        </is>
      </c>
      <c r="AH123" s="90" t="n"/>
      <c r="AI123" s="90" t="n"/>
      <c r="AJ123" s="90" t="n"/>
      <c r="AK123" s="90" t="n"/>
      <c r="AL123" s="94">
        <f>IF(A123="","",IF(COUNTIF(A123:A$2001,A123)=1,1,0))</f>
        <v/>
      </c>
      <c r="AM123" s="94">
        <f>IF(I123="","",TODAY()-I123)</f>
        <v/>
      </c>
      <c r="AN123" s="94">
        <f>IF(A123="","",IF(AND(E123&lt;&gt;"33 確認済",E123&lt;&gt;"36 送付中"),1,0))</f>
        <v/>
      </c>
      <c r="AO123" s="94">
        <f>IF(A123="","",IF(AG123&lt;&gt;"",1,0))</f>
        <v/>
      </c>
      <c r="AP123" s="220">
        <f>IF(P123&lt;&gt;"","・添待ち","")&amp;IF(Q123&lt;&gt;"","・住民票","")&amp;IF(R123&lt;&gt;"","・発信","")&amp;IF(S123&lt;&gt;"","・確認事項","")&amp;IF(T123&lt;&gt;"","・管","")&amp;IF(U123&lt;&gt;"","・SV","")&amp;IF(V123&lt;&gt;"","・データ送付待ち","")&amp;IF(W123&lt;&gt;"","・削除","")</f>
        <v/>
      </c>
    </row>
    <row r="124" ht="15" customHeight="1" s="87">
      <c r="A124" s="90" t="n">
        <v>202660001185</v>
      </c>
      <c r="B124" s="90" t="n"/>
      <c r="C124" s="90" t="n"/>
      <c r="D124" s="90" t="n">
        <v>36</v>
      </c>
      <c r="E124" s="90" t="inlineStr">
        <is>
          <t>36 送付中</t>
        </is>
      </c>
      <c r="F124" s="90" t="n"/>
      <c r="G124" s="90" t="n"/>
      <c r="H124" s="91" t="n">
        <v>46215</v>
      </c>
      <c r="I124" s="92" t="n">
        <v>46252</v>
      </c>
      <c r="J124" s="91" t="n">
        <v>46258</v>
      </c>
      <c r="K124" s="91" t="n">
        <v>46258</v>
      </c>
      <c r="L124" s="91" t="n">
        <v>46289</v>
      </c>
      <c r="M124" s="91" t="n">
        <v>46289</v>
      </c>
      <c r="N124" s="90" t="n"/>
      <c r="O124" s="90" t="inlineStr">
        <is>
          <t>70 申請データ出力</t>
        </is>
      </c>
      <c r="P124" s="90" t="n"/>
      <c r="Q124" s="90" t="n"/>
      <c r="R124" s="90" t="n"/>
      <c r="S124" s="90" t="n"/>
      <c r="T124" s="90" t="n"/>
      <c r="U124" s="90" t="n"/>
      <c r="V124" s="90" t="n"/>
      <c r="W124" s="90" t="n"/>
      <c r="X124" s="90" t="n"/>
      <c r="Y124" s="90" t="n"/>
      <c r="Z124" s="90" t="n"/>
      <c r="AA124" s="90" t="n"/>
      <c r="AB124" s="90" t="n">
        <v>25</v>
      </c>
      <c r="AC124" s="90" t="n">
        <v>1</v>
      </c>
      <c r="AD124" s="93" t="inlineStr">
        <is>
          <t>増</t>
        </is>
      </c>
      <c r="AE124" s="90" t="inlineStr">
        <is>
          <t>25 育休</t>
        </is>
      </c>
      <c r="AF124" s="90" t="n"/>
      <c r="AG124" s="90" t="n"/>
      <c r="AH124" s="93" t="inlineStr">
        <is>
          <t>増</t>
        </is>
      </c>
      <c r="AI124" s="90" t="n"/>
      <c r="AJ124" s="90" t="n"/>
      <c r="AK124" s="90" t="n"/>
      <c r="AL124" s="94">
        <f>IF(A124="","",IF(COUNTIF(A124:A$2001,A124)=1,1,0))</f>
        <v/>
      </c>
      <c r="AM124" s="94">
        <f>IF(I124="","",TODAY()-I124)</f>
        <v/>
      </c>
      <c r="AN124" s="94">
        <f>IF(A124="","",IF(AND(E124&lt;&gt;"33 確認済",E124&lt;&gt;"36 送付中"),1,0))</f>
        <v/>
      </c>
      <c r="AO124" s="94">
        <f>IF(A124="","",IF(AG124&lt;&gt;"",1,0))</f>
        <v/>
      </c>
      <c r="AP124" s="220">
        <f>IF(P124&lt;&gt;"","・添待ち","")&amp;IF(Q124&lt;&gt;"","・住民票","")&amp;IF(R124&lt;&gt;"","・発信","")&amp;IF(S124&lt;&gt;"","・確認事項","")&amp;IF(T124&lt;&gt;"","・管","")&amp;IF(U124&lt;&gt;"","・SV","")&amp;IF(V124&lt;&gt;"","・データ送付待ち","")&amp;IF(W124&lt;&gt;"","・削除","")</f>
        <v/>
      </c>
    </row>
    <row r="125" ht="15" customHeight="1" s="87">
      <c r="A125" s="90" t="n">
        <v>202660001188</v>
      </c>
      <c r="B125" s="90" t="n"/>
      <c r="C125" s="90" t="n"/>
      <c r="D125" s="90" t="n">
        <v>40</v>
      </c>
      <c r="E125" s="90" t="inlineStr">
        <is>
          <t>40 差戻し</t>
        </is>
      </c>
      <c r="F125" s="90" t="n">
        <v>20</v>
      </c>
      <c r="G125" s="90" t="inlineStr">
        <is>
          <t>20 差戻し</t>
        </is>
      </c>
      <c r="H125" s="91" t="n">
        <v>46216</v>
      </c>
      <c r="I125" s="92" t="n">
        <v>46251</v>
      </c>
      <c r="J125" s="91" t="n">
        <v>46252</v>
      </c>
      <c r="K125" s="91" t="n">
        <v>46282</v>
      </c>
      <c r="L125" s="90" t="n"/>
      <c r="M125" s="90" t="n"/>
      <c r="N125" s="90" t="n"/>
      <c r="O125" s="90" t="inlineStr">
        <is>
          <t>57 削除待ち登録</t>
        </is>
      </c>
      <c r="P125" s="90" t="n"/>
      <c r="Q125" s="90" t="n"/>
      <c r="R125" s="90" t="n"/>
      <c r="S125" s="90" t="n"/>
      <c r="T125" s="90" t="n"/>
      <c r="U125" s="90" t="n"/>
      <c r="V125" s="90" t="n"/>
      <c r="W125" s="93" t="inlineStr">
        <is>
          <t>削</t>
        </is>
      </c>
      <c r="X125" s="90" t="n"/>
      <c r="Y125" s="90" t="n"/>
      <c r="Z125" s="90" t="n"/>
      <c r="AA125" s="90" t="n"/>
      <c r="AB125" s="90" t="n">
        <v>47</v>
      </c>
      <c r="AC125" s="90" t="n">
        <v>0</v>
      </c>
      <c r="AD125" s="93" t="inlineStr">
        <is>
          <t>減</t>
        </is>
      </c>
      <c r="AE125" s="90" t="inlineStr">
        <is>
          <t>47 扶養親族の就職</t>
        </is>
      </c>
      <c r="AF125" s="90" t="n"/>
      <c r="AG125" s="93" t="inlineStr">
        <is>
          <t>減</t>
        </is>
      </c>
      <c r="AH125" s="90" t="n"/>
      <c r="AI125" s="90" t="n"/>
      <c r="AJ125" s="90" t="n"/>
      <c r="AK125" s="90" t="n"/>
      <c r="AL125" s="94">
        <f>IF(A125="","",IF(COUNTIF(A125:A$2001,A125)=1,1,0))</f>
        <v/>
      </c>
      <c r="AM125" s="94">
        <f>IF(I125="","",TODAY()-I125)</f>
        <v/>
      </c>
      <c r="AN125" s="94">
        <f>IF(A125="","",IF(AND(E125&lt;&gt;"33 確認済",E125&lt;&gt;"36 送付中"),1,0))</f>
        <v/>
      </c>
      <c r="AO125" s="94">
        <f>IF(A125="","",IF(AG125&lt;&gt;"",1,0))</f>
        <v/>
      </c>
      <c r="AP125" s="220">
        <f>IF(P125&lt;&gt;"","・添待ち","")&amp;IF(Q125&lt;&gt;"","・住民票","")&amp;IF(R125&lt;&gt;"","・発信","")&amp;IF(S125&lt;&gt;"","・確認事項","")&amp;IF(T125&lt;&gt;"","・管","")&amp;IF(U125&lt;&gt;"","・SV","")&amp;IF(V125&lt;&gt;"","・データ送付待ち","")&amp;IF(W125&lt;&gt;"","・削除","")</f>
        <v/>
      </c>
    </row>
    <row r="126" ht="15" customHeight="1" s="87">
      <c r="A126" s="90" t="n">
        <v>202660001197</v>
      </c>
      <c r="B126" s="90" t="n"/>
      <c r="C126" s="90" t="n"/>
      <c r="D126" s="90" t="n">
        <v>40</v>
      </c>
      <c r="E126" s="90" t="inlineStr">
        <is>
          <t>40 差戻し</t>
        </is>
      </c>
      <c r="F126" s="90" t="n">
        <v>20</v>
      </c>
      <c r="G126" s="90" t="inlineStr">
        <is>
          <t>20 差戻し</t>
        </is>
      </c>
      <c r="H126" s="91" t="n">
        <v>46251</v>
      </c>
      <c r="I126" s="92" t="n">
        <v>46252</v>
      </c>
      <c r="J126" s="91" t="n">
        <v>46252</v>
      </c>
      <c r="K126" s="91" t="n">
        <v>46267</v>
      </c>
      <c r="L126" s="90" t="n"/>
      <c r="M126" s="90" t="n"/>
      <c r="N126" s="90" t="n"/>
      <c r="O126" s="90" t="inlineStr">
        <is>
          <t>57 削除待ち登録</t>
        </is>
      </c>
      <c r="P126" s="90" t="n"/>
      <c r="Q126" s="90" t="n"/>
      <c r="R126" s="90" t="n"/>
      <c r="S126" s="90" t="n"/>
      <c r="T126" s="90" t="n"/>
      <c r="U126" s="90" t="n"/>
      <c r="V126" s="90" t="n"/>
      <c r="W126" s="93" t="inlineStr">
        <is>
          <t>削</t>
        </is>
      </c>
      <c r="X126" s="90" t="n"/>
      <c r="Y126" s="90" t="n"/>
      <c r="Z126" s="90" t="n"/>
      <c r="AA126" s="90" t="n"/>
      <c r="AB126" s="90" t="n">
        <v>3</v>
      </c>
      <c r="AC126" s="90" t="n">
        <v>0</v>
      </c>
      <c r="AD126" s="93" t="inlineStr">
        <is>
          <t>減</t>
        </is>
      </c>
      <c r="AE126" s="90" t="inlineStr">
        <is>
          <t>03 離婚</t>
        </is>
      </c>
      <c r="AF126" s="90" t="n"/>
      <c r="AG126" s="90" t="n"/>
      <c r="AH126" s="90" t="n"/>
      <c r="AI126" s="90" t="n"/>
      <c r="AJ126" s="90" t="n"/>
      <c r="AK126" s="90" t="n"/>
      <c r="AL126" s="94">
        <f>IF(A126="","",IF(COUNTIF(A126:A$2001,A126)=1,1,0))</f>
        <v/>
      </c>
      <c r="AM126" s="94">
        <f>IF(I126="","",TODAY()-I126)</f>
        <v/>
      </c>
      <c r="AN126" s="94">
        <f>IF(A126="","",IF(AND(E126&lt;&gt;"33 確認済",E126&lt;&gt;"36 送付中"),1,0))</f>
        <v/>
      </c>
      <c r="AO126" s="94">
        <f>IF(A126="","",IF(AG126&lt;&gt;"",1,0))</f>
        <v/>
      </c>
      <c r="AP126" s="220">
        <f>IF(P126&lt;&gt;"","・添待ち","")&amp;IF(Q126&lt;&gt;"","・住民票","")&amp;IF(R126&lt;&gt;"","・発信","")&amp;IF(S126&lt;&gt;"","・確認事項","")&amp;IF(T126&lt;&gt;"","・管","")&amp;IF(U126&lt;&gt;"","・SV","")&amp;IF(V126&lt;&gt;"","・データ送付待ち","")&amp;IF(W126&lt;&gt;"","・削除","")</f>
        <v/>
      </c>
    </row>
    <row r="127" ht="15" customHeight="1" s="87">
      <c r="A127" s="90" t="n">
        <v>202660001203</v>
      </c>
      <c r="B127" s="90" t="n"/>
      <c r="C127" s="90" t="n"/>
      <c r="D127" s="90" t="n">
        <v>32</v>
      </c>
      <c r="E127" s="90" t="inlineStr">
        <is>
          <t>32 ＳＶ確認中</t>
        </is>
      </c>
      <c r="F127" s="90" t="n">
        <v>20</v>
      </c>
      <c r="G127" s="90" t="inlineStr">
        <is>
          <t>20 差戻し</t>
        </is>
      </c>
      <c r="H127" s="91" t="n">
        <v>46246</v>
      </c>
      <c r="I127" s="92" t="n">
        <v>46252</v>
      </c>
      <c r="J127" s="91" t="n">
        <v>46283</v>
      </c>
      <c r="K127" s="91" t="n">
        <v>46283</v>
      </c>
      <c r="L127" s="90" t="n"/>
      <c r="M127" s="90" t="n"/>
      <c r="N127" s="90" t="n"/>
      <c r="O127" s="90" t="inlineStr">
        <is>
          <t>30 登録</t>
        </is>
      </c>
      <c r="P127" s="90" t="n"/>
      <c r="Q127" s="90" t="n"/>
      <c r="R127" s="90" t="n"/>
      <c r="S127" s="90" t="n"/>
      <c r="T127" s="90" t="n"/>
      <c r="U127" s="90" t="n"/>
      <c r="V127" s="90" t="n"/>
      <c r="W127" s="90" t="n"/>
      <c r="X127" s="90" t="n"/>
      <c r="Y127" s="90" t="n"/>
      <c r="Z127" s="90" t="n"/>
      <c r="AA127" s="90" t="n"/>
      <c r="AB127" s="90" t="n">
        <v>21</v>
      </c>
      <c r="AC127" s="90" t="n">
        <v>1</v>
      </c>
      <c r="AD127" s="93" t="inlineStr">
        <is>
          <t>増</t>
        </is>
      </c>
      <c r="AE127" s="90" t="inlineStr">
        <is>
          <t>21 出生</t>
        </is>
      </c>
      <c r="AF127" s="93" t="inlineStr">
        <is>
          <t>増</t>
        </is>
      </c>
      <c r="AG127" s="93" t="inlineStr">
        <is>
          <t>増</t>
        </is>
      </c>
      <c r="AH127" s="93" t="inlineStr">
        <is>
          <t>増</t>
        </is>
      </c>
      <c r="AI127" s="90" t="n"/>
      <c r="AJ127" s="90" t="n"/>
      <c r="AK127" s="90" t="n"/>
      <c r="AL127" s="94">
        <f>IF(A127="","",IF(COUNTIF(A127:A$2001,A127)=1,1,0))</f>
        <v/>
      </c>
      <c r="AM127" s="94">
        <f>IF(I127="","",TODAY()-I127)</f>
        <v/>
      </c>
      <c r="AN127" s="94">
        <f>IF(A127="","",IF(AND(E127&lt;&gt;"33 確認済",E127&lt;&gt;"36 送付中"),1,0))</f>
        <v/>
      </c>
      <c r="AO127" s="94">
        <f>IF(A127="","",IF(AG127&lt;&gt;"",1,0))</f>
        <v/>
      </c>
      <c r="AP127" s="220">
        <f>IF(P127&lt;&gt;"","・添待ち","")&amp;IF(Q127&lt;&gt;"","・住民票","")&amp;IF(R127&lt;&gt;"","・発信","")&amp;IF(S127&lt;&gt;"","・確認事項","")&amp;IF(T127&lt;&gt;"","・管","")&amp;IF(U127&lt;&gt;"","・SV","")&amp;IF(V127&lt;&gt;"","・データ送付待ち","")&amp;IF(W127&lt;&gt;"","・削除","")</f>
        <v/>
      </c>
    </row>
    <row r="128" ht="15" customHeight="1" s="87">
      <c r="A128" s="90" t="n">
        <v>202660001204</v>
      </c>
      <c r="B128" s="90" t="n"/>
      <c r="C128" s="90" t="n"/>
      <c r="D128" s="90" t="n">
        <v>32</v>
      </c>
      <c r="E128" s="90" t="inlineStr">
        <is>
          <t>32 ＳＶ確認中</t>
        </is>
      </c>
      <c r="F128" s="90" t="n"/>
      <c r="G128" s="90" t="n"/>
      <c r="H128" s="91" t="n">
        <v>46242</v>
      </c>
      <c r="I128" s="92" t="n">
        <v>46252</v>
      </c>
      <c r="J128" s="91" t="n">
        <v>46253</v>
      </c>
      <c r="K128" s="91" t="n">
        <v>46265</v>
      </c>
      <c r="L128" s="90" t="n"/>
      <c r="M128" s="90" t="n"/>
      <c r="N128" s="90" t="n"/>
      <c r="O128" s="90" t="inlineStr">
        <is>
          <t>30 登録</t>
        </is>
      </c>
      <c r="P128" s="90" t="n"/>
      <c r="Q128" s="90" t="n"/>
      <c r="R128" s="90" t="n"/>
      <c r="S128" s="90" t="n"/>
      <c r="T128" s="90" t="n"/>
      <c r="U128" s="90" t="n"/>
      <c r="V128" s="90" t="n"/>
      <c r="W128" s="90" t="n"/>
      <c r="X128" s="90" t="n"/>
      <c r="Y128" s="90" t="n"/>
      <c r="Z128" s="90" t="n"/>
      <c r="AA128" s="90" t="n"/>
      <c r="AB128" s="90" t="n">
        <v>23</v>
      </c>
      <c r="AC128" s="90" t="n">
        <v>1</v>
      </c>
      <c r="AD128" s="93" t="inlineStr">
        <is>
          <t>増</t>
        </is>
      </c>
      <c r="AE128" s="90" t="inlineStr">
        <is>
          <t>23 本人の結婚</t>
        </is>
      </c>
      <c r="AF128" s="90" t="n"/>
      <c r="AG128" s="90" t="n"/>
      <c r="AH128" s="90" t="n"/>
      <c r="AI128" s="90" t="n"/>
      <c r="AJ128" s="90" t="n"/>
      <c r="AK128" s="90" t="n"/>
      <c r="AL128" s="94">
        <f>IF(A128="","",IF(COUNTIF(A128:A$2001,A128)=1,1,0))</f>
        <v/>
      </c>
      <c r="AM128" s="94">
        <f>IF(I128="","",TODAY()-I128)</f>
        <v/>
      </c>
      <c r="AN128" s="94">
        <f>IF(A128="","",IF(AND(E128&lt;&gt;"33 確認済",E128&lt;&gt;"36 送付中"),1,0))</f>
        <v/>
      </c>
      <c r="AO128" s="94">
        <f>IF(A128="","",IF(AG128&lt;&gt;"",1,0))</f>
        <v/>
      </c>
      <c r="AP128" s="220">
        <f>IF(P128&lt;&gt;"","・添待ち","")&amp;IF(Q128&lt;&gt;"","・住民票","")&amp;IF(R128&lt;&gt;"","・発信","")&amp;IF(S128&lt;&gt;"","・確認事項","")&amp;IF(T128&lt;&gt;"","・管","")&amp;IF(U128&lt;&gt;"","・SV","")&amp;IF(V128&lt;&gt;"","・データ送付待ち","")&amp;IF(W128&lt;&gt;"","・削除","")</f>
        <v/>
      </c>
    </row>
    <row r="129" ht="15" customHeight="1" s="87">
      <c r="A129" s="90" t="n">
        <v>202660001204</v>
      </c>
      <c r="B129" s="90" t="n"/>
      <c r="C129" s="90" t="n"/>
      <c r="D129" s="90" t="n">
        <v>32</v>
      </c>
      <c r="E129" s="90" t="inlineStr">
        <is>
          <t>32 ＳＶ確認中</t>
        </is>
      </c>
      <c r="F129" s="90" t="n"/>
      <c r="G129" s="90" t="n"/>
      <c r="H129" s="91" t="n">
        <v>46242</v>
      </c>
      <c r="I129" s="92" t="n">
        <v>46252</v>
      </c>
      <c r="J129" s="91" t="n">
        <v>46253</v>
      </c>
      <c r="K129" s="91" t="n">
        <v>46265</v>
      </c>
      <c r="L129" s="90" t="n"/>
      <c r="M129" s="90" t="n"/>
      <c r="N129" s="90" t="n"/>
      <c r="O129" s="90" t="inlineStr">
        <is>
          <t>30 登録</t>
        </is>
      </c>
      <c r="P129" s="90" t="n"/>
      <c r="Q129" s="90" t="n"/>
      <c r="R129" s="90" t="n"/>
      <c r="S129" s="90" t="n"/>
      <c r="T129" s="90" t="n"/>
      <c r="U129" s="90" t="n"/>
      <c r="V129" s="90" t="n"/>
      <c r="W129" s="90" t="n"/>
      <c r="X129" s="90" t="n"/>
      <c r="Y129" s="90" t="n"/>
      <c r="Z129" s="90" t="n"/>
      <c r="AA129" s="90" t="n"/>
      <c r="AB129" s="90" t="n">
        <v>23</v>
      </c>
      <c r="AC129" s="90" t="n">
        <v>1</v>
      </c>
      <c r="AD129" s="93" t="inlineStr">
        <is>
          <t>増</t>
        </is>
      </c>
      <c r="AE129" s="90" t="inlineStr">
        <is>
          <t>23 結婚</t>
        </is>
      </c>
      <c r="AF129" s="90" t="n"/>
      <c r="AG129" s="90" t="n"/>
      <c r="AH129" s="90" t="n"/>
      <c r="AI129" s="90" t="n"/>
      <c r="AJ129" s="90" t="n"/>
      <c r="AK129" s="90" t="n"/>
      <c r="AL129" s="94">
        <f>IF(A129="","",IF(COUNTIF(A129:A$2001,A129)=1,1,0))</f>
        <v/>
      </c>
      <c r="AM129" s="94">
        <f>IF(I129="","",TODAY()-I129)</f>
        <v/>
      </c>
      <c r="AN129" s="94">
        <f>IF(A129="","",IF(AND(E129&lt;&gt;"33 確認済",E129&lt;&gt;"36 送付中"),1,0))</f>
        <v/>
      </c>
      <c r="AO129" s="94">
        <f>IF(A129="","",IF(AG129&lt;&gt;"",1,0))</f>
        <v/>
      </c>
      <c r="AP129" s="220">
        <f>IF(P129&lt;&gt;"","・添待ち","")&amp;IF(Q129&lt;&gt;"","・住民票","")&amp;IF(R129&lt;&gt;"","・発信","")&amp;IF(S129&lt;&gt;"","・確認事項","")&amp;IF(T129&lt;&gt;"","・管","")&amp;IF(U129&lt;&gt;"","・SV","")&amp;IF(V129&lt;&gt;"","・データ送付待ち","")&amp;IF(W129&lt;&gt;"","・削除","")</f>
        <v/>
      </c>
    </row>
    <row r="130" ht="15" customHeight="1" s="87">
      <c r="A130" s="90" t="n">
        <v>202660001209</v>
      </c>
      <c r="B130" s="90" t="n"/>
      <c r="C130" s="90" t="n"/>
      <c r="D130" s="90" t="n">
        <v>31</v>
      </c>
      <c r="E130" s="90" t="inlineStr">
        <is>
          <t>31 ＯＰ確認中</t>
        </is>
      </c>
      <c r="F130" s="90" t="n">
        <v>20</v>
      </c>
      <c r="G130" s="90" t="inlineStr">
        <is>
          <t>20 差戻し</t>
        </is>
      </c>
      <c r="H130" s="91" t="n">
        <v>46242</v>
      </c>
      <c r="I130" s="92" t="n">
        <v>46253</v>
      </c>
      <c r="J130" s="91" t="n">
        <v>46289</v>
      </c>
      <c r="K130" s="91" t="n">
        <v>46289</v>
      </c>
      <c r="L130" s="90" t="n"/>
      <c r="M130" s="90" t="n"/>
      <c r="N130" s="90" t="n"/>
      <c r="O130" s="90" t="inlineStr">
        <is>
          <t>21 担当者登録</t>
        </is>
      </c>
      <c r="P130" s="90" t="n"/>
      <c r="Q130" s="90" t="n"/>
      <c r="R130" s="90" t="n"/>
      <c r="S130" s="90" t="n"/>
      <c r="T130" s="90" t="n"/>
      <c r="U130" s="90" t="n"/>
      <c r="V130" s="90" t="n"/>
      <c r="W130" s="90" t="n"/>
      <c r="X130" s="90" t="n"/>
      <c r="Y130" s="90" t="n"/>
      <c r="Z130" s="90" t="n"/>
      <c r="AA130" s="90" t="n"/>
      <c r="AB130" s="90" t="n">
        <v>23</v>
      </c>
      <c r="AC130" s="90" t="n">
        <v>1</v>
      </c>
      <c r="AD130" s="93" t="inlineStr">
        <is>
          <t>増</t>
        </is>
      </c>
      <c r="AE130" s="90" t="inlineStr">
        <is>
          <t>23 本人の結婚</t>
        </is>
      </c>
      <c r="AF130" s="90" t="n"/>
      <c r="AG130" s="90" t="n"/>
      <c r="AH130" s="90" t="n"/>
      <c r="AI130" s="90" t="n"/>
      <c r="AJ130" s="90" t="n"/>
      <c r="AK130" s="90" t="n"/>
      <c r="AL130" s="94">
        <f>IF(A130="","",IF(COUNTIF(A130:A$2001,A130)=1,1,0))</f>
        <v/>
      </c>
      <c r="AM130" s="94">
        <f>IF(I130="","",TODAY()-I130)</f>
        <v/>
      </c>
      <c r="AN130" s="94">
        <f>IF(A130="","",IF(AND(E130&lt;&gt;"33 確認済",E130&lt;&gt;"36 送付中"),1,0))</f>
        <v/>
      </c>
      <c r="AO130" s="94">
        <f>IF(A130="","",IF(AG130&lt;&gt;"",1,0))</f>
        <v/>
      </c>
      <c r="AP130" s="220">
        <f>IF(P130&lt;&gt;"","・添待ち","")&amp;IF(Q130&lt;&gt;"","・住民票","")&amp;IF(R130&lt;&gt;"","・発信","")&amp;IF(S130&lt;&gt;"","・確認事項","")&amp;IF(T130&lt;&gt;"","・管","")&amp;IF(U130&lt;&gt;"","・SV","")&amp;IF(V130&lt;&gt;"","・データ送付待ち","")&amp;IF(W130&lt;&gt;"","・削除","")</f>
        <v/>
      </c>
    </row>
    <row r="131" ht="15" customHeight="1" s="87">
      <c r="A131" s="90" t="n">
        <v>202660001209</v>
      </c>
      <c r="B131" s="90" t="n"/>
      <c r="C131" s="90" t="n"/>
      <c r="D131" s="90" t="n">
        <v>31</v>
      </c>
      <c r="E131" s="90" t="inlineStr">
        <is>
          <t>31 ＯＰ確認中</t>
        </is>
      </c>
      <c r="F131" s="90" t="n">
        <v>20</v>
      </c>
      <c r="G131" s="90" t="inlineStr">
        <is>
          <t>20 差戻し</t>
        </is>
      </c>
      <c r="H131" s="91" t="n">
        <v>46242</v>
      </c>
      <c r="I131" s="92" t="n">
        <v>46253</v>
      </c>
      <c r="J131" s="91" t="n">
        <v>46289</v>
      </c>
      <c r="K131" s="91" t="n">
        <v>46289</v>
      </c>
      <c r="L131" s="90" t="n"/>
      <c r="M131" s="90" t="n"/>
      <c r="N131" s="90" t="n"/>
      <c r="O131" s="90" t="inlineStr">
        <is>
          <t>21 担当者登録</t>
        </is>
      </c>
      <c r="P131" s="90" t="n"/>
      <c r="Q131" s="90" t="n"/>
      <c r="R131" s="90" t="n"/>
      <c r="S131" s="90" t="n"/>
      <c r="T131" s="90" t="n"/>
      <c r="U131" s="90" t="n"/>
      <c r="V131" s="90" t="n"/>
      <c r="W131" s="90" t="n"/>
      <c r="X131" s="90" t="n"/>
      <c r="Y131" s="90" t="n"/>
      <c r="Z131" s="90" t="n"/>
      <c r="AA131" s="90" t="n"/>
      <c r="AB131" s="90" t="n">
        <v>23</v>
      </c>
      <c r="AC131" s="90" t="n">
        <v>1</v>
      </c>
      <c r="AD131" s="93" t="inlineStr">
        <is>
          <t>増</t>
        </is>
      </c>
      <c r="AE131" s="90" t="inlineStr">
        <is>
          <t>23 結婚</t>
        </is>
      </c>
      <c r="AF131" s="90" t="n"/>
      <c r="AG131" s="90" t="n"/>
      <c r="AH131" s="90" t="n"/>
      <c r="AI131" s="90" t="n"/>
      <c r="AJ131" s="90" t="n"/>
      <c r="AK131" s="90" t="n"/>
      <c r="AL131" s="94">
        <f>IF(A131="","",IF(COUNTIF(A131:A$2001,A131)=1,1,0))</f>
        <v/>
      </c>
      <c r="AM131" s="94">
        <f>IF(I131="","",TODAY()-I131)</f>
        <v/>
      </c>
      <c r="AN131" s="94">
        <f>IF(A131="","",IF(AND(E131&lt;&gt;"33 確認済",E131&lt;&gt;"36 送付中"),1,0))</f>
        <v/>
      </c>
      <c r="AO131" s="94">
        <f>IF(A131="","",IF(AG131&lt;&gt;"",1,0))</f>
        <v/>
      </c>
      <c r="AP131" s="220">
        <f>IF(P131&lt;&gt;"","・添待ち","")&amp;IF(Q131&lt;&gt;"","・住民票","")&amp;IF(R131&lt;&gt;"","・発信","")&amp;IF(S131&lt;&gt;"","・確認事項","")&amp;IF(T131&lt;&gt;"","・管","")&amp;IF(U131&lt;&gt;"","・SV","")&amp;IF(V131&lt;&gt;"","・データ送付待ち","")&amp;IF(W131&lt;&gt;"","・削除","")</f>
        <v/>
      </c>
    </row>
    <row r="132" ht="15" customHeight="1" s="87">
      <c r="A132" s="90" t="n">
        <v>202660001210</v>
      </c>
      <c r="B132" s="90" t="n"/>
      <c r="C132" s="90" t="n"/>
      <c r="D132" s="90" t="n">
        <v>33</v>
      </c>
      <c r="E132" s="90" t="inlineStr">
        <is>
          <t>33 確認済</t>
        </is>
      </c>
      <c r="F132" s="90" t="n"/>
      <c r="G132" s="90" t="n"/>
      <c r="H132" s="91" t="n">
        <v>46143</v>
      </c>
      <c r="I132" s="92" t="n">
        <v>46253</v>
      </c>
      <c r="J132" s="91" t="n">
        <v>46258</v>
      </c>
      <c r="K132" s="91" t="n">
        <v>46258</v>
      </c>
      <c r="L132" s="90" t="n"/>
      <c r="M132" s="90" t="n"/>
      <c r="N132" s="90" t="n"/>
      <c r="O132" s="90" t="inlineStr">
        <is>
          <t>40 ＳＶ承認</t>
        </is>
      </c>
      <c r="P132" s="90" t="n"/>
      <c r="Q132" s="90" t="n"/>
      <c r="R132" s="90" t="n"/>
      <c r="S132" s="90" t="n"/>
      <c r="T132" s="90" t="n"/>
      <c r="U132" s="90" t="n"/>
      <c r="V132" s="90" t="n"/>
      <c r="W132" s="90" t="n"/>
      <c r="X132" s="90" t="n"/>
      <c r="Y132" s="90" t="n"/>
      <c r="Z132" s="90" t="n"/>
      <c r="AA132" s="90" t="n"/>
      <c r="AB132" s="90" t="n">
        <v>48</v>
      </c>
      <c r="AC132" s="90" t="n">
        <v>0</v>
      </c>
      <c r="AD132" s="93" t="inlineStr">
        <is>
          <t>減</t>
        </is>
      </c>
      <c r="AE132" s="90" t="inlineStr">
        <is>
          <t>48 雇用保険受給開始</t>
        </is>
      </c>
      <c r="AF132" s="93" t="inlineStr">
        <is>
          <t>減</t>
        </is>
      </c>
      <c r="AG132" s="93" t="inlineStr">
        <is>
          <t>減</t>
        </is>
      </c>
      <c r="AH132" s="93" t="inlineStr">
        <is>
          <t>減</t>
        </is>
      </c>
      <c r="AI132" s="90" t="n"/>
      <c r="AJ132" s="90" t="n"/>
      <c r="AK132" s="90" t="n"/>
      <c r="AL132" s="94">
        <f>IF(A132="","",IF(COUNTIF(A132:A$2001,A132)=1,1,0))</f>
        <v/>
      </c>
      <c r="AM132" s="94">
        <f>IF(I132="","",TODAY()-I132)</f>
        <v/>
      </c>
      <c r="AN132" s="94">
        <f>IF(A132="","",IF(AND(E132&lt;&gt;"33 確認済",E132&lt;&gt;"36 送付中"),1,0))</f>
        <v/>
      </c>
      <c r="AO132" s="94">
        <f>IF(A132="","",IF(AG132&lt;&gt;"",1,0))</f>
        <v/>
      </c>
      <c r="AP132" s="220">
        <f>IF(P132&lt;&gt;"","・添待ち","")&amp;IF(Q132&lt;&gt;"","・住民票","")&amp;IF(R132&lt;&gt;"","・発信","")&amp;IF(S132&lt;&gt;"","・確認事項","")&amp;IF(T132&lt;&gt;"","・管","")&amp;IF(U132&lt;&gt;"","・SV","")&amp;IF(V132&lt;&gt;"","・データ送付待ち","")&amp;IF(W132&lt;&gt;"","・削除","")</f>
        <v/>
      </c>
    </row>
    <row r="133" ht="15" customHeight="1" s="87">
      <c r="A133" s="90" t="n">
        <v>202660001211</v>
      </c>
      <c r="B133" s="90" t="n"/>
      <c r="C133" s="90" t="n"/>
      <c r="D133" s="90" t="n">
        <v>40</v>
      </c>
      <c r="E133" s="90" t="inlineStr">
        <is>
          <t>40 差戻し</t>
        </is>
      </c>
      <c r="F133" s="90" t="n">
        <v>20</v>
      </c>
      <c r="G133" s="90" t="inlineStr">
        <is>
          <t>20 差戻し</t>
        </is>
      </c>
      <c r="H133" s="91" t="n">
        <v>46248</v>
      </c>
      <c r="I133" s="92" t="n">
        <v>46253</v>
      </c>
      <c r="J133" s="91" t="n">
        <v>46255</v>
      </c>
      <c r="K133" s="91" t="n">
        <v>46255</v>
      </c>
      <c r="L133" s="90" t="n"/>
      <c r="M133" s="90" t="n"/>
      <c r="N133" s="90" t="n"/>
      <c r="O133" s="90" t="inlineStr">
        <is>
          <t>55 添付書類待ち登録</t>
        </is>
      </c>
      <c r="P133" s="93" t="inlineStr">
        <is>
          <t>添</t>
        </is>
      </c>
      <c r="Q133" s="90" t="n"/>
      <c r="R133" s="90" t="n"/>
      <c r="S133" s="90" t="n"/>
      <c r="T133" s="90" t="n"/>
      <c r="U133" s="90" t="n"/>
      <c r="V133" s="90" t="n"/>
      <c r="W133" s="90" t="n"/>
      <c r="X133" s="90" t="n"/>
      <c r="Y133" s="90" t="n"/>
      <c r="Z133" s="90" t="n"/>
      <c r="AA133" s="90" t="n"/>
      <c r="AB133" s="90" t="n">
        <v>21</v>
      </c>
      <c r="AC133" s="90" t="n">
        <v>1</v>
      </c>
      <c r="AD133" s="93" t="inlineStr">
        <is>
          <t>増</t>
        </is>
      </c>
      <c r="AE133" s="90" t="inlineStr">
        <is>
          <t>21 出生</t>
        </is>
      </c>
      <c r="AF133" s="93" t="inlineStr">
        <is>
          <t>増</t>
        </is>
      </c>
      <c r="AG133" s="93" t="inlineStr">
        <is>
          <t>増</t>
        </is>
      </c>
      <c r="AH133" s="93" t="inlineStr">
        <is>
          <t>増</t>
        </is>
      </c>
      <c r="AI133" s="90" t="n"/>
      <c r="AJ133" s="90" t="n"/>
      <c r="AK133" s="90" t="n"/>
      <c r="AL133" s="94">
        <f>IF(A133="","",IF(COUNTIF(A133:A$2001,A133)=1,1,0))</f>
        <v/>
      </c>
      <c r="AM133" s="94">
        <f>IF(I133="","",TODAY()-I133)</f>
        <v/>
      </c>
      <c r="AN133" s="94">
        <f>IF(A133="","",IF(AND(E133&lt;&gt;"33 確認済",E133&lt;&gt;"36 送付中"),1,0))</f>
        <v/>
      </c>
      <c r="AO133" s="94">
        <f>IF(A133="","",IF(AG133&lt;&gt;"",1,0))</f>
        <v/>
      </c>
      <c r="AP133" s="220">
        <f>IF(P133&lt;&gt;"","・添待ち","")&amp;IF(Q133&lt;&gt;"","・住民票","")&amp;IF(R133&lt;&gt;"","・発信","")&amp;IF(S133&lt;&gt;"","・確認事項","")&amp;IF(T133&lt;&gt;"","・管","")&amp;IF(U133&lt;&gt;"","・SV","")&amp;IF(V133&lt;&gt;"","・データ送付待ち","")&amp;IF(W133&lt;&gt;"","・削除","")</f>
        <v/>
      </c>
    </row>
    <row r="134" ht="15" customHeight="1" s="87">
      <c r="A134" s="90" t="n">
        <v>202660001212</v>
      </c>
      <c r="B134" s="90" t="n"/>
      <c r="C134" s="90" t="n"/>
      <c r="D134" s="90" t="n">
        <v>31</v>
      </c>
      <c r="E134" s="90" t="inlineStr">
        <is>
          <t>31 ＯＰ確認中</t>
        </is>
      </c>
      <c r="F134" s="90" t="n"/>
      <c r="G134" s="90" t="n"/>
      <c r="H134" s="91" t="n">
        <v>46114</v>
      </c>
      <c r="I134" s="92" t="n">
        <v>46253</v>
      </c>
      <c r="J134" s="91" t="n">
        <v>46266</v>
      </c>
      <c r="K134" s="91" t="n">
        <v>46266</v>
      </c>
      <c r="L134" s="90" t="n"/>
      <c r="M134" s="90" t="n"/>
      <c r="N134" s="90" t="n"/>
      <c r="O134" s="90" t="inlineStr">
        <is>
          <t>21 担当者登録</t>
        </is>
      </c>
      <c r="P134" s="90" t="n"/>
      <c r="Q134" s="90" t="n"/>
      <c r="R134" s="90" t="n"/>
      <c r="S134" s="90" t="n"/>
      <c r="T134" s="90" t="n"/>
      <c r="U134" s="90" t="n"/>
      <c r="V134" s="90" t="n"/>
      <c r="W134" s="90" t="n"/>
      <c r="X134" s="90" t="n"/>
      <c r="Y134" s="90" t="n"/>
      <c r="Z134" s="90" t="n"/>
      <c r="AA134" s="90" t="n"/>
      <c r="AB134" s="90" t="n">
        <v>21</v>
      </c>
      <c r="AC134" s="90" t="n">
        <v>1</v>
      </c>
      <c r="AD134" s="93" t="inlineStr">
        <is>
          <t>増</t>
        </is>
      </c>
      <c r="AE134" s="90" t="inlineStr">
        <is>
          <t>21 出生</t>
        </is>
      </c>
      <c r="AF134" s="90" t="n"/>
      <c r="AG134" s="90" t="n"/>
      <c r="AH134" s="93" t="inlineStr">
        <is>
          <t>増</t>
        </is>
      </c>
      <c r="AI134" s="90" t="n"/>
      <c r="AJ134" s="90" t="n"/>
      <c r="AK134" s="90" t="n"/>
      <c r="AL134" s="94">
        <f>IF(A134="","",IF(COUNTIF(A134:A$2001,A134)=1,1,0))</f>
        <v/>
      </c>
      <c r="AM134" s="94">
        <f>IF(I134="","",TODAY()-I134)</f>
        <v/>
      </c>
      <c r="AN134" s="94">
        <f>IF(A134="","",IF(AND(E134&lt;&gt;"33 確認済",E134&lt;&gt;"36 送付中"),1,0))</f>
        <v/>
      </c>
      <c r="AO134" s="94">
        <f>IF(A134="","",IF(AG134&lt;&gt;"",1,0))</f>
        <v/>
      </c>
      <c r="AP134" s="220">
        <f>IF(P134&lt;&gt;"","・添待ち","")&amp;IF(Q134&lt;&gt;"","・住民票","")&amp;IF(R134&lt;&gt;"","・発信","")&amp;IF(S134&lt;&gt;"","・確認事項","")&amp;IF(T134&lt;&gt;"","・管","")&amp;IF(U134&lt;&gt;"","・SV","")&amp;IF(V134&lt;&gt;"","・データ送付待ち","")&amp;IF(W134&lt;&gt;"","・削除","")</f>
        <v/>
      </c>
    </row>
    <row r="135" ht="15" customHeight="1" s="87">
      <c r="A135" s="90" t="n">
        <v>202660001215</v>
      </c>
      <c r="B135" s="90" t="n"/>
      <c r="C135" s="90" t="n"/>
      <c r="D135" s="90" t="n">
        <v>40</v>
      </c>
      <c r="E135" s="90" t="inlineStr">
        <is>
          <t>40 差戻し</t>
        </is>
      </c>
      <c r="F135" s="90" t="n">
        <v>20</v>
      </c>
      <c r="G135" s="90" t="inlineStr">
        <is>
          <t>20 差戻し</t>
        </is>
      </c>
      <c r="H135" s="91" t="n">
        <v>46113</v>
      </c>
      <c r="I135" s="92" t="n">
        <v>46258</v>
      </c>
      <c r="J135" s="91" t="n">
        <v>46260</v>
      </c>
      <c r="K135" s="91" t="n">
        <v>46260</v>
      </c>
      <c r="L135" s="90" t="n"/>
      <c r="M135" s="90" t="n"/>
      <c r="N135" s="90" t="n"/>
      <c r="O135" s="90" t="inlineStr">
        <is>
          <t>55 添付書類待ち登録</t>
        </is>
      </c>
      <c r="P135" s="93" t="inlineStr">
        <is>
          <t>添</t>
        </is>
      </c>
      <c r="Q135" s="90" t="n"/>
      <c r="R135" s="90" t="n"/>
      <c r="S135" s="90" t="n"/>
      <c r="T135" s="90" t="n"/>
      <c r="U135" s="90" t="n"/>
      <c r="V135" s="90" t="n"/>
      <c r="W135" s="90" t="n"/>
      <c r="X135" s="90" t="n"/>
      <c r="Y135" s="90" t="n"/>
      <c r="Z135" s="90" t="n"/>
      <c r="AA135" s="90" t="n"/>
      <c r="AB135" s="90" t="n">
        <v>47</v>
      </c>
      <c r="AC135" s="90" t="n">
        <v>0</v>
      </c>
      <c r="AD135" s="93" t="inlineStr">
        <is>
          <t>減</t>
        </is>
      </c>
      <c r="AE135" s="90" t="inlineStr">
        <is>
          <t>47 扶養親族の就職</t>
        </is>
      </c>
      <c r="AF135" s="93" t="inlineStr">
        <is>
          <t>減</t>
        </is>
      </c>
      <c r="AG135" s="93" t="inlineStr">
        <is>
          <t>減</t>
        </is>
      </c>
      <c r="AH135" s="93" t="inlineStr">
        <is>
          <t>減</t>
        </is>
      </c>
      <c r="AI135" s="90" t="n"/>
      <c r="AJ135" s="90" t="n"/>
      <c r="AK135" s="90" t="n"/>
      <c r="AL135" s="94">
        <f>IF(A135="","",IF(COUNTIF(A135:A$2001,A135)=1,1,0))</f>
        <v/>
      </c>
      <c r="AM135" s="94">
        <f>IF(I135="","",TODAY()-I135)</f>
        <v/>
      </c>
      <c r="AN135" s="94">
        <f>IF(A135="","",IF(AND(E135&lt;&gt;"33 確認済",E135&lt;&gt;"36 送付中"),1,0))</f>
        <v/>
      </c>
      <c r="AO135" s="94">
        <f>IF(A135="","",IF(AG135&lt;&gt;"",1,0))</f>
        <v/>
      </c>
      <c r="AP135" s="220">
        <f>IF(P135&lt;&gt;"","・添待ち","")&amp;IF(Q135&lt;&gt;"","・住民票","")&amp;IF(R135&lt;&gt;"","・発信","")&amp;IF(S135&lt;&gt;"","・確認事項","")&amp;IF(T135&lt;&gt;"","・管","")&amp;IF(U135&lt;&gt;"","・SV","")&amp;IF(V135&lt;&gt;"","・データ送付待ち","")&amp;IF(W135&lt;&gt;"","・削除","")</f>
        <v/>
      </c>
    </row>
    <row r="136" ht="15" customHeight="1" s="87">
      <c r="A136" s="90" t="n">
        <v>202660001217</v>
      </c>
      <c r="B136" s="90" t="n"/>
      <c r="C136" s="90" t="n"/>
      <c r="D136" s="90" t="n">
        <v>31</v>
      </c>
      <c r="E136" s="90" t="inlineStr">
        <is>
          <t>31 ＯＰ確認中</t>
        </is>
      </c>
      <c r="F136" s="90" t="n">
        <v>20</v>
      </c>
      <c r="G136" s="90" t="inlineStr">
        <is>
          <t>20 差戻し</t>
        </is>
      </c>
      <c r="H136" s="91" t="n">
        <v>46248</v>
      </c>
      <c r="I136" s="92" t="n">
        <v>46254</v>
      </c>
      <c r="J136" s="91" t="n">
        <v>46283</v>
      </c>
      <c r="K136" s="91" t="n">
        <v>46283</v>
      </c>
      <c r="L136" s="90" t="n"/>
      <c r="M136" s="90" t="n"/>
      <c r="N136" s="90" t="n"/>
      <c r="O136" s="90" t="inlineStr">
        <is>
          <t>21 担当者登録</t>
        </is>
      </c>
      <c r="P136" s="90" t="n"/>
      <c r="Q136" s="90" t="n"/>
      <c r="R136" s="90" t="n"/>
      <c r="S136" s="93" t="inlineStr">
        <is>
          <t>確</t>
        </is>
      </c>
      <c r="T136" s="90" t="n"/>
      <c r="U136" s="90" t="n"/>
      <c r="V136" s="90" t="n"/>
      <c r="W136" s="90" t="n"/>
      <c r="X136" s="90" t="n"/>
      <c r="Y136" s="90" t="n"/>
      <c r="Z136" s="90" t="n"/>
      <c r="AA136" s="90" t="n"/>
      <c r="AB136" s="90" t="n">
        <v>22</v>
      </c>
      <c r="AC136" s="90" t="n">
        <v>1</v>
      </c>
      <c r="AD136" s="93" t="inlineStr">
        <is>
          <t>増</t>
        </is>
      </c>
      <c r="AE136" s="90" t="inlineStr">
        <is>
          <t>22 扶養親族の退職</t>
        </is>
      </c>
      <c r="AF136" s="90" t="n"/>
      <c r="AG136" s="93" t="inlineStr">
        <is>
          <t>増</t>
        </is>
      </c>
      <c r="AH136" s="90" t="n"/>
      <c r="AI136" s="90" t="n"/>
      <c r="AJ136" s="90" t="n"/>
      <c r="AK136" s="90" t="n"/>
      <c r="AL136" s="94">
        <f>IF(A136="","",IF(COUNTIF(A136:A$2001,A136)=1,1,0))</f>
        <v/>
      </c>
      <c r="AM136" s="94">
        <f>IF(I136="","",TODAY()-I136)</f>
        <v/>
      </c>
      <c r="AN136" s="94">
        <f>IF(A136="","",IF(AND(E136&lt;&gt;"33 確認済",E136&lt;&gt;"36 送付中"),1,0))</f>
        <v/>
      </c>
      <c r="AO136" s="94">
        <f>IF(A136="","",IF(AG136&lt;&gt;"",1,0))</f>
        <v/>
      </c>
      <c r="AP136" s="220">
        <f>IF(P136&lt;&gt;"","・添待ち","")&amp;IF(Q136&lt;&gt;"","・住民票","")&amp;IF(R136&lt;&gt;"","・発信","")&amp;IF(S136&lt;&gt;"","・確認事項","")&amp;IF(T136&lt;&gt;"","・管","")&amp;IF(U136&lt;&gt;"","・SV","")&amp;IF(V136&lt;&gt;"","・データ送付待ち","")&amp;IF(W136&lt;&gt;"","・削除","")</f>
        <v/>
      </c>
    </row>
    <row r="137" ht="15" customHeight="1" s="87">
      <c r="A137" s="90" t="n">
        <v>202660001220</v>
      </c>
      <c r="B137" s="90" t="n"/>
      <c r="C137" s="90" t="n"/>
      <c r="D137" s="90" t="n">
        <v>40</v>
      </c>
      <c r="E137" s="90" t="inlineStr">
        <is>
          <t>40 差戻し</t>
        </is>
      </c>
      <c r="F137" s="90" t="n">
        <v>20</v>
      </c>
      <c r="G137" s="90" t="inlineStr">
        <is>
          <t>20 差戻し</t>
        </is>
      </c>
      <c r="H137" s="91" t="n">
        <v>46251</v>
      </c>
      <c r="I137" s="92" t="n">
        <v>46255</v>
      </c>
      <c r="J137" s="91" t="n">
        <v>46259</v>
      </c>
      <c r="K137" s="91" t="n">
        <v>46259</v>
      </c>
      <c r="L137" s="90" t="n"/>
      <c r="M137" s="90" t="n"/>
      <c r="N137" s="90" t="n"/>
      <c r="O137" s="90" t="inlineStr">
        <is>
          <t>55 添付書類待ち登録</t>
        </is>
      </c>
      <c r="P137" s="93" t="inlineStr">
        <is>
          <t>添</t>
        </is>
      </c>
      <c r="Q137" s="90" t="n"/>
      <c r="R137" s="90" t="n"/>
      <c r="S137" s="90" t="n"/>
      <c r="T137" s="90" t="n"/>
      <c r="U137" s="90" t="n"/>
      <c r="V137" s="90" t="n"/>
      <c r="W137" s="90" t="n"/>
      <c r="X137" s="90" t="n"/>
      <c r="Y137" s="90" t="n"/>
      <c r="Z137" s="90" t="n"/>
      <c r="AA137" s="90" t="n"/>
      <c r="AB137" s="90" t="n">
        <v>99</v>
      </c>
      <c r="AC137" s="90" t="n">
        <v>1</v>
      </c>
      <c r="AD137" s="93" t="inlineStr">
        <is>
          <t>増</t>
        </is>
      </c>
      <c r="AE137" s="90" t="inlineStr">
        <is>
          <t>99 その他</t>
        </is>
      </c>
      <c r="AF137" s="93" t="inlineStr">
        <is>
          <t>増</t>
        </is>
      </c>
      <c r="AG137" s="93" t="inlineStr">
        <is>
          <t>増</t>
        </is>
      </c>
      <c r="AH137" s="93" t="inlineStr">
        <is>
          <t>増</t>
        </is>
      </c>
      <c r="AI137" s="90" t="n"/>
      <c r="AJ137" s="90" t="n"/>
      <c r="AK137" s="90" t="n"/>
      <c r="AL137" s="94">
        <f>IF(A137="","",IF(COUNTIF(A137:A$2001,A137)=1,1,0))</f>
        <v/>
      </c>
      <c r="AM137" s="94">
        <f>IF(I137="","",TODAY()-I137)</f>
        <v/>
      </c>
      <c r="AN137" s="94">
        <f>IF(A137="","",IF(AND(E137&lt;&gt;"33 確認済",E137&lt;&gt;"36 送付中"),1,0))</f>
        <v/>
      </c>
      <c r="AO137" s="94">
        <f>IF(A137="","",IF(AG137&lt;&gt;"",1,0))</f>
        <v/>
      </c>
      <c r="AP137" s="220">
        <f>IF(P137&lt;&gt;"","・添待ち","")&amp;IF(Q137&lt;&gt;"","・住民票","")&amp;IF(R137&lt;&gt;"","・発信","")&amp;IF(S137&lt;&gt;"","・確認事項","")&amp;IF(T137&lt;&gt;"","・管","")&amp;IF(U137&lt;&gt;"","・SV","")&amp;IF(V137&lt;&gt;"","・データ送付待ち","")&amp;IF(W137&lt;&gt;"","・削除","")</f>
        <v/>
      </c>
    </row>
    <row r="138" ht="15" customHeight="1" s="87">
      <c r="A138" s="90" t="n">
        <v>202660001221</v>
      </c>
      <c r="B138" s="90" t="n"/>
      <c r="C138" s="90" t="n"/>
      <c r="D138" s="90" t="n">
        <v>31</v>
      </c>
      <c r="E138" s="90" t="inlineStr">
        <is>
          <t>31 ＯＰ確認中</t>
        </is>
      </c>
      <c r="F138" s="90" t="n">
        <v>20</v>
      </c>
      <c r="G138" s="90" t="inlineStr">
        <is>
          <t>20 差戻し</t>
        </is>
      </c>
      <c r="H138" s="91" t="n">
        <v>46254</v>
      </c>
      <c r="I138" s="92" t="n">
        <v>46255</v>
      </c>
      <c r="J138" s="91" t="n">
        <v>46283</v>
      </c>
      <c r="K138" s="91" t="n">
        <v>46283</v>
      </c>
      <c r="L138" s="90" t="n"/>
      <c r="M138" s="90" t="n"/>
      <c r="N138" s="90" t="n"/>
      <c r="O138" s="90" t="inlineStr">
        <is>
          <t>22 担当者変更</t>
        </is>
      </c>
      <c r="P138" s="90" t="n"/>
      <c r="Q138" s="90" t="n"/>
      <c r="R138" s="90" t="n"/>
      <c r="S138" s="90" t="n"/>
      <c r="T138" s="90" t="n"/>
      <c r="U138" s="90" t="n"/>
      <c r="V138" s="90" t="n"/>
      <c r="W138" s="90" t="n"/>
      <c r="X138" s="90" t="n"/>
      <c r="Y138" s="90" t="n"/>
      <c r="Z138" s="90" t="n"/>
      <c r="AA138" s="90" t="n"/>
      <c r="AB138" s="90" t="n">
        <v>26</v>
      </c>
      <c r="AC138" s="90" t="n">
        <v>1</v>
      </c>
      <c r="AD138" s="93" t="inlineStr">
        <is>
          <t>増</t>
        </is>
      </c>
      <c r="AE138" s="90" t="inlineStr">
        <is>
          <t>26 扶養者の変更</t>
        </is>
      </c>
      <c r="AF138" s="93" t="inlineStr">
        <is>
          <t>増</t>
        </is>
      </c>
      <c r="AG138" s="93" t="inlineStr">
        <is>
          <t>増</t>
        </is>
      </c>
      <c r="AH138" s="93" t="inlineStr">
        <is>
          <t>増</t>
        </is>
      </c>
      <c r="AI138" s="90" t="n"/>
      <c r="AJ138" s="90" t="n"/>
      <c r="AK138" s="90" t="n"/>
      <c r="AL138" s="94">
        <f>IF(A138="","",IF(COUNTIF(A138:A$2001,A138)=1,1,0))</f>
        <v/>
      </c>
      <c r="AM138" s="94">
        <f>IF(I138="","",TODAY()-I138)</f>
        <v/>
      </c>
      <c r="AN138" s="94">
        <f>IF(A138="","",IF(AND(E138&lt;&gt;"33 確認済",E138&lt;&gt;"36 送付中"),1,0))</f>
        <v/>
      </c>
      <c r="AO138" s="94">
        <f>IF(A138="","",IF(AG138&lt;&gt;"",1,0))</f>
        <v/>
      </c>
      <c r="AP138" s="220">
        <f>IF(P138&lt;&gt;"","・添待ち","")&amp;IF(Q138&lt;&gt;"","・住民票","")&amp;IF(R138&lt;&gt;"","・発信","")&amp;IF(S138&lt;&gt;"","・確認事項","")&amp;IF(T138&lt;&gt;"","・管","")&amp;IF(U138&lt;&gt;"","・SV","")&amp;IF(V138&lt;&gt;"","・データ送付待ち","")&amp;IF(W138&lt;&gt;"","・削除","")</f>
        <v/>
      </c>
    </row>
    <row r="139" ht="15" customHeight="1" s="87">
      <c r="A139" s="90" t="n">
        <v>202660001231</v>
      </c>
      <c r="B139" s="90" t="n"/>
      <c r="C139" s="90" t="n"/>
      <c r="D139" s="90" t="n">
        <v>32</v>
      </c>
      <c r="E139" s="90" t="inlineStr">
        <is>
          <t>32 ＳＶ確認中</t>
        </is>
      </c>
      <c r="F139" s="90" t="n">
        <v>20</v>
      </c>
      <c r="G139" s="90" t="inlineStr">
        <is>
          <t>20 差戻し</t>
        </is>
      </c>
      <c r="H139" s="91" t="n">
        <v>46234</v>
      </c>
      <c r="I139" s="92" t="n">
        <v>46259</v>
      </c>
      <c r="J139" s="91" t="n">
        <v>46283</v>
      </c>
      <c r="K139" s="91" t="n">
        <v>46283</v>
      </c>
      <c r="L139" s="90" t="n"/>
      <c r="M139" s="90" t="n"/>
      <c r="N139" s="90" t="n"/>
      <c r="O139" s="90" t="inlineStr">
        <is>
          <t>31 差戻し</t>
        </is>
      </c>
      <c r="P139" s="90" t="n"/>
      <c r="Q139" s="90" t="n"/>
      <c r="R139" s="90" t="n"/>
      <c r="S139" s="90" t="n"/>
      <c r="T139" s="90" t="n"/>
      <c r="U139" s="90" t="n"/>
      <c r="V139" s="90" t="n"/>
      <c r="W139" s="90" t="n"/>
      <c r="X139" s="90" t="n"/>
      <c r="Y139" s="90" t="n"/>
      <c r="Z139" s="90" t="n"/>
      <c r="AA139" s="90" t="n"/>
      <c r="AB139" s="90" t="n">
        <v>22</v>
      </c>
      <c r="AC139" s="90" t="n">
        <v>1</v>
      </c>
      <c r="AD139" s="93" t="inlineStr">
        <is>
          <t>増</t>
        </is>
      </c>
      <c r="AE139" s="90" t="inlineStr">
        <is>
          <t>22 扶養親族の退職</t>
        </is>
      </c>
      <c r="AF139" s="93" t="inlineStr">
        <is>
          <t>増</t>
        </is>
      </c>
      <c r="AG139" s="93" t="inlineStr">
        <is>
          <t>増</t>
        </is>
      </c>
      <c r="AH139" s="93" t="inlineStr">
        <is>
          <t>増</t>
        </is>
      </c>
      <c r="AI139" s="90" t="n"/>
      <c r="AJ139" s="90" t="n"/>
      <c r="AK139" s="90" t="n"/>
      <c r="AL139" s="94">
        <f>IF(A139="","",IF(COUNTIF(A139:A$2001,A139)=1,1,0))</f>
        <v/>
      </c>
      <c r="AM139" s="94">
        <f>IF(I139="","",TODAY()-I139)</f>
        <v/>
      </c>
      <c r="AN139" s="94">
        <f>IF(A139="","",IF(AND(E139&lt;&gt;"33 確認済",E139&lt;&gt;"36 送付中"),1,0))</f>
        <v/>
      </c>
      <c r="AO139" s="94">
        <f>IF(A139="","",IF(AG139&lt;&gt;"",1,0))</f>
        <v/>
      </c>
      <c r="AP139" s="220">
        <f>IF(P139&lt;&gt;"","・添待ち","")&amp;IF(Q139&lt;&gt;"","・住民票","")&amp;IF(R139&lt;&gt;"","・発信","")&amp;IF(S139&lt;&gt;"","・確認事項","")&amp;IF(T139&lt;&gt;"","・管","")&amp;IF(U139&lt;&gt;"","・SV","")&amp;IF(V139&lt;&gt;"","・データ送付待ち","")&amp;IF(W139&lt;&gt;"","・削除","")</f>
        <v/>
      </c>
    </row>
    <row r="140" ht="15" customHeight="1" s="87">
      <c r="A140" s="90" t="n">
        <v>202660001233</v>
      </c>
      <c r="B140" s="90" t="n"/>
      <c r="C140" s="90" t="n"/>
      <c r="D140" s="90" t="n">
        <v>40</v>
      </c>
      <c r="E140" s="90" t="inlineStr">
        <is>
          <t>40 差戻し</t>
        </is>
      </c>
      <c r="F140" s="90" t="n">
        <v>20</v>
      </c>
      <c r="G140" s="90" t="inlineStr">
        <is>
          <t>20 差戻し</t>
        </is>
      </c>
      <c r="H140" s="91" t="n">
        <v>46255</v>
      </c>
      <c r="I140" s="92" t="n">
        <v>46260</v>
      </c>
      <c r="J140" s="91" t="n">
        <v>46273</v>
      </c>
      <c r="K140" s="91" t="n">
        <v>46273</v>
      </c>
      <c r="L140" s="90" t="n"/>
      <c r="M140" s="90" t="n"/>
      <c r="N140" s="90" t="n"/>
      <c r="O140" s="90" t="inlineStr">
        <is>
          <t>40 ＳＶ承認</t>
        </is>
      </c>
      <c r="P140" s="90" t="n"/>
      <c r="Q140" s="90" t="n"/>
      <c r="R140" s="90" t="n"/>
      <c r="S140" s="90" t="n"/>
      <c r="T140" s="90" t="n"/>
      <c r="U140" s="90" t="n"/>
      <c r="V140" s="90" t="n"/>
      <c r="W140" s="90" t="n"/>
      <c r="X140" s="90" t="n"/>
      <c r="Y140" s="90" t="n"/>
      <c r="Z140" s="90" t="n"/>
      <c r="AA140" s="90" t="n"/>
      <c r="AB140" s="90" t="n">
        <v>22</v>
      </c>
      <c r="AC140" s="90" t="n">
        <v>1</v>
      </c>
      <c r="AD140" s="93" t="inlineStr">
        <is>
          <t>増</t>
        </is>
      </c>
      <c r="AE140" s="90" t="inlineStr">
        <is>
          <t>22 扶養親族の退職</t>
        </is>
      </c>
      <c r="AF140" s="90" t="n"/>
      <c r="AG140" s="93" t="inlineStr">
        <is>
          <t>増</t>
        </is>
      </c>
      <c r="AH140" s="90" t="n"/>
      <c r="AI140" s="90" t="n"/>
      <c r="AJ140" s="90" t="n"/>
      <c r="AK140" s="90" t="n"/>
      <c r="AL140" s="94">
        <f>IF(A140="","",IF(COUNTIF(A140:A$2001,A140)=1,1,0))</f>
        <v/>
      </c>
      <c r="AM140" s="94">
        <f>IF(I140="","",TODAY()-I140)</f>
        <v/>
      </c>
      <c r="AN140" s="94">
        <f>IF(A140="","",IF(AND(E140&lt;&gt;"33 確認済",E140&lt;&gt;"36 送付中"),1,0))</f>
        <v/>
      </c>
      <c r="AO140" s="94">
        <f>IF(A140="","",IF(AG140&lt;&gt;"",1,0))</f>
        <v/>
      </c>
      <c r="AP140" s="220">
        <f>IF(P140&lt;&gt;"","・添待ち","")&amp;IF(Q140&lt;&gt;"","・住民票","")&amp;IF(R140&lt;&gt;"","・発信","")&amp;IF(S140&lt;&gt;"","・確認事項","")&amp;IF(T140&lt;&gt;"","・管","")&amp;IF(U140&lt;&gt;"","・SV","")&amp;IF(V140&lt;&gt;"","・データ送付待ち","")&amp;IF(W140&lt;&gt;"","・削除","")</f>
        <v/>
      </c>
    </row>
    <row r="141" ht="15" customHeight="1" s="87">
      <c r="A141" s="90" t="n">
        <v>202660001236</v>
      </c>
      <c r="B141" s="90" t="n"/>
      <c r="C141" s="90" t="n"/>
      <c r="D141" s="90" t="n">
        <v>40</v>
      </c>
      <c r="E141" s="90" t="inlineStr">
        <is>
          <t>40 差戻し</t>
        </is>
      </c>
      <c r="F141" s="90" t="n">
        <v>20</v>
      </c>
      <c r="G141" s="90" t="inlineStr">
        <is>
          <t>20 差戻し</t>
        </is>
      </c>
      <c r="H141" s="91" t="n">
        <v>46176</v>
      </c>
      <c r="I141" s="92" t="n">
        <v>46258</v>
      </c>
      <c r="J141" s="91" t="n">
        <v>46267</v>
      </c>
      <c r="K141" s="91" t="n">
        <v>46267</v>
      </c>
      <c r="L141" s="90" t="n"/>
      <c r="M141" s="90" t="n"/>
      <c r="N141" s="90" t="n"/>
      <c r="O141" s="90" t="inlineStr">
        <is>
          <t>55 添付書類待ち登録</t>
        </is>
      </c>
      <c r="P141" s="93" t="inlineStr">
        <is>
          <t>添</t>
        </is>
      </c>
      <c r="Q141" s="90" t="n"/>
      <c r="R141" s="90" t="n"/>
      <c r="S141" s="90" t="n"/>
      <c r="T141" s="90" t="n"/>
      <c r="U141" s="90" t="n"/>
      <c r="V141" s="90" t="n"/>
      <c r="W141" s="90" t="n"/>
      <c r="X141" s="90" t="n"/>
      <c r="Y141" s="90" t="n"/>
      <c r="Z141" s="90" t="n"/>
      <c r="AA141" s="90" t="n"/>
      <c r="AB141" s="90" t="n">
        <v>51</v>
      </c>
      <c r="AC141" s="90" t="n">
        <v>0</v>
      </c>
      <c r="AD141" s="93" t="inlineStr">
        <is>
          <t>減</t>
        </is>
      </c>
      <c r="AE141" s="90" t="inlineStr">
        <is>
          <t>51 収入限度額以上</t>
        </is>
      </c>
      <c r="AF141" s="93" t="inlineStr">
        <is>
          <t>減</t>
        </is>
      </c>
      <c r="AG141" s="90" t="n"/>
      <c r="AH141" s="90" t="n"/>
      <c r="AI141" s="90" t="n"/>
      <c r="AJ141" s="90" t="n"/>
      <c r="AK141" s="90" t="n"/>
      <c r="AL141" s="94">
        <f>IF(A141="","",IF(COUNTIF(A141:A$2001,A141)=1,1,0))</f>
        <v/>
      </c>
      <c r="AM141" s="94">
        <f>IF(I141="","",TODAY()-I141)</f>
        <v/>
      </c>
      <c r="AN141" s="94">
        <f>IF(A141="","",IF(AND(E141&lt;&gt;"33 確認済",E141&lt;&gt;"36 送付中"),1,0))</f>
        <v/>
      </c>
      <c r="AO141" s="94">
        <f>IF(A141="","",IF(AG141&lt;&gt;"",1,0))</f>
        <v/>
      </c>
      <c r="AP141" s="220">
        <f>IF(P141&lt;&gt;"","・添待ち","")&amp;IF(Q141&lt;&gt;"","・住民票","")&amp;IF(R141&lt;&gt;"","・発信","")&amp;IF(S141&lt;&gt;"","・確認事項","")&amp;IF(T141&lt;&gt;"","・管","")&amp;IF(U141&lt;&gt;"","・SV","")&amp;IF(V141&lt;&gt;"","・データ送付待ち","")&amp;IF(W141&lt;&gt;"","・削除","")</f>
        <v/>
      </c>
    </row>
    <row r="142" ht="15" customHeight="1" s="87">
      <c r="A142" s="90" t="n">
        <v>202660001240</v>
      </c>
      <c r="B142" s="90" t="n"/>
      <c r="C142" s="90" t="n"/>
      <c r="D142" s="90" t="n">
        <v>20</v>
      </c>
      <c r="E142" s="90" t="inlineStr">
        <is>
          <t>20 確認待ち</t>
        </is>
      </c>
      <c r="F142" s="90" t="n"/>
      <c r="G142" s="90" t="n"/>
      <c r="H142" s="90" t="n"/>
      <c r="I142" s="92" t="n">
        <v>46259</v>
      </c>
      <c r="J142" s="90" t="n"/>
      <c r="K142" s="90" t="n"/>
      <c r="L142" s="90" t="n"/>
      <c r="M142" s="90" t="n"/>
      <c r="N142" s="90" t="n"/>
      <c r="O142" s="90" t="inlineStr">
        <is>
          <t>10 申請</t>
        </is>
      </c>
      <c r="P142" s="90" t="n"/>
      <c r="Q142" s="90" t="n"/>
      <c r="R142" s="90" t="n"/>
      <c r="S142" s="90" t="n"/>
      <c r="T142" s="90" t="n"/>
      <c r="U142" s="90" t="n"/>
      <c r="V142" s="90" t="n"/>
      <c r="W142" s="90" t="n"/>
      <c r="X142" s="90" t="n"/>
      <c r="Y142" s="90" t="n"/>
      <c r="Z142" s="90" t="n"/>
      <c r="AA142" s="90" t="n"/>
      <c r="AB142" s="90" t="n"/>
      <c r="AC142" s="90" t="n"/>
      <c r="AD142" s="93" t="inlineStr">
        <is>
          <t>減</t>
        </is>
      </c>
      <c r="AE142" s="90" t="n"/>
      <c r="AF142" s="90" t="n"/>
      <c r="AG142" s="90" t="n"/>
      <c r="AH142" s="90" t="n"/>
      <c r="AI142" s="90" t="n"/>
      <c r="AJ142" s="93" t="inlineStr">
        <is>
          <t>一時保存</t>
        </is>
      </c>
      <c r="AK142" s="90" t="n"/>
      <c r="AL142" s="94">
        <f>IF(A142="","",IF(COUNTIF(A142:A$2001,A142)=1,1,0))</f>
        <v/>
      </c>
      <c r="AM142" s="94">
        <f>IF(I142="","",TODAY()-I142)</f>
        <v/>
      </c>
      <c r="AN142" s="94">
        <f>IF(A142="","",IF(AND(E142&lt;&gt;"33 確認済",E142&lt;&gt;"36 送付中"),1,0))</f>
        <v/>
      </c>
      <c r="AO142" s="94">
        <f>IF(A142="","",IF(AG142&lt;&gt;"",1,0))</f>
        <v/>
      </c>
      <c r="AP142" s="220">
        <f>IF(P142&lt;&gt;"","・添待ち","")&amp;IF(Q142&lt;&gt;"","・住民票","")&amp;IF(R142&lt;&gt;"","・発信","")&amp;IF(S142&lt;&gt;"","・確認事項","")&amp;IF(T142&lt;&gt;"","・管","")&amp;IF(U142&lt;&gt;"","・SV","")&amp;IF(V142&lt;&gt;"","・データ送付待ち","")&amp;IF(W142&lt;&gt;"","・削除","")</f>
        <v/>
      </c>
    </row>
    <row r="143" ht="15" customHeight="1" s="87">
      <c r="A143" s="90" t="n">
        <v>202660001245</v>
      </c>
      <c r="B143" s="90" t="n"/>
      <c r="C143" s="90" t="n"/>
      <c r="D143" s="90" t="n">
        <v>30</v>
      </c>
      <c r="E143" s="90" t="inlineStr">
        <is>
          <t>30 申請受付</t>
        </is>
      </c>
      <c r="F143" s="90" t="n"/>
      <c r="G143" s="90" t="n"/>
      <c r="H143" s="91" t="n">
        <v>46171</v>
      </c>
      <c r="I143" s="92" t="n">
        <v>46259</v>
      </c>
      <c r="J143" s="91" t="n">
        <v>46260</v>
      </c>
      <c r="K143" s="90" t="n"/>
      <c r="L143" s="90" t="n"/>
      <c r="M143" s="90" t="n"/>
      <c r="N143" s="90" t="n"/>
      <c r="O143" s="90" t="inlineStr">
        <is>
          <t>20 申請受付</t>
        </is>
      </c>
      <c r="P143" s="90" t="n"/>
      <c r="Q143" s="90" t="n"/>
      <c r="R143" s="90" t="n"/>
      <c r="S143" s="90" t="n"/>
      <c r="T143" s="90" t="n"/>
      <c r="U143" s="90" t="n"/>
      <c r="V143" s="90" t="n"/>
      <c r="W143" s="90" t="n"/>
      <c r="X143" s="90" t="n"/>
      <c r="Y143" s="90" t="n"/>
      <c r="Z143" s="90" t="n"/>
      <c r="AA143" s="90" t="n"/>
      <c r="AB143" s="90" t="n">
        <v>99</v>
      </c>
      <c r="AC143" s="90" t="n">
        <v>1</v>
      </c>
      <c r="AD143" s="93" t="inlineStr">
        <is>
          <t>増</t>
        </is>
      </c>
      <c r="AE143" s="90" t="inlineStr">
        <is>
          <t>99 その他</t>
        </is>
      </c>
      <c r="AF143" s="90" t="n"/>
      <c r="AG143" s="90" t="n"/>
      <c r="AH143" s="90" t="n"/>
      <c r="AI143" s="90" t="n"/>
      <c r="AJ143" s="90" t="n"/>
      <c r="AK143" s="90" t="n"/>
      <c r="AL143" s="94">
        <f>IF(A143="","",IF(COUNTIF(A143:A$2001,A143)=1,1,0))</f>
        <v/>
      </c>
      <c r="AM143" s="94">
        <f>IF(I143="","",TODAY()-I143)</f>
        <v/>
      </c>
      <c r="AN143" s="94">
        <f>IF(A143="","",IF(AND(E143&lt;&gt;"33 確認済",E143&lt;&gt;"36 送付中"),1,0))</f>
        <v/>
      </c>
      <c r="AO143" s="94">
        <f>IF(A143="","",IF(AG143&lt;&gt;"",1,0))</f>
        <v/>
      </c>
      <c r="AP143" s="220">
        <f>IF(P143&lt;&gt;"","・添待ち","")&amp;IF(Q143&lt;&gt;"","・住民票","")&amp;IF(R143&lt;&gt;"","・発信","")&amp;IF(S143&lt;&gt;"","・確認事項","")&amp;IF(T143&lt;&gt;"","・管","")&amp;IF(U143&lt;&gt;"","・SV","")&amp;IF(V143&lt;&gt;"","・データ送付待ち","")&amp;IF(W143&lt;&gt;"","・削除","")</f>
        <v/>
      </c>
    </row>
    <row r="144" ht="15" customHeight="1" s="87">
      <c r="A144" s="90" t="n">
        <v>202660001249</v>
      </c>
      <c r="B144" s="90" t="n"/>
      <c r="C144" s="90" t="n"/>
      <c r="D144" s="90" t="n">
        <v>30</v>
      </c>
      <c r="E144" s="90" t="inlineStr">
        <is>
          <t>30 申請受付</t>
        </is>
      </c>
      <c r="F144" s="90" t="n"/>
      <c r="G144" s="90" t="n"/>
      <c r="H144" s="91" t="n">
        <v>46127</v>
      </c>
      <c r="I144" s="92" t="n">
        <v>46273</v>
      </c>
      <c r="J144" s="91" t="n">
        <v>46289</v>
      </c>
      <c r="K144" s="90" t="n"/>
      <c r="L144" s="90" t="n"/>
      <c r="M144" s="90" t="n"/>
      <c r="N144" s="90" t="n"/>
      <c r="O144" s="90" t="inlineStr">
        <is>
          <t>20 申請受付</t>
        </is>
      </c>
      <c r="P144" s="90" t="n"/>
      <c r="Q144" s="90" t="n"/>
      <c r="R144" s="90" t="n"/>
      <c r="S144" s="90" t="n"/>
      <c r="T144" s="90" t="n"/>
      <c r="U144" s="90" t="n"/>
      <c r="V144" s="90" t="n"/>
      <c r="W144" s="90" t="n"/>
      <c r="X144" s="90" t="n"/>
      <c r="Y144" s="90" t="n"/>
      <c r="Z144" s="90" t="n"/>
      <c r="AA144" s="90" t="n"/>
      <c r="AB144" s="90" t="n">
        <v>54</v>
      </c>
      <c r="AC144" s="90" t="n">
        <v>0</v>
      </c>
      <c r="AD144" s="93" t="inlineStr">
        <is>
          <t>減</t>
        </is>
      </c>
      <c r="AE144" s="90" t="inlineStr">
        <is>
          <t>54 別居</t>
        </is>
      </c>
      <c r="AF144" s="93" t="inlineStr">
        <is>
          <t>減</t>
        </is>
      </c>
      <c r="AG144" s="93" t="inlineStr">
        <is>
          <t>減</t>
        </is>
      </c>
      <c r="AH144" s="93" t="inlineStr">
        <is>
          <t>減</t>
        </is>
      </c>
      <c r="AI144" s="90" t="n"/>
      <c r="AJ144" s="90" t="n"/>
      <c r="AK144" s="90" t="n"/>
      <c r="AL144" s="94">
        <f>IF(A144="","",IF(COUNTIF(A144:A$2001,A144)=1,1,0))</f>
        <v/>
      </c>
      <c r="AM144" s="94">
        <f>IF(I144="","",TODAY()-I144)</f>
        <v/>
      </c>
      <c r="AN144" s="94">
        <f>IF(A144="","",IF(AND(E144&lt;&gt;"33 確認済",E144&lt;&gt;"36 送付中"),1,0))</f>
        <v/>
      </c>
      <c r="AO144" s="94">
        <f>IF(A144="","",IF(AG144&lt;&gt;"",1,0))</f>
        <v/>
      </c>
      <c r="AP144" s="220">
        <f>IF(P144&lt;&gt;"","・添待ち","")&amp;IF(Q144&lt;&gt;"","・住民票","")&amp;IF(R144&lt;&gt;"","・発信","")&amp;IF(S144&lt;&gt;"","・確認事項","")&amp;IF(T144&lt;&gt;"","・管","")&amp;IF(U144&lt;&gt;"","・SV","")&amp;IF(V144&lt;&gt;"","・データ送付待ち","")&amp;IF(W144&lt;&gt;"","・削除","")</f>
        <v/>
      </c>
    </row>
    <row r="145" ht="15" customHeight="1" s="87">
      <c r="A145" s="90" t="n">
        <v>202660001253</v>
      </c>
      <c r="B145" s="90" t="n"/>
      <c r="C145" s="90" t="n"/>
      <c r="D145" s="90" t="n">
        <v>32</v>
      </c>
      <c r="E145" s="90" t="inlineStr">
        <is>
          <t>32 ＳＶ確認中</t>
        </is>
      </c>
      <c r="F145" s="90" t="n">
        <v>20</v>
      </c>
      <c r="G145" s="90" t="inlineStr">
        <is>
          <t>20 差戻し</t>
        </is>
      </c>
      <c r="H145" s="91" t="n">
        <v>46253</v>
      </c>
      <c r="I145" s="92" t="n">
        <v>46260</v>
      </c>
      <c r="J145" s="91" t="n">
        <v>46276</v>
      </c>
      <c r="K145" s="91" t="n">
        <v>46276</v>
      </c>
      <c r="L145" s="90" t="n"/>
      <c r="M145" s="90" t="n"/>
      <c r="N145" s="90" t="n"/>
      <c r="O145" s="90" t="inlineStr">
        <is>
          <t>30 登録</t>
        </is>
      </c>
      <c r="P145" s="90" t="n"/>
      <c r="Q145" s="90" t="n"/>
      <c r="R145" s="90" t="n"/>
      <c r="S145" s="90" t="n"/>
      <c r="T145" s="90" t="n"/>
      <c r="U145" s="90" t="n"/>
      <c r="V145" s="90" t="n"/>
      <c r="W145" s="90" t="n"/>
      <c r="X145" s="90" t="n"/>
      <c r="Y145" s="90" t="n"/>
      <c r="Z145" s="90" t="n"/>
      <c r="AA145" s="90" t="n"/>
      <c r="AB145" s="90" t="n">
        <v>21</v>
      </c>
      <c r="AC145" s="90" t="n">
        <v>1</v>
      </c>
      <c r="AD145" s="93" t="inlineStr">
        <is>
          <t>増</t>
        </is>
      </c>
      <c r="AE145" s="90" t="inlineStr">
        <is>
          <t>21 出生</t>
        </is>
      </c>
      <c r="AF145" s="93" t="inlineStr">
        <is>
          <t>増</t>
        </is>
      </c>
      <c r="AG145" s="93" t="inlineStr">
        <is>
          <t>増</t>
        </is>
      </c>
      <c r="AH145" s="93" t="inlineStr">
        <is>
          <t>増</t>
        </is>
      </c>
      <c r="AI145" s="90" t="n"/>
      <c r="AJ145" s="90" t="n"/>
      <c r="AK145" s="90" t="n"/>
      <c r="AL145" s="94">
        <f>IF(A145="","",IF(COUNTIF(A145:A$2001,A145)=1,1,0))</f>
        <v/>
      </c>
      <c r="AM145" s="94">
        <f>IF(I145="","",TODAY()-I145)</f>
        <v/>
      </c>
      <c r="AN145" s="94">
        <f>IF(A145="","",IF(AND(E145&lt;&gt;"33 確認済",E145&lt;&gt;"36 送付中"),1,0))</f>
        <v/>
      </c>
      <c r="AO145" s="94">
        <f>IF(A145="","",IF(AG145&lt;&gt;"",1,0))</f>
        <v/>
      </c>
      <c r="AP145" s="220">
        <f>IF(P145&lt;&gt;"","・添待ち","")&amp;IF(Q145&lt;&gt;"","・住民票","")&amp;IF(R145&lt;&gt;"","・発信","")&amp;IF(S145&lt;&gt;"","・確認事項","")&amp;IF(T145&lt;&gt;"","・管","")&amp;IF(U145&lt;&gt;"","・SV","")&amp;IF(V145&lt;&gt;"","・データ送付待ち","")&amp;IF(W145&lt;&gt;"","・削除","")</f>
        <v/>
      </c>
    </row>
    <row r="146" ht="15" customHeight="1" s="87">
      <c r="A146" s="90" t="n">
        <v>202660001257</v>
      </c>
      <c r="B146" s="90" t="n"/>
      <c r="C146" s="90" t="n"/>
      <c r="D146" s="90" t="n">
        <v>32</v>
      </c>
      <c r="E146" s="90" t="inlineStr">
        <is>
          <t>32 ＳＶ確認中</t>
        </is>
      </c>
      <c r="F146" s="90" t="n"/>
      <c r="G146" s="90" t="n"/>
      <c r="H146" s="91" t="n">
        <v>46149</v>
      </c>
      <c r="I146" s="92" t="n">
        <v>46261</v>
      </c>
      <c r="J146" s="91" t="n">
        <v>46262</v>
      </c>
      <c r="K146" s="91" t="n">
        <v>46262</v>
      </c>
      <c r="L146" s="90" t="n"/>
      <c r="M146" s="90" t="n"/>
      <c r="N146" s="90" t="n"/>
      <c r="O146" s="90" t="inlineStr">
        <is>
          <t>30 登録</t>
        </is>
      </c>
      <c r="P146" s="90" t="n"/>
      <c r="Q146" s="90" t="n"/>
      <c r="R146" s="90" t="n"/>
      <c r="S146" s="90" t="n"/>
      <c r="T146" s="90" t="n"/>
      <c r="U146" s="90" t="n"/>
      <c r="V146" s="90" t="n"/>
      <c r="W146" s="90" t="n"/>
      <c r="X146" s="90" t="n"/>
      <c r="Y146" s="90" t="n"/>
      <c r="Z146" s="90" t="n"/>
      <c r="AA146" s="90" t="n"/>
      <c r="AB146" s="90" t="n">
        <v>28</v>
      </c>
      <c r="AC146" s="90" t="n">
        <v>1</v>
      </c>
      <c r="AD146" s="93" t="inlineStr">
        <is>
          <t>増</t>
        </is>
      </c>
      <c r="AE146" s="90" t="inlineStr">
        <is>
          <t>28 障害程度の変更</t>
        </is>
      </c>
      <c r="AF146" s="93" t="inlineStr">
        <is>
          <t>増</t>
        </is>
      </c>
      <c r="AG146" s="90" t="n"/>
      <c r="AH146" s="93" t="inlineStr">
        <is>
          <t>増</t>
        </is>
      </c>
      <c r="AI146" s="90" t="n"/>
      <c r="AJ146" s="90" t="n"/>
      <c r="AK146" s="90" t="n"/>
      <c r="AL146" s="94">
        <f>IF(A146="","",IF(COUNTIF(A146:A$2001,A146)=1,1,0))</f>
        <v/>
      </c>
      <c r="AM146" s="94">
        <f>IF(I146="","",TODAY()-I146)</f>
        <v/>
      </c>
      <c r="AN146" s="94">
        <f>IF(A146="","",IF(AND(E146&lt;&gt;"33 確認済",E146&lt;&gt;"36 送付中"),1,0))</f>
        <v/>
      </c>
      <c r="AO146" s="94">
        <f>IF(A146="","",IF(AG146&lt;&gt;"",1,0))</f>
        <v/>
      </c>
      <c r="AP146" s="220">
        <f>IF(P146&lt;&gt;"","・添待ち","")&amp;IF(Q146&lt;&gt;"","・住民票","")&amp;IF(R146&lt;&gt;"","・発信","")&amp;IF(S146&lt;&gt;"","・確認事項","")&amp;IF(T146&lt;&gt;"","・管","")&amp;IF(U146&lt;&gt;"","・SV","")&amp;IF(V146&lt;&gt;"","・データ送付待ち","")&amp;IF(W146&lt;&gt;"","・削除","")</f>
        <v/>
      </c>
    </row>
    <row r="147" ht="15" customHeight="1" s="87">
      <c r="A147" s="90" t="n">
        <v>202660001258</v>
      </c>
      <c r="B147" s="90" t="n"/>
      <c r="C147" s="90" t="n"/>
      <c r="D147" s="90" t="n">
        <v>32</v>
      </c>
      <c r="E147" s="90" t="inlineStr">
        <is>
          <t>32 ＳＶ確認中</t>
        </is>
      </c>
      <c r="F147" s="90" t="n"/>
      <c r="G147" s="90" t="n"/>
      <c r="H147" s="91" t="n">
        <v>46216</v>
      </c>
      <c r="I147" s="92" t="n">
        <v>46261</v>
      </c>
      <c r="J147" s="91" t="n">
        <v>46268</v>
      </c>
      <c r="K147" s="91" t="n">
        <v>46268</v>
      </c>
      <c r="L147" s="90" t="n"/>
      <c r="M147" s="90" t="n"/>
      <c r="N147" s="90" t="n"/>
      <c r="O147" s="90" t="inlineStr">
        <is>
          <t>30 登録</t>
        </is>
      </c>
      <c r="P147" s="90" t="n"/>
      <c r="Q147" s="90" t="n"/>
      <c r="R147" s="90" t="n"/>
      <c r="S147" s="90" t="n"/>
      <c r="T147" s="90" t="n"/>
      <c r="U147" s="90" t="n"/>
      <c r="V147" s="90" t="n"/>
      <c r="W147" s="90" t="n"/>
      <c r="X147" s="90" t="n"/>
      <c r="Y147" s="90" t="n"/>
      <c r="Z147" s="90" t="n"/>
      <c r="AA147" s="90" t="n"/>
      <c r="AB147" s="90" t="n">
        <v>28</v>
      </c>
      <c r="AC147" s="90" t="n">
        <v>1</v>
      </c>
      <c r="AD147" s="93" t="inlineStr">
        <is>
          <t>増</t>
        </is>
      </c>
      <c r="AE147" s="90" t="inlineStr">
        <is>
          <t>28 障害程度の変更</t>
        </is>
      </c>
      <c r="AF147" s="93" t="inlineStr">
        <is>
          <t>増</t>
        </is>
      </c>
      <c r="AG147" s="93" t="inlineStr">
        <is>
          <t>増</t>
        </is>
      </c>
      <c r="AH147" s="93" t="inlineStr">
        <is>
          <t>増</t>
        </is>
      </c>
      <c r="AI147" s="90" t="n"/>
      <c r="AJ147" s="90" t="n"/>
      <c r="AK147" s="90" t="n"/>
      <c r="AL147" s="94">
        <f>IF(A147="","",IF(COUNTIF(A147:A$2001,A147)=1,1,0))</f>
        <v/>
      </c>
      <c r="AM147" s="94">
        <f>IF(I147="","",TODAY()-I147)</f>
        <v/>
      </c>
      <c r="AN147" s="94">
        <f>IF(A147="","",IF(AND(E147&lt;&gt;"33 確認済",E147&lt;&gt;"36 送付中"),1,0))</f>
        <v/>
      </c>
      <c r="AO147" s="94">
        <f>IF(A147="","",IF(AG147&lt;&gt;"",1,0))</f>
        <v/>
      </c>
      <c r="AP147" s="220">
        <f>IF(P147&lt;&gt;"","・添待ち","")&amp;IF(Q147&lt;&gt;"","・住民票","")&amp;IF(R147&lt;&gt;"","・発信","")&amp;IF(S147&lt;&gt;"","・確認事項","")&amp;IF(T147&lt;&gt;"","・管","")&amp;IF(U147&lt;&gt;"","・SV","")&amp;IF(V147&lt;&gt;"","・データ送付待ち","")&amp;IF(W147&lt;&gt;"","・削除","")</f>
        <v/>
      </c>
    </row>
    <row r="148" ht="15" customHeight="1" s="87">
      <c r="A148" s="90" t="n">
        <v>202660001259</v>
      </c>
      <c r="B148" s="90" t="n"/>
      <c r="C148" s="90" t="n"/>
      <c r="D148" s="90" t="n">
        <v>33</v>
      </c>
      <c r="E148" s="90" t="inlineStr">
        <is>
          <t>33 確認済</t>
        </is>
      </c>
      <c r="F148" s="90" t="n">
        <v>20</v>
      </c>
      <c r="G148" s="90" t="inlineStr">
        <is>
          <t>20 差戻し</t>
        </is>
      </c>
      <c r="H148" s="91" t="n">
        <v>46255</v>
      </c>
      <c r="I148" s="92" t="n">
        <v>46265</v>
      </c>
      <c r="J148" s="91" t="n">
        <v>46281</v>
      </c>
      <c r="K148" s="91" t="n">
        <v>46281</v>
      </c>
      <c r="L148" s="90" t="n"/>
      <c r="M148" s="90" t="n"/>
      <c r="N148" s="90" t="n"/>
      <c r="O148" s="90" t="inlineStr">
        <is>
          <t>40 ＳＶ承認</t>
        </is>
      </c>
      <c r="P148" s="90" t="n"/>
      <c r="Q148" s="90" t="n"/>
      <c r="R148" s="90" t="n"/>
      <c r="S148" s="90" t="n"/>
      <c r="T148" s="90" t="n"/>
      <c r="U148" s="90" t="n"/>
      <c r="V148" s="90" t="n"/>
      <c r="W148" s="90" t="n"/>
      <c r="X148" s="90" t="n"/>
      <c r="Y148" s="90" t="n"/>
      <c r="Z148" s="90" t="n"/>
      <c r="AA148" s="90" t="n"/>
      <c r="AB148" s="90" t="n">
        <v>21</v>
      </c>
      <c r="AC148" s="90" t="n">
        <v>1</v>
      </c>
      <c r="AD148" s="93" t="inlineStr">
        <is>
          <t>増</t>
        </is>
      </c>
      <c r="AE148" s="90" t="inlineStr">
        <is>
          <t>21 出生</t>
        </is>
      </c>
      <c r="AF148" s="93" t="inlineStr">
        <is>
          <t>増</t>
        </is>
      </c>
      <c r="AG148" s="93" t="inlineStr">
        <is>
          <t>増</t>
        </is>
      </c>
      <c r="AH148" s="93" t="inlineStr">
        <is>
          <t>増</t>
        </is>
      </c>
      <c r="AI148" s="90" t="n"/>
      <c r="AJ148" s="90" t="n"/>
      <c r="AK148" s="90" t="n"/>
      <c r="AL148" s="94">
        <f>IF(A148="","",IF(COUNTIF(A148:A$2001,A148)=1,1,0))</f>
        <v/>
      </c>
      <c r="AM148" s="94">
        <f>IF(I148="","",TODAY()-I148)</f>
        <v/>
      </c>
      <c r="AN148" s="94">
        <f>IF(A148="","",IF(AND(E148&lt;&gt;"33 確認済",E148&lt;&gt;"36 送付中"),1,0))</f>
        <v/>
      </c>
      <c r="AO148" s="94">
        <f>IF(A148="","",IF(AG148&lt;&gt;"",1,0))</f>
        <v/>
      </c>
      <c r="AP148" s="220">
        <f>IF(P148&lt;&gt;"","・添待ち","")&amp;IF(Q148&lt;&gt;"","・住民票","")&amp;IF(R148&lt;&gt;"","・発信","")&amp;IF(S148&lt;&gt;"","・確認事項","")&amp;IF(T148&lt;&gt;"","・管","")&amp;IF(U148&lt;&gt;"","・SV","")&amp;IF(V148&lt;&gt;"","・データ送付待ち","")&amp;IF(W148&lt;&gt;"","・削除","")</f>
        <v/>
      </c>
    </row>
    <row r="149" ht="15" customHeight="1" s="87">
      <c r="A149" s="90" t="n">
        <v>202660001260</v>
      </c>
      <c r="B149" s="90" t="n"/>
      <c r="C149" s="90" t="n"/>
      <c r="D149" s="90" t="n">
        <v>31</v>
      </c>
      <c r="E149" s="90" t="inlineStr">
        <is>
          <t>31 ＯＰ確認中</t>
        </is>
      </c>
      <c r="F149" s="90" t="n"/>
      <c r="G149" s="90" t="n"/>
      <c r="H149" s="91" t="n">
        <v>46254</v>
      </c>
      <c r="I149" s="92" t="n">
        <v>46255</v>
      </c>
      <c r="J149" s="91" t="n">
        <v>46265</v>
      </c>
      <c r="K149" s="91" t="n">
        <v>46280</v>
      </c>
      <c r="L149" s="90" t="n"/>
      <c r="M149" s="90" t="n"/>
      <c r="N149" s="90" t="n"/>
      <c r="O149" s="90" t="inlineStr">
        <is>
          <t>22 担当者変更</t>
        </is>
      </c>
      <c r="P149" s="90" t="n"/>
      <c r="Q149" s="90" t="n"/>
      <c r="R149" s="90" t="n"/>
      <c r="S149" s="90" t="n"/>
      <c r="T149" s="90" t="n"/>
      <c r="U149" s="90" t="n"/>
      <c r="V149" s="90" t="n"/>
      <c r="W149" s="90" t="n"/>
      <c r="X149" s="90" t="n"/>
      <c r="Y149" s="90" t="n"/>
      <c r="Z149" s="90" t="n"/>
      <c r="AA149" s="90" t="n"/>
      <c r="AB149" s="90" t="n">
        <v>50</v>
      </c>
      <c r="AC149" s="90" t="n">
        <v>0</v>
      </c>
      <c r="AD149" s="93" t="inlineStr">
        <is>
          <t>減</t>
        </is>
      </c>
      <c r="AE149" s="90" t="inlineStr">
        <is>
          <t>50 扶養者の変更</t>
        </is>
      </c>
      <c r="AF149" s="93" t="inlineStr">
        <is>
          <t>減</t>
        </is>
      </c>
      <c r="AG149" s="93" t="inlineStr">
        <is>
          <t>減</t>
        </is>
      </c>
      <c r="AH149" s="93" t="inlineStr">
        <is>
          <t>減</t>
        </is>
      </c>
      <c r="AI149" s="90" t="n"/>
      <c r="AJ149" s="90" t="n"/>
      <c r="AK149" s="90" t="n"/>
      <c r="AL149" s="94">
        <f>IF(A149="","",IF(COUNTIF(A149:A$2001,A149)=1,1,0))</f>
        <v/>
      </c>
      <c r="AM149" s="94">
        <f>IF(I149="","",TODAY()-I149)</f>
        <v/>
      </c>
      <c r="AN149" s="94">
        <f>IF(A149="","",IF(AND(E149&lt;&gt;"33 確認済",E149&lt;&gt;"36 送付中"),1,0))</f>
        <v/>
      </c>
      <c r="AO149" s="94">
        <f>IF(A149="","",IF(AG149&lt;&gt;"",1,0))</f>
        <v/>
      </c>
      <c r="AP149" s="220">
        <f>IF(P149&lt;&gt;"","・添待ち","")&amp;IF(Q149&lt;&gt;"","・住民票","")&amp;IF(R149&lt;&gt;"","・発信","")&amp;IF(S149&lt;&gt;"","・確認事項","")&amp;IF(T149&lt;&gt;"","・管","")&amp;IF(U149&lt;&gt;"","・SV","")&amp;IF(V149&lt;&gt;"","・データ送付待ち","")&amp;IF(W149&lt;&gt;"","・削除","")</f>
        <v/>
      </c>
    </row>
    <row r="150" ht="15" customHeight="1" s="87">
      <c r="A150" s="90" t="n">
        <v>202660001262</v>
      </c>
      <c r="B150" s="90" t="n"/>
      <c r="C150" s="90" t="n"/>
      <c r="D150" s="90" t="n">
        <v>32</v>
      </c>
      <c r="E150" s="90" t="inlineStr">
        <is>
          <t>32 ＳＶ確認中</t>
        </is>
      </c>
      <c r="F150" s="90" t="n"/>
      <c r="G150" s="90" t="n"/>
      <c r="H150" s="91" t="n">
        <v>46272</v>
      </c>
      <c r="I150" s="92" t="n">
        <v>46272</v>
      </c>
      <c r="J150" s="91" t="n">
        <v>46280</v>
      </c>
      <c r="K150" s="91" t="n">
        <v>46280</v>
      </c>
      <c r="L150" s="90" t="n"/>
      <c r="M150" s="90" t="n"/>
      <c r="N150" s="90" t="n"/>
      <c r="O150" s="90" t="inlineStr">
        <is>
          <t>31 差戻し</t>
        </is>
      </c>
      <c r="P150" s="90" t="n"/>
      <c r="Q150" s="90" t="n"/>
      <c r="R150" s="90" t="n"/>
      <c r="S150" s="90" t="n"/>
      <c r="T150" s="90" t="n"/>
      <c r="U150" s="90" t="n"/>
      <c r="V150" s="90" t="n"/>
      <c r="W150" s="90" t="n"/>
      <c r="X150" s="90" t="n"/>
      <c r="Y150" s="90" t="n"/>
      <c r="Z150" s="90" t="n"/>
      <c r="AA150" s="90" t="n"/>
      <c r="AB150" s="90" t="n">
        <v>26</v>
      </c>
      <c r="AC150" s="90" t="n">
        <v>1</v>
      </c>
      <c r="AD150" s="93" t="inlineStr">
        <is>
          <t>増</t>
        </is>
      </c>
      <c r="AE150" s="90" t="inlineStr">
        <is>
          <t>26 扶養者の変更</t>
        </is>
      </c>
      <c r="AF150" s="93" t="inlineStr">
        <is>
          <t>増</t>
        </is>
      </c>
      <c r="AG150" s="93" t="inlineStr">
        <is>
          <t>増</t>
        </is>
      </c>
      <c r="AH150" s="90" t="n"/>
      <c r="AI150" s="90" t="n"/>
      <c r="AJ150" s="90" t="n"/>
      <c r="AK150" s="90" t="n"/>
      <c r="AL150" s="94">
        <f>IF(A150="","",IF(COUNTIF(A150:A$2001,A150)=1,1,0))</f>
        <v/>
      </c>
      <c r="AM150" s="94">
        <f>IF(I150="","",TODAY()-I150)</f>
        <v/>
      </c>
      <c r="AN150" s="94">
        <f>IF(A150="","",IF(AND(E150&lt;&gt;"33 確認済",E150&lt;&gt;"36 送付中"),1,0))</f>
        <v/>
      </c>
      <c r="AO150" s="94">
        <f>IF(A150="","",IF(AG150&lt;&gt;"",1,0))</f>
        <v/>
      </c>
      <c r="AP150" s="220">
        <f>IF(P150&lt;&gt;"","・添待ち","")&amp;IF(Q150&lt;&gt;"","・住民票","")&amp;IF(R150&lt;&gt;"","・発信","")&amp;IF(S150&lt;&gt;"","・確認事項","")&amp;IF(T150&lt;&gt;"","・管","")&amp;IF(U150&lt;&gt;"","・SV","")&amp;IF(V150&lt;&gt;"","・データ送付待ち","")&amp;IF(W150&lt;&gt;"","・削除","")</f>
        <v/>
      </c>
    </row>
    <row r="151" ht="15" customHeight="1" s="87">
      <c r="A151" s="90" t="n">
        <v>202660001265</v>
      </c>
      <c r="B151" s="90" t="n"/>
      <c r="C151" s="90" t="n"/>
      <c r="D151" s="90" t="n">
        <v>31</v>
      </c>
      <c r="E151" s="90" t="inlineStr">
        <is>
          <t>31 ＯＰ確認中</t>
        </is>
      </c>
      <c r="F151" s="90" t="n"/>
      <c r="G151" s="90" t="n"/>
      <c r="H151" s="91" t="n">
        <v>46197</v>
      </c>
      <c r="I151" s="92" t="n">
        <v>46237</v>
      </c>
      <c r="J151" s="91" t="n">
        <v>46280</v>
      </c>
      <c r="K151" s="91" t="n">
        <v>46280</v>
      </c>
      <c r="L151" s="90" t="n"/>
      <c r="M151" s="90" t="n"/>
      <c r="N151" s="90" t="n"/>
      <c r="O151" s="90" t="inlineStr">
        <is>
          <t>22 担当者変更</t>
        </is>
      </c>
      <c r="P151" s="90" t="n"/>
      <c r="Q151" s="90" t="n"/>
      <c r="R151" s="90" t="n"/>
      <c r="S151" s="90" t="n"/>
      <c r="T151" s="90" t="n"/>
      <c r="U151" s="90" t="n"/>
      <c r="V151" s="90" t="n"/>
      <c r="W151" s="90" t="n"/>
      <c r="X151" s="90" t="n"/>
      <c r="Y151" s="90" t="n"/>
      <c r="Z151" s="90" t="n"/>
      <c r="AA151" s="90" t="n"/>
      <c r="AB151" s="90" t="n">
        <v>51</v>
      </c>
      <c r="AC151" s="90" t="n">
        <v>0</v>
      </c>
      <c r="AD151" s="93" t="inlineStr">
        <is>
          <t>減</t>
        </is>
      </c>
      <c r="AE151" s="90" t="inlineStr">
        <is>
          <t>51 収入限度額以上</t>
        </is>
      </c>
      <c r="AF151" s="93" t="inlineStr">
        <is>
          <t>減</t>
        </is>
      </c>
      <c r="AG151" s="90" t="n"/>
      <c r="AH151" s="90" t="n"/>
      <c r="AI151" s="90" t="n"/>
      <c r="AJ151" s="90" t="n"/>
      <c r="AK151" s="90" t="n"/>
      <c r="AL151" s="94">
        <f>IF(A151="","",IF(COUNTIF(A151:A$2001,A151)=1,1,0))</f>
        <v/>
      </c>
      <c r="AM151" s="94">
        <f>IF(I151="","",TODAY()-I151)</f>
        <v/>
      </c>
      <c r="AN151" s="94">
        <f>IF(A151="","",IF(AND(E151&lt;&gt;"33 確認済",E151&lt;&gt;"36 送付中"),1,0))</f>
        <v/>
      </c>
      <c r="AO151" s="94">
        <f>IF(A151="","",IF(AG151&lt;&gt;"",1,0))</f>
        <v/>
      </c>
      <c r="AP151" s="220">
        <f>IF(P151&lt;&gt;"","・添待ち","")&amp;IF(Q151&lt;&gt;"","・住民票","")&amp;IF(R151&lt;&gt;"","・発信","")&amp;IF(S151&lt;&gt;"","・確認事項","")&amp;IF(T151&lt;&gt;"","・管","")&amp;IF(U151&lt;&gt;"","・SV","")&amp;IF(V151&lt;&gt;"","・データ送付待ち","")&amp;IF(W151&lt;&gt;"","・削除","")</f>
        <v/>
      </c>
    </row>
    <row r="152" ht="15" customHeight="1" s="87">
      <c r="A152" s="90" t="n">
        <v>202660001267</v>
      </c>
      <c r="B152" s="90" t="n"/>
      <c r="C152" s="90" t="n"/>
      <c r="D152" s="90" t="n">
        <v>30</v>
      </c>
      <c r="E152" s="90" t="inlineStr">
        <is>
          <t>30 申請受付</t>
        </is>
      </c>
      <c r="F152" s="90" t="n"/>
      <c r="G152" s="90" t="n"/>
      <c r="H152" s="91" t="n">
        <v>46023</v>
      </c>
      <c r="I152" s="92" t="n">
        <v>46262</v>
      </c>
      <c r="J152" s="91" t="n">
        <v>46265</v>
      </c>
      <c r="K152" s="90" t="n"/>
      <c r="L152" s="90" t="n"/>
      <c r="M152" s="90" t="n"/>
      <c r="N152" s="90" t="n"/>
      <c r="O152" s="90" t="inlineStr">
        <is>
          <t>20 申請受付</t>
        </is>
      </c>
      <c r="P152" s="90" t="n"/>
      <c r="Q152" s="90" t="n"/>
      <c r="R152" s="90" t="n"/>
      <c r="S152" s="90" t="n"/>
      <c r="T152" s="90" t="n"/>
      <c r="U152" s="90" t="n"/>
      <c r="V152" s="90" t="n"/>
      <c r="W152" s="90" t="n"/>
      <c r="X152" s="90" t="n"/>
      <c r="Y152" s="90" t="n"/>
      <c r="Z152" s="90" t="n"/>
      <c r="AA152" s="90" t="n"/>
      <c r="AB152" s="90" t="n">
        <v>51</v>
      </c>
      <c r="AC152" s="90" t="n">
        <v>0</v>
      </c>
      <c r="AD152" s="93" t="inlineStr">
        <is>
          <t>減</t>
        </is>
      </c>
      <c r="AE152" s="90" t="inlineStr">
        <is>
          <t>51 収入限度額以上</t>
        </is>
      </c>
      <c r="AF152" s="90" t="n"/>
      <c r="AG152" s="90" t="n"/>
      <c r="AH152" s="93" t="inlineStr">
        <is>
          <t>減</t>
        </is>
      </c>
      <c r="AI152" s="90" t="n"/>
      <c r="AJ152" s="90" t="n"/>
      <c r="AK152" s="90" t="n"/>
      <c r="AL152" s="94">
        <f>IF(A152="","",IF(COUNTIF(A152:A$2001,A152)=1,1,0))</f>
        <v/>
      </c>
      <c r="AM152" s="94">
        <f>IF(I152="","",TODAY()-I152)</f>
        <v/>
      </c>
      <c r="AN152" s="94">
        <f>IF(A152="","",IF(AND(E152&lt;&gt;"33 確認済",E152&lt;&gt;"36 送付中"),1,0))</f>
        <v/>
      </c>
      <c r="AO152" s="94">
        <f>IF(A152="","",IF(AG152&lt;&gt;"",1,0))</f>
        <v/>
      </c>
      <c r="AP152" s="220">
        <f>IF(P152&lt;&gt;"","・添待ち","")&amp;IF(Q152&lt;&gt;"","・住民票","")&amp;IF(R152&lt;&gt;"","・発信","")&amp;IF(S152&lt;&gt;"","・確認事項","")&amp;IF(T152&lt;&gt;"","・管","")&amp;IF(U152&lt;&gt;"","・SV","")&amp;IF(V152&lt;&gt;"","・データ送付待ち","")&amp;IF(W152&lt;&gt;"","・削除","")</f>
        <v/>
      </c>
    </row>
    <row r="153" ht="15" customHeight="1" s="87">
      <c r="A153" s="90" t="n">
        <v>202660001269</v>
      </c>
      <c r="B153" s="90" t="n"/>
      <c r="C153" s="90" t="n"/>
      <c r="D153" s="90" t="n">
        <v>40</v>
      </c>
      <c r="E153" s="90" t="inlineStr">
        <is>
          <t>40 差戻し</t>
        </is>
      </c>
      <c r="F153" s="90" t="n">
        <v>20</v>
      </c>
      <c r="G153" s="90" t="inlineStr">
        <is>
          <t>20 差戻し</t>
        </is>
      </c>
      <c r="H153" s="91" t="n">
        <v>46251</v>
      </c>
      <c r="I153" s="92" t="n">
        <v>46273</v>
      </c>
      <c r="J153" s="91" t="n">
        <v>46274</v>
      </c>
      <c r="K153" s="91" t="n">
        <v>46274</v>
      </c>
      <c r="L153" s="90" t="n"/>
      <c r="M153" s="90" t="n"/>
      <c r="N153" s="90" t="n"/>
      <c r="O153" s="90" t="inlineStr">
        <is>
          <t>57 削除待ち登録</t>
        </is>
      </c>
      <c r="P153" s="90" t="n"/>
      <c r="Q153" s="90" t="n"/>
      <c r="R153" s="90" t="n"/>
      <c r="S153" s="90" t="n"/>
      <c r="T153" s="90" t="n"/>
      <c r="U153" s="90" t="n"/>
      <c r="V153" s="90" t="n"/>
      <c r="W153" s="93" t="inlineStr">
        <is>
          <t>削</t>
        </is>
      </c>
      <c r="X153" s="90" t="n"/>
      <c r="Y153" s="90" t="n"/>
      <c r="Z153" s="90" t="n"/>
      <c r="AA153" s="90" t="n"/>
      <c r="AB153" s="90" t="n">
        <v>47</v>
      </c>
      <c r="AC153" s="90" t="n">
        <v>0</v>
      </c>
      <c r="AD153" s="93" t="inlineStr">
        <is>
          <t>減</t>
        </is>
      </c>
      <c r="AE153" s="90" t="inlineStr">
        <is>
          <t>47 扶養親族の就職</t>
        </is>
      </c>
      <c r="AF153" s="93" t="inlineStr">
        <is>
          <t>減</t>
        </is>
      </c>
      <c r="AG153" s="93" t="inlineStr">
        <is>
          <t>減</t>
        </is>
      </c>
      <c r="AH153" s="90" t="n"/>
      <c r="AI153" s="90" t="n"/>
      <c r="AJ153" s="90" t="n"/>
      <c r="AK153" s="90" t="n"/>
      <c r="AL153" s="94">
        <f>IF(A153="","",IF(COUNTIF(A153:A$2001,A153)=1,1,0))</f>
        <v/>
      </c>
      <c r="AM153" s="94">
        <f>IF(I153="","",TODAY()-I153)</f>
        <v/>
      </c>
      <c r="AN153" s="94">
        <f>IF(A153="","",IF(AND(E153&lt;&gt;"33 確認済",E153&lt;&gt;"36 送付中"),1,0))</f>
        <v/>
      </c>
      <c r="AO153" s="94">
        <f>IF(A153="","",IF(AG153&lt;&gt;"",1,0))</f>
        <v/>
      </c>
      <c r="AP153" s="220">
        <f>IF(P153&lt;&gt;"","・添待ち","")&amp;IF(Q153&lt;&gt;"","・住民票","")&amp;IF(R153&lt;&gt;"","・発信","")&amp;IF(S153&lt;&gt;"","・確認事項","")&amp;IF(T153&lt;&gt;"","・管","")&amp;IF(U153&lt;&gt;"","・SV","")&amp;IF(V153&lt;&gt;"","・データ送付待ち","")&amp;IF(W153&lt;&gt;"","・削除","")</f>
        <v/>
      </c>
    </row>
    <row r="154" ht="15" customHeight="1" s="87">
      <c r="A154" s="90" t="n">
        <v>202660001270</v>
      </c>
      <c r="B154" s="90" t="n"/>
      <c r="C154" s="90" t="n"/>
      <c r="D154" s="90" t="n">
        <v>40</v>
      </c>
      <c r="E154" s="90" t="inlineStr">
        <is>
          <t>40 差戻し</t>
        </is>
      </c>
      <c r="F154" s="90" t="n">
        <v>20</v>
      </c>
      <c r="G154" s="90" t="inlineStr">
        <is>
          <t>20 差戻し</t>
        </is>
      </c>
      <c r="H154" s="91" t="n">
        <v>46255</v>
      </c>
      <c r="I154" s="92" t="n">
        <v>46262</v>
      </c>
      <c r="J154" s="91" t="n">
        <v>46269</v>
      </c>
      <c r="K154" s="91" t="n">
        <v>46269</v>
      </c>
      <c r="L154" s="90" t="n"/>
      <c r="M154" s="90" t="n"/>
      <c r="N154" s="90" t="n"/>
      <c r="O154" s="90" t="inlineStr">
        <is>
          <t>55 添付書類待ち登録</t>
        </is>
      </c>
      <c r="P154" s="93" t="inlineStr">
        <is>
          <t>添</t>
        </is>
      </c>
      <c r="Q154" s="90" t="n"/>
      <c r="R154" s="90" t="n"/>
      <c r="S154" s="90" t="n"/>
      <c r="T154" s="90" t="n"/>
      <c r="U154" s="90" t="n"/>
      <c r="V154" s="90" t="n"/>
      <c r="W154" s="90" t="n"/>
      <c r="X154" s="90" t="n"/>
      <c r="Y154" s="90" t="n"/>
      <c r="Z154" s="90" t="n"/>
      <c r="AA154" s="90" t="n"/>
      <c r="AB154" s="90" t="n">
        <v>21</v>
      </c>
      <c r="AC154" s="90" t="n">
        <v>1</v>
      </c>
      <c r="AD154" s="93" t="inlineStr">
        <is>
          <t>増</t>
        </is>
      </c>
      <c r="AE154" s="90" t="inlineStr">
        <is>
          <t>21 出生</t>
        </is>
      </c>
      <c r="AF154" s="93" t="inlineStr">
        <is>
          <t>増</t>
        </is>
      </c>
      <c r="AG154" s="93" t="inlineStr">
        <is>
          <t>増</t>
        </is>
      </c>
      <c r="AH154" s="93" t="inlineStr">
        <is>
          <t>増</t>
        </is>
      </c>
      <c r="AI154" s="90" t="n"/>
      <c r="AJ154" s="90" t="n"/>
      <c r="AK154" s="90" t="n"/>
      <c r="AL154" s="94">
        <f>IF(A154="","",IF(COUNTIF(A154:A$2001,A154)=1,1,0))</f>
        <v/>
      </c>
      <c r="AM154" s="94">
        <f>IF(I154="","",TODAY()-I154)</f>
        <v/>
      </c>
      <c r="AN154" s="94">
        <f>IF(A154="","",IF(AND(E154&lt;&gt;"33 確認済",E154&lt;&gt;"36 送付中"),1,0))</f>
        <v/>
      </c>
      <c r="AO154" s="94">
        <f>IF(A154="","",IF(AG154&lt;&gt;"",1,0))</f>
        <v/>
      </c>
      <c r="AP154" s="220">
        <f>IF(P154&lt;&gt;"","・添待ち","")&amp;IF(Q154&lt;&gt;"","・住民票","")&amp;IF(R154&lt;&gt;"","・発信","")&amp;IF(S154&lt;&gt;"","・確認事項","")&amp;IF(T154&lt;&gt;"","・管","")&amp;IF(U154&lt;&gt;"","・SV","")&amp;IF(V154&lt;&gt;"","・データ送付待ち","")&amp;IF(W154&lt;&gt;"","・削除","")</f>
        <v/>
      </c>
    </row>
    <row r="155" ht="15" customHeight="1" s="87">
      <c r="A155" s="90" t="n">
        <v>202660001271</v>
      </c>
      <c r="B155" s="90" t="n"/>
      <c r="C155" s="90" t="n"/>
      <c r="D155" s="90" t="n">
        <v>40</v>
      </c>
      <c r="E155" s="90" t="inlineStr">
        <is>
          <t>40 差戻し</t>
        </is>
      </c>
      <c r="F155" s="90" t="n">
        <v>20</v>
      </c>
      <c r="G155" s="90" t="inlineStr">
        <is>
          <t>20 差戻し</t>
        </is>
      </c>
      <c r="H155" s="91" t="n">
        <v>46255</v>
      </c>
      <c r="I155" s="92" t="n">
        <v>46262</v>
      </c>
      <c r="J155" s="91" t="n">
        <v>46266</v>
      </c>
      <c r="K155" s="91" t="n">
        <v>46266</v>
      </c>
      <c r="L155" s="90" t="n"/>
      <c r="M155" s="90" t="n"/>
      <c r="N155" s="90" t="n"/>
      <c r="O155" s="90" t="inlineStr">
        <is>
          <t>55 添付書類待ち登録</t>
        </is>
      </c>
      <c r="P155" s="93" t="inlineStr">
        <is>
          <t>添</t>
        </is>
      </c>
      <c r="Q155" s="90" t="n"/>
      <c r="R155" s="90" t="n"/>
      <c r="S155" s="90" t="n"/>
      <c r="T155" s="90" t="n"/>
      <c r="U155" s="90" t="n"/>
      <c r="V155" s="90" t="n"/>
      <c r="W155" s="90" t="n"/>
      <c r="X155" s="90" t="n"/>
      <c r="Y155" s="90" t="n"/>
      <c r="Z155" s="90" t="n"/>
      <c r="AA155" s="90" t="n"/>
      <c r="AB155" s="90" t="n">
        <v>21</v>
      </c>
      <c r="AC155" s="90" t="n">
        <v>1</v>
      </c>
      <c r="AD155" s="93" t="inlineStr">
        <is>
          <t>増</t>
        </is>
      </c>
      <c r="AE155" s="90" t="inlineStr">
        <is>
          <t>21 出生</t>
        </is>
      </c>
      <c r="AF155" s="93" t="inlineStr">
        <is>
          <t>増</t>
        </is>
      </c>
      <c r="AG155" s="93" t="inlineStr">
        <is>
          <t>増</t>
        </is>
      </c>
      <c r="AH155" s="93" t="inlineStr">
        <is>
          <t>増</t>
        </is>
      </c>
      <c r="AI155" s="90" t="n"/>
      <c r="AJ155" s="90" t="n"/>
      <c r="AK155" s="90" t="n"/>
      <c r="AL155" s="94">
        <f>IF(A155="","",IF(COUNTIF(A155:A$2001,A155)=1,1,0))</f>
        <v/>
      </c>
      <c r="AM155" s="94">
        <f>IF(I155="","",TODAY()-I155)</f>
        <v/>
      </c>
      <c r="AN155" s="94">
        <f>IF(A155="","",IF(AND(E155&lt;&gt;"33 確認済",E155&lt;&gt;"36 送付中"),1,0))</f>
        <v/>
      </c>
      <c r="AO155" s="94">
        <f>IF(A155="","",IF(AG155&lt;&gt;"",1,0))</f>
        <v/>
      </c>
      <c r="AP155" s="220">
        <f>IF(P155&lt;&gt;"","・添待ち","")&amp;IF(Q155&lt;&gt;"","・住民票","")&amp;IF(R155&lt;&gt;"","・発信","")&amp;IF(S155&lt;&gt;"","・確認事項","")&amp;IF(T155&lt;&gt;"","・管","")&amp;IF(U155&lt;&gt;"","・SV","")&amp;IF(V155&lt;&gt;"","・データ送付待ち","")&amp;IF(W155&lt;&gt;"","・削除","")</f>
        <v/>
      </c>
    </row>
    <row r="156" ht="15" customHeight="1" s="87">
      <c r="A156" s="90" t="n">
        <v>202660001274</v>
      </c>
      <c r="B156" s="90" t="n"/>
      <c r="C156" s="90" t="n"/>
      <c r="D156" s="90" t="n">
        <v>20</v>
      </c>
      <c r="E156" s="90" t="inlineStr">
        <is>
          <t>20 確認待ち</t>
        </is>
      </c>
      <c r="F156" s="90" t="n"/>
      <c r="G156" s="90" t="n"/>
      <c r="H156" s="91" t="n">
        <v>46204</v>
      </c>
      <c r="I156" s="92" t="n">
        <v>46262</v>
      </c>
      <c r="J156" s="90" t="n"/>
      <c r="K156" s="90" t="n"/>
      <c r="L156" s="90" t="n"/>
      <c r="M156" s="90" t="n"/>
      <c r="N156" s="90" t="n"/>
      <c r="O156" s="90" t="inlineStr">
        <is>
          <t>55 添付書類待ち登録</t>
        </is>
      </c>
      <c r="P156" s="93" t="inlineStr">
        <is>
          <t>添</t>
        </is>
      </c>
      <c r="Q156" s="90" t="n"/>
      <c r="R156" s="90" t="n"/>
      <c r="S156" s="90" t="n"/>
      <c r="T156" s="90" t="n"/>
      <c r="U156" s="90" t="n"/>
      <c r="V156" s="90" t="n"/>
      <c r="W156" s="90" t="n"/>
      <c r="X156" s="90" t="n"/>
      <c r="Y156" s="90" t="n"/>
      <c r="Z156" s="90" t="n"/>
      <c r="AA156" s="90" t="n"/>
      <c r="AB156" s="90" t="n">
        <v>99</v>
      </c>
      <c r="AC156" s="90" t="n">
        <v>0</v>
      </c>
      <c r="AD156" s="93" t="inlineStr">
        <is>
          <t>減</t>
        </is>
      </c>
      <c r="AE156" s="90" t="inlineStr">
        <is>
          <t>99 その他</t>
        </is>
      </c>
      <c r="AF156" s="93" t="inlineStr">
        <is>
          <t>減</t>
        </is>
      </c>
      <c r="AG156" s="93" t="inlineStr">
        <is>
          <t>減</t>
        </is>
      </c>
      <c r="AH156" s="90" t="n"/>
      <c r="AI156" s="90" t="n"/>
      <c r="AJ156" s="90" t="n"/>
      <c r="AK156" s="90" t="n"/>
      <c r="AL156" s="94">
        <f>IF(A156="","",IF(COUNTIF(A156:A$2001,A156)=1,1,0))</f>
        <v/>
      </c>
      <c r="AM156" s="94">
        <f>IF(I156="","",TODAY()-I156)</f>
        <v/>
      </c>
      <c r="AN156" s="94">
        <f>IF(A156="","",IF(AND(E156&lt;&gt;"33 確認済",E156&lt;&gt;"36 送付中"),1,0))</f>
        <v/>
      </c>
      <c r="AO156" s="94">
        <f>IF(A156="","",IF(AG156&lt;&gt;"",1,0))</f>
        <v/>
      </c>
      <c r="AP156" s="220">
        <f>IF(P156&lt;&gt;"","・添待ち","")&amp;IF(Q156&lt;&gt;"","・住民票","")&amp;IF(R156&lt;&gt;"","・発信","")&amp;IF(S156&lt;&gt;"","・確認事項","")&amp;IF(T156&lt;&gt;"","・管","")&amp;IF(U156&lt;&gt;"","・SV","")&amp;IF(V156&lt;&gt;"","・データ送付待ち","")&amp;IF(W156&lt;&gt;"","・削除","")</f>
        <v/>
      </c>
    </row>
    <row r="157" ht="15" customHeight="1" s="87">
      <c r="A157" s="90" t="n">
        <v>202660001278</v>
      </c>
      <c r="B157" s="90" t="n"/>
      <c r="C157" s="90" t="n"/>
      <c r="D157" s="90" t="n">
        <v>40</v>
      </c>
      <c r="E157" s="90" t="inlineStr">
        <is>
          <t>40 差戻し</t>
        </is>
      </c>
      <c r="F157" s="90" t="n">
        <v>20</v>
      </c>
      <c r="G157" s="90" t="inlineStr">
        <is>
          <t>20 差戻し</t>
        </is>
      </c>
      <c r="H157" s="91" t="n">
        <v>46262</v>
      </c>
      <c r="I157" s="92" t="n">
        <v>46265</v>
      </c>
      <c r="J157" s="91" t="n">
        <v>46269</v>
      </c>
      <c r="K157" s="91" t="n">
        <v>46269</v>
      </c>
      <c r="L157" s="90" t="n"/>
      <c r="M157" s="90" t="n"/>
      <c r="N157" s="90" t="n"/>
      <c r="O157" s="90" t="inlineStr">
        <is>
          <t>55 添付書類待ち登録</t>
        </is>
      </c>
      <c r="P157" s="93" t="inlineStr">
        <is>
          <t>添</t>
        </is>
      </c>
      <c r="Q157" s="90" t="n"/>
      <c r="R157" s="90" t="n"/>
      <c r="S157" s="90" t="n"/>
      <c r="T157" s="90" t="n"/>
      <c r="U157" s="90" t="n"/>
      <c r="V157" s="90" t="n"/>
      <c r="W157" s="90" t="n"/>
      <c r="X157" s="90" t="n"/>
      <c r="Y157" s="90" t="n"/>
      <c r="Z157" s="90" t="n"/>
      <c r="AA157" s="90" t="n"/>
      <c r="AB157" s="90" t="n">
        <v>99</v>
      </c>
      <c r="AC157" s="90" t="n">
        <v>0</v>
      </c>
      <c r="AD157" s="93" t="inlineStr">
        <is>
          <t>減</t>
        </is>
      </c>
      <c r="AE157" s="90" t="inlineStr">
        <is>
          <t>99 その他</t>
        </is>
      </c>
      <c r="AF157" s="93" t="inlineStr">
        <is>
          <t>減</t>
        </is>
      </c>
      <c r="AG157" s="90" t="n"/>
      <c r="AH157" s="93" t="inlineStr">
        <is>
          <t>減</t>
        </is>
      </c>
      <c r="AI157" s="90" t="n"/>
      <c r="AJ157" s="90" t="n"/>
      <c r="AK157" s="90" t="n"/>
      <c r="AL157" s="94">
        <f>IF(A157="","",IF(COUNTIF(A157:A$2001,A157)=1,1,0))</f>
        <v/>
      </c>
      <c r="AM157" s="94">
        <f>IF(I157="","",TODAY()-I157)</f>
        <v/>
      </c>
      <c r="AN157" s="94">
        <f>IF(A157="","",IF(AND(E157&lt;&gt;"33 確認済",E157&lt;&gt;"36 送付中"),1,0))</f>
        <v/>
      </c>
      <c r="AO157" s="94">
        <f>IF(A157="","",IF(AG157&lt;&gt;"",1,0))</f>
        <v/>
      </c>
      <c r="AP157" s="220">
        <f>IF(P157&lt;&gt;"","・添待ち","")&amp;IF(Q157&lt;&gt;"","・住民票","")&amp;IF(R157&lt;&gt;"","・発信","")&amp;IF(S157&lt;&gt;"","・確認事項","")&amp;IF(T157&lt;&gt;"","・管","")&amp;IF(U157&lt;&gt;"","・SV","")&amp;IF(V157&lt;&gt;"","・データ送付待ち","")&amp;IF(W157&lt;&gt;"","・削除","")</f>
        <v/>
      </c>
    </row>
    <row r="158" ht="15" customHeight="1" s="87">
      <c r="A158" s="90" t="n">
        <v>202660001281</v>
      </c>
      <c r="B158" s="90" t="n"/>
      <c r="C158" s="90" t="n"/>
      <c r="D158" s="90" t="n">
        <v>31</v>
      </c>
      <c r="E158" s="90" t="inlineStr">
        <is>
          <t>31 ＯＰ確認中</t>
        </is>
      </c>
      <c r="F158" s="90" t="n">
        <v>30</v>
      </c>
      <c r="G158" s="90" t="inlineStr">
        <is>
          <t>30 却下</t>
        </is>
      </c>
      <c r="H158" s="91" t="n">
        <v>46170</v>
      </c>
      <c r="I158" s="92" t="n">
        <v>46265</v>
      </c>
      <c r="J158" s="91" t="n">
        <v>46268</v>
      </c>
      <c r="K158" s="91" t="n">
        <v>46268</v>
      </c>
      <c r="L158" s="90" t="n"/>
      <c r="M158" s="90" t="n"/>
      <c r="N158" s="90" t="n"/>
      <c r="O158" s="90" t="inlineStr">
        <is>
          <t>41 ＳＶ却下</t>
        </is>
      </c>
      <c r="P158" s="90" t="n"/>
      <c r="Q158" s="90" t="n"/>
      <c r="R158" s="90" t="n"/>
      <c r="S158" s="90" t="n"/>
      <c r="T158" s="90" t="n"/>
      <c r="U158" s="90" t="n"/>
      <c r="V158" s="90" t="n"/>
      <c r="W158" s="90" t="n"/>
      <c r="X158" s="90" t="n"/>
      <c r="Y158" s="90" t="n"/>
      <c r="Z158" s="90" t="n"/>
      <c r="AA158" s="90" t="n"/>
      <c r="AB158" s="90" t="n">
        <v>48</v>
      </c>
      <c r="AC158" s="90" t="n">
        <v>0</v>
      </c>
      <c r="AD158" s="93" t="inlineStr">
        <is>
          <t>減</t>
        </is>
      </c>
      <c r="AE158" s="90" t="inlineStr">
        <is>
          <t>48 雇用保険受給開始</t>
        </is>
      </c>
      <c r="AF158" s="93" t="inlineStr">
        <is>
          <t>減</t>
        </is>
      </c>
      <c r="AG158" s="93" t="inlineStr">
        <is>
          <t>減</t>
        </is>
      </c>
      <c r="AH158" s="93" t="inlineStr">
        <is>
          <t>減</t>
        </is>
      </c>
      <c r="AI158" s="90" t="n"/>
      <c r="AJ158" s="90" t="n"/>
      <c r="AK158" s="90" t="n"/>
      <c r="AL158" s="94">
        <f>IF(A158="","",IF(COUNTIF(A158:A$2001,A158)=1,1,0))</f>
        <v/>
      </c>
      <c r="AM158" s="94">
        <f>IF(I158="","",TODAY()-I158)</f>
        <v/>
      </c>
      <c r="AN158" s="94">
        <f>IF(A158="","",IF(AND(E158&lt;&gt;"33 確認済",E158&lt;&gt;"36 送付中"),1,0))</f>
        <v/>
      </c>
      <c r="AO158" s="94">
        <f>IF(A158="","",IF(AG158&lt;&gt;"",1,0))</f>
        <v/>
      </c>
      <c r="AP158" s="220">
        <f>IF(P158&lt;&gt;"","・添待ち","")&amp;IF(Q158&lt;&gt;"","・住民票","")&amp;IF(R158&lt;&gt;"","・発信","")&amp;IF(S158&lt;&gt;"","・確認事項","")&amp;IF(T158&lt;&gt;"","・管","")&amp;IF(U158&lt;&gt;"","・SV","")&amp;IF(V158&lt;&gt;"","・データ送付待ち","")&amp;IF(W158&lt;&gt;"","・削除","")</f>
        <v/>
      </c>
    </row>
    <row r="159" ht="15" customHeight="1" s="87">
      <c r="A159" s="90" t="n">
        <v>202660001282</v>
      </c>
      <c r="B159" s="90" t="n"/>
      <c r="C159" s="90" t="n"/>
      <c r="D159" s="90" t="n">
        <v>36</v>
      </c>
      <c r="E159" s="90" t="inlineStr">
        <is>
          <t>36 送付中</t>
        </is>
      </c>
      <c r="F159" s="90" t="n"/>
      <c r="G159" s="90" t="n"/>
      <c r="H159" s="91" t="n">
        <v>46261</v>
      </c>
      <c r="I159" s="92" t="n">
        <v>46265</v>
      </c>
      <c r="J159" s="91" t="n">
        <v>46279</v>
      </c>
      <c r="K159" s="91" t="n">
        <v>46279</v>
      </c>
      <c r="L159" s="91" t="n">
        <v>46289</v>
      </c>
      <c r="M159" s="91" t="n">
        <v>46289</v>
      </c>
      <c r="N159" s="90" t="n"/>
      <c r="O159" s="90" t="inlineStr">
        <is>
          <t>70 申請データ出力</t>
        </is>
      </c>
      <c r="P159" s="90" t="n"/>
      <c r="Q159" s="90" t="n"/>
      <c r="R159" s="90" t="n"/>
      <c r="S159" s="90" t="n"/>
      <c r="T159" s="90" t="n"/>
      <c r="U159" s="90" t="n"/>
      <c r="V159" s="90" t="n"/>
      <c r="W159" s="90" t="n"/>
      <c r="X159" s="90" t="n"/>
      <c r="Y159" s="90" t="n"/>
      <c r="Z159" s="90" t="n"/>
      <c r="AA159" s="90" t="n"/>
      <c r="AB159" s="90" t="n">
        <v>21</v>
      </c>
      <c r="AC159" s="90" t="n">
        <v>1</v>
      </c>
      <c r="AD159" s="93" t="inlineStr">
        <is>
          <t>増</t>
        </is>
      </c>
      <c r="AE159" s="90" t="inlineStr">
        <is>
          <t>21 出生</t>
        </is>
      </c>
      <c r="AF159" s="93" t="inlineStr">
        <is>
          <t>増</t>
        </is>
      </c>
      <c r="AG159" s="93" t="inlineStr">
        <is>
          <t>増</t>
        </is>
      </c>
      <c r="AH159" s="93" t="inlineStr">
        <is>
          <t>増</t>
        </is>
      </c>
      <c r="AI159" s="90" t="n"/>
      <c r="AJ159" s="90" t="n"/>
      <c r="AK159" s="90" t="n"/>
      <c r="AL159" s="94">
        <f>IF(A159="","",IF(COUNTIF(A159:A$2001,A159)=1,1,0))</f>
        <v/>
      </c>
      <c r="AM159" s="94">
        <f>IF(I159="","",TODAY()-I159)</f>
        <v/>
      </c>
      <c r="AN159" s="94">
        <f>IF(A159="","",IF(AND(E159&lt;&gt;"33 確認済",E159&lt;&gt;"36 送付中"),1,0))</f>
        <v/>
      </c>
      <c r="AO159" s="94">
        <f>IF(A159="","",IF(AG159&lt;&gt;"",1,0))</f>
        <v/>
      </c>
      <c r="AP159" s="220">
        <f>IF(P159&lt;&gt;"","・添待ち","")&amp;IF(Q159&lt;&gt;"","・住民票","")&amp;IF(R159&lt;&gt;"","・発信","")&amp;IF(S159&lt;&gt;"","・確認事項","")&amp;IF(T159&lt;&gt;"","・管","")&amp;IF(U159&lt;&gt;"","・SV","")&amp;IF(V159&lt;&gt;"","・データ送付待ち","")&amp;IF(W159&lt;&gt;"","・削除","")</f>
        <v/>
      </c>
    </row>
    <row r="160" ht="15" customHeight="1" s="87">
      <c r="A160" s="90" t="n">
        <v>202660001290</v>
      </c>
      <c r="B160" s="90" t="n"/>
      <c r="C160" s="90" t="n"/>
      <c r="D160" s="90" t="n">
        <v>40</v>
      </c>
      <c r="E160" s="90" t="inlineStr">
        <is>
          <t>40 差戻し</t>
        </is>
      </c>
      <c r="F160" s="90" t="n">
        <v>20</v>
      </c>
      <c r="G160" s="90" t="inlineStr">
        <is>
          <t>20 差戻し</t>
        </is>
      </c>
      <c r="H160" s="90" t="n"/>
      <c r="I160" s="92" t="n">
        <v>46266</v>
      </c>
      <c r="J160" s="91" t="n">
        <v>46269</v>
      </c>
      <c r="K160" s="91" t="n">
        <v>46269</v>
      </c>
      <c r="L160" s="90" t="n"/>
      <c r="M160" s="90" t="n"/>
      <c r="N160" s="90" t="n"/>
      <c r="O160" s="90" t="inlineStr">
        <is>
          <t>55 添付書類待ち登録</t>
        </is>
      </c>
      <c r="P160" s="93" t="inlineStr">
        <is>
          <t>添</t>
        </is>
      </c>
      <c r="Q160" s="90" t="n"/>
      <c r="R160" s="90" t="n"/>
      <c r="S160" s="90" t="n"/>
      <c r="T160" s="90" t="n"/>
      <c r="U160" s="90" t="n"/>
      <c r="V160" s="90" t="n"/>
      <c r="W160" s="90" t="n"/>
      <c r="X160" s="90" t="n"/>
      <c r="Y160" s="90" t="n"/>
      <c r="Z160" s="90" t="n"/>
      <c r="AA160" s="90" t="n"/>
      <c r="AB160" s="90" t="n"/>
      <c r="AC160" s="90" t="n"/>
      <c r="AD160" s="93" t="inlineStr">
        <is>
          <t>減</t>
        </is>
      </c>
      <c r="AE160" s="90" t="n"/>
      <c r="AF160" s="90" t="n"/>
      <c r="AG160" s="90" t="n"/>
      <c r="AH160" s="90" t="n"/>
      <c r="AI160" s="90" t="n"/>
      <c r="AJ160" s="93" t="inlineStr">
        <is>
          <t>一時保存</t>
        </is>
      </c>
      <c r="AK160" s="90" t="n"/>
      <c r="AL160" s="94">
        <f>IF(A160="","",IF(COUNTIF(A160:A$2001,A160)=1,1,0))</f>
        <v/>
      </c>
      <c r="AM160" s="94">
        <f>IF(I160="","",TODAY()-I160)</f>
        <v/>
      </c>
      <c r="AN160" s="94">
        <f>IF(A160="","",IF(AND(E160&lt;&gt;"33 確認済",E160&lt;&gt;"36 送付中"),1,0))</f>
        <v/>
      </c>
      <c r="AO160" s="94">
        <f>IF(A160="","",IF(AG160&lt;&gt;"",1,0))</f>
        <v/>
      </c>
      <c r="AP160" s="220">
        <f>IF(P160&lt;&gt;"","・添待ち","")&amp;IF(Q160&lt;&gt;"","・住民票","")&amp;IF(R160&lt;&gt;"","・発信","")&amp;IF(S160&lt;&gt;"","・確認事項","")&amp;IF(T160&lt;&gt;"","・管","")&amp;IF(U160&lt;&gt;"","・SV","")&amp;IF(V160&lt;&gt;"","・データ送付待ち","")&amp;IF(W160&lt;&gt;"","・削除","")</f>
        <v/>
      </c>
    </row>
    <row r="161" ht="15" customHeight="1" s="87">
      <c r="A161" s="90" t="n">
        <v>202660001292</v>
      </c>
      <c r="B161" s="90" t="n"/>
      <c r="C161" s="90" t="n"/>
      <c r="D161" s="90" t="n">
        <v>30</v>
      </c>
      <c r="E161" s="90" t="inlineStr">
        <is>
          <t>30 申請受付</t>
        </is>
      </c>
      <c r="F161" s="90" t="n"/>
      <c r="G161" s="90" t="n"/>
      <c r="H161" s="91" t="n">
        <v>46265</v>
      </c>
      <c r="I161" s="92" t="n">
        <v>46265</v>
      </c>
      <c r="J161" s="91" t="n">
        <v>46269</v>
      </c>
      <c r="K161" s="90" t="n"/>
      <c r="L161" s="90" t="n"/>
      <c r="M161" s="90" t="n"/>
      <c r="N161" s="90" t="n"/>
      <c r="O161" s="90" t="inlineStr">
        <is>
          <t>20 申請受付</t>
        </is>
      </c>
      <c r="P161" s="90" t="n"/>
      <c r="Q161" s="90" t="n"/>
      <c r="R161" s="90" t="n"/>
      <c r="S161" s="90" t="n"/>
      <c r="T161" s="90" t="n"/>
      <c r="U161" s="90" t="n"/>
      <c r="V161" s="90" t="n"/>
      <c r="W161" s="90" t="n"/>
      <c r="X161" s="90" t="n"/>
      <c r="Y161" s="90" t="n"/>
      <c r="Z161" s="90" t="n"/>
      <c r="AA161" s="90" t="n"/>
      <c r="AB161" s="90" t="n">
        <v>50</v>
      </c>
      <c r="AC161" s="90" t="n">
        <v>0</v>
      </c>
      <c r="AD161" s="93" t="inlineStr">
        <is>
          <t>減</t>
        </is>
      </c>
      <c r="AE161" s="90" t="inlineStr">
        <is>
          <t>50 扶養者の変更</t>
        </is>
      </c>
      <c r="AF161" s="93" t="inlineStr">
        <is>
          <t>減</t>
        </is>
      </c>
      <c r="AG161" s="93" t="inlineStr">
        <is>
          <t>減</t>
        </is>
      </c>
      <c r="AH161" s="90" t="n"/>
      <c r="AI161" s="90" t="n"/>
      <c r="AJ161" s="90" t="n"/>
      <c r="AK161" s="90" t="n"/>
      <c r="AL161" s="94">
        <f>IF(A161="","",IF(COUNTIF(A161:A$2001,A161)=1,1,0))</f>
        <v/>
      </c>
      <c r="AM161" s="94">
        <f>IF(I161="","",TODAY()-I161)</f>
        <v/>
      </c>
      <c r="AN161" s="94">
        <f>IF(A161="","",IF(AND(E161&lt;&gt;"33 確認済",E161&lt;&gt;"36 送付中"),1,0))</f>
        <v/>
      </c>
      <c r="AO161" s="94">
        <f>IF(A161="","",IF(AG161&lt;&gt;"",1,0))</f>
        <v/>
      </c>
      <c r="AP161" s="220">
        <f>IF(P161&lt;&gt;"","・添待ち","")&amp;IF(Q161&lt;&gt;"","・住民票","")&amp;IF(R161&lt;&gt;"","・発信","")&amp;IF(S161&lt;&gt;"","・確認事項","")&amp;IF(T161&lt;&gt;"","・管","")&amp;IF(U161&lt;&gt;"","・SV","")&amp;IF(V161&lt;&gt;"","・データ送付待ち","")&amp;IF(W161&lt;&gt;"","・削除","")</f>
        <v/>
      </c>
    </row>
    <row r="162" ht="15" customHeight="1" s="87">
      <c r="A162" s="90" t="n">
        <v>202660001296</v>
      </c>
      <c r="B162" s="90" t="n"/>
      <c r="C162" s="90" t="n"/>
      <c r="D162" s="90" t="n">
        <v>40</v>
      </c>
      <c r="E162" s="90" t="inlineStr">
        <is>
          <t>40 差戻し</t>
        </is>
      </c>
      <c r="F162" s="90" t="n">
        <v>20</v>
      </c>
      <c r="G162" s="90" t="inlineStr">
        <is>
          <t>20 差戻し</t>
        </is>
      </c>
      <c r="H162" s="90" t="n"/>
      <c r="I162" s="92" t="n">
        <v>46266</v>
      </c>
      <c r="J162" s="91" t="n">
        <v>46272</v>
      </c>
      <c r="K162" s="91" t="n">
        <v>46272</v>
      </c>
      <c r="L162" s="90" t="n"/>
      <c r="M162" s="90" t="n"/>
      <c r="N162" s="90" t="n"/>
      <c r="O162" s="90" t="inlineStr">
        <is>
          <t>55 添付書類待ち登録</t>
        </is>
      </c>
      <c r="P162" s="93" t="inlineStr">
        <is>
          <t>添</t>
        </is>
      </c>
      <c r="Q162" s="90" t="n"/>
      <c r="R162" s="90" t="n"/>
      <c r="S162" s="90" t="n"/>
      <c r="T162" s="90" t="n"/>
      <c r="U162" s="90" t="n"/>
      <c r="V162" s="90" t="n"/>
      <c r="W162" s="90" t="n"/>
      <c r="X162" s="90" t="n"/>
      <c r="Y162" s="90" t="n"/>
      <c r="Z162" s="90" t="n"/>
      <c r="AA162" s="90" t="n"/>
      <c r="AB162" s="90" t="n"/>
      <c r="AC162" s="90" t="n"/>
      <c r="AD162" s="93" t="inlineStr">
        <is>
          <t>減</t>
        </is>
      </c>
      <c r="AE162" s="90" t="n"/>
      <c r="AF162" s="90" t="n"/>
      <c r="AG162" s="90" t="n"/>
      <c r="AH162" s="90" t="n"/>
      <c r="AI162" s="90" t="n"/>
      <c r="AJ162" s="93" t="inlineStr">
        <is>
          <t>一時保存</t>
        </is>
      </c>
      <c r="AK162" s="90" t="n"/>
      <c r="AL162" s="94">
        <f>IF(A162="","",IF(COUNTIF(A162:A$2001,A162)=1,1,0))</f>
        <v/>
      </c>
      <c r="AM162" s="94">
        <f>IF(I162="","",TODAY()-I162)</f>
        <v/>
      </c>
      <c r="AN162" s="94">
        <f>IF(A162="","",IF(AND(E162&lt;&gt;"33 確認済",E162&lt;&gt;"36 送付中"),1,0))</f>
        <v/>
      </c>
      <c r="AO162" s="94">
        <f>IF(A162="","",IF(AG162&lt;&gt;"",1,0))</f>
        <v/>
      </c>
      <c r="AP162" s="220">
        <f>IF(P162&lt;&gt;"","・添待ち","")&amp;IF(Q162&lt;&gt;"","・住民票","")&amp;IF(R162&lt;&gt;"","・発信","")&amp;IF(S162&lt;&gt;"","・確認事項","")&amp;IF(T162&lt;&gt;"","・管","")&amp;IF(U162&lt;&gt;"","・SV","")&amp;IF(V162&lt;&gt;"","・データ送付待ち","")&amp;IF(W162&lt;&gt;"","・削除","")</f>
        <v/>
      </c>
    </row>
    <row r="163" ht="15" customHeight="1" s="87">
      <c r="A163" s="90" t="n">
        <v>202660001298</v>
      </c>
      <c r="B163" s="90" t="n"/>
      <c r="C163" s="90" t="n"/>
      <c r="D163" s="90" t="n">
        <v>40</v>
      </c>
      <c r="E163" s="90" t="inlineStr">
        <is>
          <t>40 差戻し</t>
        </is>
      </c>
      <c r="F163" s="90" t="n">
        <v>20</v>
      </c>
      <c r="G163" s="90" t="inlineStr">
        <is>
          <t>20 差戻し</t>
        </is>
      </c>
      <c r="H163" s="91" t="n">
        <v>46263</v>
      </c>
      <c r="I163" s="92" t="n">
        <v>46267</v>
      </c>
      <c r="J163" s="91" t="n">
        <v>46269</v>
      </c>
      <c r="K163" s="91" t="n">
        <v>46269</v>
      </c>
      <c r="L163" s="90" t="n"/>
      <c r="M163" s="90" t="n"/>
      <c r="N163" s="90" t="n"/>
      <c r="O163" s="90" t="inlineStr">
        <is>
          <t>55 添付書類待ち登録</t>
        </is>
      </c>
      <c r="P163" s="93" t="inlineStr">
        <is>
          <t>添</t>
        </is>
      </c>
      <c r="Q163" s="90" t="n"/>
      <c r="R163" s="90" t="n"/>
      <c r="S163" s="90" t="n"/>
      <c r="T163" s="90" t="n"/>
      <c r="U163" s="90" t="n"/>
      <c r="V163" s="90" t="n"/>
      <c r="W163" s="90" t="n"/>
      <c r="X163" s="90" t="n"/>
      <c r="Y163" s="90" t="n"/>
      <c r="Z163" s="90" t="n"/>
      <c r="AA163" s="90" t="n"/>
      <c r="AB163" s="90" t="n">
        <v>26</v>
      </c>
      <c r="AC163" s="90" t="n">
        <v>1</v>
      </c>
      <c r="AD163" s="93" t="inlineStr">
        <is>
          <t>増</t>
        </is>
      </c>
      <c r="AE163" s="90" t="inlineStr">
        <is>
          <t>26 扶養者の変更</t>
        </is>
      </c>
      <c r="AF163" s="93" t="inlineStr">
        <is>
          <t>増</t>
        </is>
      </c>
      <c r="AG163" s="93" t="inlineStr">
        <is>
          <t>増</t>
        </is>
      </c>
      <c r="AH163" s="93" t="inlineStr">
        <is>
          <t>増</t>
        </is>
      </c>
      <c r="AI163" s="90" t="n"/>
      <c r="AJ163" s="90" t="n"/>
      <c r="AK163" s="90" t="n"/>
      <c r="AL163" s="94">
        <f>IF(A163="","",IF(COUNTIF(A163:A$2001,A163)=1,1,0))</f>
        <v/>
      </c>
      <c r="AM163" s="94">
        <f>IF(I163="","",TODAY()-I163)</f>
        <v/>
      </c>
      <c r="AN163" s="94">
        <f>IF(A163="","",IF(AND(E163&lt;&gt;"33 確認済",E163&lt;&gt;"36 送付中"),1,0))</f>
        <v/>
      </c>
      <c r="AO163" s="94">
        <f>IF(A163="","",IF(AG163&lt;&gt;"",1,0))</f>
        <v/>
      </c>
      <c r="AP163" s="220">
        <f>IF(P163&lt;&gt;"","・添待ち","")&amp;IF(Q163&lt;&gt;"","・住民票","")&amp;IF(R163&lt;&gt;"","・発信","")&amp;IF(S163&lt;&gt;"","・確認事項","")&amp;IF(T163&lt;&gt;"","・管","")&amp;IF(U163&lt;&gt;"","・SV","")&amp;IF(V163&lt;&gt;"","・データ送付待ち","")&amp;IF(W163&lt;&gt;"","・削除","")</f>
        <v/>
      </c>
    </row>
    <row r="164" ht="15" customHeight="1" s="87">
      <c r="A164" s="90" t="n">
        <v>202660001300</v>
      </c>
      <c r="B164" s="90" t="n"/>
      <c r="C164" s="90" t="n"/>
      <c r="D164" s="90" t="n">
        <v>20</v>
      </c>
      <c r="E164" s="90" t="inlineStr">
        <is>
          <t>20 確認待ち</t>
        </is>
      </c>
      <c r="F164" s="90" t="n">
        <v>20</v>
      </c>
      <c r="G164" s="90" t="inlineStr">
        <is>
          <t>20 差戻し</t>
        </is>
      </c>
      <c r="H164" s="91" t="n">
        <v>46262</v>
      </c>
      <c r="I164" s="92" t="n">
        <v>46267</v>
      </c>
      <c r="J164" s="91" t="n">
        <v>46268</v>
      </c>
      <c r="K164" s="91" t="n">
        <v>46272</v>
      </c>
      <c r="L164" s="90" t="n"/>
      <c r="M164" s="90" t="n"/>
      <c r="N164" s="90" t="n"/>
      <c r="O164" s="90" t="inlineStr">
        <is>
          <t>11 差戻し申請</t>
        </is>
      </c>
      <c r="P164" s="90" t="n"/>
      <c r="Q164" s="90" t="n"/>
      <c r="R164" s="90" t="n"/>
      <c r="S164" s="90" t="n"/>
      <c r="T164" s="90" t="n"/>
      <c r="U164" s="90" t="n"/>
      <c r="V164" s="90" t="n"/>
      <c r="W164" s="90" t="n"/>
      <c r="X164" s="90" t="n"/>
      <c r="Y164" s="90" t="n"/>
      <c r="Z164" s="90" t="n"/>
      <c r="AA164" s="90" t="n"/>
      <c r="AB164" s="90" t="n">
        <v>50</v>
      </c>
      <c r="AC164" s="90" t="n">
        <v>0</v>
      </c>
      <c r="AD164" s="93" t="inlineStr">
        <is>
          <t>減</t>
        </is>
      </c>
      <c r="AE164" s="90" t="inlineStr">
        <is>
          <t>50 扶養者の変更</t>
        </is>
      </c>
      <c r="AF164" s="93" t="inlineStr">
        <is>
          <t>減</t>
        </is>
      </c>
      <c r="AG164" s="93" t="inlineStr">
        <is>
          <t>減</t>
        </is>
      </c>
      <c r="AH164" s="93" t="inlineStr">
        <is>
          <t>減</t>
        </is>
      </c>
      <c r="AI164" s="90" t="n"/>
      <c r="AJ164" s="90" t="n"/>
      <c r="AK164" s="90" t="n"/>
      <c r="AL164" s="94">
        <f>IF(A164="","",IF(COUNTIF(A164:A$2001,A164)=1,1,0))</f>
        <v/>
      </c>
      <c r="AM164" s="94">
        <f>IF(I164="","",TODAY()-I164)</f>
        <v/>
      </c>
      <c r="AN164" s="94">
        <f>IF(A164="","",IF(AND(E164&lt;&gt;"33 確認済",E164&lt;&gt;"36 送付中"),1,0))</f>
        <v/>
      </c>
      <c r="AO164" s="94">
        <f>IF(A164="","",IF(AG164&lt;&gt;"",1,0))</f>
        <v/>
      </c>
      <c r="AP164" s="220">
        <f>IF(P164&lt;&gt;"","・添待ち","")&amp;IF(Q164&lt;&gt;"","・住民票","")&amp;IF(R164&lt;&gt;"","・発信","")&amp;IF(S164&lt;&gt;"","・確認事項","")&amp;IF(T164&lt;&gt;"","・管","")&amp;IF(U164&lt;&gt;"","・SV","")&amp;IF(V164&lt;&gt;"","・データ送付待ち","")&amp;IF(W164&lt;&gt;"","・削除","")</f>
        <v/>
      </c>
    </row>
    <row r="165" ht="15" customHeight="1" s="87">
      <c r="A165" s="90" t="n">
        <v>202660001305</v>
      </c>
      <c r="B165" s="90" t="n"/>
      <c r="C165" s="90" t="n"/>
      <c r="D165" s="90" t="n">
        <v>36</v>
      </c>
      <c r="E165" s="90" t="inlineStr">
        <is>
          <t>36 送付中</t>
        </is>
      </c>
      <c r="F165" s="90" t="n">
        <v>30</v>
      </c>
      <c r="G165" s="90" t="inlineStr">
        <is>
          <t>30 却下</t>
        </is>
      </c>
      <c r="H165" s="91" t="n">
        <v>46265</v>
      </c>
      <c r="I165" s="92" t="n">
        <v>46268</v>
      </c>
      <c r="J165" s="91" t="n">
        <v>46276</v>
      </c>
      <c r="K165" s="91" t="n">
        <v>46276</v>
      </c>
      <c r="L165" s="91" t="n">
        <v>46289</v>
      </c>
      <c r="M165" s="91" t="n">
        <v>46289</v>
      </c>
      <c r="N165" s="90" t="n"/>
      <c r="O165" s="90" t="inlineStr">
        <is>
          <t>70 申請データ出力</t>
        </is>
      </c>
      <c r="P165" s="90" t="n"/>
      <c r="Q165" s="90" t="n"/>
      <c r="R165" s="90" t="n"/>
      <c r="S165" s="90" t="n"/>
      <c r="T165" s="90" t="n"/>
      <c r="U165" s="90" t="n"/>
      <c r="V165" s="90" t="n"/>
      <c r="W165" s="90" t="n"/>
      <c r="X165" s="90" t="n"/>
      <c r="Y165" s="90" t="n"/>
      <c r="Z165" s="90" t="n"/>
      <c r="AA165" s="90" t="n"/>
      <c r="AB165" s="90" t="n">
        <v>21</v>
      </c>
      <c r="AC165" s="90" t="n">
        <v>1</v>
      </c>
      <c r="AD165" s="93" t="inlineStr">
        <is>
          <t>増</t>
        </is>
      </c>
      <c r="AE165" s="90" t="inlineStr">
        <is>
          <t>21 出生</t>
        </is>
      </c>
      <c r="AF165" s="93" t="inlineStr">
        <is>
          <t>増</t>
        </is>
      </c>
      <c r="AG165" s="93" t="inlineStr">
        <is>
          <t>増</t>
        </is>
      </c>
      <c r="AH165" s="93" t="inlineStr">
        <is>
          <t>増</t>
        </is>
      </c>
      <c r="AI165" s="90" t="n"/>
      <c r="AJ165" s="90" t="n"/>
      <c r="AK165" s="90" t="n"/>
      <c r="AL165" s="94">
        <f>IF(A165="","",IF(COUNTIF(A165:A$2001,A165)=1,1,0))</f>
        <v/>
      </c>
      <c r="AM165" s="94">
        <f>IF(I165="","",TODAY()-I165)</f>
        <v/>
      </c>
      <c r="AN165" s="94">
        <f>IF(A165="","",IF(AND(E165&lt;&gt;"33 確認済",E165&lt;&gt;"36 送付中"),1,0))</f>
        <v/>
      </c>
      <c r="AO165" s="94">
        <f>IF(A165="","",IF(AG165&lt;&gt;"",1,0))</f>
        <v/>
      </c>
      <c r="AP165" s="220">
        <f>IF(P165&lt;&gt;"","・添待ち","")&amp;IF(Q165&lt;&gt;"","・住民票","")&amp;IF(R165&lt;&gt;"","・発信","")&amp;IF(S165&lt;&gt;"","・確認事項","")&amp;IF(T165&lt;&gt;"","・管","")&amp;IF(U165&lt;&gt;"","・SV","")&amp;IF(V165&lt;&gt;"","・データ送付待ち","")&amp;IF(W165&lt;&gt;"","・削除","")</f>
        <v/>
      </c>
    </row>
    <row r="166" ht="15" customHeight="1" s="87">
      <c r="A166" s="90" t="n">
        <v>202660001307</v>
      </c>
      <c r="B166" s="90" t="n"/>
      <c r="C166" s="90" t="n"/>
      <c r="D166" s="90" t="n">
        <v>31</v>
      </c>
      <c r="E166" s="90" t="inlineStr">
        <is>
          <t>31 ＯＰ確認中</t>
        </is>
      </c>
      <c r="F166" s="90" t="n"/>
      <c r="G166" s="90" t="n"/>
      <c r="H166" s="91" t="n">
        <v>43963</v>
      </c>
      <c r="I166" s="92" t="n">
        <v>46269</v>
      </c>
      <c r="J166" s="91" t="n">
        <v>46280</v>
      </c>
      <c r="K166" s="91" t="n">
        <v>46280</v>
      </c>
      <c r="L166" s="90" t="n"/>
      <c r="M166" s="90" t="n"/>
      <c r="N166" s="90" t="n"/>
      <c r="O166" s="90" t="inlineStr">
        <is>
          <t>22 担当者変更</t>
        </is>
      </c>
      <c r="P166" s="90" t="n"/>
      <c r="Q166" s="90" t="n"/>
      <c r="R166" s="90" t="n"/>
      <c r="S166" s="90" t="n"/>
      <c r="T166" s="90" t="n"/>
      <c r="U166" s="90" t="n"/>
      <c r="V166" s="90" t="n"/>
      <c r="W166" s="90" t="n"/>
      <c r="X166" s="90" t="n"/>
      <c r="Y166" s="90" t="n"/>
      <c r="Z166" s="90" t="n"/>
      <c r="AA166" s="90" t="n"/>
      <c r="AB166" s="90" t="n">
        <v>21</v>
      </c>
      <c r="AC166" s="90" t="n">
        <v>1</v>
      </c>
      <c r="AD166" s="93" t="inlineStr">
        <is>
          <t>増</t>
        </is>
      </c>
      <c r="AE166" s="90" t="inlineStr">
        <is>
          <t>21 出生</t>
        </is>
      </c>
      <c r="AF166" s="93" t="inlineStr">
        <is>
          <t>増</t>
        </is>
      </c>
      <c r="AG166" s="90" t="n"/>
      <c r="AH166" s="90" t="n"/>
      <c r="AI166" s="90" t="n"/>
      <c r="AJ166" s="90" t="n"/>
      <c r="AK166" s="90" t="n"/>
      <c r="AL166" s="94">
        <f>IF(A166="","",IF(COUNTIF(A166:A$2001,A166)=1,1,0))</f>
        <v/>
      </c>
      <c r="AM166" s="94">
        <f>IF(I166="","",TODAY()-I166)</f>
        <v/>
      </c>
      <c r="AN166" s="94">
        <f>IF(A166="","",IF(AND(E166&lt;&gt;"33 確認済",E166&lt;&gt;"36 送付中"),1,0))</f>
        <v/>
      </c>
      <c r="AO166" s="94">
        <f>IF(A166="","",IF(AG166&lt;&gt;"",1,0))</f>
        <v/>
      </c>
      <c r="AP166" s="220">
        <f>IF(P166&lt;&gt;"","・添待ち","")&amp;IF(Q166&lt;&gt;"","・住民票","")&amp;IF(R166&lt;&gt;"","・発信","")&amp;IF(S166&lt;&gt;"","・確認事項","")&amp;IF(T166&lt;&gt;"","・管","")&amp;IF(U166&lt;&gt;"","・SV","")&amp;IF(V166&lt;&gt;"","・データ送付待ち","")&amp;IF(W166&lt;&gt;"","・削除","")</f>
        <v/>
      </c>
    </row>
    <row r="167" ht="15" customHeight="1" s="87">
      <c r="A167" s="90" t="n">
        <v>202660001310</v>
      </c>
      <c r="B167" s="90" t="n"/>
      <c r="C167" s="90" t="n"/>
      <c r="D167" s="90" t="n">
        <v>20</v>
      </c>
      <c r="E167" s="90" t="inlineStr">
        <is>
          <t>20 確認待ち</t>
        </is>
      </c>
      <c r="F167" s="90" t="n">
        <v>20</v>
      </c>
      <c r="G167" s="90" t="inlineStr">
        <is>
          <t>20 差戻し</t>
        </is>
      </c>
      <c r="H167" s="91" t="n">
        <v>46263</v>
      </c>
      <c r="I167" s="92" t="n">
        <v>46268</v>
      </c>
      <c r="J167" s="91" t="n">
        <v>46275</v>
      </c>
      <c r="K167" s="91" t="n">
        <v>46275</v>
      </c>
      <c r="L167" s="90" t="n"/>
      <c r="M167" s="90" t="n"/>
      <c r="N167" s="90" t="n"/>
      <c r="O167" s="90" t="inlineStr">
        <is>
          <t>11 差戻し申請</t>
        </is>
      </c>
      <c r="P167" s="90" t="n"/>
      <c r="Q167" s="90" t="n"/>
      <c r="R167" s="90" t="n"/>
      <c r="S167" s="90" t="n"/>
      <c r="T167" s="90" t="n"/>
      <c r="U167" s="90" t="n"/>
      <c r="V167" s="90" t="n"/>
      <c r="W167" s="93" t="inlineStr">
        <is>
          <t>削</t>
        </is>
      </c>
      <c r="X167" s="90" t="n"/>
      <c r="Y167" s="90" t="n"/>
      <c r="Z167" s="90" t="n"/>
      <c r="AA167" s="90" t="n"/>
      <c r="AB167" s="90" t="n">
        <v>21</v>
      </c>
      <c r="AC167" s="90" t="n">
        <v>1</v>
      </c>
      <c r="AD167" s="93" t="inlineStr">
        <is>
          <t>増</t>
        </is>
      </c>
      <c r="AE167" s="90" t="inlineStr">
        <is>
          <t>21 出生</t>
        </is>
      </c>
      <c r="AF167" s="93" t="inlineStr">
        <is>
          <t>増</t>
        </is>
      </c>
      <c r="AG167" s="93" t="inlineStr">
        <is>
          <t>増</t>
        </is>
      </c>
      <c r="AH167" s="93" t="inlineStr">
        <is>
          <t>増</t>
        </is>
      </c>
      <c r="AI167" s="90" t="n"/>
      <c r="AJ167" s="90" t="n"/>
      <c r="AK167" s="90" t="n"/>
      <c r="AL167" s="94">
        <f>IF(A167="","",IF(COUNTIF(A167:A$2001,A167)=1,1,0))</f>
        <v/>
      </c>
      <c r="AM167" s="94">
        <f>IF(I167="","",TODAY()-I167)</f>
        <v/>
      </c>
      <c r="AN167" s="94">
        <f>IF(A167="","",IF(AND(E167&lt;&gt;"33 確認済",E167&lt;&gt;"36 送付中"),1,0))</f>
        <v/>
      </c>
      <c r="AO167" s="94">
        <f>IF(A167="","",IF(AG167&lt;&gt;"",1,0))</f>
        <v/>
      </c>
      <c r="AP167" s="220">
        <f>IF(P167&lt;&gt;"","・添待ち","")&amp;IF(Q167&lt;&gt;"","・住民票","")&amp;IF(R167&lt;&gt;"","・発信","")&amp;IF(S167&lt;&gt;"","・確認事項","")&amp;IF(T167&lt;&gt;"","・管","")&amp;IF(U167&lt;&gt;"","・SV","")&amp;IF(V167&lt;&gt;"","・データ送付待ち","")&amp;IF(W167&lt;&gt;"","・削除","")</f>
        <v/>
      </c>
    </row>
    <row r="168" ht="15" customHeight="1" s="87">
      <c r="A168" s="90" t="n">
        <v>202660001313</v>
      </c>
      <c r="B168" s="90" t="n"/>
      <c r="C168" s="90" t="n"/>
      <c r="D168" s="90" t="n">
        <v>31</v>
      </c>
      <c r="E168" s="90" t="inlineStr">
        <is>
          <t>31 ＯＰ確認中</t>
        </is>
      </c>
      <c r="F168" s="90" t="n"/>
      <c r="G168" s="90" t="n"/>
      <c r="H168" s="91" t="n">
        <v>46272</v>
      </c>
      <c r="I168" s="92" t="n">
        <v>46282</v>
      </c>
      <c r="J168" s="91" t="n">
        <v>46283</v>
      </c>
      <c r="K168" s="91" t="n">
        <v>46283</v>
      </c>
      <c r="L168" s="90" t="n"/>
      <c r="M168" s="90" t="n"/>
      <c r="N168" s="90" t="n"/>
      <c r="O168" s="90" t="inlineStr">
        <is>
          <t>21 担当者登録</t>
        </is>
      </c>
      <c r="P168" s="90" t="n"/>
      <c r="Q168" s="90" t="n"/>
      <c r="R168" s="90" t="n"/>
      <c r="S168" s="90" t="n"/>
      <c r="T168" s="90" t="n"/>
      <c r="U168" s="90" t="n"/>
      <c r="V168" s="90" t="n"/>
      <c r="W168" s="90" t="n"/>
      <c r="X168" s="90" t="n"/>
      <c r="Y168" s="90" t="n"/>
      <c r="Z168" s="90" t="n"/>
      <c r="AA168" s="90" t="n"/>
      <c r="AB168" s="90" t="n">
        <v>21</v>
      </c>
      <c r="AC168" s="90" t="n">
        <v>1</v>
      </c>
      <c r="AD168" s="93" t="inlineStr">
        <is>
          <t>増</t>
        </is>
      </c>
      <c r="AE168" s="90" t="inlineStr">
        <is>
          <t>21 出生</t>
        </is>
      </c>
      <c r="AF168" s="93" t="inlineStr">
        <is>
          <t>増</t>
        </is>
      </c>
      <c r="AG168" s="93" t="inlineStr">
        <is>
          <t>増</t>
        </is>
      </c>
      <c r="AH168" s="93" t="inlineStr">
        <is>
          <t>増</t>
        </is>
      </c>
      <c r="AI168" s="90" t="n"/>
      <c r="AJ168" s="90" t="n"/>
      <c r="AK168" s="90" t="n"/>
      <c r="AL168" s="94">
        <f>IF(A168="","",IF(COUNTIF(A168:A$2001,A168)=1,1,0))</f>
        <v/>
      </c>
      <c r="AM168" s="94">
        <f>IF(I168="","",TODAY()-I168)</f>
        <v/>
      </c>
      <c r="AN168" s="94">
        <f>IF(A168="","",IF(AND(E168&lt;&gt;"33 確認済",E168&lt;&gt;"36 送付中"),1,0))</f>
        <v/>
      </c>
      <c r="AO168" s="94">
        <f>IF(A168="","",IF(AG168&lt;&gt;"",1,0))</f>
        <v/>
      </c>
      <c r="AP168" s="220">
        <f>IF(P168&lt;&gt;"","・添待ち","")&amp;IF(Q168&lt;&gt;"","・住民票","")&amp;IF(R168&lt;&gt;"","・発信","")&amp;IF(S168&lt;&gt;"","・確認事項","")&amp;IF(T168&lt;&gt;"","・管","")&amp;IF(U168&lt;&gt;"","・SV","")&amp;IF(V168&lt;&gt;"","・データ送付待ち","")&amp;IF(W168&lt;&gt;"","・削除","")</f>
        <v/>
      </c>
    </row>
    <row r="169" ht="15" customHeight="1" s="87">
      <c r="A169" s="90" t="n">
        <v>202660001314</v>
      </c>
      <c r="B169" s="90" t="n"/>
      <c r="C169" s="90" t="n"/>
      <c r="D169" s="90" t="n">
        <v>33</v>
      </c>
      <c r="E169" s="90" t="inlineStr">
        <is>
          <t>33 確認済</t>
        </is>
      </c>
      <c r="F169" s="90" t="n"/>
      <c r="G169" s="90" t="n"/>
      <c r="H169" s="91" t="n">
        <v>46263</v>
      </c>
      <c r="I169" s="92" t="n">
        <v>46268</v>
      </c>
      <c r="J169" s="91" t="n">
        <v>46280</v>
      </c>
      <c r="K169" s="91" t="n">
        <v>46280</v>
      </c>
      <c r="L169" s="90" t="n"/>
      <c r="M169" s="90" t="n"/>
      <c r="N169" s="90" t="n"/>
      <c r="O169" s="90" t="inlineStr">
        <is>
          <t>40 ＳＶ承認</t>
        </is>
      </c>
      <c r="P169" s="90" t="n"/>
      <c r="Q169" s="90" t="n"/>
      <c r="R169" s="90" t="n"/>
      <c r="S169" s="90" t="n"/>
      <c r="T169" s="90" t="n"/>
      <c r="U169" s="90" t="n"/>
      <c r="V169" s="90" t="n"/>
      <c r="W169" s="90" t="n"/>
      <c r="X169" s="90" t="n"/>
      <c r="Y169" s="90" t="n"/>
      <c r="Z169" s="90" t="n"/>
      <c r="AA169" s="90" t="n"/>
      <c r="AB169" s="90" t="n">
        <v>21</v>
      </c>
      <c r="AC169" s="90" t="n">
        <v>1</v>
      </c>
      <c r="AD169" s="93" t="inlineStr">
        <is>
          <t>増</t>
        </is>
      </c>
      <c r="AE169" s="90" t="inlineStr">
        <is>
          <t>21 出生</t>
        </is>
      </c>
      <c r="AF169" s="93" t="inlineStr">
        <is>
          <t>増</t>
        </is>
      </c>
      <c r="AG169" s="93" t="inlineStr">
        <is>
          <t>増</t>
        </is>
      </c>
      <c r="AH169" s="93" t="inlineStr">
        <is>
          <t>増</t>
        </is>
      </c>
      <c r="AI169" s="90" t="n"/>
      <c r="AJ169" s="90" t="n"/>
      <c r="AK169" s="90" t="n"/>
      <c r="AL169" s="94">
        <f>IF(A169="","",IF(COUNTIF(A169:A$2001,A169)=1,1,0))</f>
        <v/>
      </c>
      <c r="AM169" s="94">
        <f>IF(I169="","",TODAY()-I169)</f>
        <v/>
      </c>
      <c r="AN169" s="94">
        <f>IF(A169="","",IF(AND(E169&lt;&gt;"33 確認済",E169&lt;&gt;"36 送付中"),1,0))</f>
        <v/>
      </c>
      <c r="AO169" s="94">
        <f>IF(A169="","",IF(AG169&lt;&gt;"",1,0))</f>
        <v/>
      </c>
      <c r="AP169" s="220">
        <f>IF(P169&lt;&gt;"","・添待ち","")&amp;IF(Q169&lt;&gt;"","・住民票","")&amp;IF(R169&lt;&gt;"","・発信","")&amp;IF(S169&lt;&gt;"","・確認事項","")&amp;IF(T169&lt;&gt;"","・管","")&amp;IF(U169&lt;&gt;"","・SV","")&amp;IF(V169&lt;&gt;"","・データ送付待ち","")&amp;IF(W169&lt;&gt;"","・削除","")</f>
        <v/>
      </c>
    </row>
    <row r="170" ht="15" customHeight="1" s="87">
      <c r="A170" s="90" t="n">
        <v>202660001319</v>
      </c>
      <c r="B170" s="90" t="n"/>
      <c r="C170" s="90" t="n"/>
      <c r="D170" s="90" t="n">
        <v>32</v>
      </c>
      <c r="E170" s="90" t="inlineStr">
        <is>
          <t>32 ＳＶ確認中</t>
        </is>
      </c>
      <c r="F170" s="90" t="n"/>
      <c r="G170" s="90" t="n"/>
      <c r="H170" s="91" t="n">
        <v>46259</v>
      </c>
      <c r="I170" s="92" t="n">
        <v>46269</v>
      </c>
      <c r="J170" s="91" t="n">
        <v>46282</v>
      </c>
      <c r="K170" s="91" t="n">
        <v>46282</v>
      </c>
      <c r="L170" s="90" t="n"/>
      <c r="M170" s="90" t="n"/>
      <c r="N170" s="90" t="n"/>
      <c r="O170" s="90" t="inlineStr">
        <is>
          <t>31 差戻し</t>
        </is>
      </c>
      <c r="P170" s="90" t="n"/>
      <c r="Q170" s="90" t="n"/>
      <c r="R170" s="90" t="n"/>
      <c r="S170" s="90" t="n"/>
      <c r="T170" s="90" t="n"/>
      <c r="U170" s="90" t="n"/>
      <c r="V170" s="90" t="n"/>
      <c r="W170" s="90" t="n"/>
      <c r="X170" s="90" t="n"/>
      <c r="Y170" s="90" t="n"/>
      <c r="Z170" s="90" t="n"/>
      <c r="AA170" s="90" t="n"/>
      <c r="AB170" s="90" t="n">
        <v>24</v>
      </c>
      <c r="AC170" s="90" t="n">
        <v>1</v>
      </c>
      <c r="AD170" s="93" t="inlineStr">
        <is>
          <t>増</t>
        </is>
      </c>
      <c r="AE170" s="90" t="inlineStr">
        <is>
          <t>24 雇用保険受給終了</t>
        </is>
      </c>
      <c r="AF170" s="93" t="inlineStr">
        <is>
          <t>増</t>
        </is>
      </c>
      <c r="AG170" s="90" t="n"/>
      <c r="AH170" s="90" t="n"/>
      <c r="AI170" s="90" t="n"/>
      <c r="AJ170" s="90" t="n"/>
      <c r="AK170" s="90" t="n"/>
      <c r="AL170" s="94">
        <f>IF(A170="","",IF(COUNTIF(A170:A$2001,A170)=1,1,0))</f>
        <v/>
      </c>
      <c r="AM170" s="94">
        <f>IF(I170="","",TODAY()-I170)</f>
        <v/>
      </c>
      <c r="AN170" s="94">
        <f>IF(A170="","",IF(AND(E170&lt;&gt;"33 確認済",E170&lt;&gt;"36 送付中"),1,0))</f>
        <v/>
      </c>
      <c r="AO170" s="94">
        <f>IF(A170="","",IF(AG170&lt;&gt;"",1,0))</f>
        <v/>
      </c>
      <c r="AP170" s="220">
        <f>IF(P170&lt;&gt;"","・添待ち","")&amp;IF(Q170&lt;&gt;"","・住民票","")&amp;IF(R170&lt;&gt;"","・発信","")&amp;IF(S170&lt;&gt;"","・確認事項","")&amp;IF(T170&lt;&gt;"","・管","")&amp;IF(U170&lt;&gt;"","・SV","")&amp;IF(V170&lt;&gt;"","・データ送付待ち","")&amp;IF(W170&lt;&gt;"","・削除","")</f>
        <v/>
      </c>
    </row>
    <row r="171" ht="15" customHeight="1" s="87">
      <c r="A171" s="90" t="n">
        <v>202660001320</v>
      </c>
      <c r="B171" s="90" t="n"/>
      <c r="C171" s="90" t="n"/>
      <c r="D171" s="90" t="n">
        <v>31</v>
      </c>
      <c r="E171" s="90" t="inlineStr">
        <is>
          <t>31 ＯＰ確認中</t>
        </is>
      </c>
      <c r="F171" s="90" t="n"/>
      <c r="G171" s="90" t="n"/>
      <c r="H171" s="91" t="n">
        <v>46266</v>
      </c>
      <c r="I171" s="92" t="n">
        <v>46269</v>
      </c>
      <c r="J171" s="91" t="n">
        <v>46289</v>
      </c>
      <c r="K171" s="91" t="n">
        <v>46289</v>
      </c>
      <c r="L171" s="90" t="n"/>
      <c r="M171" s="90" t="n"/>
      <c r="N171" s="90" t="n"/>
      <c r="O171" s="90" t="inlineStr">
        <is>
          <t>22 担当者変更</t>
        </is>
      </c>
      <c r="P171" s="90" t="n"/>
      <c r="Q171" s="90" t="n"/>
      <c r="R171" s="90" t="n"/>
      <c r="S171" s="90" t="n"/>
      <c r="T171" s="90" t="n"/>
      <c r="U171" s="90" t="n"/>
      <c r="V171" s="90" t="n"/>
      <c r="W171" s="90" t="n"/>
      <c r="X171" s="90" t="n"/>
      <c r="Y171" s="90" t="n"/>
      <c r="Z171" s="90" t="n"/>
      <c r="AA171" s="90" t="n"/>
      <c r="AB171" s="90" t="n">
        <v>51</v>
      </c>
      <c r="AC171" s="90" t="n">
        <v>0</v>
      </c>
      <c r="AD171" s="93" t="inlineStr">
        <is>
          <t>減</t>
        </is>
      </c>
      <c r="AE171" s="90" t="inlineStr">
        <is>
          <t>51 収入限度額以上</t>
        </is>
      </c>
      <c r="AF171" s="93" t="inlineStr">
        <is>
          <t>減</t>
        </is>
      </c>
      <c r="AG171" s="93" t="inlineStr">
        <is>
          <t>減</t>
        </is>
      </c>
      <c r="AH171" s="90" t="n"/>
      <c r="AI171" s="90" t="n"/>
      <c r="AJ171" s="90" t="n"/>
      <c r="AK171" s="90" t="n"/>
      <c r="AL171" s="94">
        <f>IF(A171="","",IF(COUNTIF(A171:A$2001,A171)=1,1,0))</f>
        <v/>
      </c>
      <c r="AM171" s="94">
        <f>IF(I171="","",TODAY()-I171)</f>
        <v/>
      </c>
      <c r="AN171" s="94">
        <f>IF(A171="","",IF(AND(E171&lt;&gt;"33 確認済",E171&lt;&gt;"36 送付中"),1,0))</f>
        <v/>
      </c>
      <c r="AO171" s="94">
        <f>IF(A171="","",IF(AG171&lt;&gt;"",1,0))</f>
        <v/>
      </c>
      <c r="AP171" s="220">
        <f>IF(P171&lt;&gt;"","・添待ち","")&amp;IF(Q171&lt;&gt;"","・住民票","")&amp;IF(R171&lt;&gt;"","・発信","")&amp;IF(S171&lt;&gt;"","・確認事項","")&amp;IF(T171&lt;&gt;"","・管","")&amp;IF(U171&lt;&gt;"","・SV","")&amp;IF(V171&lt;&gt;"","・データ送付待ち","")&amp;IF(W171&lt;&gt;"","・削除","")</f>
        <v/>
      </c>
    </row>
    <row r="172" ht="15" customHeight="1" s="87">
      <c r="A172" s="90" t="n">
        <v>202660001321</v>
      </c>
      <c r="B172" s="90" t="n"/>
      <c r="C172" s="90" t="n"/>
      <c r="D172" s="90" t="n">
        <v>32</v>
      </c>
      <c r="E172" s="90" t="inlineStr">
        <is>
          <t>32 ＳＶ確認中</t>
        </is>
      </c>
      <c r="F172" s="90" t="n">
        <v>30</v>
      </c>
      <c r="G172" s="90" t="inlineStr">
        <is>
          <t>30 却下</t>
        </is>
      </c>
      <c r="H172" s="91" t="n">
        <v>46259</v>
      </c>
      <c r="I172" s="92" t="n">
        <v>46269</v>
      </c>
      <c r="J172" s="91" t="n">
        <v>46272</v>
      </c>
      <c r="K172" s="91" t="n">
        <v>46272</v>
      </c>
      <c r="L172" s="90" t="n"/>
      <c r="M172" s="90" t="n"/>
      <c r="N172" s="90" t="n"/>
      <c r="O172" s="90" t="inlineStr">
        <is>
          <t>30 登録</t>
        </is>
      </c>
      <c r="P172" s="90" t="n"/>
      <c r="Q172" s="90" t="n"/>
      <c r="R172" s="90" t="n"/>
      <c r="S172" s="90" t="n"/>
      <c r="T172" s="90" t="n"/>
      <c r="U172" s="90" t="n"/>
      <c r="V172" s="90" t="n"/>
      <c r="W172" s="90" t="n"/>
      <c r="X172" s="90" t="n"/>
      <c r="Y172" s="90" t="n"/>
      <c r="Z172" s="90" t="n"/>
      <c r="AA172" s="90" t="n"/>
      <c r="AB172" s="90" t="n">
        <v>23</v>
      </c>
      <c r="AC172" s="90" t="n">
        <v>1</v>
      </c>
      <c r="AD172" s="93" t="inlineStr">
        <is>
          <t>増</t>
        </is>
      </c>
      <c r="AE172" s="90" t="inlineStr">
        <is>
          <t>23 本人の結婚</t>
        </is>
      </c>
      <c r="AF172" s="90" t="n"/>
      <c r="AG172" s="90" t="n"/>
      <c r="AH172" s="90" t="n"/>
      <c r="AI172" s="90" t="n"/>
      <c r="AJ172" s="90" t="n"/>
      <c r="AK172" s="90" t="n"/>
      <c r="AL172" s="94">
        <f>IF(A172="","",IF(COUNTIF(A172:A$2001,A172)=1,1,0))</f>
        <v/>
      </c>
      <c r="AM172" s="94">
        <f>IF(I172="","",TODAY()-I172)</f>
        <v/>
      </c>
      <c r="AN172" s="94">
        <f>IF(A172="","",IF(AND(E172&lt;&gt;"33 確認済",E172&lt;&gt;"36 送付中"),1,0))</f>
        <v/>
      </c>
      <c r="AO172" s="94">
        <f>IF(A172="","",IF(AG172&lt;&gt;"",1,0))</f>
        <v/>
      </c>
      <c r="AP172" s="220">
        <f>IF(P172&lt;&gt;"","・添待ち","")&amp;IF(Q172&lt;&gt;"","・住民票","")&amp;IF(R172&lt;&gt;"","・発信","")&amp;IF(S172&lt;&gt;"","・確認事項","")&amp;IF(T172&lt;&gt;"","・管","")&amp;IF(U172&lt;&gt;"","・SV","")&amp;IF(V172&lt;&gt;"","・データ送付待ち","")&amp;IF(W172&lt;&gt;"","・削除","")</f>
        <v/>
      </c>
    </row>
    <row r="173" ht="15" customHeight="1" s="87">
      <c r="A173" s="90" t="n">
        <v>202660001321</v>
      </c>
      <c r="B173" s="90" t="n"/>
      <c r="C173" s="90" t="n"/>
      <c r="D173" s="90" t="n">
        <v>32</v>
      </c>
      <c r="E173" s="90" t="inlineStr">
        <is>
          <t>32 ＳＶ確認中</t>
        </is>
      </c>
      <c r="F173" s="90" t="n">
        <v>30</v>
      </c>
      <c r="G173" s="90" t="inlineStr">
        <is>
          <t>30 却下</t>
        </is>
      </c>
      <c r="H173" s="91" t="n">
        <v>46259</v>
      </c>
      <c r="I173" s="92" t="n">
        <v>46269</v>
      </c>
      <c r="J173" s="91" t="n">
        <v>46272</v>
      </c>
      <c r="K173" s="91" t="n">
        <v>46272</v>
      </c>
      <c r="L173" s="90" t="n"/>
      <c r="M173" s="90" t="n"/>
      <c r="N173" s="90" t="n"/>
      <c r="O173" s="90" t="inlineStr">
        <is>
          <t>30 登録</t>
        </is>
      </c>
      <c r="P173" s="90" t="n"/>
      <c r="Q173" s="90" t="n"/>
      <c r="R173" s="90" t="n"/>
      <c r="S173" s="90" t="n"/>
      <c r="T173" s="90" t="n"/>
      <c r="U173" s="90" t="n"/>
      <c r="V173" s="90" t="n"/>
      <c r="W173" s="90" t="n"/>
      <c r="X173" s="90" t="n"/>
      <c r="Y173" s="90" t="n"/>
      <c r="Z173" s="90" t="n"/>
      <c r="AA173" s="90" t="n"/>
      <c r="AB173" s="90" t="n">
        <v>23</v>
      </c>
      <c r="AC173" s="90" t="n">
        <v>1</v>
      </c>
      <c r="AD173" s="93" t="inlineStr">
        <is>
          <t>増</t>
        </is>
      </c>
      <c r="AE173" s="90" t="inlineStr">
        <is>
          <t>23 結婚</t>
        </is>
      </c>
      <c r="AF173" s="90" t="n"/>
      <c r="AG173" s="90" t="n"/>
      <c r="AH173" s="90" t="n"/>
      <c r="AI173" s="90" t="n"/>
      <c r="AJ173" s="90" t="n"/>
      <c r="AK173" s="90" t="n"/>
      <c r="AL173" s="94">
        <f>IF(A173="","",IF(COUNTIF(A173:A$2001,A173)=1,1,0))</f>
        <v/>
      </c>
      <c r="AM173" s="94">
        <f>IF(I173="","",TODAY()-I173)</f>
        <v/>
      </c>
      <c r="AN173" s="94">
        <f>IF(A173="","",IF(AND(E173&lt;&gt;"33 確認済",E173&lt;&gt;"36 送付中"),1,0))</f>
        <v/>
      </c>
      <c r="AO173" s="94">
        <f>IF(A173="","",IF(AG173&lt;&gt;"",1,0))</f>
        <v/>
      </c>
      <c r="AP173" s="220">
        <f>IF(P173&lt;&gt;"","・添待ち","")&amp;IF(Q173&lt;&gt;"","・住民票","")&amp;IF(R173&lt;&gt;"","・発信","")&amp;IF(S173&lt;&gt;"","・確認事項","")&amp;IF(T173&lt;&gt;"","・管","")&amp;IF(U173&lt;&gt;"","・SV","")&amp;IF(V173&lt;&gt;"","・データ送付待ち","")&amp;IF(W173&lt;&gt;"","・削除","")</f>
        <v/>
      </c>
    </row>
    <row r="174" ht="15" customHeight="1" s="87">
      <c r="A174" s="90" t="n">
        <v>202660001323</v>
      </c>
      <c r="B174" s="90" t="n"/>
      <c r="C174" s="90" t="n"/>
      <c r="D174" s="90" t="n">
        <v>32</v>
      </c>
      <c r="E174" s="90" t="inlineStr">
        <is>
          <t>32 ＳＶ確認中</t>
        </is>
      </c>
      <c r="F174" s="90" t="n"/>
      <c r="G174" s="90" t="n"/>
      <c r="H174" s="91" t="n">
        <v>46254</v>
      </c>
      <c r="I174" s="92" t="n">
        <v>46272</v>
      </c>
      <c r="J174" s="91" t="n">
        <v>46276</v>
      </c>
      <c r="K174" s="91" t="n">
        <v>46276</v>
      </c>
      <c r="L174" s="90" t="n"/>
      <c r="M174" s="90" t="n"/>
      <c r="N174" s="90" t="n"/>
      <c r="O174" s="90" t="inlineStr">
        <is>
          <t>30 登録</t>
        </is>
      </c>
      <c r="P174" s="90" t="n"/>
      <c r="Q174" s="90" t="n"/>
      <c r="R174" s="90" t="n"/>
      <c r="S174" s="90" t="n"/>
      <c r="T174" s="90" t="n"/>
      <c r="U174" s="90" t="n"/>
      <c r="V174" s="90" t="n"/>
      <c r="W174" s="90" t="n"/>
      <c r="X174" s="90" t="n"/>
      <c r="Y174" s="90" t="n"/>
      <c r="Z174" s="90" t="n"/>
      <c r="AA174" s="90" t="n"/>
      <c r="AB174" s="90" t="n">
        <v>28</v>
      </c>
      <c r="AC174" s="90" t="n">
        <v>3</v>
      </c>
      <c r="AD174" s="93" t="inlineStr">
        <is>
          <t>減</t>
        </is>
      </c>
      <c r="AE174" s="90" t="n"/>
      <c r="AF174" s="90" t="n"/>
      <c r="AG174" s="90" t="n"/>
      <c r="AH174" s="93" t="inlineStr">
        <is>
          <t>増</t>
        </is>
      </c>
      <c r="AI174" s="90" t="n"/>
      <c r="AJ174" s="90" t="n"/>
      <c r="AK174" s="90" t="n"/>
      <c r="AL174" s="94">
        <f>IF(A174="","",IF(COUNTIF(A174:A$2001,A174)=1,1,0))</f>
        <v/>
      </c>
      <c r="AM174" s="94">
        <f>IF(I174="","",TODAY()-I174)</f>
        <v/>
      </c>
      <c r="AN174" s="94">
        <f>IF(A174="","",IF(AND(E174&lt;&gt;"33 確認済",E174&lt;&gt;"36 送付中"),1,0))</f>
        <v/>
      </c>
      <c r="AO174" s="94">
        <f>IF(A174="","",IF(AG174&lt;&gt;"",1,0))</f>
        <v/>
      </c>
      <c r="AP174" s="220">
        <f>IF(P174&lt;&gt;"","・添待ち","")&amp;IF(Q174&lt;&gt;"","・住民票","")&amp;IF(R174&lt;&gt;"","・発信","")&amp;IF(S174&lt;&gt;"","・確認事項","")&amp;IF(T174&lt;&gt;"","・管","")&amp;IF(U174&lt;&gt;"","・SV","")&amp;IF(V174&lt;&gt;"","・データ送付待ち","")&amp;IF(W174&lt;&gt;"","・削除","")</f>
        <v/>
      </c>
    </row>
    <row r="175" ht="15" customHeight="1" s="87">
      <c r="A175" s="90" t="n">
        <v>202660001327</v>
      </c>
      <c r="B175" s="90" t="n"/>
      <c r="C175" s="90" t="n"/>
      <c r="D175" s="90" t="n">
        <v>32</v>
      </c>
      <c r="E175" s="90" t="inlineStr">
        <is>
          <t>32 ＳＶ確認中</t>
        </is>
      </c>
      <c r="F175" s="90" t="n"/>
      <c r="G175" s="90" t="n"/>
      <c r="H175" s="91" t="n">
        <v>46271</v>
      </c>
      <c r="I175" s="92" t="n">
        <v>46276</v>
      </c>
      <c r="J175" s="91" t="n">
        <v>46279</v>
      </c>
      <c r="K175" s="91" t="n">
        <v>46279</v>
      </c>
      <c r="L175" s="90" t="n"/>
      <c r="M175" s="90" t="n"/>
      <c r="N175" s="90" t="n"/>
      <c r="O175" s="90" t="inlineStr">
        <is>
          <t>30 登録</t>
        </is>
      </c>
      <c r="P175" s="90" t="n"/>
      <c r="Q175" s="90" t="n"/>
      <c r="R175" s="90" t="n"/>
      <c r="S175" s="90" t="n"/>
      <c r="T175" s="90" t="n"/>
      <c r="U175" s="90" t="n"/>
      <c r="V175" s="90" t="n"/>
      <c r="W175" s="90" t="n"/>
      <c r="X175" s="90" t="n"/>
      <c r="Y175" s="90" t="n"/>
      <c r="Z175" s="90" t="n"/>
      <c r="AA175" s="90" t="n"/>
      <c r="AB175" s="90" t="n">
        <v>21</v>
      </c>
      <c r="AC175" s="90" t="n">
        <v>1</v>
      </c>
      <c r="AD175" s="93" t="inlineStr">
        <is>
          <t>増</t>
        </is>
      </c>
      <c r="AE175" s="90" t="inlineStr">
        <is>
          <t>21 出生</t>
        </is>
      </c>
      <c r="AF175" s="93" t="inlineStr">
        <is>
          <t>増</t>
        </is>
      </c>
      <c r="AG175" s="93" t="inlineStr">
        <is>
          <t>増</t>
        </is>
      </c>
      <c r="AH175" s="93" t="inlineStr">
        <is>
          <t>増</t>
        </is>
      </c>
      <c r="AI175" s="90" t="n"/>
      <c r="AJ175" s="90" t="n"/>
      <c r="AK175" s="90" t="n"/>
      <c r="AL175" s="94">
        <f>IF(A175="","",IF(COUNTIF(A175:A$2001,A175)=1,1,0))</f>
        <v/>
      </c>
      <c r="AM175" s="94">
        <f>IF(I175="","",TODAY()-I175)</f>
        <v/>
      </c>
      <c r="AN175" s="94">
        <f>IF(A175="","",IF(AND(E175&lt;&gt;"33 確認済",E175&lt;&gt;"36 送付中"),1,0))</f>
        <v/>
      </c>
      <c r="AO175" s="94">
        <f>IF(A175="","",IF(AG175&lt;&gt;"",1,0))</f>
        <v/>
      </c>
      <c r="AP175" s="220">
        <f>IF(P175&lt;&gt;"","・添待ち","")&amp;IF(Q175&lt;&gt;"","・住民票","")&amp;IF(R175&lt;&gt;"","・発信","")&amp;IF(S175&lt;&gt;"","・確認事項","")&amp;IF(T175&lt;&gt;"","・管","")&amp;IF(U175&lt;&gt;"","・SV","")&amp;IF(V175&lt;&gt;"","・データ送付待ち","")&amp;IF(W175&lt;&gt;"","・削除","")</f>
        <v/>
      </c>
    </row>
    <row r="176" ht="15" customHeight="1" s="87">
      <c r="A176" s="90" t="n">
        <v>202660001328</v>
      </c>
      <c r="B176" s="90" t="n"/>
      <c r="C176" s="90" t="n"/>
      <c r="D176" s="90" t="n">
        <v>32</v>
      </c>
      <c r="E176" s="90" t="inlineStr">
        <is>
          <t>32 ＳＶ確認中</t>
        </is>
      </c>
      <c r="F176" s="90" t="n"/>
      <c r="G176" s="90" t="n"/>
      <c r="H176" s="91" t="n">
        <v>46246</v>
      </c>
      <c r="I176" s="92" t="n">
        <v>46273</v>
      </c>
      <c r="J176" s="91" t="n">
        <v>46273</v>
      </c>
      <c r="K176" s="91" t="n">
        <v>46273</v>
      </c>
      <c r="L176" s="90" t="n"/>
      <c r="M176" s="90" t="n"/>
      <c r="N176" s="90" t="n"/>
      <c r="O176" s="90" t="inlineStr">
        <is>
          <t>30 登録</t>
        </is>
      </c>
      <c r="P176" s="90" t="n"/>
      <c r="Q176" s="90" t="n"/>
      <c r="R176" s="90" t="n"/>
      <c r="S176" s="90" t="n"/>
      <c r="T176" s="90" t="n"/>
      <c r="U176" s="90" t="n"/>
      <c r="V176" s="90" t="n"/>
      <c r="W176" s="90" t="n"/>
      <c r="X176" s="90" t="n"/>
      <c r="Y176" s="90" t="n"/>
      <c r="Z176" s="90" t="n"/>
      <c r="AA176" s="90" t="n"/>
      <c r="AB176" s="90" t="n">
        <v>23</v>
      </c>
      <c r="AC176" s="90" t="n">
        <v>1</v>
      </c>
      <c r="AD176" s="93" t="inlineStr">
        <is>
          <t>増</t>
        </is>
      </c>
      <c r="AE176" s="90" t="inlineStr">
        <is>
          <t>23 本人の結婚</t>
        </is>
      </c>
      <c r="AF176" s="90" t="n"/>
      <c r="AG176" s="90" t="n"/>
      <c r="AH176" s="90" t="n"/>
      <c r="AI176" s="90" t="n"/>
      <c r="AJ176" s="90" t="n"/>
      <c r="AK176" s="90" t="n"/>
      <c r="AL176" s="94">
        <f>IF(A176="","",IF(COUNTIF(A176:A$2001,A176)=1,1,0))</f>
        <v/>
      </c>
      <c r="AM176" s="94">
        <f>IF(I176="","",TODAY()-I176)</f>
        <v/>
      </c>
      <c r="AN176" s="94">
        <f>IF(A176="","",IF(AND(E176&lt;&gt;"33 確認済",E176&lt;&gt;"36 送付中"),1,0))</f>
        <v/>
      </c>
      <c r="AO176" s="94">
        <f>IF(A176="","",IF(AG176&lt;&gt;"",1,0))</f>
        <v/>
      </c>
      <c r="AP176" s="220">
        <f>IF(P176&lt;&gt;"","・添待ち","")&amp;IF(Q176&lt;&gt;"","・住民票","")&amp;IF(R176&lt;&gt;"","・発信","")&amp;IF(S176&lt;&gt;"","・確認事項","")&amp;IF(T176&lt;&gt;"","・管","")&amp;IF(U176&lt;&gt;"","・SV","")&amp;IF(V176&lt;&gt;"","・データ送付待ち","")&amp;IF(W176&lt;&gt;"","・削除","")</f>
        <v/>
      </c>
    </row>
    <row r="177" ht="15" customHeight="1" s="87">
      <c r="A177" s="90" t="n">
        <v>202660001328</v>
      </c>
      <c r="B177" s="90" t="n"/>
      <c r="C177" s="90" t="n"/>
      <c r="D177" s="90" t="n">
        <v>32</v>
      </c>
      <c r="E177" s="90" t="inlineStr">
        <is>
          <t>32 ＳＶ確認中</t>
        </is>
      </c>
      <c r="F177" s="90" t="n"/>
      <c r="G177" s="90" t="n"/>
      <c r="H177" s="91" t="n">
        <v>46246</v>
      </c>
      <c r="I177" s="92" t="n">
        <v>46273</v>
      </c>
      <c r="J177" s="91" t="n">
        <v>46273</v>
      </c>
      <c r="K177" s="91" t="n">
        <v>46273</v>
      </c>
      <c r="L177" s="90" t="n"/>
      <c r="M177" s="90" t="n"/>
      <c r="N177" s="90" t="n"/>
      <c r="O177" s="90" t="inlineStr">
        <is>
          <t>30 登録</t>
        </is>
      </c>
      <c r="P177" s="90" t="n"/>
      <c r="Q177" s="90" t="n"/>
      <c r="R177" s="90" t="n"/>
      <c r="S177" s="90" t="n"/>
      <c r="T177" s="90" t="n"/>
      <c r="U177" s="90" t="n"/>
      <c r="V177" s="90" t="n"/>
      <c r="W177" s="90" t="n"/>
      <c r="X177" s="90" t="n"/>
      <c r="Y177" s="90" t="n"/>
      <c r="Z177" s="90" t="n"/>
      <c r="AA177" s="90" t="n"/>
      <c r="AB177" s="90" t="n">
        <v>23</v>
      </c>
      <c r="AC177" s="90" t="n">
        <v>1</v>
      </c>
      <c r="AD177" s="93" t="inlineStr">
        <is>
          <t>増</t>
        </is>
      </c>
      <c r="AE177" s="90" t="inlineStr">
        <is>
          <t>23 結婚</t>
        </is>
      </c>
      <c r="AF177" s="90" t="n"/>
      <c r="AG177" s="90" t="n"/>
      <c r="AH177" s="90" t="n"/>
      <c r="AI177" s="90" t="n"/>
      <c r="AJ177" s="90" t="n"/>
      <c r="AK177" s="90" t="n"/>
      <c r="AL177" s="94">
        <f>IF(A177="","",IF(COUNTIF(A177:A$2001,A177)=1,1,0))</f>
        <v/>
      </c>
      <c r="AM177" s="94">
        <f>IF(I177="","",TODAY()-I177)</f>
        <v/>
      </c>
      <c r="AN177" s="94">
        <f>IF(A177="","",IF(AND(E177&lt;&gt;"33 確認済",E177&lt;&gt;"36 送付中"),1,0))</f>
        <v/>
      </c>
      <c r="AO177" s="94">
        <f>IF(A177="","",IF(AG177&lt;&gt;"",1,0))</f>
        <v/>
      </c>
      <c r="AP177" s="220">
        <f>IF(P177&lt;&gt;"","・添待ち","")&amp;IF(Q177&lt;&gt;"","・住民票","")&amp;IF(R177&lt;&gt;"","・発信","")&amp;IF(S177&lt;&gt;"","・確認事項","")&amp;IF(T177&lt;&gt;"","・管","")&amp;IF(U177&lt;&gt;"","・SV","")&amp;IF(V177&lt;&gt;"","・データ送付待ち","")&amp;IF(W177&lt;&gt;"","・削除","")</f>
        <v/>
      </c>
    </row>
    <row r="178" ht="15" customHeight="1" s="87">
      <c r="A178" s="90" t="n">
        <v>202660001329</v>
      </c>
      <c r="B178" s="90" t="n"/>
      <c r="C178" s="90" t="n"/>
      <c r="D178" s="90" t="n">
        <v>33</v>
      </c>
      <c r="E178" s="90" t="inlineStr">
        <is>
          <t>33 確認済</t>
        </is>
      </c>
      <c r="F178" s="90" t="n"/>
      <c r="G178" s="90" t="n"/>
      <c r="H178" s="91" t="n">
        <v>46174</v>
      </c>
      <c r="I178" s="92" t="n">
        <v>46273</v>
      </c>
      <c r="J178" s="91" t="n">
        <v>46275</v>
      </c>
      <c r="K178" s="91" t="n">
        <v>46275</v>
      </c>
      <c r="L178" s="90" t="n"/>
      <c r="M178" s="90" t="n"/>
      <c r="N178" s="90" t="n"/>
      <c r="O178" s="90" t="inlineStr">
        <is>
          <t>40 ＳＶ承認</t>
        </is>
      </c>
      <c r="P178" s="90" t="n"/>
      <c r="Q178" s="90" t="n"/>
      <c r="R178" s="90" t="n"/>
      <c r="S178" s="90" t="n"/>
      <c r="T178" s="90" t="n"/>
      <c r="U178" s="90" t="n"/>
      <c r="V178" s="90" t="n"/>
      <c r="W178" s="90" t="n"/>
      <c r="X178" s="90" t="n"/>
      <c r="Y178" s="90" t="n"/>
      <c r="Z178" s="90" t="n"/>
      <c r="AA178" s="90" t="n"/>
      <c r="AB178" s="90" t="n">
        <v>47</v>
      </c>
      <c r="AC178" s="90" t="n">
        <v>0</v>
      </c>
      <c r="AD178" s="93" t="inlineStr">
        <is>
          <t>減</t>
        </is>
      </c>
      <c r="AE178" s="90" t="inlineStr">
        <is>
          <t>47 扶養親族の就職</t>
        </is>
      </c>
      <c r="AF178" s="93" t="inlineStr">
        <is>
          <t>減</t>
        </is>
      </c>
      <c r="AG178" s="93" t="inlineStr">
        <is>
          <t>減</t>
        </is>
      </c>
      <c r="AH178" s="93" t="inlineStr">
        <is>
          <t>減</t>
        </is>
      </c>
      <c r="AI178" s="90" t="n"/>
      <c r="AJ178" s="90" t="n"/>
      <c r="AK178" s="90" t="n"/>
      <c r="AL178" s="94">
        <f>IF(A178="","",IF(COUNTIF(A178:A$2001,A178)=1,1,0))</f>
        <v/>
      </c>
      <c r="AM178" s="94">
        <f>IF(I178="","",TODAY()-I178)</f>
        <v/>
      </c>
      <c r="AN178" s="94">
        <f>IF(A178="","",IF(AND(E178&lt;&gt;"33 確認済",E178&lt;&gt;"36 送付中"),1,0))</f>
        <v/>
      </c>
      <c r="AO178" s="94">
        <f>IF(A178="","",IF(AG178&lt;&gt;"",1,0))</f>
        <v/>
      </c>
      <c r="AP178" s="220">
        <f>IF(P178&lt;&gt;"","・添待ち","")&amp;IF(Q178&lt;&gt;"","・住民票","")&amp;IF(R178&lt;&gt;"","・発信","")&amp;IF(S178&lt;&gt;"","・確認事項","")&amp;IF(T178&lt;&gt;"","・管","")&amp;IF(U178&lt;&gt;"","・SV","")&amp;IF(V178&lt;&gt;"","・データ送付待ち","")&amp;IF(W178&lt;&gt;"","・削除","")</f>
        <v/>
      </c>
    </row>
    <row r="179" ht="15" customHeight="1" s="87">
      <c r="A179" s="90" t="n">
        <v>202660001330</v>
      </c>
      <c r="B179" s="90" t="n"/>
      <c r="C179" s="90" t="n"/>
      <c r="D179" s="90" t="n">
        <v>33</v>
      </c>
      <c r="E179" s="90" t="inlineStr">
        <is>
          <t>33 確認済</t>
        </is>
      </c>
      <c r="F179" s="90" t="n"/>
      <c r="G179" s="90" t="n"/>
      <c r="H179" s="91" t="n">
        <v>46265</v>
      </c>
      <c r="I179" s="92" t="n">
        <v>46273</v>
      </c>
      <c r="J179" s="91" t="n">
        <v>46279</v>
      </c>
      <c r="K179" s="91" t="n">
        <v>46279</v>
      </c>
      <c r="L179" s="90" t="n"/>
      <c r="M179" s="90" t="n"/>
      <c r="N179" s="90" t="n"/>
      <c r="O179" s="90" t="inlineStr">
        <is>
          <t>40 ＳＶ承認</t>
        </is>
      </c>
      <c r="P179" s="90" t="n"/>
      <c r="Q179" s="90" t="n"/>
      <c r="R179" s="90" t="n"/>
      <c r="S179" s="90" t="n"/>
      <c r="T179" s="90" t="n"/>
      <c r="U179" s="90" t="n"/>
      <c r="V179" s="90" t="n"/>
      <c r="W179" s="90" t="n"/>
      <c r="X179" s="90" t="n"/>
      <c r="Y179" s="90" t="n"/>
      <c r="Z179" s="90" t="n"/>
      <c r="AA179" s="90" t="n"/>
      <c r="AB179" s="90" t="n">
        <v>99</v>
      </c>
      <c r="AC179" s="90" t="n">
        <v>1</v>
      </c>
      <c r="AD179" s="93" t="inlineStr">
        <is>
          <t>増</t>
        </is>
      </c>
      <c r="AE179" s="90" t="inlineStr">
        <is>
          <t>99 その他</t>
        </is>
      </c>
      <c r="AF179" s="93" t="inlineStr">
        <is>
          <t>増</t>
        </is>
      </c>
      <c r="AG179" s="93" t="inlineStr">
        <is>
          <t>増</t>
        </is>
      </c>
      <c r="AH179" s="90" t="n"/>
      <c r="AI179" s="90" t="n"/>
      <c r="AJ179" s="90" t="n"/>
      <c r="AK179" s="90" t="n"/>
      <c r="AL179" s="94">
        <f>IF(A179="","",IF(COUNTIF(A179:A$2001,A179)=1,1,0))</f>
        <v/>
      </c>
      <c r="AM179" s="94">
        <f>IF(I179="","",TODAY()-I179)</f>
        <v/>
      </c>
      <c r="AN179" s="94">
        <f>IF(A179="","",IF(AND(E179&lt;&gt;"33 確認済",E179&lt;&gt;"36 送付中"),1,0))</f>
        <v/>
      </c>
      <c r="AO179" s="94">
        <f>IF(A179="","",IF(AG179&lt;&gt;"",1,0))</f>
        <v/>
      </c>
      <c r="AP179" s="220">
        <f>IF(P179&lt;&gt;"","・添待ち","")&amp;IF(Q179&lt;&gt;"","・住民票","")&amp;IF(R179&lt;&gt;"","・発信","")&amp;IF(S179&lt;&gt;"","・確認事項","")&amp;IF(T179&lt;&gt;"","・管","")&amp;IF(U179&lt;&gt;"","・SV","")&amp;IF(V179&lt;&gt;"","・データ送付待ち","")&amp;IF(W179&lt;&gt;"","・削除","")</f>
        <v/>
      </c>
    </row>
    <row r="180" ht="15" customHeight="1" s="87">
      <c r="A180" s="90" t="n">
        <v>202660001331</v>
      </c>
      <c r="B180" s="90" t="n"/>
      <c r="C180" s="90" t="n"/>
      <c r="D180" s="90" t="n">
        <v>32</v>
      </c>
      <c r="E180" s="90" t="inlineStr">
        <is>
          <t>32 ＳＶ確認中</t>
        </is>
      </c>
      <c r="F180" s="90" t="n">
        <v>30</v>
      </c>
      <c r="G180" s="90" t="inlineStr">
        <is>
          <t>30 却下</t>
        </is>
      </c>
      <c r="H180" s="91" t="n">
        <v>46261</v>
      </c>
      <c r="I180" s="92" t="n">
        <v>46273</v>
      </c>
      <c r="J180" s="91" t="n">
        <v>46279</v>
      </c>
      <c r="K180" s="91" t="n">
        <v>46279</v>
      </c>
      <c r="L180" s="90" t="n"/>
      <c r="M180" s="90" t="n"/>
      <c r="N180" s="90" t="n"/>
      <c r="O180" s="90" t="inlineStr">
        <is>
          <t>30 登録</t>
        </is>
      </c>
      <c r="P180" s="90" t="n"/>
      <c r="Q180" s="90" t="n"/>
      <c r="R180" s="90" t="n"/>
      <c r="S180" s="90" t="n"/>
      <c r="T180" s="90" t="n"/>
      <c r="U180" s="90" t="n"/>
      <c r="V180" s="90" t="n"/>
      <c r="W180" s="90" t="n"/>
      <c r="X180" s="90" t="n"/>
      <c r="Y180" s="90" t="n"/>
      <c r="Z180" s="90" t="n"/>
      <c r="AA180" s="90" t="n"/>
      <c r="AB180" s="90" t="n">
        <v>21</v>
      </c>
      <c r="AC180" s="90" t="n">
        <v>1</v>
      </c>
      <c r="AD180" s="93" t="inlineStr">
        <is>
          <t>増</t>
        </is>
      </c>
      <c r="AE180" s="90" t="inlineStr">
        <is>
          <t>21 出生</t>
        </is>
      </c>
      <c r="AF180" s="93" t="inlineStr">
        <is>
          <t>増</t>
        </is>
      </c>
      <c r="AG180" s="93" t="inlineStr">
        <is>
          <t>増</t>
        </is>
      </c>
      <c r="AH180" s="93" t="inlineStr">
        <is>
          <t>増</t>
        </is>
      </c>
      <c r="AI180" s="90" t="n"/>
      <c r="AJ180" s="90" t="n"/>
      <c r="AK180" s="90" t="n"/>
      <c r="AL180" s="94">
        <f>IF(A180="","",IF(COUNTIF(A180:A$2001,A180)=1,1,0))</f>
        <v/>
      </c>
      <c r="AM180" s="94">
        <f>IF(I180="","",TODAY()-I180)</f>
        <v/>
      </c>
      <c r="AN180" s="94">
        <f>IF(A180="","",IF(AND(E180&lt;&gt;"33 確認済",E180&lt;&gt;"36 送付中"),1,0))</f>
        <v/>
      </c>
      <c r="AO180" s="94">
        <f>IF(A180="","",IF(AG180&lt;&gt;"",1,0))</f>
        <v/>
      </c>
      <c r="AP180" s="220">
        <f>IF(P180&lt;&gt;"","・添待ち","")&amp;IF(Q180&lt;&gt;"","・住民票","")&amp;IF(R180&lt;&gt;"","・発信","")&amp;IF(S180&lt;&gt;"","・確認事項","")&amp;IF(T180&lt;&gt;"","・管","")&amp;IF(U180&lt;&gt;"","・SV","")&amp;IF(V180&lt;&gt;"","・データ送付待ち","")&amp;IF(W180&lt;&gt;"","・削除","")</f>
        <v/>
      </c>
    </row>
    <row r="181" ht="15" customHeight="1" s="87">
      <c r="A181" s="90" t="n">
        <v>202660001333</v>
      </c>
      <c r="B181" s="90" t="n"/>
      <c r="C181" s="90" t="n"/>
      <c r="D181" s="90" t="n">
        <v>32</v>
      </c>
      <c r="E181" s="90" t="inlineStr">
        <is>
          <t>32 ＳＶ確認中</t>
        </is>
      </c>
      <c r="F181" s="90" t="n"/>
      <c r="G181" s="90" t="n"/>
      <c r="H181" s="91" t="n">
        <v>46234</v>
      </c>
      <c r="I181" s="92" t="n">
        <v>46273</v>
      </c>
      <c r="J181" s="91" t="n">
        <v>46274</v>
      </c>
      <c r="K181" s="91" t="n">
        <v>46282</v>
      </c>
      <c r="L181" s="90" t="n"/>
      <c r="M181" s="90" t="n"/>
      <c r="N181" s="90" t="n"/>
      <c r="O181" s="90" t="inlineStr">
        <is>
          <t>30 登録</t>
        </is>
      </c>
      <c r="P181" s="90" t="n"/>
      <c r="Q181" s="90" t="n"/>
      <c r="R181" s="90" t="n"/>
      <c r="S181" s="90" t="n"/>
      <c r="T181" s="90" t="n"/>
      <c r="U181" s="90" t="n"/>
      <c r="V181" s="90" t="n"/>
      <c r="W181" s="90" t="n"/>
      <c r="X181" s="90" t="n"/>
      <c r="Y181" s="90" t="n"/>
      <c r="Z181" s="90" t="n"/>
      <c r="AA181" s="90" t="n"/>
      <c r="AB181" s="90" t="n">
        <v>3</v>
      </c>
      <c r="AC181" s="90" t="n">
        <v>0</v>
      </c>
      <c r="AD181" s="93" t="inlineStr">
        <is>
          <t>減</t>
        </is>
      </c>
      <c r="AE181" s="90" t="inlineStr">
        <is>
          <t>03 離婚</t>
        </is>
      </c>
      <c r="AF181" s="90" t="n"/>
      <c r="AG181" s="90" t="n"/>
      <c r="AH181" s="90" t="n"/>
      <c r="AI181" s="90" t="n"/>
      <c r="AJ181" s="90" t="n"/>
      <c r="AK181" s="90" t="n"/>
      <c r="AL181" s="94">
        <f>IF(A181="","",IF(COUNTIF(A181:A$2001,A181)=1,1,0))</f>
        <v/>
      </c>
      <c r="AM181" s="94">
        <f>IF(I181="","",TODAY()-I181)</f>
        <v/>
      </c>
      <c r="AN181" s="94">
        <f>IF(A181="","",IF(AND(E181&lt;&gt;"33 確認済",E181&lt;&gt;"36 送付中"),1,0))</f>
        <v/>
      </c>
      <c r="AO181" s="94">
        <f>IF(A181="","",IF(AG181&lt;&gt;"",1,0))</f>
        <v/>
      </c>
      <c r="AP181" s="220">
        <f>IF(P181&lt;&gt;"","・添待ち","")&amp;IF(Q181&lt;&gt;"","・住民票","")&amp;IF(R181&lt;&gt;"","・発信","")&amp;IF(S181&lt;&gt;"","・確認事項","")&amp;IF(T181&lt;&gt;"","・管","")&amp;IF(U181&lt;&gt;"","・SV","")&amp;IF(V181&lt;&gt;"","・データ送付待ち","")&amp;IF(W181&lt;&gt;"","・削除","")</f>
        <v/>
      </c>
    </row>
    <row r="182" ht="15" customHeight="1" s="87">
      <c r="A182" s="90" t="n">
        <v>202660001334</v>
      </c>
      <c r="B182" s="90" t="n"/>
      <c r="C182" s="90" t="n"/>
      <c r="D182" s="90" t="n">
        <v>20</v>
      </c>
      <c r="E182" s="90" t="inlineStr">
        <is>
          <t>20 確認待ち</t>
        </is>
      </c>
      <c r="F182" s="90" t="n">
        <v>20</v>
      </c>
      <c r="G182" s="90" t="inlineStr">
        <is>
          <t>20 差戻し</t>
        </is>
      </c>
      <c r="H182" s="91" t="n">
        <v>46271</v>
      </c>
      <c r="I182" s="92" t="n">
        <v>46273</v>
      </c>
      <c r="J182" s="91" t="n">
        <v>46275</v>
      </c>
      <c r="K182" s="91" t="n">
        <v>46275</v>
      </c>
      <c r="L182" s="90" t="n"/>
      <c r="M182" s="90" t="n"/>
      <c r="N182" s="90" t="n"/>
      <c r="O182" s="90" t="inlineStr">
        <is>
          <t>11 差戻し申請</t>
        </is>
      </c>
      <c r="P182" s="93" t="inlineStr">
        <is>
          <t>添</t>
        </is>
      </c>
      <c r="Q182" s="90" t="n"/>
      <c r="R182" s="90" t="n"/>
      <c r="S182" s="90" t="n"/>
      <c r="T182" s="90" t="n"/>
      <c r="U182" s="90" t="n"/>
      <c r="V182" s="90" t="n"/>
      <c r="W182" s="90" t="n"/>
      <c r="X182" s="90" t="n"/>
      <c r="Y182" s="90" t="n"/>
      <c r="Z182" s="90" t="n"/>
      <c r="AA182" s="90" t="n"/>
      <c r="AB182" s="90" t="n">
        <v>21</v>
      </c>
      <c r="AC182" s="90" t="n">
        <v>1</v>
      </c>
      <c r="AD182" s="93" t="inlineStr">
        <is>
          <t>増</t>
        </is>
      </c>
      <c r="AE182" s="90" t="inlineStr">
        <is>
          <t>21 出生</t>
        </is>
      </c>
      <c r="AF182" s="93" t="inlineStr">
        <is>
          <t>増</t>
        </is>
      </c>
      <c r="AG182" s="93" t="inlineStr">
        <is>
          <t>増</t>
        </is>
      </c>
      <c r="AH182" s="93" t="inlineStr">
        <is>
          <t>増</t>
        </is>
      </c>
      <c r="AI182" s="90" t="n"/>
      <c r="AJ182" s="90" t="n"/>
      <c r="AK182" s="90" t="n"/>
      <c r="AL182" s="94">
        <f>IF(A182="","",IF(COUNTIF(A182:A$2001,A182)=1,1,0))</f>
        <v/>
      </c>
      <c r="AM182" s="94">
        <f>IF(I182="","",TODAY()-I182)</f>
        <v/>
      </c>
      <c r="AN182" s="94">
        <f>IF(A182="","",IF(AND(E182&lt;&gt;"33 確認済",E182&lt;&gt;"36 送付中"),1,0))</f>
        <v/>
      </c>
      <c r="AO182" s="94">
        <f>IF(A182="","",IF(AG182&lt;&gt;"",1,0))</f>
        <v/>
      </c>
      <c r="AP182" s="220">
        <f>IF(P182&lt;&gt;"","・添待ち","")&amp;IF(Q182&lt;&gt;"","・住民票","")&amp;IF(R182&lt;&gt;"","・発信","")&amp;IF(S182&lt;&gt;"","・確認事項","")&amp;IF(T182&lt;&gt;"","・管","")&amp;IF(U182&lt;&gt;"","・SV","")&amp;IF(V182&lt;&gt;"","・データ送付待ち","")&amp;IF(W182&lt;&gt;"","・削除","")</f>
        <v/>
      </c>
    </row>
    <row r="183" ht="15" customHeight="1" s="87">
      <c r="A183" s="90" t="n">
        <v>202660001337</v>
      </c>
      <c r="B183" s="90" t="n"/>
      <c r="C183" s="90" t="n"/>
      <c r="D183" s="90" t="n">
        <v>20</v>
      </c>
      <c r="E183" s="90" t="inlineStr">
        <is>
          <t>20 確認待ち</t>
        </is>
      </c>
      <c r="F183" s="90" t="n"/>
      <c r="G183" s="90" t="n"/>
      <c r="H183" s="91" t="n">
        <v>46254</v>
      </c>
      <c r="I183" s="92" t="n">
        <v>46273</v>
      </c>
      <c r="J183" s="90" t="n"/>
      <c r="K183" s="90" t="n"/>
      <c r="L183" s="90" t="n"/>
      <c r="M183" s="90" t="n"/>
      <c r="N183" s="90" t="n"/>
      <c r="O183" s="90" t="inlineStr">
        <is>
          <t>55 添付書類待ち登録</t>
        </is>
      </c>
      <c r="P183" s="93" t="inlineStr">
        <is>
          <t>添</t>
        </is>
      </c>
      <c r="Q183" s="90" t="n"/>
      <c r="R183" s="90" t="n"/>
      <c r="S183" s="90" t="n"/>
      <c r="T183" s="90" t="n"/>
      <c r="U183" s="90" t="n"/>
      <c r="V183" s="90" t="n"/>
      <c r="W183" s="90" t="n"/>
      <c r="X183" s="90" t="n"/>
      <c r="Y183" s="90" t="n"/>
      <c r="Z183" s="90" t="n"/>
      <c r="AA183" s="90" t="n"/>
      <c r="AB183" s="90" t="n">
        <v>21</v>
      </c>
      <c r="AC183" s="90" t="n">
        <v>1</v>
      </c>
      <c r="AD183" s="93" t="inlineStr">
        <is>
          <t>増</t>
        </is>
      </c>
      <c r="AE183" s="90" t="inlineStr">
        <is>
          <t>21 出生</t>
        </is>
      </c>
      <c r="AF183" s="93" t="inlineStr">
        <is>
          <t>増</t>
        </is>
      </c>
      <c r="AG183" s="93" t="inlineStr">
        <is>
          <t>増</t>
        </is>
      </c>
      <c r="AH183" s="93" t="inlineStr">
        <is>
          <t>増</t>
        </is>
      </c>
      <c r="AI183" s="90" t="n"/>
      <c r="AJ183" s="90" t="n"/>
      <c r="AK183" s="90" t="n"/>
      <c r="AL183" s="94">
        <f>IF(A183="","",IF(COUNTIF(A183:A$2001,A183)=1,1,0))</f>
        <v/>
      </c>
      <c r="AM183" s="94">
        <f>IF(I183="","",TODAY()-I183)</f>
        <v/>
      </c>
      <c r="AN183" s="94">
        <f>IF(A183="","",IF(AND(E183&lt;&gt;"33 確認済",E183&lt;&gt;"36 送付中"),1,0))</f>
        <v/>
      </c>
      <c r="AO183" s="94">
        <f>IF(A183="","",IF(AG183&lt;&gt;"",1,0))</f>
        <v/>
      </c>
      <c r="AP183" s="220">
        <f>IF(P183&lt;&gt;"","・添待ち","")&amp;IF(Q183&lt;&gt;"","・住民票","")&amp;IF(R183&lt;&gt;"","・発信","")&amp;IF(S183&lt;&gt;"","・確認事項","")&amp;IF(T183&lt;&gt;"","・管","")&amp;IF(U183&lt;&gt;"","・SV","")&amp;IF(V183&lt;&gt;"","・データ送付待ち","")&amp;IF(W183&lt;&gt;"","・削除","")</f>
        <v/>
      </c>
    </row>
    <row r="184" ht="15" customHeight="1" s="87">
      <c r="A184" s="90" t="n">
        <v>202660001338</v>
      </c>
      <c r="B184" s="90" t="n"/>
      <c r="C184" s="90" t="n"/>
      <c r="D184" s="90" t="n">
        <v>32</v>
      </c>
      <c r="E184" s="90" t="inlineStr">
        <is>
          <t>32 ＳＶ確認中</t>
        </is>
      </c>
      <c r="F184" s="90" t="n"/>
      <c r="G184" s="90" t="n"/>
      <c r="H184" s="91" t="n">
        <v>46267</v>
      </c>
      <c r="I184" s="92" t="n">
        <v>46273</v>
      </c>
      <c r="J184" s="91" t="n">
        <v>46274</v>
      </c>
      <c r="K184" s="91" t="n">
        <v>46276</v>
      </c>
      <c r="L184" s="90" t="n"/>
      <c r="M184" s="90" t="n"/>
      <c r="N184" s="90" t="n"/>
      <c r="O184" s="90" t="inlineStr">
        <is>
          <t>30 登録</t>
        </is>
      </c>
      <c r="P184" s="90" t="n"/>
      <c r="Q184" s="90" t="n"/>
      <c r="R184" s="90" t="n"/>
      <c r="S184" s="90" t="n"/>
      <c r="T184" s="90" t="n"/>
      <c r="U184" s="90" t="n"/>
      <c r="V184" s="90" t="n"/>
      <c r="W184" s="90" t="n"/>
      <c r="X184" s="90" t="n"/>
      <c r="Y184" s="90" t="n"/>
      <c r="Z184" s="90" t="n"/>
      <c r="AA184" s="90" t="n"/>
      <c r="AB184" s="90" t="n">
        <v>23</v>
      </c>
      <c r="AC184" s="90" t="n">
        <v>1</v>
      </c>
      <c r="AD184" s="93" t="inlineStr">
        <is>
          <t>増</t>
        </is>
      </c>
      <c r="AE184" s="90" t="inlineStr">
        <is>
          <t>23 本人の結婚</t>
        </is>
      </c>
      <c r="AF184" s="90" t="n"/>
      <c r="AG184" s="90" t="n"/>
      <c r="AH184" s="90" t="n"/>
      <c r="AI184" s="90" t="n"/>
      <c r="AJ184" s="90" t="n"/>
      <c r="AK184" s="90" t="n"/>
      <c r="AL184" s="94">
        <f>IF(A184="","",IF(COUNTIF(A184:A$2001,A184)=1,1,0))</f>
        <v/>
      </c>
      <c r="AM184" s="94">
        <f>IF(I184="","",TODAY()-I184)</f>
        <v/>
      </c>
      <c r="AN184" s="94">
        <f>IF(A184="","",IF(AND(E184&lt;&gt;"33 確認済",E184&lt;&gt;"36 送付中"),1,0))</f>
        <v/>
      </c>
      <c r="AO184" s="94">
        <f>IF(A184="","",IF(AG184&lt;&gt;"",1,0))</f>
        <v/>
      </c>
      <c r="AP184" s="220">
        <f>IF(P184&lt;&gt;"","・添待ち","")&amp;IF(Q184&lt;&gt;"","・住民票","")&amp;IF(R184&lt;&gt;"","・発信","")&amp;IF(S184&lt;&gt;"","・確認事項","")&amp;IF(T184&lt;&gt;"","・管","")&amp;IF(U184&lt;&gt;"","・SV","")&amp;IF(V184&lt;&gt;"","・データ送付待ち","")&amp;IF(W184&lt;&gt;"","・削除","")</f>
        <v/>
      </c>
    </row>
    <row r="185" ht="15" customHeight="1" s="87">
      <c r="A185" s="90" t="n">
        <v>202660001338</v>
      </c>
      <c r="B185" s="90" t="n"/>
      <c r="C185" s="90" t="n"/>
      <c r="D185" s="90" t="n">
        <v>32</v>
      </c>
      <c r="E185" s="90" t="inlineStr">
        <is>
          <t>32 ＳＶ確認中</t>
        </is>
      </c>
      <c r="F185" s="90" t="n"/>
      <c r="G185" s="90" t="n"/>
      <c r="H185" s="91" t="n">
        <v>46267</v>
      </c>
      <c r="I185" s="92" t="n">
        <v>46273</v>
      </c>
      <c r="J185" s="91" t="n">
        <v>46274</v>
      </c>
      <c r="K185" s="91" t="n">
        <v>46276</v>
      </c>
      <c r="L185" s="90" t="n"/>
      <c r="M185" s="90" t="n"/>
      <c r="N185" s="90" t="n"/>
      <c r="O185" s="90" t="inlineStr">
        <is>
          <t>30 登録</t>
        </is>
      </c>
      <c r="P185" s="90" t="n"/>
      <c r="Q185" s="90" t="n"/>
      <c r="R185" s="90" t="n"/>
      <c r="S185" s="90" t="n"/>
      <c r="T185" s="90" t="n"/>
      <c r="U185" s="90" t="n"/>
      <c r="V185" s="90" t="n"/>
      <c r="W185" s="90" t="n"/>
      <c r="X185" s="90" t="n"/>
      <c r="Y185" s="90" t="n"/>
      <c r="Z185" s="90" t="n"/>
      <c r="AA185" s="90" t="n"/>
      <c r="AB185" s="90" t="n">
        <v>23</v>
      </c>
      <c r="AC185" s="90" t="n">
        <v>1</v>
      </c>
      <c r="AD185" s="93" t="inlineStr">
        <is>
          <t>増</t>
        </is>
      </c>
      <c r="AE185" s="90" t="inlineStr">
        <is>
          <t>23 結婚</t>
        </is>
      </c>
      <c r="AF185" s="90" t="n"/>
      <c r="AG185" s="90" t="n"/>
      <c r="AH185" s="90" t="n"/>
      <c r="AI185" s="90" t="n"/>
      <c r="AJ185" s="90" t="n"/>
      <c r="AK185" s="90" t="n"/>
      <c r="AL185" s="94">
        <f>IF(A185="","",IF(COUNTIF(A185:A$2001,A185)=1,1,0))</f>
        <v/>
      </c>
      <c r="AM185" s="94">
        <f>IF(I185="","",TODAY()-I185)</f>
        <v/>
      </c>
      <c r="AN185" s="94">
        <f>IF(A185="","",IF(AND(E185&lt;&gt;"33 確認済",E185&lt;&gt;"36 送付中"),1,0))</f>
        <v/>
      </c>
      <c r="AO185" s="94">
        <f>IF(A185="","",IF(AG185&lt;&gt;"",1,0))</f>
        <v/>
      </c>
      <c r="AP185" s="220">
        <f>IF(P185&lt;&gt;"","・添待ち","")&amp;IF(Q185&lt;&gt;"","・住民票","")&amp;IF(R185&lt;&gt;"","・発信","")&amp;IF(S185&lt;&gt;"","・確認事項","")&amp;IF(T185&lt;&gt;"","・管","")&amp;IF(U185&lt;&gt;"","・SV","")&amp;IF(V185&lt;&gt;"","・データ送付待ち","")&amp;IF(W185&lt;&gt;"","・削除","")</f>
        <v/>
      </c>
    </row>
    <row r="186" ht="15" customHeight="1" s="87">
      <c r="A186" s="90" t="n">
        <v>202660001340</v>
      </c>
      <c r="B186" s="90" t="n"/>
      <c r="C186" s="90" t="n"/>
      <c r="D186" s="90" t="n">
        <v>31</v>
      </c>
      <c r="E186" s="90" t="inlineStr">
        <is>
          <t>31 ＯＰ確認中</t>
        </is>
      </c>
      <c r="F186" s="90" t="n"/>
      <c r="G186" s="90" t="n"/>
      <c r="H186" s="91" t="n">
        <v>46113</v>
      </c>
      <c r="I186" s="92" t="n">
        <v>46274</v>
      </c>
      <c r="J186" s="91" t="n">
        <v>46283</v>
      </c>
      <c r="K186" s="91" t="n">
        <v>46283</v>
      </c>
      <c r="L186" s="90" t="n"/>
      <c r="M186" s="90" t="n"/>
      <c r="N186" s="90" t="n"/>
      <c r="O186" s="90" t="inlineStr">
        <is>
          <t>22 担当者変更</t>
        </is>
      </c>
      <c r="P186" s="90" t="n"/>
      <c r="Q186" s="90" t="n"/>
      <c r="R186" s="90" t="n"/>
      <c r="S186" s="90" t="n"/>
      <c r="T186" s="90" t="n"/>
      <c r="U186" s="90" t="n"/>
      <c r="V186" s="90" t="n"/>
      <c r="W186" s="90" t="n"/>
      <c r="X186" s="90" t="n"/>
      <c r="Y186" s="90" t="n"/>
      <c r="Z186" s="90" t="n"/>
      <c r="AA186" s="90" t="n"/>
      <c r="AB186" s="90" t="n">
        <v>97</v>
      </c>
      <c r="AC186" s="90" t="n">
        <v>1</v>
      </c>
      <c r="AD186" s="93" t="inlineStr">
        <is>
          <t>増</t>
        </is>
      </c>
      <c r="AE186" s="90" t="inlineStr">
        <is>
          <t>97 扶養親族の同別居変更</t>
        </is>
      </c>
      <c r="AF186" s="93" t="inlineStr">
        <is>
          <t>増</t>
        </is>
      </c>
      <c r="AG186" s="93" t="inlineStr">
        <is>
          <t>増</t>
        </is>
      </c>
      <c r="AH186" s="93" t="inlineStr">
        <is>
          <t>増</t>
        </is>
      </c>
      <c r="AI186" s="90" t="n"/>
      <c r="AJ186" s="90" t="n"/>
      <c r="AK186" s="90" t="n"/>
      <c r="AL186" s="94">
        <f>IF(A186="","",IF(COUNTIF(A186:A$2001,A186)=1,1,0))</f>
        <v/>
      </c>
      <c r="AM186" s="94">
        <f>IF(I186="","",TODAY()-I186)</f>
        <v/>
      </c>
      <c r="AN186" s="94">
        <f>IF(A186="","",IF(AND(E186&lt;&gt;"33 確認済",E186&lt;&gt;"36 送付中"),1,0))</f>
        <v/>
      </c>
      <c r="AO186" s="94">
        <f>IF(A186="","",IF(AG186&lt;&gt;"",1,0))</f>
        <v/>
      </c>
      <c r="AP186" s="220">
        <f>IF(P186&lt;&gt;"","・添待ち","")&amp;IF(Q186&lt;&gt;"","・住民票","")&amp;IF(R186&lt;&gt;"","・発信","")&amp;IF(S186&lt;&gt;"","・確認事項","")&amp;IF(T186&lt;&gt;"","・管","")&amp;IF(U186&lt;&gt;"","・SV","")&amp;IF(V186&lt;&gt;"","・データ送付待ち","")&amp;IF(W186&lt;&gt;"","・削除","")</f>
        <v/>
      </c>
    </row>
    <row r="187" ht="15" customHeight="1" s="87">
      <c r="A187" s="90" t="n">
        <v>202660001341</v>
      </c>
      <c r="B187" s="90" t="n"/>
      <c r="C187" s="90" t="n"/>
      <c r="D187" s="90" t="n">
        <v>20</v>
      </c>
      <c r="E187" s="90" t="inlineStr">
        <is>
          <t>20 確認待ち</t>
        </is>
      </c>
      <c r="F187" s="90" t="n"/>
      <c r="G187" s="90" t="n"/>
      <c r="H187" s="91" t="n">
        <v>45948</v>
      </c>
      <c r="I187" s="92" t="n">
        <v>46274</v>
      </c>
      <c r="J187" s="90" t="n"/>
      <c r="K187" s="90" t="n"/>
      <c r="L187" s="90" t="n"/>
      <c r="M187" s="90" t="n"/>
      <c r="N187" s="90" t="n"/>
      <c r="O187" s="90" t="inlineStr">
        <is>
          <t>55 添付書類待ち登録</t>
        </is>
      </c>
      <c r="P187" s="93" t="inlineStr">
        <is>
          <t>添</t>
        </is>
      </c>
      <c r="Q187" s="90" t="n"/>
      <c r="R187" s="90" t="n"/>
      <c r="S187" s="90" t="n"/>
      <c r="T187" s="90" t="n"/>
      <c r="U187" s="90" t="n"/>
      <c r="V187" s="90" t="n"/>
      <c r="W187" s="90" t="n"/>
      <c r="X187" s="90" t="n"/>
      <c r="Y187" s="90" t="n"/>
      <c r="Z187" s="90" t="n"/>
      <c r="AA187" s="90" t="n"/>
      <c r="AB187" s="90" t="n">
        <v>51</v>
      </c>
      <c r="AC187" s="90" t="n">
        <v>0</v>
      </c>
      <c r="AD187" s="93" t="inlineStr">
        <is>
          <t>減</t>
        </is>
      </c>
      <c r="AE187" s="90" t="inlineStr">
        <is>
          <t>51 収入限度額以上</t>
        </is>
      </c>
      <c r="AF187" s="93" t="inlineStr">
        <is>
          <t>減</t>
        </is>
      </c>
      <c r="AG187" s="93" t="inlineStr">
        <is>
          <t>減</t>
        </is>
      </c>
      <c r="AH187" s="90" t="n"/>
      <c r="AI187" s="90" t="n"/>
      <c r="AJ187" s="90" t="n"/>
      <c r="AK187" s="90" t="n"/>
      <c r="AL187" s="94">
        <f>IF(A187="","",IF(COUNTIF(A187:A$2001,A187)=1,1,0))</f>
        <v/>
      </c>
      <c r="AM187" s="94">
        <f>IF(I187="","",TODAY()-I187)</f>
        <v/>
      </c>
      <c r="AN187" s="94">
        <f>IF(A187="","",IF(AND(E187&lt;&gt;"33 確認済",E187&lt;&gt;"36 送付中"),1,0))</f>
        <v/>
      </c>
      <c r="AO187" s="94">
        <f>IF(A187="","",IF(AG187&lt;&gt;"",1,0))</f>
        <v/>
      </c>
      <c r="AP187" s="220">
        <f>IF(P187&lt;&gt;"","・添待ち","")&amp;IF(Q187&lt;&gt;"","・住民票","")&amp;IF(R187&lt;&gt;"","・発信","")&amp;IF(S187&lt;&gt;"","・確認事項","")&amp;IF(T187&lt;&gt;"","・管","")&amp;IF(U187&lt;&gt;"","・SV","")&amp;IF(V187&lt;&gt;"","・データ送付待ち","")&amp;IF(W187&lt;&gt;"","・削除","")</f>
        <v/>
      </c>
    </row>
    <row r="188" ht="15" customHeight="1" s="87">
      <c r="A188" s="90" t="n">
        <v>202660001342</v>
      </c>
      <c r="B188" s="90" t="n"/>
      <c r="C188" s="90" t="n"/>
      <c r="D188" s="90" t="n">
        <v>40</v>
      </c>
      <c r="E188" s="90" t="inlineStr">
        <is>
          <t>40 差戻し</t>
        </is>
      </c>
      <c r="F188" s="90" t="n">
        <v>20</v>
      </c>
      <c r="G188" s="90" t="inlineStr">
        <is>
          <t>20 差戻し</t>
        </is>
      </c>
      <c r="H188" s="91" t="n">
        <v>46266</v>
      </c>
      <c r="I188" s="92" t="n">
        <v>46274</v>
      </c>
      <c r="J188" s="91" t="n">
        <v>46275</v>
      </c>
      <c r="K188" s="91" t="n">
        <v>46275</v>
      </c>
      <c r="L188" s="90" t="n"/>
      <c r="M188" s="90" t="n"/>
      <c r="N188" s="90" t="n"/>
      <c r="O188" s="90" t="inlineStr">
        <is>
          <t>55 添付書類待ち登録</t>
        </is>
      </c>
      <c r="P188" s="93" t="inlineStr">
        <is>
          <t>添</t>
        </is>
      </c>
      <c r="Q188" s="90" t="n"/>
      <c r="R188" s="90" t="n"/>
      <c r="S188" s="90" t="n"/>
      <c r="T188" s="90" t="n"/>
      <c r="U188" s="90" t="n"/>
      <c r="V188" s="90" t="n"/>
      <c r="W188" s="90" t="n"/>
      <c r="X188" s="90" t="n"/>
      <c r="Y188" s="90" t="n"/>
      <c r="Z188" s="90" t="n"/>
      <c r="AA188" s="90" t="n"/>
      <c r="AB188" s="90" t="n">
        <v>26</v>
      </c>
      <c r="AC188" s="90" t="n">
        <v>1</v>
      </c>
      <c r="AD188" s="93" t="inlineStr">
        <is>
          <t>増</t>
        </is>
      </c>
      <c r="AE188" s="90" t="inlineStr">
        <is>
          <t>26 扶養者の変更</t>
        </is>
      </c>
      <c r="AF188" s="93" t="inlineStr">
        <is>
          <t>増</t>
        </is>
      </c>
      <c r="AG188" s="90" t="n"/>
      <c r="AH188" s="90" t="n"/>
      <c r="AI188" s="90" t="n"/>
      <c r="AJ188" s="90" t="n"/>
      <c r="AK188" s="90" t="n"/>
      <c r="AL188" s="94">
        <f>IF(A188="","",IF(COUNTIF(A188:A$2001,A188)=1,1,0))</f>
        <v/>
      </c>
      <c r="AM188" s="94">
        <f>IF(I188="","",TODAY()-I188)</f>
        <v/>
      </c>
      <c r="AN188" s="94">
        <f>IF(A188="","",IF(AND(E188&lt;&gt;"33 確認済",E188&lt;&gt;"36 送付中"),1,0))</f>
        <v/>
      </c>
      <c r="AO188" s="94">
        <f>IF(A188="","",IF(AG188&lt;&gt;"",1,0))</f>
        <v/>
      </c>
      <c r="AP188" s="220">
        <f>IF(P188&lt;&gt;"","・添待ち","")&amp;IF(Q188&lt;&gt;"","・住民票","")&amp;IF(R188&lt;&gt;"","・発信","")&amp;IF(S188&lt;&gt;"","・確認事項","")&amp;IF(T188&lt;&gt;"","・管","")&amp;IF(U188&lt;&gt;"","・SV","")&amp;IF(V188&lt;&gt;"","・データ送付待ち","")&amp;IF(W188&lt;&gt;"","・削除","")</f>
        <v/>
      </c>
    </row>
    <row r="189" ht="15" customHeight="1" s="87">
      <c r="A189" s="90" t="n">
        <v>202660001343</v>
      </c>
      <c r="B189" s="90" t="n"/>
      <c r="C189" s="90" t="n"/>
      <c r="D189" s="90" t="n">
        <v>32</v>
      </c>
      <c r="E189" s="90" t="inlineStr">
        <is>
          <t>32 ＳＶ確認中</t>
        </is>
      </c>
      <c r="F189" s="90" t="n"/>
      <c r="G189" s="90" t="n"/>
      <c r="H189" s="91" t="n">
        <v>46266</v>
      </c>
      <c r="I189" s="92" t="n">
        <v>46274</v>
      </c>
      <c r="J189" s="91" t="n">
        <v>46276</v>
      </c>
      <c r="K189" s="91" t="n">
        <v>46276</v>
      </c>
      <c r="L189" s="90" t="n"/>
      <c r="M189" s="90" t="n"/>
      <c r="N189" s="90" t="n"/>
      <c r="O189" s="90" t="inlineStr">
        <is>
          <t>31 差戻し</t>
        </is>
      </c>
      <c r="P189" s="90" t="n"/>
      <c r="Q189" s="90" t="n"/>
      <c r="R189" s="90" t="n"/>
      <c r="S189" s="93" t="inlineStr">
        <is>
          <t>確</t>
        </is>
      </c>
      <c r="T189" s="90" t="n"/>
      <c r="U189" s="90" t="n"/>
      <c r="V189" s="90" t="n"/>
      <c r="W189" s="90" t="n"/>
      <c r="X189" s="90" t="n"/>
      <c r="Y189" s="90" t="n"/>
      <c r="Z189" s="90" t="n"/>
      <c r="AA189" s="90" t="n"/>
      <c r="AB189" s="90" t="n">
        <v>97</v>
      </c>
      <c r="AC189" s="90" t="n">
        <v>1</v>
      </c>
      <c r="AD189" s="93" t="inlineStr">
        <is>
          <t>増</t>
        </is>
      </c>
      <c r="AE189" s="90" t="inlineStr">
        <is>
          <t>97 扶養親族の同別居変更</t>
        </is>
      </c>
      <c r="AF189" s="90" t="n"/>
      <c r="AG189" s="93" t="inlineStr">
        <is>
          <t>増</t>
        </is>
      </c>
      <c r="AH189" s="93" t="inlineStr">
        <is>
          <t>増</t>
        </is>
      </c>
      <c r="AI189" s="90" t="n"/>
      <c r="AJ189" s="90" t="n"/>
      <c r="AK189" s="90" t="n"/>
      <c r="AL189" s="94">
        <f>IF(A189="","",IF(COUNTIF(A189:A$2001,A189)=1,1,0))</f>
        <v/>
      </c>
      <c r="AM189" s="94">
        <f>IF(I189="","",TODAY()-I189)</f>
        <v/>
      </c>
      <c r="AN189" s="94">
        <f>IF(A189="","",IF(AND(E189&lt;&gt;"33 確認済",E189&lt;&gt;"36 送付中"),1,0))</f>
        <v/>
      </c>
      <c r="AO189" s="94">
        <f>IF(A189="","",IF(AG189&lt;&gt;"",1,0))</f>
        <v/>
      </c>
      <c r="AP189" s="220">
        <f>IF(P189&lt;&gt;"","・添待ち","")&amp;IF(Q189&lt;&gt;"","・住民票","")&amp;IF(R189&lt;&gt;"","・発信","")&amp;IF(S189&lt;&gt;"","・確認事項","")&amp;IF(T189&lt;&gt;"","・管","")&amp;IF(U189&lt;&gt;"","・SV","")&amp;IF(V189&lt;&gt;"","・データ送付待ち","")&amp;IF(W189&lt;&gt;"","・削除","")</f>
        <v/>
      </c>
    </row>
    <row r="190" ht="15" customHeight="1" s="87">
      <c r="A190" s="90" t="n">
        <v>202660001344</v>
      </c>
      <c r="B190" s="90" t="n"/>
      <c r="C190" s="90" t="n"/>
      <c r="D190" s="90" t="n">
        <v>30</v>
      </c>
      <c r="E190" s="90" t="inlineStr">
        <is>
          <t>30 申請受付</t>
        </is>
      </c>
      <c r="F190" s="90" t="n"/>
      <c r="G190" s="90" t="n"/>
      <c r="H190" s="91" t="n">
        <v>46023</v>
      </c>
      <c r="I190" s="92" t="n">
        <v>46274</v>
      </c>
      <c r="J190" s="91" t="n">
        <v>46275</v>
      </c>
      <c r="K190" s="90" t="n"/>
      <c r="L190" s="90" t="n"/>
      <c r="M190" s="90" t="n"/>
      <c r="N190" s="90" t="n"/>
      <c r="O190" s="90" t="inlineStr">
        <is>
          <t>20 申請受付</t>
        </is>
      </c>
      <c r="P190" s="90" t="n"/>
      <c r="Q190" s="90" t="n"/>
      <c r="R190" s="90" t="n"/>
      <c r="S190" s="90" t="n"/>
      <c r="T190" s="90" t="n"/>
      <c r="U190" s="90" t="n"/>
      <c r="V190" s="90" t="n"/>
      <c r="W190" s="90" t="n"/>
      <c r="X190" s="90" t="n"/>
      <c r="Y190" s="90" t="n"/>
      <c r="Z190" s="90" t="n"/>
      <c r="AA190" s="90" t="n"/>
      <c r="AB190" s="90" t="n">
        <v>54</v>
      </c>
      <c r="AC190" s="90" t="n">
        <v>0</v>
      </c>
      <c r="AD190" s="93" t="inlineStr">
        <is>
          <t>減</t>
        </is>
      </c>
      <c r="AE190" s="90" t="inlineStr">
        <is>
          <t>54 別居</t>
        </is>
      </c>
      <c r="AF190" s="90" t="n"/>
      <c r="AG190" s="90" t="n"/>
      <c r="AH190" s="93" t="inlineStr">
        <is>
          <t>減</t>
        </is>
      </c>
      <c r="AI190" s="90" t="n"/>
      <c r="AJ190" s="90" t="n"/>
      <c r="AK190" s="90" t="n"/>
      <c r="AL190" s="94">
        <f>IF(A190="","",IF(COUNTIF(A190:A$2001,A190)=1,1,0))</f>
        <v/>
      </c>
      <c r="AM190" s="94">
        <f>IF(I190="","",TODAY()-I190)</f>
        <v/>
      </c>
      <c r="AN190" s="94">
        <f>IF(A190="","",IF(AND(E190&lt;&gt;"33 確認済",E190&lt;&gt;"36 送付中"),1,0))</f>
        <v/>
      </c>
      <c r="AO190" s="94">
        <f>IF(A190="","",IF(AG190&lt;&gt;"",1,0))</f>
        <v/>
      </c>
      <c r="AP190" s="220">
        <f>IF(P190&lt;&gt;"","・添待ち","")&amp;IF(Q190&lt;&gt;"","・住民票","")&amp;IF(R190&lt;&gt;"","・発信","")&amp;IF(S190&lt;&gt;"","・確認事項","")&amp;IF(T190&lt;&gt;"","・管","")&amp;IF(U190&lt;&gt;"","・SV","")&amp;IF(V190&lt;&gt;"","・データ送付待ち","")&amp;IF(W190&lt;&gt;"","・削除","")</f>
        <v/>
      </c>
    </row>
    <row r="191" ht="15" customHeight="1" s="87">
      <c r="A191" s="90" t="n">
        <v>202660001345</v>
      </c>
      <c r="B191" s="90" t="n"/>
      <c r="C191" s="90" t="n"/>
      <c r="D191" s="90" t="n">
        <v>31</v>
      </c>
      <c r="E191" s="90" t="inlineStr">
        <is>
          <t>31 ＯＰ確認中</t>
        </is>
      </c>
      <c r="F191" s="90" t="n"/>
      <c r="G191" s="90" t="n"/>
      <c r="H191" s="91" t="n">
        <v>46272</v>
      </c>
      <c r="I191" s="92" t="n">
        <v>46281</v>
      </c>
      <c r="J191" s="91" t="n">
        <v>46283</v>
      </c>
      <c r="K191" s="91" t="n">
        <v>46283</v>
      </c>
      <c r="L191" s="90" t="n"/>
      <c r="M191" s="90" t="n"/>
      <c r="N191" s="90" t="n"/>
      <c r="O191" s="90" t="inlineStr">
        <is>
          <t>21 担当者登録</t>
        </is>
      </c>
      <c r="P191" s="90" t="n"/>
      <c r="Q191" s="90" t="n"/>
      <c r="R191" s="90" t="n"/>
      <c r="S191" s="90" t="n"/>
      <c r="T191" s="90" t="n"/>
      <c r="U191" s="90" t="n"/>
      <c r="V191" s="90" t="n"/>
      <c r="W191" s="90" t="n"/>
      <c r="X191" s="90" t="n"/>
      <c r="Y191" s="90" t="n"/>
      <c r="Z191" s="90" t="n"/>
      <c r="AA191" s="90" t="n"/>
      <c r="AB191" s="90" t="n">
        <v>21</v>
      </c>
      <c r="AC191" s="90" t="n">
        <v>1</v>
      </c>
      <c r="AD191" s="93" t="inlineStr">
        <is>
          <t>増</t>
        </is>
      </c>
      <c r="AE191" s="90" t="inlineStr">
        <is>
          <t>21 出生</t>
        </is>
      </c>
      <c r="AF191" s="93" t="inlineStr">
        <is>
          <t>増</t>
        </is>
      </c>
      <c r="AG191" s="93" t="inlineStr">
        <is>
          <t>増</t>
        </is>
      </c>
      <c r="AH191" s="93" t="inlineStr">
        <is>
          <t>増</t>
        </is>
      </c>
      <c r="AI191" s="90" t="n"/>
      <c r="AJ191" s="90" t="n"/>
      <c r="AK191" s="90" t="n"/>
      <c r="AL191" s="94">
        <f>IF(A191="","",IF(COUNTIF(A191:A$2001,A191)=1,1,0))</f>
        <v/>
      </c>
      <c r="AM191" s="94">
        <f>IF(I191="","",TODAY()-I191)</f>
        <v/>
      </c>
      <c r="AN191" s="94">
        <f>IF(A191="","",IF(AND(E191&lt;&gt;"33 確認済",E191&lt;&gt;"36 送付中"),1,0))</f>
        <v/>
      </c>
      <c r="AO191" s="94">
        <f>IF(A191="","",IF(AG191&lt;&gt;"",1,0))</f>
        <v/>
      </c>
      <c r="AP191" s="220">
        <f>IF(P191&lt;&gt;"","・添待ち","")&amp;IF(Q191&lt;&gt;"","・住民票","")&amp;IF(R191&lt;&gt;"","・発信","")&amp;IF(S191&lt;&gt;"","・確認事項","")&amp;IF(T191&lt;&gt;"","・管","")&amp;IF(U191&lt;&gt;"","・SV","")&amp;IF(V191&lt;&gt;"","・データ送付待ち","")&amp;IF(W191&lt;&gt;"","・削除","")</f>
        <v/>
      </c>
    </row>
    <row r="192" ht="15" customHeight="1" s="87">
      <c r="A192" s="90" t="n">
        <v>202660001346</v>
      </c>
      <c r="B192" s="90" t="n"/>
      <c r="C192" s="90" t="n"/>
      <c r="D192" s="90" t="n">
        <v>36</v>
      </c>
      <c r="E192" s="90" t="inlineStr">
        <is>
          <t>36 送付中</t>
        </is>
      </c>
      <c r="F192" s="90" t="n">
        <v>30</v>
      </c>
      <c r="G192" s="90" t="inlineStr">
        <is>
          <t>30 却下</t>
        </is>
      </c>
      <c r="H192" s="91" t="n">
        <v>46248</v>
      </c>
      <c r="I192" s="92" t="n">
        <v>46251</v>
      </c>
      <c r="J192" s="91" t="n">
        <v>46276</v>
      </c>
      <c r="K192" s="91" t="n">
        <v>46276</v>
      </c>
      <c r="L192" s="91" t="n">
        <v>46289</v>
      </c>
      <c r="M192" s="91" t="n">
        <v>46289</v>
      </c>
      <c r="N192" s="90" t="n"/>
      <c r="O192" s="90" t="inlineStr">
        <is>
          <t>70 申請データ出力</t>
        </is>
      </c>
      <c r="P192" s="90" t="n"/>
      <c r="Q192" s="90" t="n"/>
      <c r="R192" s="90" t="n"/>
      <c r="S192" s="90" t="n"/>
      <c r="T192" s="90" t="n"/>
      <c r="U192" s="90" t="n"/>
      <c r="V192" s="90" t="n"/>
      <c r="W192" s="90" t="n"/>
      <c r="X192" s="90" t="n"/>
      <c r="Y192" s="90" t="n"/>
      <c r="Z192" s="90" t="n"/>
      <c r="AA192" s="90" t="n"/>
      <c r="AB192" s="90" t="n">
        <v>21</v>
      </c>
      <c r="AC192" s="90" t="n">
        <v>1</v>
      </c>
      <c r="AD192" s="93" t="inlineStr">
        <is>
          <t>増</t>
        </is>
      </c>
      <c r="AE192" s="90" t="inlineStr">
        <is>
          <t>21 出生</t>
        </is>
      </c>
      <c r="AF192" s="93" t="inlineStr">
        <is>
          <t>増</t>
        </is>
      </c>
      <c r="AG192" s="93" t="inlineStr">
        <is>
          <t>増</t>
        </is>
      </c>
      <c r="AH192" s="93" t="inlineStr">
        <is>
          <t>増</t>
        </is>
      </c>
      <c r="AI192" s="90" t="n"/>
      <c r="AJ192" s="90" t="n"/>
      <c r="AK192" s="90" t="n"/>
      <c r="AL192" s="94">
        <f>IF(A192="","",IF(COUNTIF(A192:A$2001,A192)=1,1,0))</f>
        <v/>
      </c>
      <c r="AM192" s="94">
        <f>IF(I192="","",TODAY()-I192)</f>
        <v/>
      </c>
      <c r="AN192" s="94">
        <f>IF(A192="","",IF(AND(E192&lt;&gt;"33 確認済",E192&lt;&gt;"36 送付中"),1,0))</f>
        <v/>
      </c>
      <c r="AO192" s="94">
        <f>IF(A192="","",IF(AG192&lt;&gt;"",1,0))</f>
        <v/>
      </c>
      <c r="AP192" s="220">
        <f>IF(P192&lt;&gt;"","・添待ち","")&amp;IF(Q192&lt;&gt;"","・住民票","")&amp;IF(R192&lt;&gt;"","・発信","")&amp;IF(S192&lt;&gt;"","・確認事項","")&amp;IF(T192&lt;&gt;"","・管","")&amp;IF(U192&lt;&gt;"","・SV","")&amp;IF(V192&lt;&gt;"","・データ送付待ち","")&amp;IF(W192&lt;&gt;"","・削除","")</f>
        <v/>
      </c>
    </row>
    <row r="193" ht="15" customHeight="1" s="87">
      <c r="A193" s="90" t="n">
        <v>202660001349</v>
      </c>
      <c r="B193" s="90" t="n"/>
      <c r="C193" s="90" t="n"/>
      <c r="D193" s="90" t="n">
        <v>31</v>
      </c>
      <c r="E193" s="90" t="inlineStr">
        <is>
          <t>31 ＯＰ確認中</t>
        </is>
      </c>
      <c r="F193" s="90" t="n"/>
      <c r="G193" s="90" t="n"/>
      <c r="H193" s="91" t="n">
        <v>46269</v>
      </c>
      <c r="I193" s="92" t="n">
        <v>46275</v>
      </c>
      <c r="J193" s="91" t="n">
        <v>46280</v>
      </c>
      <c r="K193" s="91" t="n">
        <v>46280</v>
      </c>
      <c r="L193" s="90" t="n"/>
      <c r="M193" s="90" t="n"/>
      <c r="N193" s="90" t="n"/>
      <c r="O193" s="90" t="inlineStr">
        <is>
          <t>22 担当者変更</t>
        </is>
      </c>
      <c r="P193" s="90" t="n"/>
      <c r="Q193" s="90" t="n"/>
      <c r="R193" s="90" t="n"/>
      <c r="S193" s="90" t="n"/>
      <c r="T193" s="90" t="n"/>
      <c r="U193" s="90" t="n"/>
      <c r="V193" s="90" t="n"/>
      <c r="W193" s="90" t="n"/>
      <c r="X193" s="90" t="n"/>
      <c r="Y193" s="90" t="n"/>
      <c r="Z193" s="90" t="n"/>
      <c r="AA193" s="90" t="n"/>
      <c r="AB193" s="90" t="n">
        <v>21</v>
      </c>
      <c r="AC193" s="90" t="n">
        <v>1</v>
      </c>
      <c r="AD193" s="93" t="inlineStr">
        <is>
          <t>増</t>
        </is>
      </c>
      <c r="AE193" s="90" t="inlineStr">
        <is>
          <t>21 出生</t>
        </is>
      </c>
      <c r="AF193" s="93" t="inlineStr">
        <is>
          <t>増</t>
        </is>
      </c>
      <c r="AG193" s="93" t="inlineStr">
        <is>
          <t>増</t>
        </is>
      </c>
      <c r="AH193" s="93" t="inlineStr">
        <is>
          <t>増</t>
        </is>
      </c>
      <c r="AI193" s="90" t="n"/>
      <c r="AJ193" s="90" t="n"/>
      <c r="AK193" s="90" t="n"/>
      <c r="AL193" s="94">
        <f>IF(A193="","",IF(COUNTIF(A193:A$2001,A193)=1,1,0))</f>
        <v/>
      </c>
      <c r="AM193" s="94">
        <f>IF(I193="","",TODAY()-I193)</f>
        <v/>
      </c>
      <c r="AN193" s="94">
        <f>IF(A193="","",IF(AND(E193&lt;&gt;"33 確認済",E193&lt;&gt;"36 送付中"),1,0))</f>
        <v/>
      </c>
      <c r="AO193" s="94">
        <f>IF(A193="","",IF(AG193&lt;&gt;"",1,0))</f>
        <v/>
      </c>
      <c r="AP193" s="220">
        <f>IF(P193&lt;&gt;"","・添待ち","")&amp;IF(Q193&lt;&gt;"","・住民票","")&amp;IF(R193&lt;&gt;"","・発信","")&amp;IF(S193&lt;&gt;"","・確認事項","")&amp;IF(T193&lt;&gt;"","・管","")&amp;IF(U193&lt;&gt;"","・SV","")&amp;IF(V193&lt;&gt;"","・データ送付待ち","")&amp;IF(W193&lt;&gt;"","・削除","")</f>
        <v/>
      </c>
    </row>
    <row r="194" ht="15" customHeight="1" s="87">
      <c r="A194" s="90" t="n">
        <v>202660001350</v>
      </c>
      <c r="B194" s="90" t="n"/>
      <c r="C194" s="90" t="n"/>
      <c r="D194" s="90" t="n">
        <v>32</v>
      </c>
      <c r="E194" s="90" t="inlineStr">
        <is>
          <t>32 ＳＶ確認中</t>
        </is>
      </c>
      <c r="F194" s="90" t="n"/>
      <c r="G194" s="90" t="n"/>
      <c r="H194" s="91" t="n">
        <v>46266</v>
      </c>
      <c r="I194" s="92" t="n">
        <v>46275</v>
      </c>
      <c r="J194" s="91" t="n">
        <v>46275</v>
      </c>
      <c r="K194" s="91" t="n">
        <v>46275</v>
      </c>
      <c r="L194" s="90" t="n"/>
      <c r="M194" s="90" t="n"/>
      <c r="N194" s="90" t="n"/>
      <c r="O194" s="90" t="inlineStr">
        <is>
          <t>30 登録</t>
        </is>
      </c>
      <c r="P194" s="90" t="n"/>
      <c r="Q194" s="90" t="n"/>
      <c r="R194" s="90" t="n"/>
      <c r="S194" s="90" t="n"/>
      <c r="T194" s="90" t="n"/>
      <c r="U194" s="90" t="n"/>
      <c r="V194" s="90" t="n"/>
      <c r="W194" s="90" t="n"/>
      <c r="X194" s="90" t="n"/>
      <c r="Y194" s="90" t="n"/>
      <c r="Z194" s="90" t="n"/>
      <c r="AA194" s="90" t="n"/>
      <c r="AB194" s="90" t="n">
        <v>26</v>
      </c>
      <c r="AC194" s="90" t="n">
        <v>1</v>
      </c>
      <c r="AD194" s="93" t="inlineStr">
        <is>
          <t>増</t>
        </is>
      </c>
      <c r="AE194" s="90" t="inlineStr">
        <is>
          <t>26 扶養者の変更</t>
        </is>
      </c>
      <c r="AF194" s="90" t="n"/>
      <c r="AG194" s="90" t="n"/>
      <c r="AH194" s="93" t="inlineStr">
        <is>
          <t>増</t>
        </is>
      </c>
      <c r="AI194" s="90" t="n"/>
      <c r="AJ194" s="90" t="n"/>
      <c r="AK194" s="90" t="n"/>
      <c r="AL194" s="94">
        <f>IF(A194="","",IF(COUNTIF(A194:A$2001,A194)=1,1,0))</f>
        <v/>
      </c>
      <c r="AM194" s="94">
        <f>IF(I194="","",TODAY()-I194)</f>
        <v/>
      </c>
      <c r="AN194" s="94">
        <f>IF(A194="","",IF(AND(E194&lt;&gt;"33 確認済",E194&lt;&gt;"36 送付中"),1,0))</f>
        <v/>
      </c>
      <c r="AO194" s="94">
        <f>IF(A194="","",IF(AG194&lt;&gt;"",1,0))</f>
        <v/>
      </c>
      <c r="AP194" s="220">
        <f>IF(P194&lt;&gt;"","・添待ち","")&amp;IF(Q194&lt;&gt;"","・住民票","")&amp;IF(R194&lt;&gt;"","・発信","")&amp;IF(S194&lt;&gt;"","・確認事項","")&amp;IF(T194&lt;&gt;"","・管","")&amp;IF(U194&lt;&gt;"","・SV","")&amp;IF(V194&lt;&gt;"","・データ送付待ち","")&amp;IF(W194&lt;&gt;"","・削除","")</f>
        <v/>
      </c>
    </row>
    <row r="195" ht="15" customHeight="1" s="87">
      <c r="A195" s="90" t="n">
        <v>202660001351</v>
      </c>
      <c r="B195" s="90" t="n"/>
      <c r="C195" s="90" t="n"/>
      <c r="D195" s="90" t="n">
        <v>32</v>
      </c>
      <c r="E195" s="90" t="inlineStr">
        <is>
          <t>32 ＳＶ確認中</t>
        </is>
      </c>
      <c r="F195" s="90" t="n"/>
      <c r="G195" s="90" t="n"/>
      <c r="H195" s="91" t="n">
        <v>46266</v>
      </c>
      <c r="I195" s="92" t="n">
        <v>46280</v>
      </c>
      <c r="J195" s="91" t="n">
        <v>46281</v>
      </c>
      <c r="K195" s="91" t="n">
        <v>46281</v>
      </c>
      <c r="L195" s="90" t="n"/>
      <c r="M195" s="90" t="n"/>
      <c r="N195" s="90" t="n"/>
      <c r="O195" s="90" t="inlineStr">
        <is>
          <t>30 登録</t>
        </is>
      </c>
      <c r="P195" s="90" t="n"/>
      <c r="Q195" s="90" t="n"/>
      <c r="R195" s="90" t="n"/>
      <c r="S195" s="90" t="n"/>
      <c r="T195" s="90" t="n"/>
      <c r="U195" s="90" t="n"/>
      <c r="V195" s="90" t="n"/>
      <c r="W195" s="90" t="n"/>
      <c r="X195" s="90" t="n"/>
      <c r="Y195" s="90" t="n"/>
      <c r="Z195" s="90" t="n"/>
      <c r="AA195" s="90" t="n"/>
      <c r="AB195" s="90" t="n">
        <v>21</v>
      </c>
      <c r="AC195" s="90" t="n">
        <v>1</v>
      </c>
      <c r="AD195" s="93" t="inlineStr">
        <is>
          <t>増</t>
        </is>
      </c>
      <c r="AE195" s="90" t="inlineStr">
        <is>
          <t>21 出生</t>
        </is>
      </c>
      <c r="AF195" s="93" t="inlineStr">
        <is>
          <t>増</t>
        </is>
      </c>
      <c r="AG195" s="93" t="inlineStr">
        <is>
          <t>増</t>
        </is>
      </c>
      <c r="AH195" s="93" t="inlineStr">
        <is>
          <t>増</t>
        </is>
      </c>
      <c r="AI195" s="90" t="n"/>
      <c r="AJ195" s="90" t="n"/>
      <c r="AK195" s="90" t="n"/>
      <c r="AL195" s="94">
        <f>IF(A195="","",IF(COUNTIF(A195:A$2001,A195)=1,1,0))</f>
        <v/>
      </c>
      <c r="AM195" s="94">
        <f>IF(I195="","",TODAY()-I195)</f>
        <v/>
      </c>
      <c r="AN195" s="94">
        <f>IF(A195="","",IF(AND(E195&lt;&gt;"33 確認済",E195&lt;&gt;"36 送付中"),1,0))</f>
        <v/>
      </c>
      <c r="AO195" s="94">
        <f>IF(A195="","",IF(AG195&lt;&gt;"",1,0))</f>
        <v/>
      </c>
      <c r="AP195" s="220">
        <f>IF(P195&lt;&gt;"","・添待ち","")&amp;IF(Q195&lt;&gt;"","・住民票","")&amp;IF(R195&lt;&gt;"","・発信","")&amp;IF(S195&lt;&gt;"","・確認事項","")&amp;IF(T195&lt;&gt;"","・管","")&amp;IF(U195&lt;&gt;"","・SV","")&amp;IF(V195&lt;&gt;"","・データ送付待ち","")&amp;IF(W195&lt;&gt;"","・削除","")</f>
        <v/>
      </c>
    </row>
    <row r="196" ht="15" customHeight="1" s="87">
      <c r="A196" s="90" t="n">
        <v>202660001352</v>
      </c>
      <c r="B196" s="90" t="n"/>
      <c r="C196" s="90" t="n"/>
      <c r="D196" s="90" t="n">
        <v>31</v>
      </c>
      <c r="E196" s="90" t="inlineStr">
        <is>
          <t>31 ＯＰ確認中</t>
        </is>
      </c>
      <c r="F196" s="90" t="n"/>
      <c r="G196" s="90" t="n"/>
      <c r="H196" s="91" t="n">
        <v>46144</v>
      </c>
      <c r="I196" s="92" t="n">
        <v>46149</v>
      </c>
      <c r="J196" s="91" t="n">
        <v>46279</v>
      </c>
      <c r="K196" s="91" t="n">
        <v>46279</v>
      </c>
      <c r="L196" s="90" t="n"/>
      <c r="M196" s="90" t="n"/>
      <c r="N196" s="90" t="n"/>
      <c r="O196" s="90" t="inlineStr">
        <is>
          <t>22 担当者変更</t>
        </is>
      </c>
      <c r="P196" s="90" t="n"/>
      <c r="Q196" s="90" t="n"/>
      <c r="R196" s="90" t="n"/>
      <c r="S196" s="90" t="n"/>
      <c r="T196" s="90" t="n"/>
      <c r="U196" s="93" t="inlineStr">
        <is>
          <t>Ｓ</t>
        </is>
      </c>
      <c r="V196" s="90" t="n"/>
      <c r="W196" s="90" t="n"/>
      <c r="X196" s="90" t="n"/>
      <c r="Y196" s="90" t="n"/>
      <c r="Z196" s="90" t="n"/>
      <c r="AA196" s="90" t="n"/>
      <c r="AB196" s="90" t="n">
        <v>25</v>
      </c>
      <c r="AC196" s="90" t="n">
        <v>1</v>
      </c>
      <c r="AD196" s="93" t="inlineStr">
        <is>
          <t>増</t>
        </is>
      </c>
      <c r="AE196" s="90" t="inlineStr">
        <is>
          <t>25 育休</t>
        </is>
      </c>
      <c r="AF196" s="93" t="inlineStr">
        <is>
          <t>増</t>
        </is>
      </c>
      <c r="AG196" s="90" t="n"/>
      <c r="AH196" s="90" t="n"/>
      <c r="AI196" s="90" t="n"/>
      <c r="AJ196" s="90" t="n"/>
      <c r="AK196" s="90" t="n"/>
      <c r="AL196" s="94">
        <f>IF(A196="","",IF(COUNTIF(A196:A$2001,A196)=1,1,0))</f>
        <v/>
      </c>
      <c r="AM196" s="94">
        <f>IF(I196="","",TODAY()-I196)</f>
        <v/>
      </c>
      <c r="AN196" s="94">
        <f>IF(A196="","",IF(AND(E196&lt;&gt;"33 確認済",E196&lt;&gt;"36 送付中"),1,0))</f>
        <v/>
      </c>
      <c r="AO196" s="94">
        <f>IF(A196="","",IF(AG196&lt;&gt;"",1,0))</f>
        <v/>
      </c>
      <c r="AP196" s="220">
        <f>IF(P196&lt;&gt;"","・添待ち","")&amp;IF(Q196&lt;&gt;"","・住民票","")&amp;IF(R196&lt;&gt;"","・発信","")&amp;IF(S196&lt;&gt;"","・確認事項","")&amp;IF(T196&lt;&gt;"","・管","")&amp;IF(U196&lt;&gt;"","・SV","")&amp;IF(V196&lt;&gt;"","・データ送付待ち","")&amp;IF(W196&lt;&gt;"","・削除","")</f>
        <v/>
      </c>
    </row>
    <row r="197" ht="15" customHeight="1" s="87">
      <c r="A197" s="90" t="n">
        <v>202660001353</v>
      </c>
      <c r="B197" s="90" t="n"/>
      <c r="C197" s="90" t="n"/>
      <c r="D197" s="90" t="n">
        <v>32</v>
      </c>
      <c r="E197" s="90" t="inlineStr">
        <is>
          <t>32 ＳＶ確認中</t>
        </is>
      </c>
      <c r="F197" s="90" t="n"/>
      <c r="G197" s="90" t="n"/>
      <c r="H197" s="91" t="n">
        <v>46204</v>
      </c>
      <c r="I197" s="92" t="n">
        <v>46275</v>
      </c>
      <c r="J197" s="91" t="n">
        <v>46279</v>
      </c>
      <c r="K197" s="91" t="n">
        <v>46279</v>
      </c>
      <c r="L197" s="90" t="n"/>
      <c r="M197" s="90" t="n"/>
      <c r="N197" s="90" t="n"/>
      <c r="O197" s="90" t="inlineStr">
        <is>
          <t>30 登録</t>
        </is>
      </c>
      <c r="P197" s="90" t="n"/>
      <c r="Q197" s="90" t="n"/>
      <c r="R197" s="90" t="n"/>
      <c r="S197" s="90" t="n"/>
      <c r="T197" s="90" t="n"/>
      <c r="U197" s="90" t="n"/>
      <c r="V197" s="90" t="n"/>
      <c r="W197" s="90" t="n"/>
      <c r="X197" s="90" t="n"/>
      <c r="Y197" s="90" t="n"/>
      <c r="Z197" s="90" t="n"/>
      <c r="AA197" s="90" t="n"/>
      <c r="AB197" s="90" t="n">
        <v>28</v>
      </c>
      <c r="AC197" s="90" t="n">
        <v>3</v>
      </c>
      <c r="AD197" s="93" t="inlineStr">
        <is>
          <t>減</t>
        </is>
      </c>
      <c r="AE197" s="90" t="n"/>
      <c r="AF197" s="90" t="n"/>
      <c r="AG197" s="90" t="n"/>
      <c r="AH197" s="90" t="n"/>
      <c r="AI197" s="90" t="n"/>
      <c r="AJ197" s="90" t="n"/>
      <c r="AK197" s="90" t="n"/>
      <c r="AL197" s="94">
        <f>IF(A197="","",IF(COUNTIF(A197:A$2001,A197)=1,1,0))</f>
        <v/>
      </c>
      <c r="AM197" s="94">
        <f>IF(I197="","",TODAY()-I197)</f>
        <v/>
      </c>
      <c r="AN197" s="94">
        <f>IF(A197="","",IF(AND(E197&lt;&gt;"33 確認済",E197&lt;&gt;"36 送付中"),1,0))</f>
        <v/>
      </c>
      <c r="AO197" s="94">
        <f>IF(A197="","",IF(AG197&lt;&gt;"",1,0))</f>
        <v/>
      </c>
      <c r="AP197" s="220">
        <f>IF(P197&lt;&gt;"","・添待ち","")&amp;IF(Q197&lt;&gt;"","・住民票","")&amp;IF(R197&lt;&gt;"","・発信","")&amp;IF(S197&lt;&gt;"","・確認事項","")&amp;IF(T197&lt;&gt;"","・管","")&amp;IF(U197&lt;&gt;"","・SV","")&amp;IF(V197&lt;&gt;"","・データ送付待ち","")&amp;IF(W197&lt;&gt;"","・削除","")</f>
        <v/>
      </c>
    </row>
    <row r="198" ht="15" customHeight="1" s="87">
      <c r="A198" s="90" t="n">
        <v>202660001354</v>
      </c>
      <c r="B198" s="90" t="n"/>
      <c r="C198" s="90" t="n"/>
      <c r="D198" s="90" t="n">
        <v>20</v>
      </c>
      <c r="E198" s="90" t="inlineStr">
        <is>
          <t>20 確認待ち</t>
        </is>
      </c>
      <c r="F198" s="90" t="n"/>
      <c r="G198" s="90" t="n"/>
      <c r="H198" s="91" t="n">
        <v>46273</v>
      </c>
      <c r="I198" s="92" t="n">
        <v>46276</v>
      </c>
      <c r="J198" s="90" t="n"/>
      <c r="K198" s="90" t="n"/>
      <c r="L198" s="90" t="n"/>
      <c r="M198" s="90" t="n"/>
      <c r="N198" s="90" t="n"/>
      <c r="O198" s="90" t="inlineStr">
        <is>
          <t>55 添付書類待ち登録</t>
        </is>
      </c>
      <c r="P198" s="93" t="inlineStr">
        <is>
          <t>添</t>
        </is>
      </c>
      <c r="Q198" s="90" t="n"/>
      <c r="R198" s="90" t="n"/>
      <c r="S198" s="90" t="n"/>
      <c r="T198" s="90" t="n"/>
      <c r="U198" s="90" t="n"/>
      <c r="V198" s="90" t="n"/>
      <c r="W198" s="90" t="n"/>
      <c r="X198" s="90" t="n"/>
      <c r="Y198" s="90" t="n"/>
      <c r="Z198" s="90" t="n"/>
      <c r="AA198" s="90" t="n"/>
      <c r="AB198" s="90" t="n">
        <v>22</v>
      </c>
      <c r="AC198" s="90" t="n">
        <v>1</v>
      </c>
      <c r="AD198" s="93" t="inlineStr">
        <is>
          <t>増</t>
        </is>
      </c>
      <c r="AE198" s="90" t="inlineStr">
        <is>
          <t>22 扶養親族の退職</t>
        </is>
      </c>
      <c r="AF198" s="93" t="inlineStr">
        <is>
          <t>増</t>
        </is>
      </c>
      <c r="AG198" s="93" t="inlineStr">
        <is>
          <t>増</t>
        </is>
      </c>
      <c r="AH198" s="93" t="inlineStr">
        <is>
          <t>増</t>
        </is>
      </c>
      <c r="AI198" s="90" t="n"/>
      <c r="AJ198" s="90" t="n"/>
      <c r="AK198" s="90" t="n"/>
      <c r="AL198" s="94">
        <f>IF(A198="","",IF(COUNTIF(A198:A$2001,A198)=1,1,0))</f>
        <v/>
      </c>
      <c r="AM198" s="94">
        <f>IF(I198="","",TODAY()-I198)</f>
        <v/>
      </c>
      <c r="AN198" s="94">
        <f>IF(A198="","",IF(AND(E198&lt;&gt;"33 確認済",E198&lt;&gt;"36 送付中"),1,0))</f>
        <v/>
      </c>
      <c r="AO198" s="94">
        <f>IF(A198="","",IF(AG198&lt;&gt;"",1,0))</f>
        <v/>
      </c>
      <c r="AP198" s="220">
        <f>IF(P198&lt;&gt;"","・添待ち","")&amp;IF(Q198&lt;&gt;"","・住民票","")&amp;IF(R198&lt;&gt;"","・発信","")&amp;IF(S198&lt;&gt;"","・確認事項","")&amp;IF(T198&lt;&gt;"","・管","")&amp;IF(U198&lt;&gt;"","・SV","")&amp;IF(V198&lt;&gt;"","・データ送付待ち","")&amp;IF(W198&lt;&gt;"","・削除","")</f>
        <v/>
      </c>
    </row>
    <row r="199" ht="15" customHeight="1" s="87">
      <c r="A199" s="90" t="n">
        <v>202660001355</v>
      </c>
      <c r="B199" s="90" t="n"/>
      <c r="C199" s="90" t="n"/>
      <c r="D199" s="90" t="n">
        <v>40</v>
      </c>
      <c r="E199" s="90" t="inlineStr">
        <is>
          <t>40 差戻し</t>
        </is>
      </c>
      <c r="F199" s="90" t="n">
        <v>20</v>
      </c>
      <c r="G199" s="90" t="inlineStr">
        <is>
          <t>20 差戻し</t>
        </is>
      </c>
      <c r="H199" s="91" t="n">
        <v>46265</v>
      </c>
      <c r="I199" s="92" t="n">
        <v>46276</v>
      </c>
      <c r="J199" s="91" t="n">
        <v>46279</v>
      </c>
      <c r="K199" s="91" t="n">
        <v>46279</v>
      </c>
      <c r="L199" s="90" t="n"/>
      <c r="M199" s="90" t="n"/>
      <c r="N199" s="90" t="n"/>
      <c r="O199" s="90" t="inlineStr">
        <is>
          <t>57 削除待ち登録</t>
        </is>
      </c>
      <c r="P199" s="90" t="n"/>
      <c r="Q199" s="90" t="n"/>
      <c r="R199" s="90" t="n"/>
      <c r="S199" s="90" t="n"/>
      <c r="T199" s="90" t="n"/>
      <c r="U199" s="90" t="n"/>
      <c r="V199" s="90" t="n"/>
      <c r="W199" s="93" t="inlineStr">
        <is>
          <t>削</t>
        </is>
      </c>
      <c r="X199" s="90" t="n"/>
      <c r="Y199" s="90" t="n"/>
      <c r="Z199" s="90" t="n"/>
      <c r="AA199" s="90" t="n"/>
      <c r="AB199" s="90" t="n">
        <v>51</v>
      </c>
      <c r="AC199" s="90" t="n">
        <v>0</v>
      </c>
      <c r="AD199" s="93" t="inlineStr">
        <is>
          <t>減</t>
        </is>
      </c>
      <c r="AE199" s="90" t="inlineStr">
        <is>
          <t>51 収入限度額以上</t>
        </is>
      </c>
      <c r="AF199" s="90" t="n"/>
      <c r="AG199" s="93" t="inlineStr">
        <is>
          <t>減</t>
        </is>
      </c>
      <c r="AH199" s="93" t="inlineStr">
        <is>
          <t>減</t>
        </is>
      </c>
      <c r="AI199" s="90" t="n"/>
      <c r="AJ199" s="90" t="n"/>
      <c r="AK199" s="90" t="n"/>
      <c r="AL199" s="94">
        <f>IF(A199="","",IF(COUNTIF(A199:A$2001,A199)=1,1,0))</f>
        <v/>
      </c>
      <c r="AM199" s="94">
        <f>IF(I199="","",TODAY()-I199)</f>
        <v/>
      </c>
      <c r="AN199" s="94">
        <f>IF(A199="","",IF(AND(E199&lt;&gt;"33 確認済",E199&lt;&gt;"36 送付中"),1,0))</f>
        <v/>
      </c>
      <c r="AO199" s="94">
        <f>IF(A199="","",IF(AG199&lt;&gt;"",1,0))</f>
        <v/>
      </c>
      <c r="AP199" s="220">
        <f>IF(P199&lt;&gt;"","・添待ち","")&amp;IF(Q199&lt;&gt;"","・住民票","")&amp;IF(R199&lt;&gt;"","・発信","")&amp;IF(S199&lt;&gt;"","・確認事項","")&amp;IF(T199&lt;&gt;"","・管","")&amp;IF(U199&lt;&gt;"","・SV","")&amp;IF(V199&lt;&gt;"","・データ送付待ち","")&amp;IF(W199&lt;&gt;"","・削除","")</f>
        <v/>
      </c>
    </row>
    <row r="200" ht="15" customHeight="1" s="87">
      <c r="A200" s="90" t="n">
        <v>202660001356</v>
      </c>
      <c r="B200" s="90" t="n"/>
      <c r="C200" s="90" t="n"/>
      <c r="D200" s="90" t="n">
        <v>31</v>
      </c>
      <c r="E200" s="90" t="inlineStr">
        <is>
          <t>31 ＯＰ確認中</t>
        </is>
      </c>
      <c r="F200" s="90" t="n"/>
      <c r="G200" s="90" t="n"/>
      <c r="H200" s="91" t="n">
        <v>46276</v>
      </c>
      <c r="I200" s="92" t="n">
        <v>46277</v>
      </c>
      <c r="J200" s="91" t="n">
        <v>46279</v>
      </c>
      <c r="K200" s="91" t="n">
        <v>46283</v>
      </c>
      <c r="L200" s="90" t="n"/>
      <c r="M200" s="90" t="n"/>
      <c r="N200" s="90" t="n"/>
      <c r="O200" s="90" t="inlineStr">
        <is>
          <t>21 担当者登録</t>
        </is>
      </c>
      <c r="P200" s="90" t="n"/>
      <c r="Q200" s="90" t="n"/>
      <c r="R200" s="90" t="n"/>
      <c r="S200" s="90" t="n"/>
      <c r="T200" s="90" t="n"/>
      <c r="U200" s="90" t="n"/>
      <c r="V200" s="90" t="n"/>
      <c r="W200" s="90" t="n"/>
      <c r="X200" s="90" t="n"/>
      <c r="Y200" s="90" t="n"/>
      <c r="Z200" s="90" t="n"/>
      <c r="AA200" s="90" t="n"/>
      <c r="AB200" s="90" t="n">
        <v>23</v>
      </c>
      <c r="AC200" s="90" t="n">
        <v>1</v>
      </c>
      <c r="AD200" s="93" t="inlineStr">
        <is>
          <t>増</t>
        </is>
      </c>
      <c r="AE200" s="90" t="inlineStr">
        <is>
          <t>23 本人の結婚</t>
        </is>
      </c>
      <c r="AF200" s="90" t="n"/>
      <c r="AG200" s="90" t="n"/>
      <c r="AH200" s="90" t="n"/>
      <c r="AI200" s="90" t="n"/>
      <c r="AJ200" s="90" t="n"/>
      <c r="AK200" s="90" t="n"/>
      <c r="AL200" s="94">
        <f>IF(A200="","",IF(COUNTIF(A200:A$2001,A200)=1,1,0))</f>
        <v/>
      </c>
      <c r="AM200" s="94">
        <f>IF(I200="","",TODAY()-I200)</f>
        <v/>
      </c>
      <c r="AN200" s="94">
        <f>IF(A200="","",IF(AND(E200&lt;&gt;"33 確認済",E200&lt;&gt;"36 送付中"),1,0))</f>
        <v/>
      </c>
      <c r="AO200" s="94">
        <f>IF(A200="","",IF(AG200&lt;&gt;"",1,0))</f>
        <v/>
      </c>
      <c r="AP200" s="220">
        <f>IF(P200&lt;&gt;"","・添待ち","")&amp;IF(Q200&lt;&gt;"","・住民票","")&amp;IF(R200&lt;&gt;"","・発信","")&amp;IF(S200&lt;&gt;"","・確認事項","")&amp;IF(T200&lt;&gt;"","・管","")&amp;IF(U200&lt;&gt;"","・SV","")&amp;IF(V200&lt;&gt;"","・データ送付待ち","")&amp;IF(W200&lt;&gt;"","・削除","")</f>
        <v/>
      </c>
    </row>
    <row r="201" ht="15" customHeight="1" s="87">
      <c r="A201" s="90" t="n">
        <v>202660001356</v>
      </c>
      <c r="B201" s="90" t="n"/>
      <c r="C201" s="90" t="n"/>
      <c r="D201" s="90" t="n">
        <v>31</v>
      </c>
      <c r="E201" s="90" t="inlineStr">
        <is>
          <t>31 ＯＰ確認中</t>
        </is>
      </c>
      <c r="F201" s="90" t="n"/>
      <c r="G201" s="90" t="n"/>
      <c r="H201" s="91" t="n">
        <v>46276</v>
      </c>
      <c r="I201" s="92" t="n">
        <v>46277</v>
      </c>
      <c r="J201" s="91" t="n">
        <v>46279</v>
      </c>
      <c r="K201" s="91" t="n">
        <v>46283</v>
      </c>
      <c r="L201" s="90" t="n"/>
      <c r="M201" s="90" t="n"/>
      <c r="N201" s="90" t="n"/>
      <c r="O201" s="90" t="inlineStr">
        <is>
          <t>21 担当者登録</t>
        </is>
      </c>
      <c r="P201" s="90" t="n"/>
      <c r="Q201" s="90" t="n"/>
      <c r="R201" s="90" t="n"/>
      <c r="S201" s="90" t="n"/>
      <c r="T201" s="90" t="n"/>
      <c r="U201" s="90" t="n"/>
      <c r="V201" s="90" t="n"/>
      <c r="W201" s="90" t="n"/>
      <c r="X201" s="90" t="n"/>
      <c r="Y201" s="90" t="n"/>
      <c r="Z201" s="90" t="n"/>
      <c r="AA201" s="90" t="n"/>
      <c r="AB201" s="90" t="n">
        <v>23</v>
      </c>
      <c r="AC201" s="90" t="n">
        <v>1</v>
      </c>
      <c r="AD201" s="93" t="inlineStr">
        <is>
          <t>増</t>
        </is>
      </c>
      <c r="AE201" s="90" t="inlineStr">
        <is>
          <t>23 結婚</t>
        </is>
      </c>
      <c r="AF201" s="90" t="n"/>
      <c r="AG201" s="90" t="n"/>
      <c r="AH201" s="90" t="n"/>
      <c r="AI201" s="90" t="n"/>
      <c r="AJ201" s="90" t="n"/>
      <c r="AK201" s="90" t="n"/>
      <c r="AL201" s="94">
        <f>IF(A201="","",IF(COUNTIF(A201:A$2001,A201)=1,1,0))</f>
        <v/>
      </c>
      <c r="AM201" s="94">
        <f>IF(I201="","",TODAY()-I201)</f>
        <v/>
      </c>
      <c r="AN201" s="94">
        <f>IF(A201="","",IF(AND(E201&lt;&gt;"33 確認済",E201&lt;&gt;"36 送付中"),1,0))</f>
        <v/>
      </c>
      <c r="AO201" s="94">
        <f>IF(A201="","",IF(AG201&lt;&gt;"",1,0))</f>
        <v/>
      </c>
      <c r="AP201" s="220">
        <f>IF(P201&lt;&gt;"","・添待ち","")&amp;IF(Q201&lt;&gt;"","・住民票","")&amp;IF(R201&lt;&gt;"","・発信","")&amp;IF(S201&lt;&gt;"","・確認事項","")&amp;IF(T201&lt;&gt;"","・管","")&amp;IF(U201&lt;&gt;"","・SV","")&amp;IF(V201&lt;&gt;"","・データ送付待ち","")&amp;IF(W201&lt;&gt;"","・削除","")</f>
        <v/>
      </c>
    </row>
    <row r="202" ht="15" customHeight="1" s="87">
      <c r="A202" s="90" t="n">
        <v>202660001358</v>
      </c>
      <c r="B202" s="90" t="n"/>
      <c r="C202" s="90" t="n"/>
      <c r="D202" s="90" t="n">
        <v>20</v>
      </c>
      <c r="E202" s="90" t="inlineStr">
        <is>
          <t>20 確認待ち</t>
        </is>
      </c>
      <c r="F202" s="90" t="n"/>
      <c r="G202" s="90" t="n"/>
      <c r="H202" s="91" t="n">
        <v>46260</v>
      </c>
      <c r="I202" s="92" t="n">
        <v>46283</v>
      </c>
      <c r="J202" s="90" t="n"/>
      <c r="K202" s="90" t="n"/>
      <c r="L202" s="90" t="n"/>
      <c r="M202" s="90" t="n"/>
      <c r="N202" s="90" t="n"/>
      <c r="O202" s="90" t="inlineStr">
        <is>
          <t>55 添付書類待ち登録</t>
        </is>
      </c>
      <c r="P202" s="93" t="inlineStr">
        <is>
          <t>添</t>
        </is>
      </c>
      <c r="Q202" s="90" t="n"/>
      <c r="R202" s="90" t="n"/>
      <c r="S202" s="90" t="n"/>
      <c r="T202" s="90" t="n"/>
      <c r="U202" s="90" t="n"/>
      <c r="V202" s="90" t="n"/>
      <c r="W202" s="90" t="n"/>
      <c r="X202" s="90" t="n"/>
      <c r="Y202" s="90" t="n"/>
      <c r="Z202" s="90" t="n"/>
      <c r="AA202" s="90" t="n"/>
      <c r="AB202" s="90" t="n">
        <v>24</v>
      </c>
      <c r="AC202" s="90" t="n">
        <v>1</v>
      </c>
      <c r="AD202" s="93" t="inlineStr">
        <is>
          <t>増</t>
        </is>
      </c>
      <c r="AE202" s="90" t="inlineStr">
        <is>
          <t>24 雇用保険受給終了</t>
        </is>
      </c>
      <c r="AF202" s="93" t="inlineStr">
        <is>
          <t>増</t>
        </is>
      </c>
      <c r="AG202" s="93" t="inlineStr">
        <is>
          <t>増</t>
        </is>
      </c>
      <c r="AH202" s="93" t="inlineStr">
        <is>
          <t>増</t>
        </is>
      </c>
      <c r="AI202" s="90" t="n"/>
      <c r="AJ202" s="90" t="n"/>
      <c r="AK202" s="90" t="n"/>
      <c r="AL202" s="94">
        <f>IF(A202="","",IF(COUNTIF(A202:A$2001,A202)=1,1,0))</f>
        <v/>
      </c>
      <c r="AM202" s="94">
        <f>IF(I202="","",TODAY()-I202)</f>
        <v/>
      </c>
      <c r="AN202" s="94">
        <f>IF(A202="","",IF(AND(E202&lt;&gt;"33 確認済",E202&lt;&gt;"36 送付中"),1,0))</f>
        <v/>
      </c>
      <c r="AO202" s="94">
        <f>IF(A202="","",IF(AG202&lt;&gt;"",1,0))</f>
        <v/>
      </c>
      <c r="AP202" s="220">
        <f>IF(P202&lt;&gt;"","・添待ち","")&amp;IF(Q202&lt;&gt;"","・住民票","")&amp;IF(R202&lt;&gt;"","・発信","")&amp;IF(S202&lt;&gt;"","・確認事項","")&amp;IF(T202&lt;&gt;"","・管","")&amp;IF(U202&lt;&gt;"","・SV","")&amp;IF(V202&lt;&gt;"","・データ送付待ち","")&amp;IF(W202&lt;&gt;"","・削除","")</f>
        <v/>
      </c>
    </row>
    <row r="203" ht="15" customHeight="1" s="87">
      <c r="A203" s="90" t="n">
        <v>202660001359</v>
      </c>
      <c r="B203" s="90" t="n"/>
      <c r="C203" s="90" t="n"/>
      <c r="D203" s="90" t="n">
        <v>32</v>
      </c>
      <c r="E203" s="90" t="inlineStr">
        <is>
          <t>32 ＳＶ確認中</t>
        </is>
      </c>
      <c r="F203" s="90" t="n"/>
      <c r="G203" s="90" t="n"/>
      <c r="H203" s="91" t="n">
        <v>46242</v>
      </c>
      <c r="I203" s="92" t="n">
        <v>46279</v>
      </c>
      <c r="J203" s="91" t="n">
        <v>46279</v>
      </c>
      <c r="K203" s="91" t="n">
        <v>46282</v>
      </c>
      <c r="L203" s="90" t="n"/>
      <c r="M203" s="90" t="n"/>
      <c r="N203" s="90" t="n"/>
      <c r="O203" s="90" t="inlineStr">
        <is>
          <t>30 登録</t>
        </is>
      </c>
      <c r="P203" s="90" t="n"/>
      <c r="Q203" s="90" t="n"/>
      <c r="R203" s="90" t="n"/>
      <c r="S203" s="90" t="n"/>
      <c r="T203" s="90" t="n"/>
      <c r="U203" s="90" t="n"/>
      <c r="V203" s="90" t="n"/>
      <c r="W203" s="90" t="n"/>
      <c r="X203" s="90" t="n"/>
      <c r="Y203" s="90" t="n"/>
      <c r="Z203" s="90" t="n"/>
      <c r="AA203" s="90" t="n"/>
      <c r="AB203" s="90" t="n">
        <v>23</v>
      </c>
      <c r="AC203" s="90" t="n">
        <v>1</v>
      </c>
      <c r="AD203" s="93" t="inlineStr">
        <is>
          <t>増</t>
        </is>
      </c>
      <c r="AE203" s="90" t="inlineStr">
        <is>
          <t>23 本人の結婚</t>
        </is>
      </c>
      <c r="AF203" s="90" t="n"/>
      <c r="AG203" s="90" t="n"/>
      <c r="AH203" s="90" t="n"/>
      <c r="AI203" s="90" t="n"/>
      <c r="AJ203" s="90" t="n"/>
      <c r="AK203" s="90" t="n"/>
      <c r="AL203" s="94">
        <f>IF(A203="","",IF(COUNTIF(A203:A$2001,A203)=1,1,0))</f>
        <v/>
      </c>
      <c r="AM203" s="94">
        <f>IF(I203="","",TODAY()-I203)</f>
        <v/>
      </c>
      <c r="AN203" s="94">
        <f>IF(A203="","",IF(AND(E203&lt;&gt;"33 確認済",E203&lt;&gt;"36 送付中"),1,0))</f>
        <v/>
      </c>
      <c r="AO203" s="94">
        <f>IF(A203="","",IF(AG203&lt;&gt;"",1,0))</f>
        <v/>
      </c>
      <c r="AP203" s="220">
        <f>IF(P203&lt;&gt;"","・添待ち","")&amp;IF(Q203&lt;&gt;"","・住民票","")&amp;IF(R203&lt;&gt;"","・発信","")&amp;IF(S203&lt;&gt;"","・確認事項","")&amp;IF(T203&lt;&gt;"","・管","")&amp;IF(U203&lt;&gt;"","・SV","")&amp;IF(V203&lt;&gt;"","・データ送付待ち","")&amp;IF(W203&lt;&gt;"","・削除","")</f>
        <v/>
      </c>
    </row>
    <row r="204" ht="15" customHeight="1" s="87">
      <c r="A204" s="90" t="n">
        <v>202660001359</v>
      </c>
      <c r="B204" s="90" t="n"/>
      <c r="C204" s="90" t="n"/>
      <c r="D204" s="90" t="n">
        <v>32</v>
      </c>
      <c r="E204" s="90" t="inlineStr">
        <is>
          <t>32 ＳＶ確認中</t>
        </is>
      </c>
      <c r="F204" s="90" t="n"/>
      <c r="G204" s="90" t="n"/>
      <c r="H204" s="91" t="n">
        <v>46242</v>
      </c>
      <c r="I204" s="92" t="n">
        <v>46279</v>
      </c>
      <c r="J204" s="91" t="n">
        <v>46279</v>
      </c>
      <c r="K204" s="91" t="n">
        <v>46282</v>
      </c>
      <c r="L204" s="90" t="n"/>
      <c r="M204" s="90" t="n"/>
      <c r="N204" s="90" t="n"/>
      <c r="O204" s="90" t="inlineStr">
        <is>
          <t>30 登録</t>
        </is>
      </c>
      <c r="P204" s="90" t="n"/>
      <c r="Q204" s="90" t="n"/>
      <c r="R204" s="90" t="n"/>
      <c r="S204" s="90" t="n"/>
      <c r="T204" s="90" t="n"/>
      <c r="U204" s="90" t="n"/>
      <c r="V204" s="90" t="n"/>
      <c r="W204" s="90" t="n"/>
      <c r="X204" s="90" t="n"/>
      <c r="Y204" s="90" t="n"/>
      <c r="Z204" s="90" t="n"/>
      <c r="AA204" s="90" t="n"/>
      <c r="AB204" s="90" t="n">
        <v>23</v>
      </c>
      <c r="AC204" s="90" t="n">
        <v>1</v>
      </c>
      <c r="AD204" s="93" t="inlineStr">
        <is>
          <t>増</t>
        </is>
      </c>
      <c r="AE204" s="90" t="inlineStr">
        <is>
          <t>23 結婚</t>
        </is>
      </c>
      <c r="AF204" s="90" t="n"/>
      <c r="AG204" s="90" t="n"/>
      <c r="AH204" s="90" t="n"/>
      <c r="AI204" s="90" t="n"/>
      <c r="AJ204" s="90" t="n"/>
      <c r="AK204" s="90" t="n"/>
      <c r="AL204" s="94">
        <f>IF(A204="","",IF(COUNTIF(A204:A$2001,A204)=1,1,0))</f>
        <v/>
      </c>
      <c r="AM204" s="94">
        <f>IF(I204="","",TODAY()-I204)</f>
        <v/>
      </c>
      <c r="AN204" s="94">
        <f>IF(A204="","",IF(AND(E204&lt;&gt;"33 確認済",E204&lt;&gt;"36 送付中"),1,0))</f>
        <v/>
      </c>
      <c r="AO204" s="94">
        <f>IF(A204="","",IF(AG204&lt;&gt;"",1,0))</f>
        <v/>
      </c>
      <c r="AP204" s="220">
        <f>IF(P204&lt;&gt;"","・添待ち","")&amp;IF(Q204&lt;&gt;"","・住民票","")&amp;IF(R204&lt;&gt;"","・発信","")&amp;IF(S204&lt;&gt;"","・確認事項","")&amp;IF(T204&lt;&gt;"","・管","")&amp;IF(U204&lt;&gt;"","・SV","")&amp;IF(V204&lt;&gt;"","・データ送付待ち","")&amp;IF(W204&lt;&gt;"","・削除","")</f>
        <v/>
      </c>
    </row>
    <row r="205" ht="15" customHeight="1" s="87">
      <c r="A205" s="90" t="n">
        <v>202660001361</v>
      </c>
      <c r="B205" s="90" t="n"/>
      <c r="C205" s="90" t="n"/>
      <c r="D205" s="90" t="n">
        <v>32</v>
      </c>
      <c r="E205" s="90" t="inlineStr">
        <is>
          <t>32 ＳＶ確認中</t>
        </is>
      </c>
      <c r="F205" s="90" t="n"/>
      <c r="G205" s="90" t="n"/>
      <c r="H205" s="91" t="n">
        <v>46203</v>
      </c>
      <c r="I205" s="92" t="n">
        <v>46279</v>
      </c>
      <c r="J205" s="91" t="n">
        <v>46280</v>
      </c>
      <c r="K205" s="91" t="n">
        <v>46282</v>
      </c>
      <c r="L205" s="90" t="n"/>
      <c r="M205" s="90" t="n"/>
      <c r="N205" s="90" t="n"/>
      <c r="O205" s="90" t="inlineStr">
        <is>
          <t>30 登録</t>
        </is>
      </c>
      <c r="P205" s="90" t="n"/>
      <c r="Q205" s="90" t="n"/>
      <c r="R205" s="90" t="n"/>
      <c r="S205" s="90" t="n"/>
      <c r="T205" s="90" t="n"/>
      <c r="U205" s="90" t="n"/>
      <c r="V205" s="90" t="n"/>
      <c r="W205" s="90" t="n"/>
      <c r="X205" s="90" t="n"/>
      <c r="Y205" s="90" t="n"/>
      <c r="Z205" s="90" t="n"/>
      <c r="AA205" s="90" t="n"/>
      <c r="AB205" s="90" t="n">
        <v>23</v>
      </c>
      <c r="AC205" s="90" t="n">
        <v>1</v>
      </c>
      <c r="AD205" s="93" t="inlineStr">
        <is>
          <t>増</t>
        </is>
      </c>
      <c r="AE205" s="90" t="inlineStr">
        <is>
          <t>23 本人の結婚</t>
        </is>
      </c>
      <c r="AF205" s="90" t="n"/>
      <c r="AG205" s="90" t="n"/>
      <c r="AH205" s="90" t="n"/>
      <c r="AI205" s="90" t="n"/>
      <c r="AJ205" s="90" t="n"/>
      <c r="AK205" s="90" t="n"/>
      <c r="AL205" s="94">
        <f>IF(A205="","",IF(COUNTIF(A205:A$2001,A205)=1,1,0))</f>
        <v/>
      </c>
      <c r="AM205" s="94">
        <f>IF(I205="","",TODAY()-I205)</f>
        <v/>
      </c>
      <c r="AN205" s="94">
        <f>IF(A205="","",IF(AND(E205&lt;&gt;"33 確認済",E205&lt;&gt;"36 送付中"),1,0))</f>
        <v/>
      </c>
      <c r="AO205" s="94">
        <f>IF(A205="","",IF(AG205&lt;&gt;"",1,0))</f>
        <v/>
      </c>
      <c r="AP205" s="220">
        <f>IF(P205&lt;&gt;"","・添待ち","")&amp;IF(Q205&lt;&gt;"","・住民票","")&amp;IF(R205&lt;&gt;"","・発信","")&amp;IF(S205&lt;&gt;"","・確認事項","")&amp;IF(T205&lt;&gt;"","・管","")&amp;IF(U205&lt;&gt;"","・SV","")&amp;IF(V205&lt;&gt;"","・データ送付待ち","")&amp;IF(W205&lt;&gt;"","・削除","")</f>
        <v/>
      </c>
    </row>
    <row r="206" ht="15" customHeight="1" s="87">
      <c r="A206" s="90" t="n">
        <v>202660001361</v>
      </c>
      <c r="B206" s="90" t="n"/>
      <c r="C206" s="90" t="n"/>
      <c r="D206" s="90" t="n">
        <v>32</v>
      </c>
      <c r="E206" s="90" t="inlineStr">
        <is>
          <t>32 ＳＶ確認中</t>
        </is>
      </c>
      <c r="F206" s="90" t="n"/>
      <c r="G206" s="90" t="n"/>
      <c r="H206" s="91" t="n">
        <v>46203</v>
      </c>
      <c r="I206" s="92" t="n">
        <v>46279</v>
      </c>
      <c r="J206" s="91" t="n">
        <v>46280</v>
      </c>
      <c r="K206" s="91" t="n">
        <v>46282</v>
      </c>
      <c r="L206" s="90" t="n"/>
      <c r="M206" s="90" t="n"/>
      <c r="N206" s="90" t="n"/>
      <c r="O206" s="90" t="inlineStr">
        <is>
          <t>30 登録</t>
        </is>
      </c>
      <c r="P206" s="90" t="n"/>
      <c r="Q206" s="90" t="n"/>
      <c r="R206" s="90" t="n"/>
      <c r="S206" s="90" t="n"/>
      <c r="T206" s="90" t="n"/>
      <c r="U206" s="90" t="n"/>
      <c r="V206" s="90" t="n"/>
      <c r="W206" s="90" t="n"/>
      <c r="X206" s="90" t="n"/>
      <c r="Y206" s="90" t="n"/>
      <c r="Z206" s="90" t="n"/>
      <c r="AA206" s="90" t="n"/>
      <c r="AB206" s="90" t="n">
        <v>23</v>
      </c>
      <c r="AC206" s="90" t="n">
        <v>1</v>
      </c>
      <c r="AD206" s="93" t="inlineStr">
        <is>
          <t>増</t>
        </is>
      </c>
      <c r="AE206" s="90" t="inlineStr">
        <is>
          <t>23 結婚</t>
        </is>
      </c>
      <c r="AF206" s="90" t="n"/>
      <c r="AG206" s="90" t="n"/>
      <c r="AH206" s="90" t="n"/>
      <c r="AI206" s="90" t="n"/>
      <c r="AJ206" s="90" t="n"/>
      <c r="AK206" s="90" t="n"/>
      <c r="AL206" s="94">
        <f>IF(A206="","",IF(COUNTIF(A206:A$2001,A206)=1,1,0))</f>
        <v/>
      </c>
      <c r="AM206" s="94">
        <f>IF(I206="","",TODAY()-I206)</f>
        <v/>
      </c>
      <c r="AN206" s="94">
        <f>IF(A206="","",IF(AND(E206&lt;&gt;"33 確認済",E206&lt;&gt;"36 送付中"),1,0))</f>
        <v/>
      </c>
      <c r="AO206" s="94">
        <f>IF(A206="","",IF(AG206&lt;&gt;"",1,0))</f>
        <v/>
      </c>
      <c r="AP206" s="220">
        <f>IF(P206&lt;&gt;"","・添待ち","")&amp;IF(Q206&lt;&gt;"","・住民票","")&amp;IF(R206&lt;&gt;"","・発信","")&amp;IF(S206&lt;&gt;"","・確認事項","")&amp;IF(T206&lt;&gt;"","・管","")&amp;IF(U206&lt;&gt;"","・SV","")&amp;IF(V206&lt;&gt;"","・データ送付待ち","")&amp;IF(W206&lt;&gt;"","・削除","")</f>
        <v/>
      </c>
    </row>
    <row r="207" ht="15" customHeight="1" s="87">
      <c r="A207" s="90" t="n">
        <v>202660001362</v>
      </c>
      <c r="B207" s="90" t="n"/>
      <c r="C207" s="90" t="n"/>
      <c r="D207" s="90" t="n">
        <v>20</v>
      </c>
      <c r="E207" s="90" t="inlineStr">
        <is>
          <t>20 確認待ち</t>
        </is>
      </c>
      <c r="F207" s="90" t="n"/>
      <c r="G207" s="90" t="n"/>
      <c r="H207" s="91" t="n">
        <v>46266</v>
      </c>
      <c r="I207" s="92" t="n">
        <v>46288</v>
      </c>
      <c r="J207" s="90" t="n"/>
      <c r="K207" s="90" t="n"/>
      <c r="L207" s="90" t="n"/>
      <c r="M207" s="90" t="n"/>
      <c r="N207" s="90" t="n"/>
      <c r="O207" s="90" t="inlineStr">
        <is>
          <t>55 添付書類待ち登録</t>
        </is>
      </c>
      <c r="P207" s="93" t="inlineStr">
        <is>
          <t>添</t>
        </is>
      </c>
      <c r="Q207" s="90" t="n"/>
      <c r="R207" s="90" t="n"/>
      <c r="S207" s="90" t="n"/>
      <c r="T207" s="90" t="n"/>
      <c r="U207" s="90" t="n"/>
      <c r="V207" s="90" t="n"/>
      <c r="W207" s="90" t="n"/>
      <c r="X207" s="90" t="n"/>
      <c r="Y207" s="90" t="n"/>
      <c r="Z207" s="90" t="n"/>
      <c r="AA207" s="90" t="n"/>
      <c r="AB207" s="90" t="n">
        <v>22</v>
      </c>
      <c r="AC207" s="90" t="n">
        <v>1</v>
      </c>
      <c r="AD207" s="93" t="inlineStr">
        <is>
          <t>増</t>
        </is>
      </c>
      <c r="AE207" s="90" t="inlineStr">
        <is>
          <t>22 扶養親族の退職</t>
        </is>
      </c>
      <c r="AF207" s="90" t="n"/>
      <c r="AG207" s="93" t="inlineStr">
        <is>
          <t>増</t>
        </is>
      </c>
      <c r="AH207" s="90" t="n"/>
      <c r="AI207" s="90" t="n"/>
      <c r="AJ207" s="90" t="n"/>
      <c r="AK207" s="90" t="n"/>
      <c r="AL207" s="94">
        <f>IF(A207="","",IF(COUNTIF(A207:A$2001,A207)=1,1,0))</f>
        <v/>
      </c>
      <c r="AM207" s="94">
        <f>IF(I207="","",TODAY()-I207)</f>
        <v/>
      </c>
      <c r="AN207" s="94">
        <f>IF(A207="","",IF(AND(E207&lt;&gt;"33 確認済",E207&lt;&gt;"36 送付中"),1,0))</f>
        <v/>
      </c>
      <c r="AO207" s="94">
        <f>IF(A207="","",IF(AG207&lt;&gt;"",1,0))</f>
        <v/>
      </c>
      <c r="AP207" s="220">
        <f>IF(P207&lt;&gt;"","・添待ち","")&amp;IF(Q207&lt;&gt;"","・住民票","")&amp;IF(R207&lt;&gt;"","・発信","")&amp;IF(S207&lt;&gt;"","・確認事項","")&amp;IF(T207&lt;&gt;"","・管","")&amp;IF(U207&lt;&gt;"","・SV","")&amp;IF(V207&lt;&gt;"","・データ送付待ち","")&amp;IF(W207&lt;&gt;"","・削除","")</f>
        <v/>
      </c>
    </row>
    <row r="208" ht="15" customHeight="1" s="87">
      <c r="A208" s="90" t="n">
        <v>202660001363</v>
      </c>
      <c r="B208" s="90" t="n"/>
      <c r="C208" s="90" t="n"/>
      <c r="D208" s="90" t="n">
        <v>32</v>
      </c>
      <c r="E208" s="90" t="inlineStr">
        <is>
          <t>32 ＳＶ確認中</t>
        </is>
      </c>
      <c r="F208" s="90" t="n"/>
      <c r="G208" s="90" t="n"/>
      <c r="H208" s="91" t="n">
        <v>46268</v>
      </c>
      <c r="I208" s="92" t="n">
        <v>46280</v>
      </c>
      <c r="J208" s="91" t="n">
        <v>46282</v>
      </c>
      <c r="K208" s="91" t="n">
        <v>46282</v>
      </c>
      <c r="L208" s="90" t="n"/>
      <c r="M208" s="90" t="n"/>
      <c r="N208" s="90" t="n"/>
      <c r="O208" s="90" t="inlineStr">
        <is>
          <t>30 登録</t>
        </is>
      </c>
      <c r="P208" s="90" t="n"/>
      <c r="Q208" s="90" t="n"/>
      <c r="R208" s="90" t="n"/>
      <c r="S208" s="90" t="n"/>
      <c r="T208" s="90" t="n"/>
      <c r="U208" s="90" t="n"/>
      <c r="V208" s="90" t="n"/>
      <c r="W208" s="90" t="n"/>
      <c r="X208" s="90" t="n"/>
      <c r="Y208" s="90" t="n"/>
      <c r="Z208" s="90" t="n"/>
      <c r="AA208" s="90" t="n"/>
      <c r="AB208" s="90" t="n">
        <v>21</v>
      </c>
      <c r="AC208" s="90" t="n">
        <v>1</v>
      </c>
      <c r="AD208" s="93" t="inlineStr">
        <is>
          <t>増</t>
        </is>
      </c>
      <c r="AE208" s="90" t="inlineStr">
        <is>
          <t>21 出生</t>
        </is>
      </c>
      <c r="AF208" s="93" t="inlineStr">
        <is>
          <t>増</t>
        </is>
      </c>
      <c r="AG208" s="93" t="inlineStr">
        <is>
          <t>増</t>
        </is>
      </c>
      <c r="AH208" s="93" t="inlineStr">
        <is>
          <t>増</t>
        </is>
      </c>
      <c r="AI208" s="90" t="n"/>
      <c r="AJ208" s="90" t="n"/>
      <c r="AK208" s="90" t="n"/>
      <c r="AL208" s="94">
        <f>IF(A208="","",IF(COUNTIF(A208:A$2001,A208)=1,1,0))</f>
        <v/>
      </c>
      <c r="AM208" s="94">
        <f>IF(I208="","",TODAY()-I208)</f>
        <v/>
      </c>
      <c r="AN208" s="94">
        <f>IF(A208="","",IF(AND(E208&lt;&gt;"33 確認済",E208&lt;&gt;"36 送付中"),1,0))</f>
        <v/>
      </c>
      <c r="AO208" s="94">
        <f>IF(A208="","",IF(AG208&lt;&gt;"",1,0))</f>
        <v/>
      </c>
      <c r="AP208" s="220">
        <f>IF(P208&lt;&gt;"","・添待ち","")&amp;IF(Q208&lt;&gt;"","・住民票","")&amp;IF(R208&lt;&gt;"","・発信","")&amp;IF(S208&lt;&gt;"","・確認事項","")&amp;IF(T208&lt;&gt;"","・管","")&amp;IF(U208&lt;&gt;"","・SV","")&amp;IF(V208&lt;&gt;"","・データ送付待ち","")&amp;IF(W208&lt;&gt;"","・削除","")</f>
        <v/>
      </c>
    </row>
    <row r="209" ht="15" customHeight="1" s="87">
      <c r="A209" s="90" t="n">
        <v>202660001364</v>
      </c>
      <c r="B209" s="90" t="n"/>
      <c r="C209" s="90" t="n"/>
      <c r="D209" s="90" t="n">
        <v>31</v>
      </c>
      <c r="E209" s="90" t="inlineStr">
        <is>
          <t>31 ＯＰ確認中</t>
        </is>
      </c>
      <c r="F209" s="90" t="n"/>
      <c r="G209" s="90" t="n"/>
      <c r="H209" s="91" t="n">
        <v>46235</v>
      </c>
      <c r="I209" s="92" t="n">
        <v>46279</v>
      </c>
      <c r="J209" s="91" t="n">
        <v>46289</v>
      </c>
      <c r="K209" s="91" t="n">
        <v>46289</v>
      </c>
      <c r="L209" s="90" t="n"/>
      <c r="M209" s="90" t="n"/>
      <c r="N209" s="90" t="n"/>
      <c r="O209" s="90" t="inlineStr">
        <is>
          <t>22 担当者変更</t>
        </is>
      </c>
      <c r="P209" s="90" t="n"/>
      <c r="Q209" s="90" t="n"/>
      <c r="R209" s="90" t="n"/>
      <c r="S209" s="90" t="n"/>
      <c r="T209" s="90" t="n"/>
      <c r="U209" s="90" t="n"/>
      <c r="V209" s="90" t="n"/>
      <c r="W209" s="90" t="n"/>
      <c r="X209" s="90" t="n"/>
      <c r="Y209" s="90" t="n"/>
      <c r="Z209" s="90" t="n"/>
      <c r="AA209" s="90" t="n"/>
      <c r="AB209" s="90" t="n">
        <v>97</v>
      </c>
      <c r="AC209" s="90" t="n">
        <v>1</v>
      </c>
      <c r="AD209" s="93" t="inlineStr">
        <is>
          <t>増</t>
        </is>
      </c>
      <c r="AE209" s="90" t="inlineStr">
        <is>
          <t>97 扶養親族の同別居変更</t>
        </is>
      </c>
      <c r="AF209" s="90" t="n"/>
      <c r="AG209" s="93" t="inlineStr">
        <is>
          <t>増</t>
        </is>
      </c>
      <c r="AH209" s="93" t="inlineStr">
        <is>
          <t>増</t>
        </is>
      </c>
      <c r="AI209" s="90" t="n"/>
      <c r="AJ209" s="90" t="n"/>
      <c r="AK209" s="90" t="n"/>
      <c r="AL209" s="94">
        <f>IF(A209="","",IF(COUNTIF(A209:A$2001,A209)=1,1,0))</f>
        <v/>
      </c>
      <c r="AM209" s="94">
        <f>IF(I209="","",TODAY()-I209)</f>
        <v/>
      </c>
      <c r="AN209" s="94">
        <f>IF(A209="","",IF(AND(E209&lt;&gt;"33 確認済",E209&lt;&gt;"36 送付中"),1,0))</f>
        <v/>
      </c>
      <c r="AO209" s="94">
        <f>IF(A209="","",IF(AG209&lt;&gt;"",1,0))</f>
        <v/>
      </c>
      <c r="AP209" s="220">
        <f>IF(P209&lt;&gt;"","・添待ち","")&amp;IF(Q209&lt;&gt;"","・住民票","")&amp;IF(R209&lt;&gt;"","・発信","")&amp;IF(S209&lt;&gt;"","・確認事項","")&amp;IF(T209&lt;&gt;"","・管","")&amp;IF(U209&lt;&gt;"","・SV","")&amp;IF(V209&lt;&gt;"","・データ送付待ち","")&amp;IF(W209&lt;&gt;"","・削除","")</f>
        <v/>
      </c>
    </row>
    <row r="210" ht="15" customHeight="1" s="87">
      <c r="A210" s="90" t="n">
        <v>202660001365</v>
      </c>
      <c r="B210" s="90" t="n"/>
      <c r="C210" s="90" t="n"/>
      <c r="D210" s="90" t="n">
        <v>31</v>
      </c>
      <c r="E210" s="90" t="inlineStr">
        <is>
          <t>31 ＯＰ確認中</t>
        </is>
      </c>
      <c r="F210" s="90" t="n">
        <v>20</v>
      </c>
      <c r="G210" s="90" t="inlineStr">
        <is>
          <t>20 差戻し</t>
        </is>
      </c>
      <c r="H210" s="91" t="n">
        <v>46272</v>
      </c>
      <c r="I210" s="92" t="n">
        <v>46279</v>
      </c>
      <c r="J210" s="91" t="n">
        <v>46289</v>
      </c>
      <c r="K210" s="91" t="n">
        <v>46289</v>
      </c>
      <c r="L210" s="90" t="n"/>
      <c r="M210" s="90" t="n"/>
      <c r="N210" s="90" t="n"/>
      <c r="O210" s="90" t="inlineStr">
        <is>
          <t>22 担当者変更</t>
        </is>
      </c>
      <c r="P210" s="90" t="n"/>
      <c r="Q210" s="90" t="n"/>
      <c r="R210" s="90" t="n"/>
      <c r="S210" s="90" t="n"/>
      <c r="T210" s="90" t="n"/>
      <c r="U210" s="90" t="n"/>
      <c r="V210" s="90" t="n"/>
      <c r="W210" s="90" t="n"/>
      <c r="X210" s="90" t="n"/>
      <c r="Y210" s="90" t="n"/>
      <c r="Z210" s="90" t="n"/>
      <c r="AA210" s="90" t="n"/>
      <c r="AB210" s="90" t="n">
        <v>21</v>
      </c>
      <c r="AC210" s="90" t="n">
        <v>1</v>
      </c>
      <c r="AD210" s="93" t="inlineStr">
        <is>
          <t>増</t>
        </is>
      </c>
      <c r="AE210" s="90" t="inlineStr">
        <is>
          <t>21 出生</t>
        </is>
      </c>
      <c r="AF210" s="93" t="inlineStr">
        <is>
          <t>増</t>
        </is>
      </c>
      <c r="AG210" s="93" t="inlineStr">
        <is>
          <t>増</t>
        </is>
      </c>
      <c r="AH210" s="93" t="inlineStr">
        <is>
          <t>増</t>
        </is>
      </c>
      <c r="AI210" s="90" t="n"/>
      <c r="AJ210" s="90" t="n"/>
      <c r="AK210" s="90" t="n"/>
      <c r="AL210" s="94">
        <f>IF(A210="","",IF(COUNTIF(A210:A$2001,A210)=1,1,0))</f>
        <v/>
      </c>
      <c r="AM210" s="94">
        <f>IF(I210="","",TODAY()-I210)</f>
        <v/>
      </c>
      <c r="AN210" s="94">
        <f>IF(A210="","",IF(AND(E210&lt;&gt;"33 確認済",E210&lt;&gt;"36 送付中"),1,0))</f>
        <v/>
      </c>
      <c r="AO210" s="94">
        <f>IF(A210="","",IF(AG210&lt;&gt;"",1,0))</f>
        <v/>
      </c>
      <c r="AP210" s="220">
        <f>IF(P210&lt;&gt;"","・添待ち","")&amp;IF(Q210&lt;&gt;"","・住民票","")&amp;IF(R210&lt;&gt;"","・発信","")&amp;IF(S210&lt;&gt;"","・確認事項","")&amp;IF(T210&lt;&gt;"","・管","")&amp;IF(U210&lt;&gt;"","・SV","")&amp;IF(V210&lt;&gt;"","・データ送付待ち","")&amp;IF(W210&lt;&gt;"","・削除","")</f>
        <v/>
      </c>
    </row>
    <row r="211" ht="15" customHeight="1" s="87">
      <c r="A211" s="90" t="n">
        <v>202660001366</v>
      </c>
      <c r="B211" s="90" t="n"/>
      <c r="C211" s="90" t="n"/>
      <c r="D211" s="90" t="n">
        <v>31</v>
      </c>
      <c r="E211" s="90" t="inlineStr">
        <is>
          <t>31 ＯＰ確認中</t>
        </is>
      </c>
      <c r="F211" s="90" t="n"/>
      <c r="G211" s="90" t="n"/>
      <c r="H211" s="91" t="n">
        <v>46271</v>
      </c>
      <c r="I211" s="92" t="n">
        <v>46279</v>
      </c>
      <c r="J211" s="91" t="n">
        <v>46280</v>
      </c>
      <c r="K211" s="91" t="n">
        <v>46282</v>
      </c>
      <c r="L211" s="90" t="n"/>
      <c r="M211" s="90" t="n"/>
      <c r="N211" s="90" t="n"/>
      <c r="O211" s="90" t="inlineStr">
        <is>
          <t>21 担当者登録</t>
        </is>
      </c>
      <c r="P211" s="90" t="n"/>
      <c r="Q211" s="90" t="n"/>
      <c r="R211" s="90" t="n"/>
      <c r="S211" s="90" t="n"/>
      <c r="T211" s="90" t="n"/>
      <c r="U211" s="90" t="n"/>
      <c r="V211" s="90" t="n"/>
      <c r="W211" s="90" t="n"/>
      <c r="X211" s="90" t="n"/>
      <c r="Y211" s="90" t="n"/>
      <c r="Z211" s="90" t="n"/>
      <c r="AA211" s="90" t="n"/>
      <c r="AB211" s="90" t="n">
        <v>23</v>
      </c>
      <c r="AC211" s="90" t="n">
        <v>1</v>
      </c>
      <c r="AD211" s="93" t="inlineStr">
        <is>
          <t>増</t>
        </is>
      </c>
      <c r="AE211" s="90" t="inlineStr">
        <is>
          <t>23 本人の結婚</t>
        </is>
      </c>
      <c r="AF211" s="90" t="n"/>
      <c r="AG211" s="90" t="n"/>
      <c r="AH211" s="90" t="n"/>
      <c r="AI211" s="90" t="n"/>
      <c r="AJ211" s="90" t="n"/>
      <c r="AK211" s="90" t="n"/>
      <c r="AL211" s="94">
        <f>IF(A211="","",IF(COUNTIF(A211:A$2001,A211)=1,1,0))</f>
        <v/>
      </c>
      <c r="AM211" s="94">
        <f>IF(I211="","",TODAY()-I211)</f>
        <v/>
      </c>
      <c r="AN211" s="94">
        <f>IF(A211="","",IF(AND(E211&lt;&gt;"33 確認済",E211&lt;&gt;"36 送付中"),1,0))</f>
        <v/>
      </c>
      <c r="AO211" s="94">
        <f>IF(A211="","",IF(AG211&lt;&gt;"",1,0))</f>
        <v/>
      </c>
      <c r="AP211" s="220">
        <f>IF(P211&lt;&gt;"","・添待ち","")&amp;IF(Q211&lt;&gt;"","・住民票","")&amp;IF(R211&lt;&gt;"","・発信","")&amp;IF(S211&lt;&gt;"","・確認事項","")&amp;IF(T211&lt;&gt;"","・管","")&amp;IF(U211&lt;&gt;"","・SV","")&amp;IF(V211&lt;&gt;"","・データ送付待ち","")&amp;IF(W211&lt;&gt;"","・削除","")</f>
        <v/>
      </c>
    </row>
    <row r="212" ht="15" customHeight="1" s="87">
      <c r="A212" s="90" t="n">
        <v>202660001366</v>
      </c>
      <c r="B212" s="90" t="n"/>
      <c r="C212" s="90" t="n"/>
      <c r="D212" s="90" t="n">
        <v>31</v>
      </c>
      <c r="E212" s="90" t="inlineStr">
        <is>
          <t>31 ＯＰ確認中</t>
        </is>
      </c>
      <c r="F212" s="90" t="n"/>
      <c r="G212" s="90" t="n"/>
      <c r="H212" s="91" t="n">
        <v>46271</v>
      </c>
      <c r="I212" s="92" t="n">
        <v>46279</v>
      </c>
      <c r="J212" s="91" t="n">
        <v>46280</v>
      </c>
      <c r="K212" s="91" t="n">
        <v>46282</v>
      </c>
      <c r="L212" s="90" t="n"/>
      <c r="M212" s="90" t="n"/>
      <c r="N212" s="90" t="n"/>
      <c r="O212" s="90" t="inlineStr">
        <is>
          <t>21 担当者登録</t>
        </is>
      </c>
      <c r="P212" s="90" t="n"/>
      <c r="Q212" s="90" t="n"/>
      <c r="R212" s="90" t="n"/>
      <c r="S212" s="90" t="n"/>
      <c r="T212" s="90" t="n"/>
      <c r="U212" s="90" t="n"/>
      <c r="V212" s="90" t="n"/>
      <c r="W212" s="90" t="n"/>
      <c r="X212" s="90" t="n"/>
      <c r="Y212" s="90" t="n"/>
      <c r="Z212" s="90" t="n"/>
      <c r="AA212" s="90" t="n"/>
      <c r="AB212" s="90" t="n">
        <v>23</v>
      </c>
      <c r="AC212" s="90" t="n">
        <v>1</v>
      </c>
      <c r="AD212" s="93" t="inlineStr">
        <is>
          <t>増</t>
        </is>
      </c>
      <c r="AE212" s="90" t="inlineStr">
        <is>
          <t>23 結婚</t>
        </is>
      </c>
      <c r="AF212" s="90" t="n"/>
      <c r="AG212" s="90" t="n"/>
      <c r="AH212" s="90" t="n"/>
      <c r="AI212" s="90" t="n"/>
      <c r="AJ212" s="90" t="n"/>
      <c r="AK212" s="90" t="n"/>
      <c r="AL212" s="94">
        <f>IF(A212="","",IF(COUNTIF(A212:A$2001,A212)=1,1,0))</f>
        <v/>
      </c>
      <c r="AM212" s="94">
        <f>IF(I212="","",TODAY()-I212)</f>
        <v/>
      </c>
      <c r="AN212" s="94">
        <f>IF(A212="","",IF(AND(E212&lt;&gt;"33 確認済",E212&lt;&gt;"36 送付中"),1,0))</f>
        <v/>
      </c>
      <c r="AO212" s="94">
        <f>IF(A212="","",IF(AG212&lt;&gt;"",1,0))</f>
        <v/>
      </c>
      <c r="AP212" s="220">
        <f>IF(P212&lt;&gt;"","・添待ち","")&amp;IF(Q212&lt;&gt;"","・住民票","")&amp;IF(R212&lt;&gt;"","・発信","")&amp;IF(S212&lt;&gt;"","・確認事項","")&amp;IF(T212&lt;&gt;"","・管","")&amp;IF(U212&lt;&gt;"","・SV","")&amp;IF(V212&lt;&gt;"","・データ送付待ち","")&amp;IF(W212&lt;&gt;"","・削除","")</f>
        <v/>
      </c>
    </row>
    <row r="213" ht="15" customHeight="1" s="87">
      <c r="A213" s="90" t="n">
        <v>202660001368</v>
      </c>
      <c r="B213" s="90" t="n"/>
      <c r="C213" s="90" t="n"/>
      <c r="D213" s="90" t="n">
        <v>31</v>
      </c>
      <c r="E213" s="90" t="inlineStr">
        <is>
          <t>31 ＯＰ確認中</t>
        </is>
      </c>
      <c r="F213" s="90" t="n"/>
      <c r="G213" s="90" t="n"/>
      <c r="H213" s="91" t="n">
        <v>46275</v>
      </c>
      <c r="I213" s="92" t="n">
        <v>46279</v>
      </c>
      <c r="J213" s="91" t="n">
        <v>46280</v>
      </c>
      <c r="K213" s="91" t="n">
        <v>46283</v>
      </c>
      <c r="L213" s="90" t="n"/>
      <c r="M213" s="90" t="n"/>
      <c r="N213" s="90" t="n"/>
      <c r="O213" s="90" t="inlineStr">
        <is>
          <t>21 担当者登録</t>
        </is>
      </c>
      <c r="P213" s="90" t="n"/>
      <c r="Q213" s="90" t="n"/>
      <c r="R213" s="90" t="n"/>
      <c r="S213" s="90" t="n"/>
      <c r="T213" s="90" t="n"/>
      <c r="U213" s="90" t="n"/>
      <c r="V213" s="90" t="n"/>
      <c r="W213" s="90" t="n"/>
      <c r="X213" s="90" t="n"/>
      <c r="Y213" s="90" t="n"/>
      <c r="Z213" s="90" t="n"/>
      <c r="AA213" s="90" t="n"/>
      <c r="AB213" s="90" t="n">
        <v>23</v>
      </c>
      <c r="AC213" s="90" t="n">
        <v>1</v>
      </c>
      <c r="AD213" s="93" t="inlineStr">
        <is>
          <t>増</t>
        </is>
      </c>
      <c r="AE213" s="90" t="inlineStr">
        <is>
          <t>23 本人の結婚</t>
        </is>
      </c>
      <c r="AF213" s="90" t="n"/>
      <c r="AG213" s="90" t="n"/>
      <c r="AH213" s="90" t="n"/>
      <c r="AI213" s="90" t="n"/>
      <c r="AJ213" s="90" t="n"/>
      <c r="AK213" s="90" t="n"/>
      <c r="AL213" s="94">
        <f>IF(A213="","",IF(COUNTIF(A213:A$2001,A213)=1,1,0))</f>
        <v/>
      </c>
      <c r="AM213" s="94">
        <f>IF(I213="","",TODAY()-I213)</f>
        <v/>
      </c>
      <c r="AN213" s="94">
        <f>IF(A213="","",IF(AND(E213&lt;&gt;"33 確認済",E213&lt;&gt;"36 送付中"),1,0))</f>
        <v/>
      </c>
      <c r="AO213" s="94">
        <f>IF(A213="","",IF(AG213&lt;&gt;"",1,0))</f>
        <v/>
      </c>
      <c r="AP213" s="220">
        <f>IF(P213&lt;&gt;"","・添待ち","")&amp;IF(Q213&lt;&gt;"","・住民票","")&amp;IF(R213&lt;&gt;"","・発信","")&amp;IF(S213&lt;&gt;"","・確認事項","")&amp;IF(T213&lt;&gt;"","・管","")&amp;IF(U213&lt;&gt;"","・SV","")&amp;IF(V213&lt;&gt;"","・データ送付待ち","")&amp;IF(W213&lt;&gt;"","・削除","")</f>
        <v/>
      </c>
    </row>
    <row r="214" ht="15" customHeight="1" s="87">
      <c r="A214" s="90" t="n">
        <v>202660001368</v>
      </c>
      <c r="B214" s="90" t="n"/>
      <c r="C214" s="90" t="n"/>
      <c r="D214" s="90" t="n">
        <v>31</v>
      </c>
      <c r="E214" s="90" t="inlineStr">
        <is>
          <t>31 ＯＰ確認中</t>
        </is>
      </c>
      <c r="F214" s="90" t="n"/>
      <c r="G214" s="90" t="n"/>
      <c r="H214" s="91" t="n">
        <v>46275</v>
      </c>
      <c r="I214" s="92" t="n">
        <v>46279</v>
      </c>
      <c r="J214" s="91" t="n">
        <v>46280</v>
      </c>
      <c r="K214" s="91" t="n">
        <v>46283</v>
      </c>
      <c r="L214" s="90" t="n"/>
      <c r="M214" s="90" t="n"/>
      <c r="N214" s="90" t="n"/>
      <c r="O214" s="90" t="inlineStr">
        <is>
          <t>21 担当者登録</t>
        </is>
      </c>
      <c r="P214" s="90" t="n"/>
      <c r="Q214" s="90" t="n"/>
      <c r="R214" s="90" t="n"/>
      <c r="S214" s="90" t="n"/>
      <c r="T214" s="90" t="n"/>
      <c r="U214" s="90" t="n"/>
      <c r="V214" s="90" t="n"/>
      <c r="W214" s="90" t="n"/>
      <c r="X214" s="90" t="n"/>
      <c r="Y214" s="90" t="n"/>
      <c r="Z214" s="90" t="n"/>
      <c r="AA214" s="90" t="n"/>
      <c r="AB214" s="90" t="n">
        <v>23</v>
      </c>
      <c r="AC214" s="90" t="n">
        <v>1</v>
      </c>
      <c r="AD214" s="93" t="inlineStr">
        <is>
          <t>増</t>
        </is>
      </c>
      <c r="AE214" s="90" t="inlineStr">
        <is>
          <t>23 結婚</t>
        </is>
      </c>
      <c r="AF214" s="90" t="n"/>
      <c r="AG214" s="90" t="n"/>
      <c r="AH214" s="90" t="n"/>
      <c r="AI214" s="90" t="n"/>
      <c r="AJ214" s="90" t="n"/>
      <c r="AK214" s="90" t="n"/>
      <c r="AL214" s="94">
        <f>IF(A214="","",IF(COUNTIF(A214:A$2001,A214)=1,1,0))</f>
        <v/>
      </c>
      <c r="AM214" s="94">
        <f>IF(I214="","",TODAY()-I214)</f>
        <v/>
      </c>
      <c r="AN214" s="94">
        <f>IF(A214="","",IF(AND(E214&lt;&gt;"33 確認済",E214&lt;&gt;"36 送付中"),1,0))</f>
        <v/>
      </c>
      <c r="AO214" s="94">
        <f>IF(A214="","",IF(AG214&lt;&gt;"",1,0))</f>
        <v/>
      </c>
      <c r="AP214" s="220">
        <f>IF(P214&lt;&gt;"","・添待ち","")&amp;IF(Q214&lt;&gt;"","・住民票","")&amp;IF(R214&lt;&gt;"","・発信","")&amp;IF(S214&lt;&gt;"","・確認事項","")&amp;IF(T214&lt;&gt;"","・管","")&amp;IF(U214&lt;&gt;"","・SV","")&amp;IF(V214&lt;&gt;"","・データ送付待ち","")&amp;IF(W214&lt;&gt;"","・削除","")</f>
        <v/>
      </c>
    </row>
    <row r="215" ht="15" customHeight="1" s="87">
      <c r="A215" s="90" t="n">
        <v>202660001369</v>
      </c>
      <c r="B215" s="90" t="n"/>
      <c r="C215" s="90" t="n"/>
      <c r="D215" s="90" t="n">
        <v>31</v>
      </c>
      <c r="E215" s="90" t="inlineStr">
        <is>
          <t>31 ＯＰ確認中</t>
        </is>
      </c>
      <c r="F215" s="90" t="n"/>
      <c r="G215" s="90" t="n"/>
      <c r="H215" s="91" t="n">
        <v>46277</v>
      </c>
      <c r="I215" s="92" t="n">
        <v>46279</v>
      </c>
      <c r="J215" s="91" t="n">
        <v>46283</v>
      </c>
      <c r="K215" s="91" t="n">
        <v>46283</v>
      </c>
      <c r="L215" s="90" t="n"/>
      <c r="M215" s="90" t="n"/>
      <c r="N215" s="90" t="n"/>
      <c r="O215" s="90" t="inlineStr">
        <is>
          <t>21 担当者登録</t>
        </is>
      </c>
      <c r="P215" s="90" t="n"/>
      <c r="Q215" s="90" t="n"/>
      <c r="R215" s="90" t="n"/>
      <c r="S215" s="90" t="n"/>
      <c r="T215" s="90" t="n"/>
      <c r="U215" s="90" t="n"/>
      <c r="V215" s="90" t="n"/>
      <c r="W215" s="90" t="n"/>
      <c r="X215" s="90" t="n"/>
      <c r="Y215" s="90" t="n"/>
      <c r="Z215" s="90" t="n"/>
      <c r="AA215" s="90" t="n"/>
      <c r="AB215" s="90" t="n">
        <v>21</v>
      </c>
      <c r="AC215" s="90" t="n">
        <v>1</v>
      </c>
      <c r="AD215" s="93" t="inlineStr">
        <is>
          <t>増</t>
        </is>
      </c>
      <c r="AE215" s="90" t="inlineStr">
        <is>
          <t>21 出生</t>
        </is>
      </c>
      <c r="AF215" s="93" t="inlineStr">
        <is>
          <t>増</t>
        </is>
      </c>
      <c r="AG215" s="93" t="inlineStr">
        <is>
          <t>増</t>
        </is>
      </c>
      <c r="AH215" s="93" t="inlineStr">
        <is>
          <t>増</t>
        </is>
      </c>
      <c r="AI215" s="90" t="n"/>
      <c r="AJ215" s="90" t="n"/>
      <c r="AK215" s="90" t="n"/>
      <c r="AL215" s="94">
        <f>IF(A215="","",IF(COUNTIF(A215:A$2001,A215)=1,1,0))</f>
        <v/>
      </c>
      <c r="AM215" s="94">
        <f>IF(I215="","",TODAY()-I215)</f>
        <v/>
      </c>
      <c r="AN215" s="94">
        <f>IF(A215="","",IF(AND(E215&lt;&gt;"33 確認済",E215&lt;&gt;"36 送付中"),1,0))</f>
        <v/>
      </c>
      <c r="AO215" s="94">
        <f>IF(A215="","",IF(AG215&lt;&gt;"",1,0))</f>
        <v/>
      </c>
      <c r="AP215" s="220">
        <f>IF(P215&lt;&gt;"","・添待ち","")&amp;IF(Q215&lt;&gt;"","・住民票","")&amp;IF(R215&lt;&gt;"","・発信","")&amp;IF(S215&lt;&gt;"","・確認事項","")&amp;IF(T215&lt;&gt;"","・管","")&amp;IF(U215&lt;&gt;"","・SV","")&amp;IF(V215&lt;&gt;"","・データ送付待ち","")&amp;IF(W215&lt;&gt;"","・削除","")</f>
        <v/>
      </c>
    </row>
    <row r="216" ht="15" customHeight="1" s="87">
      <c r="A216" s="90" t="n">
        <v>202660001370</v>
      </c>
      <c r="B216" s="90" t="n"/>
      <c r="C216" s="90" t="n"/>
      <c r="D216" s="90" t="n">
        <v>20</v>
      </c>
      <c r="E216" s="90" t="inlineStr">
        <is>
          <t>20 確認待ち</t>
        </is>
      </c>
      <c r="F216" s="90" t="n"/>
      <c r="G216" s="90" t="n"/>
      <c r="H216" s="91" t="n">
        <v>46283</v>
      </c>
      <c r="I216" s="92" t="n">
        <v>46283</v>
      </c>
      <c r="J216" s="90" t="n"/>
      <c r="K216" s="90" t="n"/>
      <c r="L216" s="90" t="n"/>
      <c r="M216" s="90" t="n"/>
      <c r="N216" s="90" t="n"/>
      <c r="O216" s="90" t="inlineStr">
        <is>
          <t>55 添付書類待ち登録</t>
        </is>
      </c>
      <c r="P216" s="93" t="inlineStr">
        <is>
          <t>添</t>
        </is>
      </c>
      <c r="Q216" s="90" t="n"/>
      <c r="R216" s="90" t="n"/>
      <c r="S216" s="90" t="n"/>
      <c r="T216" s="90" t="n"/>
      <c r="U216" s="90" t="n"/>
      <c r="V216" s="90" t="n"/>
      <c r="W216" s="90" t="n"/>
      <c r="X216" s="90" t="n"/>
      <c r="Y216" s="90" t="n"/>
      <c r="Z216" s="90" t="n"/>
      <c r="AA216" s="90" t="n"/>
      <c r="AB216" s="90" t="n">
        <v>25</v>
      </c>
      <c r="AC216" s="90" t="n">
        <v>1</v>
      </c>
      <c r="AD216" s="93" t="inlineStr">
        <is>
          <t>増</t>
        </is>
      </c>
      <c r="AE216" s="90" t="inlineStr">
        <is>
          <t>25 育休</t>
        </is>
      </c>
      <c r="AF216" s="93" t="inlineStr">
        <is>
          <t>増</t>
        </is>
      </c>
      <c r="AG216" s="90" t="n"/>
      <c r="AH216" s="93" t="inlineStr">
        <is>
          <t>増</t>
        </is>
      </c>
      <c r="AI216" s="90" t="n"/>
      <c r="AJ216" s="90" t="n"/>
      <c r="AK216" s="90" t="n"/>
      <c r="AL216" s="94">
        <f>IF(A216="","",IF(COUNTIF(A216:A$2001,A216)=1,1,0))</f>
        <v/>
      </c>
      <c r="AM216" s="94">
        <f>IF(I216="","",TODAY()-I216)</f>
        <v/>
      </c>
      <c r="AN216" s="94">
        <f>IF(A216="","",IF(AND(E216&lt;&gt;"33 確認済",E216&lt;&gt;"36 送付中"),1,0))</f>
        <v/>
      </c>
      <c r="AO216" s="94">
        <f>IF(A216="","",IF(AG216&lt;&gt;"",1,0))</f>
        <v/>
      </c>
      <c r="AP216" s="220">
        <f>IF(P216&lt;&gt;"","・添待ち","")&amp;IF(Q216&lt;&gt;"","・住民票","")&amp;IF(R216&lt;&gt;"","・発信","")&amp;IF(S216&lt;&gt;"","・確認事項","")&amp;IF(T216&lt;&gt;"","・管","")&amp;IF(U216&lt;&gt;"","・SV","")&amp;IF(V216&lt;&gt;"","・データ送付待ち","")&amp;IF(W216&lt;&gt;"","・削除","")</f>
        <v/>
      </c>
    </row>
    <row r="217" ht="15" customHeight="1" s="87">
      <c r="A217" s="90" t="n">
        <v>202660001371</v>
      </c>
      <c r="B217" s="90" t="n"/>
      <c r="C217" s="90" t="n"/>
      <c r="D217" s="90" t="n">
        <v>31</v>
      </c>
      <c r="E217" s="90" t="inlineStr">
        <is>
          <t>31 ＯＰ確認中</t>
        </is>
      </c>
      <c r="F217" s="90" t="n"/>
      <c r="G217" s="90" t="n"/>
      <c r="H217" s="91" t="n">
        <v>46242</v>
      </c>
      <c r="I217" s="92" t="n">
        <v>46280</v>
      </c>
      <c r="J217" s="91" t="n">
        <v>46280</v>
      </c>
      <c r="K217" s="91" t="n">
        <v>46283</v>
      </c>
      <c r="L217" s="90" t="n"/>
      <c r="M217" s="90" t="n"/>
      <c r="N217" s="90" t="n"/>
      <c r="O217" s="90" t="inlineStr">
        <is>
          <t>21 担当者登録</t>
        </is>
      </c>
      <c r="P217" s="90" t="n"/>
      <c r="Q217" s="90" t="n"/>
      <c r="R217" s="90" t="n"/>
      <c r="S217" s="90" t="n"/>
      <c r="T217" s="90" t="n"/>
      <c r="U217" s="90" t="n"/>
      <c r="V217" s="90" t="n"/>
      <c r="W217" s="90" t="n"/>
      <c r="X217" s="90" t="n"/>
      <c r="Y217" s="90" t="n"/>
      <c r="Z217" s="90" t="n"/>
      <c r="AA217" s="90" t="n"/>
      <c r="AB217" s="90" t="n">
        <v>23</v>
      </c>
      <c r="AC217" s="90" t="n">
        <v>1</v>
      </c>
      <c r="AD217" s="93" t="inlineStr">
        <is>
          <t>増</t>
        </is>
      </c>
      <c r="AE217" s="90" t="inlineStr">
        <is>
          <t>23 本人の結婚</t>
        </is>
      </c>
      <c r="AF217" s="90" t="n"/>
      <c r="AG217" s="90" t="n"/>
      <c r="AH217" s="90" t="n"/>
      <c r="AI217" s="90" t="n"/>
      <c r="AJ217" s="90" t="n"/>
      <c r="AK217" s="90" t="n"/>
      <c r="AL217" s="94">
        <f>IF(A217="","",IF(COUNTIF(A217:A$2001,A217)=1,1,0))</f>
        <v/>
      </c>
      <c r="AM217" s="94">
        <f>IF(I217="","",TODAY()-I217)</f>
        <v/>
      </c>
      <c r="AN217" s="94">
        <f>IF(A217="","",IF(AND(E217&lt;&gt;"33 確認済",E217&lt;&gt;"36 送付中"),1,0))</f>
        <v/>
      </c>
      <c r="AO217" s="94">
        <f>IF(A217="","",IF(AG217&lt;&gt;"",1,0))</f>
        <v/>
      </c>
      <c r="AP217" s="220">
        <f>IF(P217&lt;&gt;"","・添待ち","")&amp;IF(Q217&lt;&gt;"","・住民票","")&amp;IF(R217&lt;&gt;"","・発信","")&amp;IF(S217&lt;&gt;"","・確認事項","")&amp;IF(T217&lt;&gt;"","・管","")&amp;IF(U217&lt;&gt;"","・SV","")&amp;IF(V217&lt;&gt;"","・データ送付待ち","")&amp;IF(W217&lt;&gt;"","・削除","")</f>
        <v/>
      </c>
    </row>
    <row r="218" ht="15" customHeight="1" s="87">
      <c r="A218" s="90" t="n">
        <v>202660001371</v>
      </c>
      <c r="B218" s="90" t="n"/>
      <c r="C218" s="90" t="n"/>
      <c r="D218" s="90" t="n">
        <v>31</v>
      </c>
      <c r="E218" s="90" t="inlineStr">
        <is>
          <t>31 ＯＰ確認中</t>
        </is>
      </c>
      <c r="F218" s="90" t="n"/>
      <c r="G218" s="90" t="n"/>
      <c r="H218" s="91" t="n">
        <v>46242</v>
      </c>
      <c r="I218" s="92" t="n">
        <v>46280</v>
      </c>
      <c r="J218" s="91" t="n">
        <v>46280</v>
      </c>
      <c r="K218" s="91" t="n">
        <v>46283</v>
      </c>
      <c r="L218" s="90" t="n"/>
      <c r="M218" s="90" t="n"/>
      <c r="N218" s="90" t="n"/>
      <c r="O218" s="90" t="inlineStr">
        <is>
          <t>21 担当者登録</t>
        </is>
      </c>
      <c r="P218" s="90" t="n"/>
      <c r="Q218" s="90" t="n"/>
      <c r="R218" s="90" t="n"/>
      <c r="S218" s="90" t="n"/>
      <c r="T218" s="90" t="n"/>
      <c r="U218" s="90" t="n"/>
      <c r="V218" s="90" t="n"/>
      <c r="W218" s="90" t="n"/>
      <c r="X218" s="90" t="n"/>
      <c r="Y218" s="90" t="n"/>
      <c r="Z218" s="90" t="n"/>
      <c r="AA218" s="90" t="n"/>
      <c r="AB218" s="90" t="n">
        <v>23</v>
      </c>
      <c r="AC218" s="90" t="n">
        <v>1</v>
      </c>
      <c r="AD218" s="93" t="inlineStr">
        <is>
          <t>増</t>
        </is>
      </c>
      <c r="AE218" s="90" t="inlineStr">
        <is>
          <t>23 結婚</t>
        </is>
      </c>
      <c r="AF218" s="90" t="n"/>
      <c r="AG218" s="90" t="n"/>
      <c r="AH218" s="90" t="n"/>
      <c r="AI218" s="90" t="n"/>
      <c r="AJ218" s="90" t="n"/>
      <c r="AK218" s="90" t="n"/>
      <c r="AL218" s="94">
        <f>IF(A218="","",IF(COUNTIF(A218:A$2001,A218)=1,1,0))</f>
        <v/>
      </c>
      <c r="AM218" s="94">
        <f>IF(I218="","",TODAY()-I218)</f>
        <v/>
      </c>
      <c r="AN218" s="94">
        <f>IF(A218="","",IF(AND(E218&lt;&gt;"33 確認済",E218&lt;&gt;"36 送付中"),1,0))</f>
        <v/>
      </c>
      <c r="AO218" s="94">
        <f>IF(A218="","",IF(AG218&lt;&gt;"",1,0))</f>
        <v/>
      </c>
      <c r="AP218" s="220">
        <f>IF(P218&lt;&gt;"","・添待ち","")&amp;IF(Q218&lt;&gt;"","・住民票","")&amp;IF(R218&lt;&gt;"","・発信","")&amp;IF(S218&lt;&gt;"","・確認事項","")&amp;IF(T218&lt;&gt;"","・管","")&amp;IF(U218&lt;&gt;"","・SV","")&amp;IF(V218&lt;&gt;"","・データ送付待ち","")&amp;IF(W218&lt;&gt;"","・削除","")</f>
        <v/>
      </c>
    </row>
    <row r="219" ht="15" customHeight="1" s="87">
      <c r="A219" s="90" t="n">
        <v>202660001373</v>
      </c>
      <c r="B219" s="90" t="n"/>
      <c r="C219" s="90" t="n"/>
      <c r="D219" s="90" t="n">
        <v>31</v>
      </c>
      <c r="E219" s="90" t="inlineStr">
        <is>
          <t>31 ＯＰ確認中</t>
        </is>
      </c>
      <c r="F219" s="90" t="n"/>
      <c r="G219" s="90" t="n"/>
      <c r="H219" s="91" t="n">
        <v>46279</v>
      </c>
      <c r="I219" s="92" t="n">
        <v>46280</v>
      </c>
      <c r="J219" s="91" t="n">
        <v>46280</v>
      </c>
      <c r="K219" s="91" t="n">
        <v>46283</v>
      </c>
      <c r="L219" s="90" t="n"/>
      <c r="M219" s="90" t="n"/>
      <c r="N219" s="90" t="n"/>
      <c r="O219" s="90" t="inlineStr">
        <is>
          <t>21 担当者登録</t>
        </is>
      </c>
      <c r="P219" s="90" t="n"/>
      <c r="Q219" s="90" t="n"/>
      <c r="R219" s="90" t="n"/>
      <c r="S219" s="90" t="n"/>
      <c r="T219" s="90" t="n"/>
      <c r="U219" s="90" t="n"/>
      <c r="V219" s="90" t="n"/>
      <c r="W219" s="90" t="n"/>
      <c r="X219" s="90" t="n"/>
      <c r="Y219" s="90" t="n"/>
      <c r="Z219" s="90" t="n"/>
      <c r="AA219" s="90" t="n"/>
      <c r="AB219" s="90" t="n">
        <v>23</v>
      </c>
      <c r="AC219" s="90" t="n">
        <v>1</v>
      </c>
      <c r="AD219" s="93" t="inlineStr">
        <is>
          <t>増</t>
        </is>
      </c>
      <c r="AE219" s="90" t="inlineStr">
        <is>
          <t>23 本人の結婚</t>
        </is>
      </c>
      <c r="AF219" s="90" t="n"/>
      <c r="AG219" s="90" t="n"/>
      <c r="AH219" s="90" t="n"/>
      <c r="AI219" s="90" t="n"/>
      <c r="AJ219" s="90" t="n"/>
      <c r="AK219" s="90" t="n"/>
      <c r="AL219" s="94">
        <f>IF(A219="","",IF(COUNTIF(A219:A$2001,A219)=1,1,0))</f>
        <v/>
      </c>
      <c r="AM219" s="94">
        <f>IF(I219="","",TODAY()-I219)</f>
        <v/>
      </c>
      <c r="AN219" s="94">
        <f>IF(A219="","",IF(AND(E219&lt;&gt;"33 確認済",E219&lt;&gt;"36 送付中"),1,0))</f>
        <v/>
      </c>
      <c r="AO219" s="94">
        <f>IF(A219="","",IF(AG219&lt;&gt;"",1,0))</f>
        <v/>
      </c>
      <c r="AP219" s="220">
        <f>IF(P219&lt;&gt;"","・添待ち","")&amp;IF(Q219&lt;&gt;"","・住民票","")&amp;IF(R219&lt;&gt;"","・発信","")&amp;IF(S219&lt;&gt;"","・確認事項","")&amp;IF(T219&lt;&gt;"","・管","")&amp;IF(U219&lt;&gt;"","・SV","")&amp;IF(V219&lt;&gt;"","・データ送付待ち","")&amp;IF(W219&lt;&gt;"","・削除","")</f>
        <v/>
      </c>
    </row>
    <row r="220" ht="15" customHeight="1" s="87">
      <c r="A220" s="90" t="n">
        <v>202660001373</v>
      </c>
      <c r="B220" s="90" t="n"/>
      <c r="C220" s="90" t="n"/>
      <c r="D220" s="90" t="n">
        <v>31</v>
      </c>
      <c r="E220" s="90" t="inlineStr">
        <is>
          <t>31 ＯＰ確認中</t>
        </is>
      </c>
      <c r="F220" s="90" t="n"/>
      <c r="G220" s="90" t="n"/>
      <c r="H220" s="91" t="n">
        <v>46279</v>
      </c>
      <c r="I220" s="92" t="n">
        <v>46280</v>
      </c>
      <c r="J220" s="91" t="n">
        <v>46280</v>
      </c>
      <c r="K220" s="91" t="n">
        <v>46283</v>
      </c>
      <c r="L220" s="90" t="n"/>
      <c r="M220" s="90" t="n"/>
      <c r="N220" s="90" t="n"/>
      <c r="O220" s="90" t="inlineStr">
        <is>
          <t>21 担当者登録</t>
        </is>
      </c>
      <c r="P220" s="90" t="n"/>
      <c r="Q220" s="90" t="n"/>
      <c r="R220" s="90" t="n"/>
      <c r="S220" s="90" t="n"/>
      <c r="T220" s="90" t="n"/>
      <c r="U220" s="90" t="n"/>
      <c r="V220" s="90" t="n"/>
      <c r="W220" s="90" t="n"/>
      <c r="X220" s="90" t="n"/>
      <c r="Y220" s="90" t="n"/>
      <c r="Z220" s="90" t="n"/>
      <c r="AA220" s="90" t="n"/>
      <c r="AB220" s="90" t="n">
        <v>23</v>
      </c>
      <c r="AC220" s="90" t="n">
        <v>1</v>
      </c>
      <c r="AD220" s="93" t="inlineStr">
        <is>
          <t>増</t>
        </is>
      </c>
      <c r="AE220" s="90" t="inlineStr">
        <is>
          <t>23 結婚</t>
        </is>
      </c>
      <c r="AF220" s="90" t="n"/>
      <c r="AG220" s="90" t="n"/>
      <c r="AH220" s="90" t="n"/>
      <c r="AI220" s="90" t="n"/>
      <c r="AJ220" s="90" t="n"/>
      <c r="AK220" s="90" t="n"/>
      <c r="AL220" s="94">
        <f>IF(A220="","",IF(COUNTIF(A220:A$2001,A220)=1,1,0))</f>
        <v/>
      </c>
      <c r="AM220" s="94">
        <f>IF(I220="","",TODAY()-I220)</f>
        <v/>
      </c>
      <c r="AN220" s="94">
        <f>IF(A220="","",IF(AND(E220&lt;&gt;"33 確認済",E220&lt;&gt;"36 送付中"),1,0))</f>
        <v/>
      </c>
      <c r="AO220" s="94">
        <f>IF(A220="","",IF(AG220&lt;&gt;"",1,0))</f>
        <v/>
      </c>
      <c r="AP220" s="220">
        <f>IF(P220&lt;&gt;"","・添待ち","")&amp;IF(Q220&lt;&gt;"","・住民票","")&amp;IF(R220&lt;&gt;"","・発信","")&amp;IF(S220&lt;&gt;"","・確認事項","")&amp;IF(T220&lt;&gt;"","・管","")&amp;IF(U220&lt;&gt;"","・SV","")&amp;IF(V220&lt;&gt;"","・データ送付待ち","")&amp;IF(W220&lt;&gt;"","・削除","")</f>
        <v/>
      </c>
    </row>
    <row r="221" ht="15" customHeight="1" s="87">
      <c r="A221" s="90" t="n">
        <v>202660001375</v>
      </c>
      <c r="B221" s="90" t="n"/>
      <c r="C221" s="90" t="n"/>
      <c r="D221" s="90" t="n">
        <v>31</v>
      </c>
      <c r="E221" s="90" t="inlineStr">
        <is>
          <t>31 ＯＰ確認中</t>
        </is>
      </c>
      <c r="F221" s="90" t="n"/>
      <c r="G221" s="90" t="n"/>
      <c r="H221" s="91" t="n">
        <v>46271</v>
      </c>
      <c r="I221" s="92" t="n">
        <v>46280</v>
      </c>
      <c r="J221" s="91" t="n">
        <v>46283</v>
      </c>
      <c r="K221" s="91" t="n">
        <v>46283</v>
      </c>
      <c r="L221" s="90" t="n"/>
      <c r="M221" s="90" t="n"/>
      <c r="N221" s="90" t="n"/>
      <c r="O221" s="90" t="inlineStr">
        <is>
          <t>22 担当者変更</t>
        </is>
      </c>
      <c r="P221" s="90" t="n"/>
      <c r="Q221" s="90" t="n"/>
      <c r="R221" s="90" t="n"/>
      <c r="S221" s="90" t="n"/>
      <c r="T221" s="90" t="n"/>
      <c r="U221" s="90" t="n"/>
      <c r="V221" s="90" t="n"/>
      <c r="W221" s="90" t="n"/>
      <c r="X221" s="90" t="n"/>
      <c r="Y221" s="90" t="n"/>
      <c r="Z221" s="90" t="n"/>
      <c r="AA221" s="90" t="n"/>
      <c r="AB221" s="90" t="n">
        <v>21</v>
      </c>
      <c r="AC221" s="90" t="n">
        <v>1</v>
      </c>
      <c r="AD221" s="93" t="inlineStr">
        <is>
          <t>増</t>
        </is>
      </c>
      <c r="AE221" s="90" t="inlineStr">
        <is>
          <t>21 出生</t>
        </is>
      </c>
      <c r="AF221" s="93" t="inlineStr">
        <is>
          <t>増</t>
        </is>
      </c>
      <c r="AG221" s="93" t="inlineStr">
        <is>
          <t>増</t>
        </is>
      </c>
      <c r="AH221" s="93" t="inlineStr">
        <is>
          <t>増</t>
        </is>
      </c>
      <c r="AI221" s="90" t="n"/>
      <c r="AJ221" s="90" t="n"/>
      <c r="AK221" s="90" t="n"/>
      <c r="AL221" s="94">
        <f>IF(A221="","",IF(COUNTIF(A221:A$2001,A221)=1,1,0))</f>
        <v/>
      </c>
      <c r="AM221" s="94">
        <f>IF(I221="","",TODAY()-I221)</f>
        <v/>
      </c>
      <c r="AN221" s="94">
        <f>IF(A221="","",IF(AND(E221&lt;&gt;"33 確認済",E221&lt;&gt;"36 送付中"),1,0))</f>
        <v/>
      </c>
      <c r="AO221" s="94">
        <f>IF(A221="","",IF(AG221&lt;&gt;"",1,0))</f>
        <v/>
      </c>
      <c r="AP221" s="220">
        <f>IF(P221&lt;&gt;"","・添待ち","")&amp;IF(Q221&lt;&gt;"","・住民票","")&amp;IF(R221&lt;&gt;"","・発信","")&amp;IF(S221&lt;&gt;"","・確認事項","")&amp;IF(T221&lt;&gt;"","・管","")&amp;IF(U221&lt;&gt;"","・SV","")&amp;IF(V221&lt;&gt;"","・データ送付待ち","")&amp;IF(W221&lt;&gt;"","・削除","")</f>
        <v/>
      </c>
    </row>
    <row r="222" ht="15" customHeight="1" s="87">
      <c r="A222" s="90" t="n">
        <v>202660001376</v>
      </c>
      <c r="B222" s="90" t="n"/>
      <c r="C222" s="90" t="n"/>
      <c r="D222" s="90" t="n">
        <v>31</v>
      </c>
      <c r="E222" s="90" t="inlineStr">
        <is>
          <t>31 ＯＰ確認中</t>
        </is>
      </c>
      <c r="F222" s="90" t="n"/>
      <c r="G222" s="90" t="n"/>
      <c r="H222" s="91" t="n">
        <v>46203</v>
      </c>
      <c r="I222" s="92" t="n">
        <v>46280</v>
      </c>
      <c r="J222" s="91" t="n">
        <v>46281</v>
      </c>
      <c r="K222" s="91" t="n">
        <v>46283</v>
      </c>
      <c r="L222" s="90" t="n"/>
      <c r="M222" s="90" t="n"/>
      <c r="N222" s="90" t="n"/>
      <c r="O222" s="90" t="inlineStr">
        <is>
          <t>21 担当者登録</t>
        </is>
      </c>
      <c r="P222" s="90" t="n"/>
      <c r="Q222" s="90" t="n"/>
      <c r="R222" s="90" t="n"/>
      <c r="S222" s="90" t="n"/>
      <c r="T222" s="90" t="n"/>
      <c r="U222" s="90" t="n"/>
      <c r="V222" s="90" t="n"/>
      <c r="W222" s="90" t="n"/>
      <c r="X222" s="90" t="n"/>
      <c r="Y222" s="90" t="n"/>
      <c r="Z222" s="90" t="n"/>
      <c r="AA222" s="90" t="n"/>
      <c r="AB222" s="90" t="n">
        <v>23</v>
      </c>
      <c r="AC222" s="90" t="n">
        <v>1</v>
      </c>
      <c r="AD222" s="93" t="inlineStr">
        <is>
          <t>増</t>
        </is>
      </c>
      <c r="AE222" s="90" t="inlineStr">
        <is>
          <t>23 本人の結婚</t>
        </is>
      </c>
      <c r="AF222" s="90" t="n"/>
      <c r="AG222" s="90" t="n"/>
      <c r="AH222" s="90" t="n"/>
      <c r="AI222" s="90" t="n"/>
      <c r="AJ222" s="90" t="n"/>
      <c r="AK222" s="90" t="n"/>
      <c r="AL222" s="94">
        <f>IF(A222="","",IF(COUNTIF(A222:A$2001,A222)=1,1,0))</f>
        <v/>
      </c>
      <c r="AM222" s="94">
        <f>IF(I222="","",TODAY()-I222)</f>
        <v/>
      </c>
      <c r="AN222" s="94">
        <f>IF(A222="","",IF(AND(E222&lt;&gt;"33 確認済",E222&lt;&gt;"36 送付中"),1,0))</f>
        <v/>
      </c>
      <c r="AO222" s="94">
        <f>IF(A222="","",IF(AG222&lt;&gt;"",1,0))</f>
        <v/>
      </c>
      <c r="AP222" s="220">
        <f>IF(P222&lt;&gt;"","・添待ち","")&amp;IF(Q222&lt;&gt;"","・住民票","")&amp;IF(R222&lt;&gt;"","・発信","")&amp;IF(S222&lt;&gt;"","・確認事項","")&amp;IF(T222&lt;&gt;"","・管","")&amp;IF(U222&lt;&gt;"","・SV","")&amp;IF(V222&lt;&gt;"","・データ送付待ち","")&amp;IF(W222&lt;&gt;"","・削除","")</f>
        <v/>
      </c>
    </row>
    <row r="223" ht="15" customHeight="1" s="87">
      <c r="A223" s="90" t="n">
        <v>202660001376</v>
      </c>
      <c r="B223" s="90" t="n"/>
      <c r="C223" s="90" t="n"/>
      <c r="D223" s="90" t="n">
        <v>31</v>
      </c>
      <c r="E223" s="90" t="inlineStr">
        <is>
          <t>31 ＯＰ確認中</t>
        </is>
      </c>
      <c r="F223" s="90" t="n"/>
      <c r="G223" s="90" t="n"/>
      <c r="H223" s="91" t="n">
        <v>46203</v>
      </c>
      <c r="I223" s="92" t="n">
        <v>46280</v>
      </c>
      <c r="J223" s="91" t="n">
        <v>46281</v>
      </c>
      <c r="K223" s="91" t="n">
        <v>46283</v>
      </c>
      <c r="L223" s="90" t="n"/>
      <c r="M223" s="90" t="n"/>
      <c r="N223" s="90" t="n"/>
      <c r="O223" s="90" t="inlineStr">
        <is>
          <t>21 担当者登録</t>
        </is>
      </c>
      <c r="P223" s="90" t="n"/>
      <c r="Q223" s="90" t="n"/>
      <c r="R223" s="90" t="n"/>
      <c r="S223" s="90" t="n"/>
      <c r="T223" s="90" t="n"/>
      <c r="U223" s="90" t="n"/>
      <c r="V223" s="90" t="n"/>
      <c r="W223" s="90" t="n"/>
      <c r="X223" s="90" t="n"/>
      <c r="Y223" s="90" t="n"/>
      <c r="Z223" s="90" t="n"/>
      <c r="AA223" s="90" t="n"/>
      <c r="AB223" s="90" t="n">
        <v>23</v>
      </c>
      <c r="AC223" s="90" t="n">
        <v>1</v>
      </c>
      <c r="AD223" s="93" t="inlineStr">
        <is>
          <t>増</t>
        </is>
      </c>
      <c r="AE223" s="90" t="inlineStr">
        <is>
          <t>23 結婚</t>
        </is>
      </c>
      <c r="AF223" s="90" t="n"/>
      <c r="AG223" s="90" t="n"/>
      <c r="AH223" s="90" t="n"/>
      <c r="AI223" s="90" t="n"/>
      <c r="AJ223" s="90" t="n"/>
      <c r="AK223" s="90" t="n"/>
      <c r="AL223" s="94">
        <f>IF(A223="","",IF(COUNTIF(A223:A$2001,A223)=1,1,0))</f>
        <v/>
      </c>
      <c r="AM223" s="94">
        <f>IF(I223="","",TODAY()-I223)</f>
        <v/>
      </c>
      <c r="AN223" s="94">
        <f>IF(A223="","",IF(AND(E223&lt;&gt;"33 確認済",E223&lt;&gt;"36 送付中"),1,0))</f>
        <v/>
      </c>
      <c r="AO223" s="94">
        <f>IF(A223="","",IF(AG223&lt;&gt;"",1,0))</f>
        <v/>
      </c>
      <c r="AP223" s="220">
        <f>IF(P223&lt;&gt;"","・添待ち","")&amp;IF(Q223&lt;&gt;"","・住民票","")&amp;IF(R223&lt;&gt;"","・発信","")&amp;IF(S223&lt;&gt;"","・確認事項","")&amp;IF(T223&lt;&gt;"","・管","")&amp;IF(U223&lt;&gt;"","・SV","")&amp;IF(V223&lt;&gt;"","・データ送付待ち","")&amp;IF(W223&lt;&gt;"","・削除","")</f>
        <v/>
      </c>
    </row>
    <row r="224" ht="15" customHeight="1" s="87">
      <c r="A224" s="90" t="n">
        <v>202660001377</v>
      </c>
      <c r="B224" s="90" t="n"/>
      <c r="C224" s="90" t="n"/>
      <c r="D224" s="90" t="n">
        <v>20</v>
      </c>
      <c r="E224" s="90" t="inlineStr">
        <is>
          <t>20 確認待ち</t>
        </is>
      </c>
      <c r="F224" s="90" t="n"/>
      <c r="G224" s="90" t="n"/>
      <c r="H224" s="91" t="n">
        <v>46266</v>
      </c>
      <c r="I224" s="92" t="n">
        <v>46280</v>
      </c>
      <c r="J224" s="90" t="n"/>
      <c r="K224" s="90" t="n"/>
      <c r="L224" s="90" t="n"/>
      <c r="M224" s="90" t="n"/>
      <c r="N224" s="90" t="n"/>
      <c r="O224" s="90" t="inlineStr">
        <is>
          <t>55 添付書類待ち登録</t>
        </is>
      </c>
      <c r="P224" s="93" t="inlineStr">
        <is>
          <t>添</t>
        </is>
      </c>
      <c r="Q224" s="90" t="n"/>
      <c r="R224" s="90" t="n"/>
      <c r="S224" s="90" t="n"/>
      <c r="T224" s="90" t="n"/>
      <c r="U224" s="90" t="n"/>
      <c r="V224" s="90" t="n"/>
      <c r="W224" s="90" t="n"/>
      <c r="X224" s="90" t="n"/>
      <c r="Y224" s="90" t="n"/>
      <c r="Z224" s="90" t="n"/>
      <c r="AA224" s="90" t="n"/>
      <c r="AB224" s="90" t="n">
        <v>22</v>
      </c>
      <c r="AC224" s="90" t="n">
        <v>1</v>
      </c>
      <c r="AD224" s="93" t="inlineStr">
        <is>
          <t>増</t>
        </is>
      </c>
      <c r="AE224" s="90" t="inlineStr">
        <is>
          <t>22 扶養親族の退職</t>
        </is>
      </c>
      <c r="AF224" s="93" t="inlineStr">
        <is>
          <t>増</t>
        </is>
      </c>
      <c r="AG224" s="93" t="inlineStr">
        <is>
          <t>増</t>
        </is>
      </c>
      <c r="AH224" s="90" t="n"/>
      <c r="AI224" s="90" t="n"/>
      <c r="AJ224" s="90" t="n"/>
      <c r="AK224" s="90" t="n"/>
      <c r="AL224" s="94">
        <f>IF(A224="","",IF(COUNTIF(A224:A$2001,A224)=1,1,0))</f>
        <v/>
      </c>
      <c r="AM224" s="94">
        <f>IF(I224="","",TODAY()-I224)</f>
        <v/>
      </c>
      <c r="AN224" s="94">
        <f>IF(A224="","",IF(AND(E224&lt;&gt;"33 確認済",E224&lt;&gt;"36 送付中"),1,0))</f>
        <v/>
      </c>
      <c r="AO224" s="94">
        <f>IF(A224="","",IF(AG224&lt;&gt;"",1,0))</f>
        <v/>
      </c>
      <c r="AP224" s="220">
        <f>IF(P224&lt;&gt;"","・添待ち","")&amp;IF(Q224&lt;&gt;"","・住民票","")&amp;IF(R224&lt;&gt;"","・発信","")&amp;IF(S224&lt;&gt;"","・確認事項","")&amp;IF(T224&lt;&gt;"","・管","")&amp;IF(U224&lt;&gt;"","・SV","")&amp;IF(V224&lt;&gt;"","・データ送付待ち","")&amp;IF(W224&lt;&gt;"","・削除","")</f>
        <v/>
      </c>
    </row>
    <row r="225" ht="15" customHeight="1" s="87">
      <c r="A225" s="90" t="n">
        <v>202660001378</v>
      </c>
      <c r="B225" s="90" t="n"/>
      <c r="C225" s="90" t="n"/>
      <c r="D225" s="90" t="n">
        <v>40</v>
      </c>
      <c r="E225" s="90" t="inlineStr">
        <is>
          <t>40 差戻し</t>
        </is>
      </c>
      <c r="F225" s="90" t="n">
        <v>20</v>
      </c>
      <c r="G225" s="90" t="inlineStr">
        <is>
          <t>20 差戻し</t>
        </is>
      </c>
      <c r="H225" s="91" t="n">
        <v>46266</v>
      </c>
      <c r="I225" s="92" t="n">
        <v>46280</v>
      </c>
      <c r="J225" s="91" t="n">
        <v>46281</v>
      </c>
      <c r="K225" s="91" t="n">
        <v>46282</v>
      </c>
      <c r="L225" s="90" t="n"/>
      <c r="M225" s="90" t="n"/>
      <c r="N225" s="90" t="n"/>
      <c r="O225" s="90" t="inlineStr">
        <is>
          <t>57 削除待ち登録</t>
        </is>
      </c>
      <c r="P225" s="90" t="n"/>
      <c r="Q225" s="90" t="n"/>
      <c r="R225" s="90" t="n"/>
      <c r="S225" s="90" t="n"/>
      <c r="T225" s="90" t="n"/>
      <c r="U225" s="90" t="n"/>
      <c r="V225" s="90" t="n"/>
      <c r="W225" s="93" t="inlineStr">
        <is>
          <t>削</t>
        </is>
      </c>
      <c r="X225" s="90" t="n"/>
      <c r="Y225" s="90" t="n"/>
      <c r="Z225" s="90" t="n"/>
      <c r="AA225" s="90" t="n"/>
      <c r="AB225" s="90" t="n">
        <v>51</v>
      </c>
      <c r="AC225" s="90" t="n">
        <v>0</v>
      </c>
      <c r="AD225" s="93" t="inlineStr">
        <is>
          <t>減</t>
        </is>
      </c>
      <c r="AE225" s="90" t="inlineStr">
        <is>
          <t>51 収入限度額以上</t>
        </is>
      </c>
      <c r="AF225" s="93" t="inlineStr">
        <is>
          <t>減</t>
        </is>
      </c>
      <c r="AG225" s="93" t="inlineStr">
        <is>
          <t>減</t>
        </is>
      </c>
      <c r="AH225" s="93" t="inlineStr">
        <is>
          <t>減</t>
        </is>
      </c>
      <c r="AI225" s="90" t="n"/>
      <c r="AJ225" s="90" t="n"/>
      <c r="AK225" s="90" t="n"/>
      <c r="AL225" s="94">
        <f>IF(A225="","",IF(COUNTIF(A225:A$2001,A225)=1,1,0))</f>
        <v/>
      </c>
      <c r="AM225" s="94">
        <f>IF(I225="","",TODAY()-I225)</f>
        <v/>
      </c>
      <c r="AN225" s="94">
        <f>IF(A225="","",IF(AND(E225&lt;&gt;"33 確認済",E225&lt;&gt;"36 送付中"),1,0))</f>
        <v/>
      </c>
      <c r="AO225" s="94">
        <f>IF(A225="","",IF(AG225&lt;&gt;"",1,0))</f>
        <v/>
      </c>
      <c r="AP225" s="220">
        <f>IF(P225&lt;&gt;"","・添待ち","")&amp;IF(Q225&lt;&gt;"","・住民票","")&amp;IF(R225&lt;&gt;"","・発信","")&amp;IF(S225&lt;&gt;"","・確認事項","")&amp;IF(T225&lt;&gt;"","・管","")&amp;IF(U225&lt;&gt;"","・SV","")&amp;IF(V225&lt;&gt;"","・データ送付待ち","")&amp;IF(W225&lt;&gt;"","・削除","")</f>
        <v/>
      </c>
    </row>
    <row r="226" ht="15" customHeight="1" s="87">
      <c r="A226" s="90" t="n">
        <v>202660001379</v>
      </c>
      <c r="B226" s="90" t="n"/>
      <c r="C226" s="90" t="n"/>
      <c r="D226" s="90" t="n">
        <v>31</v>
      </c>
      <c r="E226" s="90" t="inlineStr">
        <is>
          <t>31 ＯＰ確認中</t>
        </is>
      </c>
      <c r="F226" s="90" t="n"/>
      <c r="G226" s="90" t="n"/>
      <c r="H226" s="91" t="n">
        <v>46242</v>
      </c>
      <c r="I226" s="92" t="n">
        <v>46280</v>
      </c>
      <c r="J226" s="91" t="n">
        <v>46281</v>
      </c>
      <c r="K226" s="91" t="n">
        <v>46283</v>
      </c>
      <c r="L226" s="90" t="n"/>
      <c r="M226" s="90" t="n"/>
      <c r="N226" s="90" t="n"/>
      <c r="O226" s="90" t="inlineStr">
        <is>
          <t>21 担当者登録</t>
        </is>
      </c>
      <c r="P226" s="90" t="n"/>
      <c r="Q226" s="90" t="n"/>
      <c r="R226" s="90" t="n"/>
      <c r="S226" s="90" t="n"/>
      <c r="T226" s="90" t="n"/>
      <c r="U226" s="90" t="n"/>
      <c r="V226" s="90" t="n"/>
      <c r="W226" s="90" t="n"/>
      <c r="X226" s="90" t="n"/>
      <c r="Y226" s="90" t="n"/>
      <c r="Z226" s="90" t="n"/>
      <c r="AA226" s="90" t="n"/>
      <c r="AB226" s="90" t="n">
        <v>23</v>
      </c>
      <c r="AC226" s="90" t="n">
        <v>1</v>
      </c>
      <c r="AD226" s="93" t="inlineStr">
        <is>
          <t>増</t>
        </is>
      </c>
      <c r="AE226" s="90" t="inlineStr">
        <is>
          <t>23 本人の結婚</t>
        </is>
      </c>
      <c r="AF226" s="90" t="n"/>
      <c r="AG226" s="90" t="n"/>
      <c r="AH226" s="90" t="n"/>
      <c r="AI226" s="90" t="n"/>
      <c r="AJ226" s="90" t="n"/>
      <c r="AK226" s="90" t="n"/>
      <c r="AL226" s="94">
        <f>IF(A226="","",IF(COUNTIF(A226:A$2001,A226)=1,1,0))</f>
        <v/>
      </c>
      <c r="AM226" s="94">
        <f>IF(I226="","",TODAY()-I226)</f>
        <v/>
      </c>
      <c r="AN226" s="94">
        <f>IF(A226="","",IF(AND(E226&lt;&gt;"33 確認済",E226&lt;&gt;"36 送付中"),1,0))</f>
        <v/>
      </c>
      <c r="AO226" s="94">
        <f>IF(A226="","",IF(AG226&lt;&gt;"",1,0))</f>
        <v/>
      </c>
      <c r="AP226" s="220">
        <f>IF(P226&lt;&gt;"","・添待ち","")&amp;IF(Q226&lt;&gt;"","・住民票","")&amp;IF(R226&lt;&gt;"","・発信","")&amp;IF(S226&lt;&gt;"","・確認事項","")&amp;IF(T226&lt;&gt;"","・管","")&amp;IF(U226&lt;&gt;"","・SV","")&amp;IF(V226&lt;&gt;"","・データ送付待ち","")&amp;IF(W226&lt;&gt;"","・削除","")</f>
        <v/>
      </c>
    </row>
    <row r="227" ht="15" customHeight="1" s="87">
      <c r="A227" s="90" t="n">
        <v>202660001379</v>
      </c>
      <c r="B227" s="90" t="n"/>
      <c r="C227" s="90" t="n"/>
      <c r="D227" s="90" t="n">
        <v>31</v>
      </c>
      <c r="E227" s="90" t="inlineStr">
        <is>
          <t>31 ＯＰ確認中</t>
        </is>
      </c>
      <c r="F227" s="90" t="n"/>
      <c r="G227" s="90" t="n"/>
      <c r="H227" s="91" t="n">
        <v>46242</v>
      </c>
      <c r="I227" s="92" t="n">
        <v>46280</v>
      </c>
      <c r="J227" s="91" t="n">
        <v>46281</v>
      </c>
      <c r="K227" s="91" t="n">
        <v>46283</v>
      </c>
      <c r="L227" s="90" t="n"/>
      <c r="M227" s="90" t="n"/>
      <c r="N227" s="90" t="n"/>
      <c r="O227" s="90" t="inlineStr">
        <is>
          <t>21 担当者登録</t>
        </is>
      </c>
      <c r="P227" s="90" t="n"/>
      <c r="Q227" s="90" t="n"/>
      <c r="R227" s="90" t="n"/>
      <c r="S227" s="90" t="n"/>
      <c r="T227" s="90" t="n"/>
      <c r="U227" s="90" t="n"/>
      <c r="V227" s="90" t="n"/>
      <c r="W227" s="90" t="n"/>
      <c r="X227" s="90" t="n"/>
      <c r="Y227" s="90" t="n"/>
      <c r="Z227" s="90" t="n"/>
      <c r="AA227" s="90" t="n"/>
      <c r="AB227" s="90" t="n">
        <v>23</v>
      </c>
      <c r="AC227" s="90" t="n">
        <v>1</v>
      </c>
      <c r="AD227" s="93" t="inlineStr">
        <is>
          <t>増</t>
        </is>
      </c>
      <c r="AE227" s="90" t="inlineStr">
        <is>
          <t>23 結婚</t>
        </is>
      </c>
      <c r="AF227" s="90" t="n"/>
      <c r="AG227" s="90" t="n"/>
      <c r="AH227" s="90" t="n"/>
      <c r="AI227" s="90" t="n"/>
      <c r="AJ227" s="90" t="n"/>
      <c r="AK227" s="90" t="n"/>
      <c r="AL227" s="94">
        <f>IF(A227="","",IF(COUNTIF(A227:A$2001,A227)=1,1,0))</f>
        <v/>
      </c>
      <c r="AM227" s="94">
        <f>IF(I227="","",TODAY()-I227)</f>
        <v/>
      </c>
      <c r="AN227" s="94">
        <f>IF(A227="","",IF(AND(E227&lt;&gt;"33 確認済",E227&lt;&gt;"36 送付中"),1,0))</f>
        <v/>
      </c>
      <c r="AO227" s="94">
        <f>IF(A227="","",IF(AG227&lt;&gt;"",1,0))</f>
        <v/>
      </c>
      <c r="AP227" s="220">
        <f>IF(P227&lt;&gt;"","・添待ち","")&amp;IF(Q227&lt;&gt;"","・住民票","")&amp;IF(R227&lt;&gt;"","・発信","")&amp;IF(S227&lt;&gt;"","・確認事項","")&amp;IF(T227&lt;&gt;"","・管","")&amp;IF(U227&lt;&gt;"","・SV","")&amp;IF(V227&lt;&gt;"","・データ送付待ち","")&amp;IF(W227&lt;&gt;"","・削除","")</f>
        <v/>
      </c>
    </row>
    <row r="228" ht="15" customHeight="1" s="87">
      <c r="A228" s="90" t="n">
        <v>202660001380</v>
      </c>
      <c r="B228" s="90" t="n"/>
      <c r="C228" s="90" t="n"/>
      <c r="D228" s="90" t="n">
        <v>31</v>
      </c>
      <c r="E228" s="90" t="inlineStr">
        <is>
          <t>31 ＯＰ確認中</t>
        </is>
      </c>
      <c r="F228" s="90" t="n"/>
      <c r="G228" s="90" t="n"/>
      <c r="H228" s="91" t="n">
        <v>46271</v>
      </c>
      <c r="I228" s="92" t="n">
        <v>46280</v>
      </c>
      <c r="J228" s="91" t="n">
        <v>46281</v>
      </c>
      <c r="K228" s="91" t="n">
        <v>46283</v>
      </c>
      <c r="L228" s="90" t="n"/>
      <c r="M228" s="90" t="n"/>
      <c r="N228" s="90" t="n"/>
      <c r="O228" s="90" t="inlineStr">
        <is>
          <t>21 担当者登録</t>
        </is>
      </c>
      <c r="P228" s="90" t="n"/>
      <c r="Q228" s="90" t="n"/>
      <c r="R228" s="90" t="n"/>
      <c r="S228" s="90" t="n"/>
      <c r="T228" s="90" t="n"/>
      <c r="U228" s="90" t="n"/>
      <c r="V228" s="90" t="n"/>
      <c r="W228" s="90" t="n"/>
      <c r="X228" s="90" t="n"/>
      <c r="Y228" s="90" t="n"/>
      <c r="Z228" s="90" t="n"/>
      <c r="AA228" s="90" t="n"/>
      <c r="AB228" s="90" t="n">
        <v>23</v>
      </c>
      <c r="AC228" s="90" t="n">
        <v>1</v>
      </c>
      <c r="AD228" s="93" t="inlineStr">
        <is>
          <t>増</t>
        </is>
      </c>
      <c r="AE228" s="90" t="inlineStr">
        <is>
          <t>23 本人の結婚</t>
        </is>
      </c>
      <c r="AF228" s="90" t="n"/>
      <c r="AG228" s="90" t="n"/>
      <c r="AH228" s="90" t="n"/>
      <c r="AI228" s="90" t="n"/>
      <c r="AJ228" s="90" t="n"/>
      <c r="AK228" s="90" t="n"/>
      <c r="AL228" s="94">
        <f>IF(A228="","",IF(COUNTIF(A228:A$2001,A228)=1,1,0))</f>
        <v/>
      </c>
      <c r="AM228" s="94">
        <f>IF(I228="","",TODAY()-I228)</f>
        <v/>
      </c>
      <c r="AN228" s="94">
        <f>IF(A228="","",IF(AND(E228&lt;&gt;"33 確認済",E228&lt;&gt;"36 送付中"),1,0))</f>
        <v/>
      </c>
      <c r="AO228" s="94">
        <f>IF(A228="","",IF(AG228&lt;&gt;"",1,0))</f>
        <v/>
      </c>
      <c r="AP228" s="220">
        <f>IF(P228&lt;&gt;"","・添待ち","")&amp;IF(Q228&lt;&gt;"","・住民票","")&amp;IF(R228&lt;&gt;"","・発信","")&amp;IF(S228&lt;&gt;"","・確認事項","")&amp;IF(T228&lt;&gt;"","・管","")&amp;IF(U228&lt;&gt;"","・SV","")&amp;IF(V228&lt;&gt;"","・データ送付待ち","")&amp;IF(W228&lt;&gt;"","・削除","")</f>
        <v/>
      </c>
    </row>
    <row r="229" ht="15" customHeight="1" s="87">
      <c r="A229" s="90" t="n">
        <v>202660001380</v>
      </c>
      <c r="B229" s="90" t="n"/>
      <c r="C229" s="90" t="n"/>
      <c r="D229" s="90" t="n">
        <v>31</v>
      </c>
      <c r="E229" s="90" t="inlineStr">
        <is>
          <t>31 ＯＰ確認中</t>
        </is>
      </c>
      <c r="F229" s="90" t="n"/>
      <c r="G229" s="90" t="n"/>
      <c r="H229" s="91" t="n">
        <v>46271</v>
      </c>
      <c r="I229" s="92" t="n">
        <v>46280</v>
      </c>
      <c r="J229" s="91" t="n">
        <v>46281</v>
      </c>
      <c r="K229" s="91" t="n">
        <v>46283</v>
      </c>
      <c r="L229" s="90" t="n"/>
      <c r="M229" s="90" t="n"/>
      <c r="N229" s="90" t="n"/>
      <c r="O229" s="90" t="inlineStr">
        <is>
          <t>21 担当者登録</t>
        </is>
      </c>
      <c r="P229" s="90" t="n"/>
      <c r="Q229" s="90" t="n"/>
      <c r="R229" s="90" t="n"/>
      <c r="S229" s="90" t="n"/>
      <c r="T229" s="90" t="n"/>
      <c r="U229" s="90" t="n"/>
      <c r="V229" s="90" t="n"/>
      <c r="W229" s="90" t="n"/>
      <c r="X229" s="90" t="n"/>
      <c r="Y229" s="90" t="n"/>
      <c r="Z229" s="90" t="n"/>
      <c r="AA229" s="90" t="n"/>
      <c r="AB229" s="90" t="n">
        <v>23</v>
      </c>
      <c r="AC229" s="90" t="n">
        <v>1</v>
      </c>
      <c r="AD229" s="93" t="inlineStr">
        <is>
          <t>増</t>
        </is>
      </c>
      <c r="AE229" s="90" t="inlineStr">
        <is>
          <t>23 結婚</t>
        </is>
      </c>
      <c r="AF229" s="90" t="n"/>
      <c r="AG229" s="90" t="n"/>
      <c r="AH229" s="90" t="n"/>
      <c r="AI229" s="90" t="n"/>
      <c r="AJ229" s="90" t="n"/>
      <c r="AK229" s="90" t="n"/>
      <c r="AL229" s="94">
        <f>IF(A229="","",IF(COUNTIF(A229:A$2001,A229)=1,1,0))</f>
        <v/>
      </c>
      <c r="AM229" s="94">
        <f>IF(I229="","",TODAY()-I229)</f>
        <v/>
      </c>
      <c r="AN229" s="94">
        <f>IF(A229="","",IF(AND(E229&lt;&gt;"33 確認済",E229&lt;&gt;"36 送付中"),1,0))</f>
        <v/>
      </c>
      <c r="AO229" s="94">
        <f>IF(A229="","",IF(AG229&lt;&gt;"",1,0))</f>
        <v/>
      </c>
      <c r="AP229" s="220">
        <f>IF(P229&lt;&gt;"","・添待ち","")&amp;IF(Q229&lt;&gt;"","・住民票","")&amp;IF(R229&lt;&gt;"","・発信","")&amp;IF(S229&lt;&gt;"","・確認事項","")&amp;IF(T229&lt;&gt;"","・管","")&amp;IF(U229&lt;&gt;"","・SV","")&amp;IF(V229&lt;&gt;"","・データ送付待ち","")&amp;IF(W229&lt;&gt;"","・削除","")</f>
        <v/>
      </c>
    </row>
    <row r="230" ht="15" customHeight="1" s="87">
      <c r="A230" s="90" t="n">
        <v>202660001383</v>
      </c>
      <c r="B230" s="90" t="n"/>
      <c r="C230" s="90" t="n"/>
      <c r="D230" s="90" t="n">
        <v>30</v>
      </c>
      <c r="E230" s="90" t="inlineStr">
        <is>
          <t>30 申請受付</t>
        </is>
      </c>
      <c r="F230" s="90" t="n"/>
      <c r="G230" s="90" t="n"/>
      <c r="H230" s="91" t="n">
        <v>46113</v>
      </c>
      <c r="I230" s="92" t="n">
        <v>46281</v>
      </c>
      <c r="J230" s="91" t="n">
        <v>46281</v>
      </c>
      <c r="K230" s="90" t="n"/>
      <c r="L230" s="90" t="n"/>
      <c r="M230" s="90" t="n"/>
      <c r="N230" s="90" t="n"/>
      <c r="O230" s="90" t="inlineStr">
        <is>
          <t>20 申請受付</t>
        </is>
      </c>
      <c r="P230" s="90" t="n"/>
      <c r="Q230" s="90" t="n"/>
      <c r="R230" s="90" t="n"/>
      <c r="S230" s="90" t="n"/>
      <c r="T230" s="90" t="n"/>
      <c r="U230" s="90" t="n"/>
      <c r="V230" s="90" t="n"/>
      <c r="W230" s="90" t="n"/>
      <c r="X230" s="90" t="n"/>
      <c r="Y230" s="90" t="n"/>
      <c r="Z230" s="90" t="n"/>
      <c r="AA230" s="90" t="n"/>
      <c r="AB230" s="90" t="n">
        <v>47</v>
      </c>
      <c r="AC230" s="90" t="n">
        <v>0</v>
      </c>
      <c r="AD230" s="93" t="inlineStr">
        <is>
          <t>減</t>
        </is>
      </c>
      <c r="AE230" s="90" t="inlineStr">
        <is>
          <t>47 扶養親族の就職</t>
        </is>
      </c>
      <c r="AF230" s="90" t="n"/>
      <c r="AG230" s="90" t="n"/>
      <c r="AH230" s="93" t="inlineStr">
        <is>
          <t>減</t>
        </is>
      </c>
      <c r="AI230" s="90" t="n"/>
      <c r="AJ230" s="90" t="n"/>
      <c r="AK230" s="90" t="n"/>
      <c r="AL230" s="94">
        <f>IF(A230="","",IF(COUNTIF(A230:A$2001,A230)=1,1,0))</f>
        <v/>
      </c>
      <c r="AM230" s="94">
        <f>IF(I230="","",TODAY()-I230)</f>
        <v/>
      </c>
      <c r="AN230" s="94">
        <f>IF(A230="","",IF(AND(E230&lt;&gt;"33 確認済",E230&lt;&gt;"36 送付中"),1,0))</f>
        <v/>
      </c>
      <c r="AO230" s="94">
        <f>IF(A230="","",IF(AG230&lt;&gt;"",1,0))</f>
        <v/>
      </c>
      <c r="AP230" s="220">
        <f>IF(P230&lt;&gt;"","・添待ち","")&amp;IF(Q230&lt;&gt;"","・住民票","")&amp;IF(R230&lt;&gt;"","・発信","")&amp;IF(S230&lt;&gt;"","・確認事項","")&amp;IF(T230&lt;&gt;"","・管","")&amp;IF(U230&lt;&gt;"","・SV","")&amp;IF(V230&lt;&gt;"","・データ送付待ち","")&amp;IF(W230&lt;&gt;"","・削除","")</f>
        <v/>
      </c>
    </row>
    <row r="231" ht="15" customHeight="1" s="87">
      <c r="A231" s="90" t="n">
        <v>202660001384</v>
      </c>
      <c r="B231" s="90" t="n"/>
      <c r="C231" s="90" t="n"/>
      <c r="D231" s="90" t="n">
        <v>32</v>
      </c>
      <c r="E231" s="90" t="inlineStr">
        <is>
          <t>32 ＳＶ確認中</t>
        </is>
      </c>
      <c r="F231" s="90" t="n"/>
      <c r="G231" s="90" t="n"/>
      <c r="H231" s="91" t="n">
        <v>46231</v>
      </c>
      <c r="I231" s="92" t="n">
        <v>46281</v>
      </c>
      <c r="J231" s="91" t="n">
        <v>46281</v>
      </c>
      <c r="K231" s="91" t="n">
        <v>46282</v>
      </c>
      <c r="L231" s="90" t="n"/>
      <c r="M231" s="90" t="n"/>
      <c r="N231" s="90" t="n"/>
      <c r="O231" s="90" t="inlineStr">
        <is>
          <t>30 登録</t>
        </is>
      </c>
      <c r="P231" s="90" t="n"/>
      <c r="Q231" s="90" t="n"/>
      <c r="R231" s="90" t="n"/>
      <c r="S231" s="90" t="n"/>
      <c r="T231" s="90" t="n"/>
      <c r="U231" s="90" t="n"/>
      <c r="V231" s="90" t="n"/>
      <c r="W231" s="90" t="n"/>
      <c r="X231" s="90" t="n"/>
      <c r="Y231" s="90" t="n"/>
      <c r="Z231" s="90" t="n"/>
      <c r="AA231" s="90" t="n"/>
      <c r="AB231" s="90" t="n">
        <v>3</v>
      </c>
      <c r="AC231" s="90" t="n">
        <v>0</v>
      </c>
      <c r="AD231" s="93" t="inlineStr">
        <is>
          <t>減</t>
        </is>
      </c>
      <c r="AE231" s="90" t="inlineStr">
        <is>
          <t>03 離婚</t>
        </is>
      </c>
      <c r="AF231" s="90" t="n"/>
      <c r="AG231" s="90" t="n"/>
      <c r="AH231" s="90" t="n"/>
      <c r="AI231" s="90" t="n"/>
      <c r="AJ231" s="90" t="n"/>
      <c r="AK231" s="90" t="n"/>
      <c r="AL231" s="94">
        <f>IF(A231="","",IF(COUNTIF(A231:A$2001,A231)=1,1,0))</f>
        <v/>
      </c>
      <c r="AM231" s="94">
        <f>IF(I231="","",TODAY()-I231)</f>
        <v/>
      </c>
      <c r="AN231" s="94">
        <f>IF(A231="","",IF(AND(E231&lt;&gt;"33 確認済",E231&lt;&gt;"36 送付中"),1,0))</f>
        <v/>
      </c>
      <c r="AO231" s="94">
        <f>IF(A231="","",IF(AG231&lt;&gt;"",1,0))</f>
        <v/>
      </c>
      <c r="AP231" s="220">
        <f>IF(P231&lt;&gt;"","・添待ち","")&amp;IF(Q231&lt;&gt;"","・住民票","")&amp;IF(R231&lt;&gt;"","・発信","")&amp;IF(S231&lt;&gt;"","・確認事項","")&amp;IF(T231&lt;&gt;"","・管","")&amp;IF(U231&lt;&gt;"","・SV","")&amp;IF(V231&lt;&gt;"","・データ送付待ち","")&amp;IF(W231&lt;&gt;"","・削除","")</f>
        <v/>
      </c>
    </row>
    <row r="232" ht="15" customHeight="1" s="87">
      <c r="A232" s="90" t="n">
        <v>202660001385</v>
      </c>
      <c r="B232" s="90" t="n"/>
      <c r="C232" s="90" t="n"/>
      <c r="D232" s="90" t="n">
        <v>30</v>
      </c>
      <c r="E232" s="90" t="inlineStr">
        <is>
          <t>30 申請受付</t>
        </is>
      </c>
      <c r="F232" s="90" t="n"/>
      <c r="G232" s="90" t="n"/>
      <c r="H232" s="91" t="n">
        <v>46242</v>
      </c>
      <c r="I232" s="92" t="n">
        <v>46281</v>
      </c>
      <c r="J232" s="91" t="n">
        <v>46281</v>
      </c>
      <c r="K232" s="90" t="n"/>
      <c r="L232" s="90" t="n"/>
      <c r="M232" s="90" t="n"/>
      <c r="N232" s="90" t="n"/>
      <c r="O232" s="90" t="inlineStr">
        <is>
          <t>20 申請受付</t>
        </is>
      </c>
      <c r="P232" s="90" t="n"/>
      <c r="Q232" s="90" t="n"/>
      <c r="R232" s="90" t="n"/>
      <c r="S232" s="90" t="n"/>
      <c r="T232" s="90" t="n"/>
      <c r="U232" s="90" t="n"/>
      <c r="V232" s="90" t="n"/>
      <c r="W232" s="90" t="n"/>
      <c r="X232" s="90" t="n"/>
      <c r="Y232" s="90" t="n"/>
      <c r="Z232" s="90" t="n"/>
      <c r="AA232" s="90" t="n"/>
      <c r="AB232" s="90" t="n">
        <v>23</v>
      </c>
      <c r="AC232" s="90" t="n">
        <v>1</v>
      </c>
      <c r="AD232" s="93" t="inlineStr">
        <is>
          <t>増</t>
        </is>
      </c>
      <c r="AE232" s="90" t="inlineStr">
        <is>
          <t>23 本人の結婚</t>
        </is>
      </c>
      <c r="AF232" s="90" t="n"/>
      <c r="AG232" s="90" t="n"/>
      <c r="AH232" s="90" t="n"/>
      <c r="AI232" s="90" t="n"/>
      <c r="AJ232" s="90" t="n"/>
      <c r="AK232" s="90" t="n"/>
      <c r="AL232" s="94">
        <f>IF(A232="","",IF(COUNTIF(A232:A$2001,A232)=1,1,0))</f>
        <v/>
      </c>
      <c r="AM232" s="94">
        <f>IF(I232="","",TODAY()-I232)</f>
        <v/>
      </c>
      <c r="AN232" s="94">
        <f>IF(A232="","",IF(AND(E232&lt;&gt;"33 確認済",E232&lt;&gt;"36 送付中"),1,0))</f>
        <v/>
      </c>
      <c r="AO232" s="94">
        <f>IF(A232="","",IF(AG232&lt;&gt;"",1,0))</f>
        <v/>
      </c>
      <c r="AP232" s="220">
        <f>IF(P232&lt;&gt;"","・添待ち","")&amp;IF(Q232&lt;&gt;"","・住民票","")&amp;IF(R232&lt;&gt;"","・発信","")&amp;IF(S232&lt;&gt;"","・確認事項","")&amp;IF(T232&lt;&gt;"","・管","")&amp;IF(U232&lt;&gt;"","・SV","")&amp;IF(V232&lt;&gt;"","・データ送付待ち","")&amp;IF(W232&lt;&gt;"","・削除","")</f>
        <v/>
      </c>
    </row>
    <row r="233" ht="15" customHeight="1" s="87">
      <c r="A233" s="90" t="n">
        <v>202660001385</v>
      </c>
      <c r="B233" s="90" t="n"/>
      <c r="C233" s="90" t="n"/>
      <c r="D233" s="90" t="n">
        <v>30</v>
      </c>
      <c r="E233" s="90" t="inlineStr">
        <is>
          <t>30 申請受付</t>
        </is>
      </c>
      <c r="F233" s="90" t="n"/>
      <c r="G233" s="90" t="n"/>
      <c r="H233" s="91" t="n">
        <v>46242</v>
      </c>
      <c r="I233" s="92" t="n">
        <v>46281</v>
      </c>
      <c r="J233" s="91" t="n">
        <v>46281</v>
      </c>
      <c r="K233" s="90" t="n"/>
      <c r="L233" s="90" t="n"/>
      <c r="M233" s="90" t="n"/>
      <c r="N233" s="90" t="n"/>
      <c r="O233" s="90" t="inlineStr">
        <is>
          <t>20 申請受付</t>
        </is>
      </c>
      <c r="P233" s="90" t="n"/>
      <c r="Q233" s="90" t="n"/>
      <c r="R233" s="90" t="n"/>
      <c r="S233" s="90" t="n"/>
      <c r="T233" s="90" t="n"/>
      <c r="U233" s="90" t="n"/>
      <c r="V233" s="90" t="n"/>
      <c r="W233" s="90" t="n"/>
      <c r="X233" s="90" t="n"/>
      <c r="Y233" s="90" t="n"/>
      <c r="Z233" s="90" t="n"/>
      <c r="AA233" s="90" t="n"/>
      <c r="AB233" s="90" t="n">
        <v>23</v>
      </c>
      <c r="AC233" s="90" t="n">
        <v>1</v>
      </c>
      <c r="AD233" s="93" t="inlineStr">
        <is>
          <t>増</t>
        </is>
      </c>
      <c r="AE233" s="90" t="inlineStr">
        <is>
          <t>23 結婚</t>
        </is>
      </c>
      <c r="AF233" s="90" t="n"/>
      <c r="AG233" s="90" t="n"/>
      <c r="AH233" s="90" t="n"/>
      <c r="AI233" s="90" t="n"/>
      <c r="AJ233" s="90" t="n"/>
      <c r="AK233" s="90" t="n"/>
      <c r="AL233" s="94">
        <f>IF(A233="","",IF(COUNTIF(A233:A$2001,A233)=1,1,0))</f>
        <v/>
      </c>
      <c r="AM233" s="94">
        <f>IF(I233="","",TODAY()-I233)</f>
        <v/>
      </c>
      <c r="AN233" s="94">
        <f>IF(A233="","",IF(AND(E233&lt;&gt;"33 確認済",E233&lt;&gt;"36 送付中"),1,0))</f>
        <v/>
      </c>
      <c r="AO233" s="94">
        <f>IF(A233="","",IF(AG233&lt;&gt;"",1,0))</f>
        <v/>
      </c>
      <c r="AP233" s="220">
        <f>IF(P233&lt;&gt;"","・添待ち","")&amp;IF(Q233&lt;&gt;"","・住民票","")&amp;IF(R233&lt;&gt;"","・発信","")&amp;IF(S233&lt;&gt;"","・確認事項","")&amp;IF(T233&lt;&gt;"","・管","")&amp;IF(U233&lt;&gt;"","・SV","")&amp;IF(V233&lt;&gt;"","・データ送付待ち","")&amp;IF(W233&lt;&gt;"","・削除","")</f>
        <v/>
      </c>
    </row>
    <row r="234" ht="15" customHeight="1" s="87">
      <c r="A234" s="90" t="n">
        <v>202660001386</v>
      </c>
      <c r="B234" s="90" t="n"/>
      <c r="C234" s="90" t="n"/>
      <c r="D234" s="90" t="n">
        <v>30</v>
      </c>
      <c r="E234" s="90" t="inlineStr">
        <is>
          <t>30 申請受付</t>
        </is>
      </c>
      <c r="F234" s="90" t="n"/>
      <c r="G234" s="90" t="n"/>
      <c r="H234" s="91" t="n">
        <v>46113</v>
      </c>
      <c r="I234" s="92" t="n">
        <v>46281</v>
      </c>
      <c r="J234" s="91" t="n">
        <v>46281</v>
      </c>
      <c r="K234" s="90" t="n"/>
      <c r="L234" s="90" t="n"/>
      <c r="M234" s="90" t="n"/>
      <c r="N234" s="90" t="n"/>
      <c r="O234" s="90" t="inlineStr">
        <is>
          <t>20 申請受付</t>
        </is>
      </c>
      <c r="P234" s="90" t="n"/>
      <c r="Q234" s="90" t="n"/>
      <c r="R234" s="90" t="n"/>
      <c r="S234" s="90" t="n"/>
      <c r="T234" s="90" t="n"/>
      <c r="U234" s="90" t="n"/>
      <c r="V234" s="90" t="n"/>
      <c r="W234" s="90" t="n"/>
      <c r="X234" s="90" t="n"/>
      <c r="Y234" s="90" t="n"/>
      <c r="Z234" s="90" t="n"/>
      <c r="AA234" s="90" t="n"/>
      <c r="AB234" s="90" t="n">
        <v>50</v>
      </c>
      <c r="AC234" s="90" t="n">
        <v>0</v>
      </c>
      <c r="AD234" s="93" t="inlineStr">
        <is>
          <t>減</t>
        </is>
      </c>
      <c r="AE234" s="90" t="inlineStr">
        <is>
          <t>50 扶養者の変更</t>
        </is>
      </c>
      <c r="AF234" s="93" t="inlineStr">
        <is>
          <t>減</t>
        </is>
      </c>
      <c r="AG234" s="90" t="n"/>
      <c r="AH234" s="93" t="inlineStr">
        <is>
          <t>減</t>
        </is>
      </c>
      <c r="AI234" s="90" t="n"/>
      <c r="AJ234" s="90" t="n"/>
      <c r="AK234" s="90" t="n"/>
      <c r="AL234" s="94">
        <f>IF(A234="","",IF(COUNTIF(A234:A$2001,A234)=1,1,0))</f>
        <v/>
      </c>
      <c r="AM234" s="94">
        <f>IF(I234="","",TODAY()-I234)</f>
        <v/>
      </c>
      <c r="AN234" s="94">
        <f>IF(A234="","",IF(AND(E234&lt;&gt;"33 確認済",E234&lt;&gt;"36 送付中"),1,0))</f>
        <v/>
      </c>
      <c r="AO234" s="94">
        <f>IF(A234="","",IF(AG234&lt;&gt;"",1,0))</f>
        <v/>
      </c>
      <c r="AP234" s="220">
        <f>IF(P234&lt;&gt;"","・添待ち","")&amp;IF(Q234&lt;&gt;"","・住民票","")&amp;IF(R234&lt;&gt;"","・発信","")&amp;IF(S234&lt;&gt;"","・確認事項","")&amp;IF(T234&lt;&gt;"","・管","")&amp;IF(U234&lt;&gt;"","・SV","")&amp;IF(V234&lt;&gt;"","・データ送付待ち","")&amp;IF(W234&lt;&gt;"","・削除","")</f>
        <v/>
      </c>
    </row>
    <row r="235" ht="15" customHeight="1" s="87">
      <c r="A235" s="90" t="n">
        <v>202660001388</v>
      </c>
      <c r="B235" s="90" t="n"/>
      <c r="C235" s="90" t="n"/>
      <c r="D235" s="90" t="n">
        <v>31</v>
      </c>
      <c r="E235" s="90" t="inlineStr">
        <is>
          <t>31 ＯＰ確認中</t>
        </is>
      </c>
      <c r="F235" s="90" t="n"/>
      <c r="G235" s="90" t="n"/>
      <c r="H235" s="91" t="n">
        <v>46164</v>
      </c>
      <c r="I235" s="92" t="n">
        <v>46281</v>
      </c>
      <c r="J235" s="91" t="n">
        <v>46289</v>
      </c>
      <c r="K235" s="91" t="n">
        <v>46289</v>
      </c>
      <c r="L235" s="90" t="n"/>
      <c r="M235" s="90" t="n"/>
      <c r="N235" s="90" t="n"/>
      <c r="O235" s="90" t="inlineStr">
        <is>
          <t>22 担当者変更</t>
        </is>
      </c>
      <c r="P235" s="90" t="n"/>
      <c r="Q235" s="90" t="n"/>
      <c r="R235" s="90" t="n"/>
      <c r="S235" s="90" t="n"/>
      <c r="T235" s="90" t="n"/>
      <c r="U235" s="90" t="n"/>
      <c r="V235" s="90" t="n"/>
      <c r="W235" s="90" t="n"/>
      <c r="X235" s="90" t="n"/>
      <c r="Y235" s="90" t="n"/>
      <c r="Z235" s="90" t="n"/>
      <c r="AA235" s="90" t="n"/>
      <c r="AB235" s="90" t="n">
        <v>28</v>
      </c>
      <c r="AC235" s="90" t="n">
        <v>1</v>
      </c>
      <c r="AD235" s="93" t="inlineStr">
        <is>
          <t>増</t>
        </is>
      </c>
      <c r="AE235" s="90" t="inlineStr">
        <is>
          <t>28 障害程度の変更</t>
        </is>
      </c>
      <c r="AF235" s="90" t="n"/>
      <c r="AG235" s="90" t="n"/>
      <c r="AH235" s="93" t="inlineStr">
        <is>
          <t>増</t>
        </is>
      </c>
      <c r="AI235" s="90" t="n"/>
      <c r="AJ235" s="90" t="n"/>
      <c r="AK235" s="90" t="n"/>
      <c r="AL235" s="94">
        <f>IF(A235="","",IF(COUNTIF(A235:A$2001,A235)=1,1,0))</f>
        <v/>
      </c>
      <c r="AM235" s="94">
        <f>IF(I235="","",TODAY()-I235)</f>
        <v/>
      </c>
      <c r="AN235" s="94">
        <f>IF(A235="","",IF(AND(E235&lt;&gt;"33 確認済",E235&lt;&gt;"36 送付中"),1,0))</f>
        <v/>
      </c>
      <c r="AO235" s="94">
        <f>IF(A235="","",IF(AG235&lt;&gt;"",1,0))</f>
        <v/>
      </c>
      <c r="AP235" s="220">
        <f>IF(P235&lt;&gt;"","・添待ち","")&amp;IF(Q235&lt;&gt;"","・住民票","")&amp;IF(R235&lt;&gt;"","・発信","")&amp;IF(S235&lt;&gt;"","・確認事項","")&amp;IF(T235&lt;&gt;"","・管","")&amp;IF(U235&lt;&gt;"","・SV","")&amp;IF(V235&lt;&gt;"","・データ送付待ち","")&amp;IF(W235&lt;&gt;"","・削除","")</f>
        <v/>
      </c>
    </row>
    <row r="236" ht="15" customHeight="1" s="87">
      <c r="A236" s="90" t="n">
        <v>202660001389</v>
      </c>
      <c r="B236" s="90" t="n"/>
      <c r="C236" s="90" t="n"/>
      <c r="D236" s="90" t="n">
        <v>32</v>
      </c>
      <c r="E236" s="90" t="inlineStr">
        <is>
          <t>32 ＳＶ確認中</t>
        </is>
      </c>
      <c r="F236" s="90" t="n"/>
      <c r="G236" s="90" t="n"/>
      <c r="H236" s="91" t="n">
        <v>46023</v>
      </c>
      <c r="I236" s="92" t="n">
        <v>46281</v>
      </c>
      <c r="J236" s="91" t="n">
        <v>46281</v>
      </c>
      <c r="K236" s="91" t="n">
        <v>46282</v>
      </c>
      <c r="L236" s="90" t="n"/>
      <c r="M236" s="90" t="n"/>
      <c r="N236" s="90" t="n"/>
      <c r="O236" s="90" t="inlineStr">
        <is>
          <t>30 登録</t>
        </is>
      </c>
      <c r="P236" s="90" t="n"/>
      <c r="Q236" s="90" t="n"/>
      <c r="R236" s="90" t="n"/>
      <c r="S236" s="90" t="n"/>
      <c r="T236" s="90" t="n"/>
      <c r="U236" s="90" t="n"/>
      <c r="V236" s="90" t="n"/>
      <c r="W236" s="90" t="n"/>
      <c r="X236" s="90" t="n"/>
      <c r="Y236" s="90" t="n"/>
      <c r="Z236" s="90" t="n"/>
      <c r="AA236" s="90" t="n"/>
      <c r="AB236" s="90" t="n">
        <v>3</v>
      </c>
      <c r="AC236" s="90" t="n">
        <v>0</v>
      </c>
      <c r="AD236" s="93" t="inlineStr">
        <is>
          <t>減</t>
        </is>
      </c>
      <c r="AE236" s="90" t="inlineStr">
        <is>
          <t>03 離婚</t>
        </is>
      </c>
      <c r="AF236" s="90" t="n"/>
      <c r="AG236" s="90" t="n"/>
      <c r="AH236" s="90" t="n"/>
      <c r="AI236" s="90" t="n"/>
      <c r="AJ236" s="90" t="n"/>
      <c r="AK236" s="90" t="n"/>
      <c r="AL236" s="94">
        <f>IF(A236="","",IF(COUNTIF(A236:A$2001,A236)=1,1,0))</f>
        <v/>
      </c>
      <c r="AM236" s="94">
        <f>IF(I236="","",TODAY()-I236)</f>
        <v/>
      </c>
      <c r="AN236" s="94">
        <f>IF(A236="","",IF(AND(E236&lt;&gt;"33 確認済",E236&lt;&gt;"36 送付中"),1,0))</f>
        <v/>
      </c>
      <c r="AO236" s="94">
        <f>IF(A236="","",IF(AG236&lt;&gt;"",1,0))</f>
        <v/>
      </c>
      <c r="AP236" s="220">
        <f>IF(P236&lt;&gt;"","・添待ち","")&amp;IF(Q236&lt;&gt;"","・住民票","")&amp;IF(R236&lt;&gt;"","・発信","")&amp;IF(S236&lt;&gt;"","・確認事項","")&amp;IF(T236&lt;&gt;"","・管","")&amp;IF(U236&lt;&gt;"","・SV","")&amp;IF(V236&lt;&gt;"","・データ送付待ち","")&amp;IF(W236&lt;&gt;"","・削除","")</f>
        <v/>
      </c>
    </row>
    <row r="237" ht="15" customHeight="1" s="87">
      <c r="A237" s="90" t="n">
        <v>202660001390</v>
      </c>
      <c r="B237" s="90" t="n"/>
      <c r="C237" s="90" t="n"/>
      <c r="D237" s="90" t="n">
        <v>30</v>
      </c>
      <c r="E237" s="90" t="inlineStr">
        <is>
          <t>30 申請受付</t>
        </is>
      </c>
      <c r="F237" s="90" t="n"/>
      <c r="G237" s="90" t="n"/>
      <c r="H237" s="91" t="n">
        <v>46281</v>
      </c>
      <c r="I237" s="92" t="n">
        <v>46281</v>
      </c>
      <c r="J237" s="91" t="n">
        <v>46281</v>
      </c>
      <c r="K237" s="90" t="n"/>
      <c r="L237" s="90" t="n"/>
      <c r="M237" s="90" t="n"/>
      <c r="N237" s="90" t="n"/>
      <c r="O237" s="90" t="inlineStr">
        <is>
          <t>20 申請受付</t>
        </is>
      </c>
      <c r="P237" s="90" t="n"/>
      <c r="Q237" s="90" t="n"/>
      <c r="R237" s="90" t="n"/>
      <c r="S237" s="90" t="n"/>
      <c r="T237" s="90" t="n"/>
      <c r="U237" s="90" t="n"/>
      <c r="V237" s="90" t="n"/>
      <c r="W237" s="90" t="n"/>
      <c r="X237" s="90" t="n"/>
      <c r="Y237" s="90" t="n"/>
      <c r="Z237" s="90" t="n"/>
      <c r="AA237" s="90" t="n"/>
      <c r="AB237" s="90" t="n">
        <v>51</v>
      </c>
      <c r="AC237" s="90" t="n">
        <v>0</v>
      </c>
      <c r="AD237" s="93" t="inlineStr">
        <is>
          <t>減</t>
        </is>
      </c>
      <c r="AE237" s="90" t="inlineStr">
        <is>
          <t>51 収入限度額以上</t>
        </is>
      </c>
      <c r="AF237" s="90" t="n"/>
      <c r="AG237" s="90" t="n"/>
      <c r="AH237" s="93" t="inlineStr">
        <is>
          <t>減</t>
        </is>
      </c>
      <c r="AI237" s="90" t="n"/>
      <c r="AJ237" s="90" t="n"/>
      <c r="AK237" s="90" t="n"/>
      <c r="AL237" s="94">
        <f>IF(A237="","",IF(COUNTIF(A237:A$2001,A237)=1,1,0))</f>
        <v/>
      </c>
      <c r="AM237" s="94">
        <f>IF(I237="","",TODAY()-I237)</f>
        <v/>
      </c>
      <c r="AN237" s="94">
        <f>IF(A237="","",IF(AND(E237&lt;&gt;"33 確認済",E237&lt;&gt;"36 送付中"),1,0))</f>
        <v/>
      </c>
      <c r="AO237" s="94">
        <f>IF(A237="","",IF(AG237&lt;&gt;"",1,0))</f>
        <v/>
      </c>
      <c r="AP237" s="220">
        <f>IF(P237&lt;&gt;"","・添待ち","")&amp;IF(Q237&lt;&gt;"","・住民票","")&amp;IF(R237&lt;&gt;"","・発信","")&amp;IF(S237&lt;&gt;"","・確認事項","")&amp;IF(T237&lt;&gt;"","・管","")&amp;IF(U237&lt;&gt;"","・SV","")&amp;IF(V237&lt;&gt;"","・データ送付待ち","")&amp;IF(W237&lt;&gt;"","・削除","")</f>
        <v/>
      </c>
    </row>
    <row r="238" ht="15" customHeight="1" s="87">
      <c r="A238" s="90" t="n">
        <v>202660001391</v>
      </c>
      <c r="B238" s="90" t="n"/>
      <c r="C238" s="90" t="n"/>
      <c r="D238" s="90" t="n">
        <v>31</v>
      </c>
      <c r="E238" s="90" t="inlineStr">
        <is>
          <t>31 ＯＰ確認中</t>
        </is>
      </c>
      <c r="F238" s="90" t="n"/>
      <c r="G238" s="90" t="n"/>
      <c r="H238" s="91" t="n">
        <v>46139</v>
      </c>
      <c r="I238" s="92" t="n">
        <v>46281</v>
      </c>
      <c r="J238" s="90" t="n"/>
      <c r="K238" s="91" t="n">
        <v>46289</v>
      </c>
      <c r="L238" s="90" t="n"/>
      <c r="M238" s="90" t="n"/>
      <c r="N238" s="90" t="n"/>
      <c r="O238" s="90" t="inlineStr">
        <is>
          <t>21 担当者登録</t>
        </is>
      </c>
      <c r="P238" s="90" t="n"/>
      <c r="Q238" s="90" t="n"/>
      <c r="R238" s="90" t="n"/>
      <c r="S238" s="90" t="n"/>
      <c r="T238" s="90" t="n"/>
      <c r="U238" s="90" t="n"/>
      <c r="V238" s="90" t="n"/>
      <c r="W238" s="90" t="n"/>
      <c r="X238" s="90" t="n"/>
      <c r="Y238" s="90" t="n"/>
      <c r="Z238" s="90" t="n"/>
      <c r="AA238" s="90" t="n"/>
      <c r="AB238" s="90" t="n">
        <v>3</v>
      </c>
      <c r="AC238" s="90" t="n">
        <v>0</v>
      </c>
      <c r="AD238" s="93" t="inlineStr">
        <is>
          <t>減</t>
        </is>
      </c>
      <c r="AE238" s="90" t="inlineStr">
        <is>
          <t>03 離婚</t>
        </is>
      </c>
      <c r="AF238" s="90" t="n"/>
      <c r="AG238" s="90" t="n"/>
      <c r="AH238" s="90" t="n"/>
      <c r="AI238" s="90" t="n"/>
      <c r="AJ238" s="90" t="n"/>
      <c r="AK238" s="90" t="n"/>
      <c r="AL238" s="94">
        <f>IF(A238="","",IF(COUNTIF(A238:A$2001,A238)=1,1,0))</f>
        <v/>
      </c>
      <c r="AM238" s="94">
        <f>IF(I238="","",TODAY()-I238)</f>
        <v/>
      </c>
      <c r="AN238" s="94">
        <f>IF(A238="","",IF(AND(E238&lt;&gt;"33 確認済",E238&lt;&gt;"36 送付中"),1,0))</f>
        <v/>
      </c>
      <c r="AO238" s="94">
        <f>IF(A238="","",IF(AG238&lt;&gt;"",1,0))</f>
        <v/>
      </c>
      <c r="AP238" s="220">
        <f>IF(P238&lt;&gt;"","・添待ち","")&amp;IF(Q238&lt;&gt;"","・住民票","")&amp;IF(R238&lt;&gt;"","・発信","")&amp;IF(S238&lt;&gt;"","・確認事項","")&amp;IF(T238&lt;&gt;"","・管","")&amp;IF(U238&lt;&gt;"","・SV","")&amp;IF(V238&lt;&gt;"","・データ送付待ち","")&amp;IF(W238&lt;&gt;"","・削除","")</f>
        <v/>
      </c>
    </row>
    <row r="239" ht="15" customHeight="1" s="87">
      <c r="A239" s="90" t="n">
        <v>202660001392</v>
      </c>
      <c r="B239" s="90" t="n"/>
      <c r="C239" s="90" t="n"/>
      <c r="D239" s="90" t="n">
        <v>32</v>
      </c>
      <c r="E239" s="90" t="inlineStr">
        <is>
          <t>32 ＳＶ確認中</t>
        </is>
      </c>
      <c r="F239" s="90" t="n"/>
      <c r="G239" s="90" t="n"/>
      <c r="H239" s="91" t="n">
        <v>46151</v>
      </c>
      <c r="I239" s="92" t="n">
        <v>46281</v>
      </c>
      <c r="J239" s="91" t="n">
        <v>46281</v>
      </c>
      <c r="K239" s="91" t="n">
        <v>46282</v>
      </c>
      <c r="L239" s="90" t="n"/>
      <c r="M239" s="90" t="n"/>
      <c r="N239" s="90" t="n"/>
      <c r="O239" s="90" t="inlineStr">
        <is>
          <t>30 登録</t>
        </is>
      </c>
      <c r="P239" s="90" t="n"/>
      <c r="Q239" s="90" t="n"/>
      <c r="R239" s="90" t="n"/>
      <c r="S239" s="90" t="n"/>
      <c r="T239" s="90" t="n"/>
      <c r="U239" s="90" t="n"/>
      <c r="V239" s="90" t="n"/>
      <c r="W239" s="90" t="n"/>
      <c r="X239" s="90" t="n"/>
      <c r="Y239" s="90" t="n"/>
      <c r="Z239" s="90" t="n"/>
      <c r="AA239" s="90" t="n"/>
      <c r="AB239" s="90" t="n">
        <v>3</v>
      </c>
      <c r="AC239" s="90" t="n">
        <v>0</v>
      </c>
      <c r="AD239" s="93" t="inlineStr">
        <is>
          <t>減</t>
        </is>
      </c>
      <c r="AE239" s="90" t="inlineStr">
        <is>
          <t>03 離婚</t>
        </is>
      </c>
      <c r="AF239" s="90" t="n"/>
      <c r="AG239" s="90" t="n"/>
      <c r="AH239" s="90" t="n"/>
      <c r="AI239" s="90" t="n"/>
      <c r="AJ239" s="90" t="n"/>
      <c r="AK239" s="90" t="n"/>
      <c r="AL239" s="94">
        <f>IF(A239="","",IF(COUNTIF(A239:A$2001,A239)=1,1,0))</f>
        <v/>
      </c>
      <c r="AM239" s="94">
        <f>IF(I239="","",TODAY()-I239)</f>
        <v/>
      </c>
      <c r="AN239" s="94">
        <f>IF(A239="","",IF(AND(E239&lt;&gt;"33 確認済",E239&lt;&gt;"36 送付中"),1,0))</f>
        <v/>
      </c>
      <c r="AO239" s="94">
        <f>IF(A239="","",IF(AG239&lt;&gt;"",1,0))</f>
        <v/>
      </c>
      <c r="AP239" s="220">
        <f>IF(P239&lt;&gt;"","・添待ち","")&amp;IF(Q239&lt;&gt;"","・住民票","")&amp;IF(R239&lt;&gt;"","・発信","")&amp;IF(S239&lt;&gt;"","・確認事項","")&amp;IF(T239&lt;&gt;"","・管","")&amp;IF(U239&lt;&gt;"","・SV","")&amp;IF(V239&lt;&gt;"","・データ送付待ち","")&amp;IF(W239&lt;&gt;"","・削除","")</f>
        <v/>
      </c>
    </row>
    <row r="240" ht="15" customHeight="1" s="87">
      <c r="A240" s="90" t="n">
        <v>202660001393</v>
      </c>
      <c r="B240" s="90" t="n"/>
      <c r="C240" s="90" t="n"/>
      <c r="D240" s="90" t="n">
        <v>31</v>
      </c>
      <c r="E240" s="90" t="inlineStr">
        <is>
          <t>31 ＯＰ確認中</t>
        </is>
      </c>
      <c r="F240" s="90" t="n"/>
      <c r="G240" s="90" t="n"/>
      <c r="H240" s="91" t="n">
        <v>46023</v>
      </c>
      <c r="I240" s="92" t="n">
        <v>46281</v>
      </c>
      <c r="J240" s="91" t="n">
        <v>46283</v>
      </c>
      <c r="K240" s="91" t="n">
        <v>46283</v>
      </c>
      <c r="L240" s="90" t="n"/>
      <c r="M240" s="90" t="n"/>
      <c r="N240" s="90" t="n"/>
      <c r="O240" s="90" t="inlineStr">
        <is>
          <t>22 担当者変更</t>
        </is>
      </c>
      <c r="P240" s="90" t="n"/>
      <c r="Q240" s="90" t="n"/>
      <c r="R240" s="90" t="n"/>
      <c r="S240" s="90" t="n"/>
      <c r="T240" s="90" t="n"/>
      <c r="U240" s="90" t="n"/>
      <c r="V240" s="90" t="n"/>
      <c r="W240" s="90" t="n"/>
      <c r="X240" s="90" t="n"/>
      <c r="Y240" s="90" t="n"/>
      <c r="Z240" s="90" t="n"/>
      <c r="AA240" s="90" t="n"/>
      <c r="AB240" s="90" t="n">
        <v>25</v>
      </c>
      <c r="AC240" s="90" t="n">
        <v>1</v>
      </c>
      <c r="AD240" s="93" t="inlineStr">
        <is>
          <t>増</t>
        </is>
      </c>
      <c r="AE240" s="90" t="inlineStr">
        <is>
          <t>25 育休</t>
        </is>
      </c>
      <c r="AF240" s="90" t="n"/>
      <c r="AG240" s="90" t="n"/>
      <c r="AH240" s="93" t="inlineStr">
        <is>
          <t>増</t>
        </is>
      </c>
      <c r="AI240" s="90" t="n"/>
      <c r="AJ240" s="90" t="n"/>
      <c r="AK240" s="90" t="n"/>
      <c r="AL240" s="94">
        <f>IF(A240="","",IF(COUNTIF(A240:A$2001,A240)=1,1,0))</f>
        <v/>
      </c>
      <c r="AM240" s="94">
        <f>IF(I240="","",TODAY()-I240)</f>
        <v/>
      </c>
      <c r="AN240" s="94">
        <f>IF(A240="","",IF(AND(E240&lt;&gt;"33 確認済",E240&lt;&gt;"36 送付中"),1,0))</f>
        <v/>
      </c>
      <c r="AO240" s="94">
        <f>IF(A240="","",IF(AG240&lt;&gt;"",1,0))</f>
        <v/>
      </c>
      <c r="AP240" s="220">
        <f>IF(P240&lt;&gt;"","・添待ち","")&amp;IF(Q240&lt;&gt;"","・住民票","")&amp;IF(R240&lt;&gt;"","・発信","")&amp;IF(S240&lt;&gt;"","・確認事項","")&amp;IF(T240&lt;&gt;"","・管","")&amp;IF(U240&lt;&gt;"","・SV","")&amp;IF(V240&lt;&gt;"","・データ送付待ち","")&amp;IF(W240&lt;&gt;"","・削除","")</f>
        <v/>
      </c>
    </row>
    <row r="241" ht="15" customHeight="1" s="87">
      <c r="A241" s="90" t="n">
        <v>202660001394</v>
      </c>
      <c r="B241" s="90" t="n"/>
      <c r="C241" s="90" t="n"/>
      <c r="D241" s="90" t="n">
        <v>32</v>
      </c>
      <c r="E241" s="90" t="inlineStr">
        <is>
          <t>32 ＳＶ確認中</t>
        </is>
      </c>
      <c r="F241" s="90" t="n"/>
      <c r="G241" s="90" t="n"/>
      <c r="H241" s="91" t="n">
        <v>46066</v>
      </c>
      <c r="I241" s="92" t="n">
        <v>46281</v>
      </c>
      <c r="J241" s="91" t="n">
        <v>46281</v>
      </c>
      <c r="K241" s="91" t="n">
        <v>46282</v>
      </c>
      <c r="L241" s="90" t="n"/>
      <c r="M241" s="90" t="n"/>
      <c r="N241" s="90" t="n"/>
      <c r="O241" s="90" t="inlineStr">
        <is>
          <t>30 登録</t>
        </is>
      </c>
      <c r="P241" s="90" t="n"/>
      <c r="Q241" s="90" t="n"/>
      <c r="R241" s="90" t="n"/>
      <c r="S241" s="90" t="n"/>
      <c r="T241" s="90" t="n"/>
      <c r="U241" s="90" t="n"/>
      <c r="V241" s="90" t="n"/>
      <c r="W241" s="90" t="n"/>
      <c r="X241" s="90" t="n"/>
      <c r="Y241" s="90" t="n"/>
      <c r="Z241" s="90" t="n"/>
      <c r="AA241" s="90" t="n"/>
      <c r="AB241" s="90" t="n">
        <v>3</v>
      </c>
      <c r="AC241" s="90" t="n">
        <v>0</v>
      </c>
      <c r="AD241" s="93" t="inlineStr">
        <is>
          <t>減</t>
        </is>
      </c>
      <c r="AE241" s="90" t="inlineStr">
        <is>
          <t>03 離婚</t>
        </is>
      </c>
      <c r="AF241" s="90" t="n"/>
      <c r="AG241" s="90" t="n"/>
      <c r="AH241" s="90" t="n"/>
      <c r="AI241" s="90" t="n"/>
      <c r="AJ241" s="90" t="n"/>
      <c r="AK241" s="90" t="n"/>
      <c r="AL241" s="94">
        <f>IF(A241="","",IF(COUNTIF(A241:A$2001,A241)=1,1,0))</f>
        <v/>
      </c>
      <c r="AM241" s="94">
        <f>IF(I241="","",TODAY()-I241)</f>
        <v/>
      </c>
      <c r="AN241" s="94">
        <f>IF(A241="","",IF(AND(E241&lt;&gt;"33 確認済",E241&lt;&gt;"36 送付中"),1,0))</f>
        <v/>
      </c>
      <c r="AO241" s="94">
        <f>IF(A241="","",IF(AG241&lt;&gt;"",1,0))</f>
        <v/>
      </c>
      <c r="AP241" s="220">
        <f>IF(P241&lt;&gt;"","・添待ち","")&amp;IF(Q241&lt;&gt;"","・住民票","")&amp;IF(R241&lt;&gt;"","・発信","")&amp;IF(S241&lt;&gt;"","・確認事項","")&amp;IF(T241&lt;&gt;"","・管","")&amp;IF(U241&lt;&gt;"","・SV","")&amp;IF(V241&lt;&gt;"","・データ送付待ち","")&amp;IF(W241&lt;&gt;"","・削除","")</f>
        <v/>
      </c>
    </row>
    <row r="242" ht="15" customHeight="1" s="87">
      <c r="A242" s="90" t="n">
        <v>202660001395</v>
      </c>
      <c r="B242" s="90" t="n"/>
      <c r="C242" s="90" t="n"/>
      <c r="D242" s="90" t="n">
        <v>31</v>
      </c>
      <c r="E242" s="90" t="inlineStr">
        <is>
          <t>31 ＯＰ確認中</t>
        </is>
      </c>
      <c r="F242" s="90" t="n"/>
      <c r="G242" s="90" t="n"/>
      <c r="H242" s="91" t="n">
        <v>46054</v>
      </c>
      <c r="I242" s="92" t="n">
        <v>46281</v>
      </c>
      <c r="J242" s="91" t="n">
        <v>46289</v>
      </c>
      <c r="K242" s="91" t="n">
        <v>46289</v>
      </c>
      <c r="L242" s="90" t="n"/>
      <c r="M242" s="90" t="n"/>
      <c r="N242" s="90" t="n"/>
      <c r="O242" s="90" t="inlineStr">
        <is>
          <t>22 担当者変更</t>
        </is>
      </c>
      <c r="P242" s="90" t="n"/>
      <c r="Q242" s="90" t="n"/>
      <c r="R242" s="90" t="n"/>
      <c r="S242" s="90" t="n"/>
      <c r="T242" s="90" t="n"/>
      <c r="U242" s="90" t="n"/>
      <c r="V242" s="90" t="n"/>
      <c r="W242" s="90" t="n"/>
      <c r="X242" s="90" t="n"/>
      <c r="Y242" s="90" t="n"/>
      <c r="Z242" s="90" t="n"/>
      <c r="AA242" s="90" t="n"/>
      <c r="AB242" s="90" t="n">
        <v>28</v>
      </c>
      <c r="AC242" s="90" t="n">
        <v>3</v>
      </c>
      <c r="AD242" s="93" t="inlineStr">
        <is>
          <t>減</t>
        </is>
      </c>
      <c r="AE242" s="90" t="n"/>
      <c r="AF242" s="90" t="n"/>
      <c r="AG242" s="90" t="n"/>
      <c r="AH242" s="90" t="n"/>
      <c r="AI242" s="90" t="n"/>
      <c r="AJ242" s="90" t="n"/>
      <c r="AK242" s="90" t="n"/>
      <c r="AL242" s="94">
        <f>IF(A242="","",IF(COUNTIF(A242:A$2001,A242)=1,1,0))</f>
        <v/>
      </c>
      <c r="AM242" s="94">
        <f>IF(I242="","",TODAY()-I242)</f>
        <v/>
      </c>
      <c r="AN242" s="94">
        <f>IF(A242="","",IF(AND(E242&lt;&gt;"33 確認済",E242&lt;&gt;"36 送付中"),1,0))</f>
        <v/>
      </c>
      <c r="AO242" s="94">
        <f>IF(A242="","",IF(AG242&lt;&gt;"",1,0))</f>
        <v/>
      </c>
      <c r="AP242" s="220">
        <f>IF(P242&lt;&gt;"","・添待ち","")&amp;IF(Q242&lt;&gt;"","・住民票","")&amp;IF(R242&lt;&gt;"","・発信","")&amp;IF(S242&lt;&gt;"","・確認事項","")&amp;IF(T242&lt;&gt;"","・管","")&amp;IF(U242&lt;&gt;"","・SV","")&amp;IF(V242&lt;&gt;"","・データ送付待ち","")&amp;IF(W242&lt;&gt;"","・削除","")</f>
        <v/>
      </c>
    </row>
    <row r="243" ht="15" customHeight="1" s="87">
      <c r="A243" s="90" t="n">
        <v>202660001396</v>
      </c>
      <c r="B243" s="90" t="n"/>
      <c r="C243" s="90" t="n"/>
      <c r="D243" s="90" t="n">
        <v>20</v>
      </c>
      <c r="E243" s="90" t="inlineStr">
        <is>
          <t>20 確認待ち</t>
        </is>
      </c>
      <c r="F243" s="90" t="n"/>
      <c r="G243" s="90" t="n"/>
      <c r="H243" s="91" t="n">
        <v>46268</v>
      </c>
      <c r="I243" s="92" t="n">
        <v>46281</v>
      </c>
      <c r="J243" s="90" t="n"/>
      <c r="K243" s="90" t="n"/>
      <c r="L243" s="90" t="n"/>
      <c r="M243" s="90" t="n"/>
      <c r="N243" s="90" t="n"/>
      <c r="O243" s="90" t="inlineStr">
        <is>
          <t>55 添付書類待ち登録</t>
        </is>
      </c>
      <c r="P243" s="93" t="inlineStr">
        <is>
          <t>添</t>
        </is>
      </c>
      <c r="Q243" s="90" t="n"/>
      <c r="R243" s="90" t="n"/>
      <c r="S243" s="90" t="n"/>
      <c r="T243" s="90" t="n"/>
      <c r="U243" s="90" t="n"/>
      <c r="V243" s="90" t="n"/>
      <c r="W243" s="90" t="n"/>
      <c r="X243" s="90" t="n"/>
      <c r="Y243" s="90" t="n"/>
      <c r="Z243" s="90" t="n"/>
      <c r="AA243" s="90" t="n"/>
      <c r="AB243" s="90" t="n">
        <v>21</v>
      </c>
      <c r="AC243" s="90" t="n">
        <v>1</v>
      </c>
      <c r="AD243" s="93" t="inlineStr">
        <is>
          <t>増</t>
        </is>
      </c>
      <c r="AE243" s="90" t="inlineStr">
        <is>
          <t>21 出生</t>
        </is>
      </c>
      <c r="AF243" s="93" t="inlineStr">
        <is>
          <t>増</t>
        </is>
      </c>
      <c r="AG243" s="93" t="inlineStr">
        <is>
          <t>増</t>
        </is>
      </c>
      <c r="AH243" s="93" t="inlineStr">
        <is>
          <t>増</t>
        </is>
      </c>
      <c r="AI243" s="90" t="n"/>
      <c r="AJ243" s="90" t="n"/>
      <c r="AK243" s="90" t="n"/>
      <c r="AL243" s="94">
        <f>IF(A243="","",IF(COUNTIF(A243:A$2001,A243)=1,1,0))</f>
        <v/>
      </c>
      <c r="AM243" s="94">
        <f>IF(I243="","",TODAY()-I243)</f>
        <v/>
      </c>
      <c r="AN243" s="94">
        <f>IF(A243="","",IF(AND(E243&lt;&gt;"33 確認済",E243&lt;&gt;"36 送付中"),1,0))</f>
        <v/>
      </c>
      <c r="AO243" s="94">
        <f>IF(A243="","",IF(AG243&lt;&gt;"",1,0))</f>
        <v/>
      </c>
      <c r="AP243" s="220">
        <f>IF(P243&lt;&gt;"","・添待ち","")&amp;IF(Q243&lt;&gt;"","・住民票","")&amp;IF(R243&lt;&gt;"","・発信","")&amp;IF(S243&lt;&gt;"","・確認事項","")&amp;IF(T243&lt;&gt;"","・管","")&amp;IF(U243&lt;&gt;"","・SV","")&amp;IF(V243&lt;&gt;"","・データ送付待ち","")&amp;IF(W243&lt;&gt;"","・削除","")</f>
        <v/>
      </c>
    </row>
    <row r="244" ht="15" customHeight="1" s="87">
      <c r="A244" s="90" t="n">
        <v>202660001397</v>
      </c>
      <c r="B244" s="90" t="n"/>
      <c r="C244" s="90" t="n"/>
      <c r="D244" s="90" t="n">
        <v>30</v>
      </c>
      <c r="E244" s="90" t="inlineStr">
        <is>
          <t>30 申請受付</t>
        </is>
      </c>
      <c r="F244" s="90" t="n"/>
      <c r="G244" s="90" t="n"/>
      <c r="H244" s="91" t="n">
        <v>46139</v>
      </c>
      <c r="I244" s="92" t="n">
        <v>46281</v>
      </c>
      <c r="J244" s="91" t="n">
        <v>46281</v>
      </c>
      <c r="K244" s="90" t="n"/>
      <c r="L244" s="90" t="n"/>
      <c r="M244" s="90" t="n"/>
      <c r="N244" s="90" t="n"/>
      <c r="O244" s="90" t="inlineStr">
        <is>
          <t>20 申請受付</t>
        </is>
      </c>
      <c r="P244" s="90" t="n"/>
      <c r="Q244" s="90" t="n"/>
      <c r="R244" s="90" t="n"/>
      <c r="S244" s="90" t="n"/>
      <c r="T244" s="90" t="n"/>
      <c r="U244" s="90" t="n"/>
      <c r="V244" s="90" t="n"/>
      <c r="W244" s="90" t="n"/>
      <c r="X244" s="90" t="n"/>
      <c r="Y244" s="90" t="n"/>
      <c r="Z244" s="90" t="n"/>
      <c r="AA244" s="90" t="n"/>
      <c r="AB244" s="90" t="n">
        <v>49</v>
      </c>
      <c r="AC244" s="90" t="n">
        <v>0</v>
      </c>
      <c r="AD244" s="93" t="inlineStr">
        <is>
          <t>減</t>
        </is>
      </c>
      <c r="AE244" s="90" t="inlineStr">
        <is>
          <t>49 復職</t>
        </is>
      </c>
      <c r="AF244" s="90" t="n"/>
      <c r="AG244" s="90" t="n"/>
      <c r="AH244" s="90" t="n"/>
      <c r="AI244" s="90" t="n"/>
      <c r="AJ244" s="90" t="n"/>
      <c r="AK244" s="90" t="n"/>
      <c r="AL244" s="94">
        <f>IF(A244="","",IF(COUNTIF(A244:A$2001,A244)=1,1,0))</f>
        <v/>
      </c>
      <c r="AM244" s="94">
        <f>IF(I244="","",TODAY()-I244)</f>
        <v/>
      </c>
      <c r="AN244" s="94">
        <f>IF(A244="","",IF(AND(E244&lt;&gt;"33 確認済",E244&lt;&gt;"36 送付中"),1,0))</f>
        <v/>
      </c>
      <c r="AO244" s="94">
        <f>IF(A244="","",IF(AG244&lt;&gt;"",1,0))</f>
        <v/>
      </c>
      <c r="AP244" s="220">
        <f>IF(P244&lt;&gt;"","・添待ち","")&amp;IF(Q244&lt;&gt;"","・住民票","")&amp;IF(R244&lt;&gt;"","・発信","")&amp;IF(S244&lt;&gt;"","・確認事項","")&amp;IF(T244&lt;&gt;"","・管","")&amp;IF(U244&lt;&gt;"","・SV","")&amp;IF(V244&lt;&gt;"","・データ送付待ち","")&amp;IF(W244&lt;&gt;"","・削除","")</f>
        <v/>
      </c>
    </row>
    <row r="245" ht="15" customHeight="1" s="87">
      <c r="A245" s="90" t="n">
        <v>202660001398</v>
      </c>
      <c r="B245" s="90" t="n"/>
      <c r="C245" s="90" t="n"/>
      <c r="D245" s="90" t="n">
        <v>31</v>
      </c>
      <c r="E245" s="90" t="inlineStr">
        <is>
          <t>31 ＯＰ確認中</t>
        </is>
      </c>
      <c r="F245" s="90" t="n"/>
      <c r="G245" s="90" t="n"/>
      <c r="H245" s="91" t="n">
        <v>46242</v>
      </c>
      <c r="I245" s="92" t="n">
        <v>46281</v>
      </c>
      <c r="J245" s="91" t="n">
        <v>46281</v>
      </c>
      <c r="K245" s="91" t="n">
        <v>46283</v>
      </c>
      <c r="L245" s="90" t="n"/>
      <c r="M245" s="90" t="n"/>
      <c r="N245" s="90" t="n"/>
      <c r="O245" s="90" t="inlineStr">
        <is>
          <t>21 担当者登録</t>
        </is>
      </c>
      <c r="P245" s="90" t="n"/>
      <c r="Q245" s="90" t="n"/>
      <c r="R245" s="90" t="n"/>
      <c r="S245" s="90" t="n"/>
      <c r="T245" s="90" t="n"/>
      <c r="U245" s="90" t="n"/>
      <c r="V245" s="90" t="n"/>
      <c r="W245" s="90" t="n"/>
      <c r="X245" s="90" t="n"/>
      <c r="Y245" s="90" t="n"/>
      <c r="Z245" s="90" t="n"/>
      <c r="AA245" s="90" t="n"/>
      <c r="AB245" s="90" t="n">
        <v>23</v>
      </c>
      <c r="AC245" s="90" t="n">
        <v>1</v>
      </c>
      <c r="AD245" s="93" t="inlineStr">
        <is>
          <t>増</t>
        </is>
      </c>
      <c r="AE245" s="90" t="inlineStr">
        <is>
          <t>23 本人の結婚</t>
        </is>
      </c>
      <c r="AF245" s="90" t="n"/>
      <c r="AG245" s="90" t="n"/>
      <c r="AH245" s="90" t="n"/>
      <c r="AI245" s="90" t="n"/>
      <c r="AJ245" s="90" t="n"/>
      <c r="AK245" s="90" t="n"/>
      <c r="AL245" s="94">
        <f>IF(A245="","",IF(COUNTIF(A245:A$2001,A245)=1,1,0))</f>
        <v/>
      </c>
      <c r="AM245" s="94">
        <f>IF(I245="","",TODAY()-I245)</f>
        <v/>
      </c>
      <c r="AN245" s="94">
        <f>IF(A245="","",IF(AND(E245&lt;&gt;"33 確認済",E245&lt;&gt;"36 送付中"),1,0))</f>
        <v/>
      </c>
      <c r="AO245" s="94">
        <f>IF(A245="","",IF(AG245&lt;&gt;"",1,0))</f>
        <v/>
      </c>
      <c r="AP245" s="220">
        <f>IF(P245&lt;&gt;"","・添待ち","")&amp;IF(Q245&lt;&gt;"","・住民票","")&amp;IF(R245&lt;&gt;"","・発信","")&amp;IF(S245&lt;&gt;"","・確認事項","")&amp;IF(T245&lt;&gt;"","・管","")&amp;IF(U245&lt;&gt;"","・SV","")&amp;IF(V245&lt;&gt;"","・データ送付待ち","")&amp;IF(W245&lt;&gt;"","・削除","")</f>
        <v/>
      </c>
    </row>
    <row r="246" ht="15" customHeight="1" s="87">
      <c r="A246" s="90" t="n">
        <v>202660001398</v>
      </c>
      <c r="B246" s="90" t="n"/>
      <c r="C246" s="90" t="n"/>
      <c r="D246" s="90" t="n">
        <v>31</v>
      </c>
      <c r="E246" s="90" t="inlineStr">
        <is>
          <t>31 ＯＰ確認中</t>
        </is>
      </c>
      <c r="F246" s="90" t="n"/>
      <c r="G246" s="90" t="n"/>
      <c r="H246" s="91" t="n">
        <v>46242</v>
      </c>
      <c r="I246" s="92" t="n">
        <v>46281</v>
      </c>
      <c r="J246" s="91" t="n">
        <v>46281</v>
      </c>
      <c r="K246" s="91" t="n">
        <v>46283</v>
      </c>
      <c r="L246" s="90" t="n"/>
      <c r="M246" s="90" t="n"/>
      <c r="N246" s="90" t="n"/>
      <c r="O246" s="90" t="inlineStr">
        <is>
          <t>21 担当者登録</t>
        </is>
      </c>
      <c r="P246" s="90" t="n"/>
      <c r="Q246" s="90" t="n"/>
      <c r="R246" s="90" t="n"/>
      <c r="S246" s="90" t="n"/>
      <c r="T246" s="90" t="n"/>
      <c r="U246" s="90" t="n"/>
      <c r="V246" s="90" t="n"/>
      <c r="W246" s="90" t="n"/>
      <c r="X246" s="90" t="n"/>
      <c r="Y246" s="90" t="n"/>
      <c r="Z246" s="90" t="n"/>
      <c r="AA246" s="90" t="n"/>
      <c r="AB246" s="90" t="n">
        <v>23</v>
      </c>
      <c r="AC246" s="90" t="n">
        <v>1</v>
      </c>
      <c r="AD246" s="93" t="inlineStr">
        <is>
          <t>増</t>
        </is>
      </c>
      <c r="AE246" s="90" t="inlineStr">
        <is>
          <t>23 結婚</t>
        </is>
      </c>
      <c r="AF246" s="90" t="n"/>
      <c r="AG246" s="90" t="n"/>
      <c r="AH246" s="90" t="n"/>
      <c r="AI246" s="90" t="n"/>
      <c r="AJ246" s="90" t="n"/>
      <c r="AK246" s="90" t="n"/>
      <c r="AL246" s="94">
        <f>IF(A246="","",IF(COUNTIF(A246:A$2001,A246)=1,1,0))</f>
        <v/>
      </c>
      <c r="AM246" s="94">
        <f>IF(I246="","",TODAY()-I246)</f>
        <v/>
      </c>
      <c r="AN246" s="94">
        <f>IF(A246="","",IF(AND(E246&lt;&gt;"33 確認済",E246&lt;&gt;"36 送付中"),1,0))</f>
        <v/>
      </c>
      <c r="AO246" s="94">
        <f>IF(A246="","",IF(AG246&lt;&gt;"",1,0))</f>
        <v/>
      </c>
      <c r="AP246" s="220">
        <f>IF(P246&lt;&gt;"","・添待ち","")&amp;IF(Q246&lt;&gt;"","・住民票","")&amp;IF(R246&lt;&gt;"","・発信","")&amp;IF(S246&lt;&gt;"","・確認事項","")&amp;IF(T246&lt;&gt;"","・管","")&amp;IF(U246&lt;&gt;"","・SV","")&amp;IF(V246&lt;&gt;"","・データ送付待ち","")&amp;IF(W246&lt;&gt;"","・削除","")</f>
        <v/>
      </c>
    </row>
    <row r="247" ht="15" customHeight="1" s="87">
      <c r="A247" s="90" t="n">
        <v>202660001399</v>
      </c>
      <c r="B247" s="90" t="n"/>
      <c r="C247" s="90" t="n"/>
      <c r="D247" s="90" t="n">
        <v>20</v>
      </c>
      <c r="E247" s="90" t="inlineStr">
        <is>
          <t>20 確認待ち</t>
        </is>
      </c>
      <c r="F247" s="90" t="n"/>
      <c r="G247" s="90" t="n"/>
      <c r="H247" s="91" t="n">
        <v>46023</v>
      </c>
      <c r="I247" s="92" t="n">
        <v>46281</v>
      </c>
      <c r="J247" s="90" t="n"/>
      <c r="K247" s="90" t="n"/>
      <c r="L247" s="90" t="n"/>
      <c r="M247" s="90" t="n"/>
      <c r="N247" s="90" t="n"/>
      <c r="O247" s="90" t="inlineStr">
        <is>
          <t>55 添付書類待ち登録</t>
        </is>
      </c>
      <c r="P247" s="93" t="inlineStr">
        <is>
          <t>添</t>
        </is>
      </c>
      <c r="Q247" s="90" t="n"/>
      <c r="R247" s="90" t="n"/>
      <c r="S247" s="90" t="n"/>
      <c r="T247" s="90" t="n"/>
      <c r="U247" s="90" t="n"/>
      <c r="V247" s="90" t="n"/>
      <c r="W247" s="90" t="n"/>
      <c r="X247" s="90" t="n"/>
      <c r="Y247" s="90" t="n"/>
      <c r="Z247" s="90" t="n"/>
      <c r="AA247" s="90" t="n"/>
      <c r="AB247" s="90" t="n">
        <v>25</v>
      </c>
      <c r="AC247" s="90" t="n">
        <v>1</v>
      </c>
      <c r="AD247" s="93" t="inlineStr">
        <is>
          <t>増</t>
        </is>
      </c>
      <c r="AE247" s="90" t="inlineStr">
        <is>
          <t>25 育休</t>
        </is>
      </c>
      <c r="AF247" s="90" t="n"/>
      <c r="AG247" s="90" t="n"/>
      <c r="AH247" s="93" t="inlineStr">
        <is>
          <t>増</t>
        </is>
      </c>
      <c r="AI247" s="90" t="n"/>
      <c r="AJ247" s="90" t="n"/>
      <c r="AK247" s="90" t="n"/>
      <c r="AL247" s="94">
        <f>IF(A247="","",IF(COUNTIF(A247:A$2001,A247)=1,1,0))</f>
        <v/>
      </c>
      <c r="AM247" s="94">
        <f>IF(I247="","",TODAY()-I247)</f>
        <v/>
      </c>
      <c r="AN247" s="94">
        <f>IF(A247="","",IF(AND(E247&lt;&gt;"33 確認済",E247&lt;&gt;"36 送付中"),1,0))</f>
        <v/>
      </c>
      <c r="AO247" s="94">
        <f>IF(A247="","",IF(AG247&lt;&gt;"",1,0))</f>
        <v/>
      </c>
      <c r="AP247" s="220">
        <f>IF(P247&lt;&gt;"","・添待ち","")&amp;IF(Q247&lt;&gt;"","・住民票","")&amp;IF(R247&lt;&gt;"","・発信","")&amp;IF(S247&lt;&gt;"","・確認事項","")&amp;IF(T247&lt;&gt;"","・管","")&amp;IF(U247&lt;&gt;"","・SV","")&amp;IF(V247&lt;&gt;"","・データ送付待ち","")&amp;IF(W247&lt;&gt;"","・削除","")</f>
        <v/>
      </c>
    </row>
    <row r="248" ht="15" customHeight="1" s="87">
      <c r="A248" s="90" t="n">
        <v>202660001400</v>
      </c>
      <c r="B248" s="90" t="n"/>
      <c r="C248" s="90" t="n"/>
      <c r="D248" s="90" t="n">
        <v>30</v>
      </c>
      <c r="E248" s="90" t="inlineStr">
        <is>
          <t>30 申請受付</t>
        </is>
      </c>
      <c r="F248" s="90" t="n"/>
      <c r="G248" s="90" t="n"/>
      <c r="H248" s="91" t="n">
        <v>46204</v>
      </c>
      <c r="I248" s="92" t="n">
        <v>46281</v>
      </c>
      <c r="J248" s="91" t="n">
        <v>46289</v>
      </c>
      <c r="K248" s="90" t="n"/>
      <c r="L248" s="90" t="n"/>
      <c r="M248" s="90" t="n"/>
      <c r="N248" s="90" t="n"/>
      <c r="O248" s="90" t="inlineStr">
        <is>
          <t>20 申請受付</t>
        </is>
      </c>
      <c r="P248" s="90" t="n"/>
      <c r="Q248" s="90" t="n"/>
      <c r="R248" s="90" t="n"/>
      <c r="S248" s="90" t="n"/>
      <c r="T248" s="90" t="n"/>
      <c r="U248" s="90" t="n"/>
      <c r="V248" s="90" t="n"/>
      <c r="W248" s="90" t="n"/>
      <c r="X248" s="90" t="n"/>
      <c r="Y248" s="90" t="n"/>
      <c r="Z248" s="90" t="n"/>
      <c r="AA248" s="90" t="n"/>
      <c r="AB248" s="90" t="n">
        <v>50</v>
      </c>
      <c r="AC248" s="90" t="n">
        <v>0</v>
      </c>
      <c r="AD248" s="93" t="inlineStr">
        <is>
          <t>減</t>
        </is>
      </c>
      <c r="AE248" s="90" t="inlineStr">
        <is>
          <t>50 扶養者の変更</t>
        </is>
      </c>
      <c r="AF248" s="90" t="n"/>
      <c r="AG248" s="90" t="n"/>
      <c r="AH248" s="93" t="inlineStr">
        <is>
          <t>減</t>
        </is>
      </c>
      <c r="AI248" s="90" t="n"/>
      <c r="AJ248" s="90" t="n"/>
      <c r="AK248" s="90" t="n"/>
      <c r="AL248" s="94">
        <f>IF(A248="","",IF(COUNTIF(A248:A$2001,A248)=1,1,0))</f>
        <v/>
      </c>
      <c r="AM248" s="94">
        <f>IF(I248="","",TODAY()-I248)</f>
        <v/>
      </c>
      <c r="AN248" s="94">
        <f>IF(A248="","",IF(AND(E248&lt;&gt;"33 確認済",E248&lt;&gt;"36 送付中"),1,0))</f>
        <v/>
      </c>
      <c r="AO248" s="94">
        <f>IF(A248="","",IF(AG248&lt;&gt;"",1,0))</f>
        <v/>
      </c>
      <c r="AP248" s="220">
        <f>IF(P248&lt;&gt;"","・添待ち","")&amp;IF(Q248&lt;&gt;"","・住民票","")&amp;IF(R248&lt;&gt;"","・発信","")&amp;IF(S248&lt;&gt;"","・確認事項","")&amp;IF(T248&lt;&gt;"","・管","")&amp;IF(U248&lt;&gt;"","・SV","")&amp;IF(V248&lt;&gt;"","・データ送付待ち","")&amp;IF(W248&lt;&gt;"","・削除","")</f>
        <v/>
      </c>
    </row>
    <row r="249" ht="15" customHeight="1" s="87">
      <c r="A249" s="90" t="n">
        <v>202660001401</v>
      </c>
      <c r="B249" s="90" t="n"/>
      <c r="C249" s="90" t="n"/>
      <c r="D249" s="90" t="n">
        <v>31</v>
      </c>
      <c r="E249" s="90" t="inlineStr">
        <is>
          <t>31 ＯＰ確認中</t>
        </is>
      </c>
      <c r="F249" s="90" t="n"/>
      <c r="G249" s="90" t="n"/>
      <c r="H249" s="91" t="n">
        <v>46113</v>
      </c>
      <c r="I249" s="92" t="n">
        <v>46281</v>
      </c>
      <c r="J249" s="91" t="n">
        <v>46282</v>
      </c>
      <c r="K249" s="91" t="n">
        <v>46283</v>
      </c>
      <c r="L249" s="90" t="n"/>
      <c r="M249" s="90" t="n"/>
      <c r="N249" s="90" t="n"/>
      <c r="O249" s="90" t="inlineStr">
        <is>
          <t>21 担当者登録</t>
        </is>
      </c>
      <c r="P249" s="90" t="n"/>
      <c r="Q249" s="90" t="n"/>
      <c r="R249" s="90" t="n"/>
      <c r="S249" s="90" t="n"/>
      <c r="T249" s="90" t="n"/>
      <c r="U249" s="90" t="n"/>
      <c r="V249" s="90" t="n"/>
      <c r="W249" s="90" t="n"/>
      <c r="X249" s="90" t="n"/>
      <c r="Y249" s="90" t="n"/>
      <c r="Z249" s="90" t="n"/>
      <c r="AA249" s="90" t="n"/>
      <c r="AB249" s="90" t="n">
        <v>23</v>
      </c>
      <c r="AC249" s="90" t="n">
        <v>1</v>
      </c>
      <c r="AD249" s="93" t="inlineStr">
        <is>
          <t>増</t>
        </is>
      </c>
      <c r="AE249" s="90" t="inlineStr">
        <is>
          <t>23 本人の結婚</t>
        </is>
      </c>
      <c r="AF249" s="90" t="n"/>
      <c r="AG249" s="90" t="n"/>
      <c r="AH249" s="90" t="n"/>
      <c r="AI249" s="90" t="n"/>
      <c r="AJ249" s="90" t="n"/>
      <c r="AK249" s="90" t="n"/>
      <c r="AL249" s="94">
        <f>IF(A249="","",IF(COUNTIF(A249:A$2001,A249)=1,1,0))</f>
        <v/>
      </c>
      <c r="AM249" s="94">
        <f>IF(I249="","",TODAY()-I249)</f>
        <v/>
      </c>
      <c r="AN249" s="94">
        <f>IF(A249="","",IF(AND(E249&lt;&gt;"33 確認済",E249&lt;&gt;"36 送付中"),1,0))</f>
        <v/>
      </c>
      <c r="AO249" s="94">
        <f>IF(A249="","",IF(AG249&lt;&gt;"",1,0))</f>
        <v/>
      </c>
      <c r="AP249" s="220">
        <f>IF(P249&lt;&gt;"","・添待ち","")&amp;IF(Q249&lt;&gt;"","・住民票","")&amp;IF(R249&lt;&gt;"","・発信","")&amp;IF(S249&lt;&gt;"","・確認事項","")&amp;IF(T249&lt;&gt;"","・管","")&amp;IF(U249&lt;&gt;"","・SV","")&amp;IF(V249&lt;&gt;"","・データ送付待ち","")&amp;IF(W249&lt;&gt;"","・削除","")</f>
        <v/>
      </c>
    </row>
    <row r="250" ht="15" customHeight="1" s="87">
      <c r="A250" s="90" t="n">
        <v>202660001401</v>
      </c>
      <c r="B250" s="90" t="n"/>
      <c r="C250" s="90" t="n"/>
      <c r="D250" s="90" t="n">
        <v>31</v>
      </c>
      <c r="E250" s="90" t="inlineStr">
        <is>
          <t>31 ＯＰ確認中</t>
        </is>
      </c>
      <c r="F250" s="90" t="n"/>
      <c r="G250" s="90" t="n"/>
      <c r="H250" s="91" t="n">
        <v>46113</v>
      </c>
      <c r="I250" s="92" t="n">
        <v>46281</v>
      </c>
      <c r="J250" s="91" t="n">
        <v>46282</v>
      </c>
      <c r="K250" s="91" t="n">
        <v>46283</v>
      </c>
      <c r="L250" s="90" t="n"/>
      <c r="M250" s="90" t="n"/>
      <c r="N250" s="90" t="n"/>
      <c r="O250" s="90" t="inlineStr">
        <is>
          <t>21 担当者登録</t>
        </is>
      </c>
      <c r="P250" s="90" t="n"/>
      <c r="Q250" s="90" t="n"/>
      <c r="R250" s="90" t="n"/>
      <c r="S250" s="90" t="n"/>
      <c r="T250" s="90" t="n"/>
      <c r="U250" s="90" t="n"/>
      <c r="V250" s="90" t="n"/>
      <c r="W250" s="90" t="n"/>
      <c r="X250" s="90" t="n"/>
      <c r="Y250" s="90" t="n"/>
      <c r="Z250" s="90" t="n"/>
      <c r="AA250" s="90" t="n"/>
      <c r="AB250" s="90" t="n">
        <v>23</v>
      </c>
      <c r="AC250" s="90" t="n">
        <v>1</v>
      </c>
      <c r="AD250" s="93" t="inlineStr">
        <is>
          <t>増</t>
        </is>
      </c>
      <c r="AE250" s="90" t="inlineStr">
        <is>
          <t>23 結婚</t>
        </is>
      </c>
      <c r="AF250" s="90" t="n"/>
      <c r="AG250" s="90" t="n"/>
      <c r="AH250" s="90" t="n"/>
      <c r="AI250" s="90" t="n"/>
      <c r="AJ250" s="90" t="n"/>
      <c r="AK250" s="90" t="n"/>
      <c r="AL250" s="94">
        <f>IF(A250="","",IF(COUNTIF(A250:A$2001,A250)=1,1,0))</f>
        <v/>
      </c>
      <c r="AM250" s="94">
        <f>IF(I250="","",TODAY()-I250)</f>
        <v/>
      </c>
      <c r="AN250" s="94">
        <f>IF(A250="","",IF(AND(E250&lt;&gt;"33 確認済",E250&lt;&gt;"36 送付中"),1,0))</f>
        <v/>
      </c>
      <c r="AO250" s="94">
        <f>IF(A250="","",IF(AG250&lt;&gt;"",1,0))</f>
        <v/>
      </c>
      <c r="AP250" s="220">
        <f>IF(P250&lt;&gt;"","・添待ち","")&amp;IF(Q250&lt;&gt;"","・住民票","")&amp;IF(R250&lt;&gt;"","・発信","")&amp;IF(S250&lt;&gt;"","・確認事項","")&amp;IF(T250&lt;&gt;"","・管","")&amp;IF(U250&lt;&gt;"","・SV","")&amp;IF(V250&lt;&gt;"","・データ送付待ち","")&amp;IF(W250&lt;&gt;"","・削除","")</f>
        <v/>
      </c>
    </row>
    <row r="251" ht="15" customHeight="1" s="87">
      <c r="A251" s="90" t="n">
        <v>202660001404</v>
      </c>
      <c r="B251" s="90" t="n"/>
      <c r="C251" s="90" t="n"/>
      <c r="D251" s="90" t="n">
        <v>30</v>
      </c>
      <c r="E251" s="90" t="inlineStr">
        <is>
          <t>30 申請受付</t>
        </is>
      </c>
      <c r="F251" s="90" t="n"/>
      <c r="G251" s="90" t="n"/>
      <c r="H251" s="91" t="n">
        <v>46281</v>
      </c>
      <c r="I251" s="92" t="n">
        <v>46281</v>
      </c>
      <c r="J251" s="91" t="n">
        <v>46289</v>
      </c>
      <c r="K251" s="90" t="n"/>
      <c r="L251" s="90" t="n"/>
      <c r="M251" s="90" t="n"/>
      <c r="N251" s="90" t="n"/>
      <c r="O251" s="90" t="inlineStr">
        <is>
          <t>20 申請受付</t>
        </is>
      </c>
      <c r="P251" s="90" t="n"/>
      <c r="Q251" s="90" t="n"/>
      <c r="R251" s="90" t="n"/>
      <c r="S251" s="90" t="n"/>
      <c r="T251" s="90" t="n"/>
      <c r="U251" s="90" t="n"/>
      <c r="V251" s="90" t="n"/>
      <c r="W251" s="90" t="n"/>
      <c r="X251" s="90" t="n"/>
      <c r="Y251" s="90" t="n"/>
      <c r="Z251" s="90" t="n"/>
      <c r="AA251" s="90" t="n"/>
      <c r="AB251" s="90" t="n">
        <v>51</v>
      </c>
      <c r="AC251" s="90" t="n">
        <v>0</v>
      </c>
      <c r="AD251" s="93" t="inlineStr">
        <is>
          <t>減</t>
        </is>
      </c>
      <c r="AE251" s="90" t="inlineStr">
        <is>
          <t>51 収入限度額以上</t>
        </is>
      </c>
      <c r="AF251" s="90" t="n"/>
      <c r="AG251" s="90" t="n"/>
      <c r="AH251" s="93" t="inlineStr">
        <is>
          <t>減</t>
        </is>
      </c>
      <c r="AI251" s="90" t="n"/>
      <c r="AJ251" s="90" t="n"/>
      <c r="AK251" s="90" t="n"/>
      <c r="AL251" s="94">
        <f>IF(A251="","",IF(COUNTIF(A251:A$2001,A251)=1,1,0))</f>
        <v/>
      </c>
      <c r="AM251" s="94">
        <f>IF(I251="","",TODAY()-I251)</f>
        <v/>
      </c>
      <c r="AN251" s="94">
        <f>IF(A251="","",IF(AND(E251&lt;&gt;"33 確認済",E251&lt;&gt;"36 送付中"),1,0))</f>
        <v/>
      </c>
      <c r="AO251" s="94">
        <f>IF(A251="","",IF(AG251&lt;&gt;"",1,0))</f>
        <v/>
      </c>
      <c r="AP251" s="220">
        <f>IF(P251&lt;&gt;"","・添待ち","")&amp;IF(Q251&lt;&gt;"","・住民票","")&amp;IF(R251&lt;&gt;"","・発信","")&amp;IF(S251&lt;&gt;"","・確認事項","")&amp;IF(T251&lt;&gt;"","・管","")&amp;IF(U251&lt;&gt;"","・SV","")&amp;IF(V251&lt;&gt;"","・データ送付待ち","")&amp;IF(W251&lt;&gt;"","・削除","")</f>
        <v/>
      </c>
    </row>
    <row r="252" ht="15" customHeight="1" s="87">
      <c r="A252" s="90" t="n">
        <v>202660001405</v>
      </c>
      <c r="B252" s="90" t="n"/>
      <c r="C252" s="90" t="n"/>
      <c r="D252" s="90" t="n">
        <v>30</v>
      </c>
      <c r="E252" s="90" t="inlineStr">
        <is>
          <t>30 申請受付</t>
        </is>
      </c>
      <c r="F252" s="90" t="n"/>
      <c r="G252" s="90" t="n"/>
      <c r="H252" s="91" t="n">
        <v>46113</v>
      </c>
      <c r="I252" s="92" t="n">
        <v>46281</v>
      </c>
      <c r="J252" s="91" t="n">
        <v>46289</v>
      </c>
      <c r="K252" s="90" t="n"/>
      <c r="L252" s="90" t="n"/>
      <c r="M252" s="90" t="n"/>
      <c r="N252" s="90" t="n"/>
      <c r="O252" s="90" t="inlineStr">
        <is>
          <t>20 申請受付</t>
        </is>
      </c>
      <c r="P252" s="90" t="n"/>
      <c r="Q252" s="90" t="n"/>
      <c r="R252" s="90" t="n"/>
      <c r="S252" s="90" t="n"/>
      <c r="T252" s="90" t="n"/>
      <c r="U252" s="90" t="n"/>
      <c r="V252" s="90" t="n"/>
      <c r="W252" s="90" t="n"/>
      <c r="X252" s="90" t="n"/>
      <c r="Y252" s="90" t="n"/>
      <c r="Z252" s="90" t="n"/>
      <c r="AA252" s="90" t="n"/>
      <c r="AB252" s="90" t="n">
        <v>47</v>
      </c>
      <c r="AC252" s="90" t="n">
        <v>0</v>
      </c>
      <c r="AD252" s="93" t="inlineStr">
        <is>
          <t>減</t>
        </is>
      </c>
      <c r="AE252" s="90" t="inlineStr">
        <is>
          <t>47 扶養親族の就職</t>
        </is>
      </c>
      <c r="AF252" s="90" t="n"/>
      <c r="AG252" s="90" t="n"/>
      <c r="AH252" s="93" t="inlineStr">
        <is>
          <t>減</t>
        </is>
      </c>
      <c r="AI252" s="90" t="n"/>
      <c r="AJ252" s="90" t="n"/>
      <c r="AK252" s="90" t="n"/>
      <c r="AL252" s="94">
        <f>IF(A252="","",IF(COUNTIF(A252:A$2001,A252)=1,1,0))</f>
        <v/>
      </c>
      <c r="AM252" s="94">
        <f>IF(I252="","",TODAY()-I252)</f>
        <v/>
      </c>
      <c r="AN252" s="94">
        <f>IF(A252="","",IF(AND(E252&lt;&gt;"33 確認済",E252&lt;&gt;"36 送付中"),1,0))</f>
        <v/>
      </c>
      <c r="AO252" s="94">
        <f>IF(A252="","",IF(AG252&lt;&gt;"",1,0))</f>
        <v/>
      </c>
      <c r="AP252" s="220">
        <f>IF(P252&lt;&gt;"","・添待ち","")&amp;IF(Q252&lt;&gt;"","・住民票","")&amp;IF(R252&lt;&gt;"","・発信","")&amp;IF(S252&lt;&gt;"","・確認事項","")&amp;IF(T252&lt;&gt;"","・管","")&amp;IF(U252&lt;&gt;"","・SV","")&amp;IF(V252&lt;&gt;"","・データ送付待ち","")&amp;IF(W252&lt;&gt;"","・削除","")</f>
        <v/>
      </c>
    </row>
    <row r="253" ht="15" customHeight="1" s="87">
      <c r="A253" s="90" t="n">
        <v>202660001407</v>
      </c>
      <c r="B253" s="90" t="n"/>
      <c r="C253" s="90" t="n"/>
      <c r="D253" s="90" t="n">
        <v>32</v>
      </c>
      <c r="E253" s="90" t="inlineStr">
        <is>
          <t>32 ＳＶ確認中</t>
        </is>
      </c>
      <c r="F253" s="90" t="n"/>
      <c r="G253" s="90" t="n"/>
      <c r="H253" s="91" t="n">
        <v>46023</v>
      </c>
      <c r="I253" s="92" t="n">
        <v>46281</v>
      </c>
      <c r="J253" s="91" t="n">
        <v>46283</v>
      </c>
      <c r="K253" s="91" t="n">
        <v>46283</v>
      </c>
      <c r="L253" s="90" t="n"/>
      <c r="M253" s="90" t="n"/>
      <c r="N253" s="90" t="n"/>
      <c r="O253" s="90" t="inlineStr">
        <is>
          <t>31 差戻し</t>
        </is>
      </c>
      <c r="P253" s="90" t="n"/>
      <c r="Q253" s="90" t="n"/>
      <c r="R253" s="90" t="n"/>
      <c r="S253" s="90" t="n"/>
      <c r="T253" s="90" t="n"/>
      <c r="U253" s="90" t="n"/>
      <c r="V253" s="90" t="n"/>
      <c r="W253" s="90" t="n"/>
      <c r="X253" s="90" t="n"/>
      <c r="Y253" s="90" t="n"/>
      <c r="Z253" s="90" t="n"/>
      <c r="AA253" s="90" t="n"/>
      <c r="AB253" s="90" t="n">
        <v>27</v>
      </c>
      <c r="AC253" s="90" t="n">
        <v>1</v>
      </c>
      <c r="AD253" s="93" t="inlineStr">
        <is>
          <t>増</t>
        </is>
      </c>
      <c r="AE253" s="90" t="inlineStr">
        <is>
          <t>27 収入限度額以下</t>
        </is>
      </c>
      <c r="AF253" s="93" t="inlineStr">
        <is>
          <t>増</t>
        </is>
      </c>
      <c r="AG253" s="93" t="inlineStr">
        <is>
          <t>増</t>
        </is>
      </c>
      <c r="AH253" s="93" t="inlineStr">
        <is>
          <t>増</t>
        </is>
      </c>
      <c r="AI253" s="90" t="n"/>
      <c r="AJ253" s="90" t="n"/>
      <c r="AK253" s="90" t="n"/>
      <c r="AL253" s="94">
        <f>IF(A253="","",IF(COUNTIF(A253:A$2001,A253)=1,1,0))</f>
        <v/>
      </c>
      <c r="AM253" s="94">
        <f>IF(I253="","",TODAY()-I253)</f>
        <v/>
      </c>
      <c r="AN253" s="94">
        <f>IF(A253="","",IF(AND(E253&lt;&gt;"33 確認済",E253&lt;&gt;"36 送付中"),1,0))</f>
        <v/>
      </c>
      <c r="AO253" s="94">
        <f>IF(A253="","",IF(AG253&lt;&gt;"",1,0))</f>
        <v/>
      </c>
      <c r="AP253" s="220">
        <f>IF(P253&lt;&gt;"","・添待ち","")&amp;IF(Q253&lt;&gt;"","・住民票","")&amp;IF(R253&lt;&gt;"","・発信","")&amp;IF(S253&lt;&gt;"","・確認事項","")&amp;IF(T253&lt;&gt;"","・管","")&amp;IF(U253&lt;&gt;"","・SV","")&amp;IF(V253&lt;&gt;"","・データ送付待ち","")&amp;IF(W253&lt;&gt;"","・削除","")</f>
        <v/>
      </c>
    </row>
    <row r="254" ht="15" customHeight="1" s="87">
      <c r="A254" s="90" t="n">
        <v>202660001409</v>
      </c>
      <c r="B254" s="90" t="n"/>
      <c r="C254" s="90" t="n"/>
      <c r="D254" s="90" t="n">
        <v>30</v>
      </c>
      <c r="E254" s="90" t="inlineStr">
        <is>
          <t>30 申請受付</t>
        </is>
      </c>
      <c r="F254" s="90" t="n"/>
      <c r="G254" s="90" t="n"/>
      <c r="H254" s="91" t="n">
        <v>46143</v>
      </c>
      <c r="I254" s="92" t="n">
        <v>46282</v>
      </c>
      <c r="J254" s="91" t="n">
        <v>46289</v>
      </c>
      <c r="K254" s="90" t="n"/>
      <c r="L254" s="90" t="n"/>
      <c r="M254" s="90" t="n"/>
      <c r="N254" s="90" t="n"/>
      <c r="O254" s="90" t="inlineStr">
        <is>
          <t>20 申請受付</t>
        </is>
      </c>
      <c r="P254" s="90" t="n"/>
      <c r="Q254" s="90" t="n"/>
      <c r="R254" s="90" t="n"/>
      <c r="S254" s="90" t="n"/>
      <c r="T254" s="90" t="n"/>
      <c r="U254" s="90" t="n"/>
      <c r="V254" s="90" t="n"/>
      <c r="W254" s="90" t="n"/>
      <c r="X254" s="90" t="n"/>
      <c r="Y254" s="90" t="n"/>
      <c r="Z254" s="90" t="n"/>
      <c r="AA254" s="90" t="n"/>
      <c r="AB254" s="90" t="n">
        <v>49</v>
      </c>
      <c r="AC254" s="90" t="n">
        <v>0</v>
      </c>
      <c r="AD254" s="93" t="inlineStr">
        <is>
          <t>減</t>
        </is>
      </c>
      <c r="AE254" s="90" t="inlineStr">
        <is>
          <t>49 復職</t>
        </is>
      </c>
      <c r="AF254" s="90" t="n"/>
      <c r="AG254" s="90" t="n"/>
      <c r="AH254" s="93" t="inlineStr">
        <is>
          <t>減</t>
        </is>
      </c>
      <c r="AI254" s="90" t="n"/>
      <c r="AJ254" s="90" t="n"/>
      <c r="AK254" s="90" t="n"/>
      <c r="AL254" s="94">
        <f>IF(A254="","",IF(COUNTIF(A254:A$2001,A254)=1,1,0))</f>
        <v/>
      </c>
      <c r="AM254" s="94">
        <f>IF(I254="","",TODAY()-I254)</f>
        <v/>
      </c>
      <c r="AN254" s="94">
        <f>IF(A254="","",IF(AND(E254&lt;&gt;"33 確認済",E254&lt;&gt;"36 送付中"),1,0))</f>
        <v/>
      </c>
      <c r="AO254" s="94">
        <f>IF(A254="","",IF(AG254&lt;&gt;"",1,0))</f>
        <v/>
      </c>
      <c r="AP254" s="220">
        <f>IF(P254&lt;&gt;"","・添待ち","")&amp;IF(Q254&lt;&gt;"","・住民票","")&amp;IF(R254&lt;&gt;"","・発信","")&amp;IF(S254&lt;&gt;"","・確認事項","")&amp;IF(T254&lt;&gt;"","・管","")&amp;IF(U254&lt;&gt;"","・SV","")&amp;IF(V254&lt;&gt;"","・データ送付待ち","")&amp;IF(W254&lt;&gt;"","・削除","")</f>
        <v/>
      </c>
    </row>
    <row r="255" ht="15" customHeight="1" s="87">
      <c r="A255" s="90" t="n">
        <v>202660001411</v>
      </c>
      <c r="B255" s="90" t="n"/>
      <c r="C255" s="90" t="n"/>
      <c r="D255" s="90" t="n">
        <v>20</v>
      </c>
      <c r="E255" s="90" t="inlineStr">
        <is>
          <t>20 確認待ち</t>
        </is>
      </c>
      <c r="F255" s="90" t="n"/>
      <c r="G255" s="90" t="n"/>
      <c r="H255" s="91" t="n">
        <v>46070</v>
      </c>
      <c r="I255" s="92" t="n">
        <v>46281</v>
      </c>
      <c r="J255" s="90" t="n"/>
      <c r="K255" s="90" t="n"/>
      <c r="L255" s="90" t="n"/>
      <c r="M255" s="90" t="n"/>
      <c r="N255" s="90" t="n"/>
      <c r="O255" s="90" t="inlineStr">
        <is>
          <t>55 添付書類待ち登録</t>
        </is>
      </c>
      <c r="P255" s="93" t="inlineStr">
        <is>
          <t>添</t>
        </is>
      </c>
      <c r="Q255" s="90" t="n"/>
      <c r="R255" s="90" t="n"/>
      <c r="S255" s="90" t="n"/>
      <c r="T255" s="90" t="n"/>
      <c r="U255" s="90" t="n"/>
      <c r="V255" s="90" t="n"/>
      <c r="W255" s="90" t="n"/>
      <c r="X255" s="90" t="n"/>
      <c r="Y255" s="90" t="n"/>
      <c r="Z255" s="90" t="n"/>
      <c r="AA255" s="90" t="n"/>
      <c r="AB255" s="90" t="n">
        <v>25</v>
      </c>
      <c r="AC255" s="90" t="n">
        <v>1</v>
      </c>
      <c r="AD255" s="93" t="inlineStr">
        <is>
          <t>増</t>
        </is>
      </c>
      <c r="AE255" s="90" t="inlineStr">
        <is>
          <t>25 育休</t>
        </is>
      </c>
      <c r="AF255" s="93" t="inlineStr">
        <is>
          <t>増</t>
        </is>
      </c>
      <c r="AG255" s="90" t="n"/>
      <c r="AH255" s="93" t="inlineStr">
        <is>
          <t>増</t>
        </is>
      </c>
      <c r="AI255" s="90" t="n"/>
      <c r="AJ255" s="90" t="n"/>
      <c r="AK255" s="90" t="n"/>
      <c r="AL255" s="94">
        <f>IF(A255="","",IF(COUNTIF(A255:A$2001,A255)=1,1,0))</f>
        <v/>
      </c>
      <c r="AM255" s="94">
        <f>IF(I255="","",TODAY()-I255)</f>
        <v/>
      </c>
      <c r="AN255" s="94">
        <f>IF(A255="","",IF(AND(E255&lt;&gt;"33 確認済",E255&lt;&gt;"36 送付中"),1,0))</f>
        <v/>
      </c>
      <c r="AO255" s="94">
        <f>IF(A255="","",IF(AG255&lt;&gt;"",1,0))</f>
        <v/>
      </c>
      <c r="AP255" s="220">
        <f>IF(P255&lt;&gt;"","・添待ち","")&amp;IF(Q255&lt;&gt;"","・住民票","")&amp;IF(R255&lt;&gt;"","・発信","")&amp;IF(S255&lt;&gt;"","・確認事項","")&amp;IF(T255&lt;&gt;"","・管","")&amp;IF(U255&lt;&gt;"","・SV","")&amp;IF(V255&lt;&gt;"","・データ送付待ち","")&amp;IF(W255&lt;&gt;"","・削除","")</f>
        <v/>
      </c>
    </row>
    <row r="256" ht="15" customHeight="1" s="87">
      <c r="A256" s="90" t="n">
        <v>202660001414</v>
      </c>
      <c r="B256" s="90" t="n"/>
      <c r="C256" s="90" t="n"/>
      <c r="D256" s="90" t="n">
        <v>20</v>
      </c>
      <c r="E256" s="90" t="inlineStr">
        <is>
          <t>20 確認待ち</t>
        </is>
      </c>
      <c r="F256" s="90" t="n"/>
      <c r="G256" s="90" t="n"/>
      <c r="H256" s="91" t="n">
        <v>46023</v>
      </c>
      <c r="I256" s="92" t="n">
        <v>46281</v>
      </c>
      <c r="J256" s="90" t="n"/>
      <c r="K256" s="90" t="n"/>
      <c r="L256" s="90" t="n"/>
      <c r="M256" s="90" t="n"/>
      <c r="N256" s="90" t="n"/>
      <c r="O256" s="90" t="inlineStr">
        <is>
          <t>55 添付書類待ち登録</t>
        </is>
      </c>
      <c r="P256" s="93" t="inlineStr">
        <is>
          <t>添</t>
        </is>
      </c>
      <c r="Q256" s="90" t="n"/>
      <c r="R256" s="90" t="n"/>
      <c r="S256" s="90" t="n"/>
      <c r="T256" s="90" t="n"/>
      <c r="U256" s="90" t="n"/>
      <c r="V256" s="90" t="n"/>
      <c r="W256" s="90" t="n"/>
      <c r="X256" s="90" t="n"/>
      <c r="Y256" s="90" t="n"/>
      <c r="Z256" s="90" t="n"/>
      <c r="AA256" s="90" t="n"/>
      <c r="AB256" s="90" t="n">
        <v>21</v>
      </c>
      <c r="AC256" s="90" t="n">
        <v>1</v>
      </c>
      <c r="AD256" s="93" t="inlineStr">
        <is>
          <t>増</t>
        </is>
      </c>
      <c r="AE256" s="90" t="inlineStr">
        <is>
          <t>21 出生</t>
        </is>
      </c>
      <c r="AF256" s="90" t="n"/>
      <c r="AG256" s="90" t="n"/>
      <c r="AH256" s="93" t="inlineStr">
        <is>
          <t>増</t>
        </is>
      </c>
      <c r="AI256" s="90" t="n"/>
      <c r="AJ256" s="90" t="n"/>
      <c r="AK256" s="90" t="n"/>
      <c r="AL256" s="94">
        <f>IF(A256="","",IF(COUNTIF(A256:A$2001,A256)=1,1,0))</f>
        <v/>
      </c>
      <c r="AM256" s="94">
        <f>IF(I256="","",TODAY()-I256)</f>
        <v/>
      </c>
      <c r="AN256" s="94">
        <f>IF(A256="","",IF(AND(E256&lt;&gt;"33 確認済",E256&lt;&gt;"36 送付中"),1,0))</f>
        <v/>
      </c>
      <c r="AO256" s="94">
        <f>IF(A256="","",IF(AG256&lt;&gt;"",1,0))</f>
        <v/>
      </c>
      <c r="AP256" s="220">
        <f>IF(P256&lt;&gt;"","・添待ち","")&amp;IF(Q256&lt;&gt;"","・住民票","")&amp;IF(R256&lt;&gt;"","・発信","")&amp;IF(S256&lt;&gt;"","・確認事項","")&amp;IF(T256&lt;&gt;"","・管","")&amp;IF(U256&lt;&gt;"","・SV","")&amp;IF(V256&lt;&gt;"","・データ送付待ち","")&amp;IF(W256&lt;&gt;"","・削除","")</f>
        <v/>
      </c>
    </row>
    <row r="257" ht="15" customHeight="1" s="87">
      <c r="A257" s="90" t="n">
        <v>202660001415</v>
      </c>
      <c r="B257" s="90" t="n"/>
      <c r="C257" s="90" t="n"/>
      <c r="D257" s="90" t="n">
        <v>30</v>
      </c>
      <c r="E257" s="90" t="inlineStr">
        <is>
          <t>30 申請受付</t>
        </is>
      </c>
      <c r="F257" s="90" t="n"/>
      <c r="G257" s="90" t="n"/>
      <c r="H257" s="91" t="n">
        <v>46113</v>
      </c>
      <c r="I257" s="92" t="n">
        <v>46281</v>
      </c>
      <c r="J257" s="91" t="n">
        <v>46289</v>
      </c>
      <c r="K257" s="90" t="n"/>
      <c r="L257" s="90" t="n"/>
      <c r="M257" s="90" t="n"/>
      <c r="N257" s="90" t="n"/>
      <c r="O257" s="90" t="inlineStr">
        <is>
          <t>20 申請受付</t>
        </is>
      </c>
      <c r="P257" s="90" t="n"/>
      <c r="Q257" s="90" t="n"/>
      <c r="R257" s="90" t="n"/>
      <c r="S257" s="90" t="n"/>
      <c r="T257" s="90" t="n"/>
      <c r="U257" s="90" t="n"/>
      <c r="V257" s="90" t="n"/>
      <c r="W257" s="90" t="n"/>
      <c r="X257" s="90" t="n"/>
      <c r="Y257" s="90" t="n"/>
      <c r="Z257" s="90" t="n"/>
      <c r="AA257" s="90" t="n"/>
      <c r="AB257" s="90" t="n">
        <v>47</v>
      </c>
      <c r="AC257" s="90" t="n">
        <v>0</v>
      </c>
      <c r="AD257" s="93" t="inlineStr">
        <is>
          <t>減</t>
        </is>
      </c>
      <c r="AE257" s="90" t="inlineStr">
        <is>
          <t>47 扶養親族の就職</t>
        </is>
      </c>
      <c r="AF257" s="93" t="inlineStr">
        <is>
          <t>減</t>
        </is>
      </c>
      <c r="AG257" s="93" t="inlineStr">
        <is>
          <t>減</t>
        </is>
      </c>
      <c r="AH257" s="93" t="inlineStr">
        <is>
          <t>減</t>
        </is>
      </c>
      <c r="AI257" s="90" t="n"/>
      <c r="AJ257" s="90" t="n"/>
      <c r="AK257" s="90" t="n"/>
      <c r="AL257" s="94">
        <f>IF(A257="","",IF(COUNTIF(A257:A$2001,A257)=1,1,0))</f>
        <v/>
      </c>
      <c r="AM257" s="94">
        <f>IF(I257="","",TODAY()-I257)</f>
        <v/>
      </c>
      <c r="AN257" s="94">
        <f>IF(A257="","",IF(AND(E257&lt;&gt;"33 確認済",E257&lt;&gt;"36 送付中"),1,0))</f>
        <v/>
      </c>
      <c r="AO257" s="94">
        <f>IF(A257="","",IF(AG257&lt;&gt;"",1,0))</f>
        <v/>
      </c>
      <c r="AP257" s="220">
        <f>IF(P257&lt;&gt;"","・添待ち","")&amp;IF(Q257&lt;&gt;"","・住民票","")&amp;IF(R257&lt;&gt;"","・発信","")&amp;IF(S257&lt;&gt;"","・確認事項","")&amp;IF(T257&lt;&gt;"","・管","")&amp;IF(U257&lt;&gt;"","・SV","")&amp;IF(V257&lt;&gt;"","・データ送付待ち","")&amp;IF(W257&lt;&gt;"","・削除","")</f>
        <v/>
      </c>
    </row>
    <row r="258" ht="15" customHeight="1" s="87">
      <c r="A258" s="90" t="n">
        <v>202660001416</v>
      </c>
      <c r="B258" s="90" t="n"/>
      <c r="C258" s="90" t="n"/>
      <c r="D258" s="90" t="n">
        <v>31</v>
      </c>
      <c r="E258" s="90" t="inlineStr">
        <is>
          <t>31 ＯＰ確認中</t>
        </is>
      </c>
      <c r="F258" s="90" t="n"/>
      <c r="G258" s="90" t="n"/>
      <c r="H258" s="91" t="n">
        <v>46281</v>
      </c>
      <c r="I258" s="92" t="n">
        <v>46281</v>
      </c>
      <c r="J258" s="91" t="n">
        <v>46289</v>
      </c>
      <c r="K258" s="91" t="n">
        <v>46289</v>
      </c>
      <c r="L258" s="90" t="n"/>
      <c r="M258" s="90" t="n"/>
      <c r="N258" s="90" t="n"/>
      <c r="O258" s="90" t="inlineStr">
        <is>
          <t>22 担当者変更</t>
        </is>
      </c>
      <c r="P258" s="90" t="n"/>
      <c r="Q258" s="90" t="n"/>
      <c r="R258" s="90" t="n"/>
      <c r="S258" s="90" t="n"/>
      <c r="T258" s="90" t="n"/>
      <c r="U258" s="90" t="n"/>
      <c r="V258" s="90" t="n"/>
      <c r="W258" s="90" t="n"/>
      <c r="X258" s="90" t="n"/>
      <c r="Y258" s="90" t="n"/>
      <c r="Z258" s="90" t="n"/>
      <c r="AA258" s="90" t="n"/>
      <c r="AB258" s="90" t="n">
        <v>51</v>
      </c>
      <c r="AC258" s="90" t="n">
        <v>0</v>
      </c>
      <c r="AD258" s="93" t="inlineStr">
        <is>
          <t>減</t>
        </is>
      </c>
      <c r="AE258" s="90" t="inlineStr">
        <is>
          <t>51 収入限度額以上</t>
        </is>
      </c>
      <c r="AF258" s="90" t="n"/>
      <c r="AG258" s="93" t="inlineStr">
        <is>
          <t>減</t>
        </is>
      </c>
      <c r="AH258" s="93" t="inlineStr">
        <is>
          <t>減</t>
        </is>
      </c>
      <c r="AI258" s="90" t="n"/>
      <c r="AJ258" s="90" t="n"/>
      <c r="AK258" s="90" t="n"/>
      <c r="AL258" s="94">
        <f>IF(A258="","",IF(COUNTIF(A258:A$2001,A258)=1,1,0))</f>
        <v/>
      </c>
      <c r="AM258" s="94">
        <f>IF(I258="","",TODAY()-I258)</f>
        <v/>
      </c>
      <c r="AN258" s="94">
        <f>IF(A258="","",IF(AND(E258&lt;&gt;"33 確認済",E258&lt;&gt;"36 送付中"),1,0))</f>
        <v/>
      </c>
      <c r="AO258" s="94">
        <f>IF(A258="","",IF(AG258&lt;&gt;"",1,0))</f>
        <v/>
      </c>
      <c r="AP258" s="220">
        <f>IF(P258&lt;&gt;"","・添待ち","")&amp;IF(Q258&lt;&gt;"","・住民票","")&amp;IF(R258&lt;&gt;"","・発信","")&amp;IF(S258&lt;&gt;"","・確認事項","")&amp;IF(T258&lt;&gt;"","・管","")&amp;IF(U258&lt;&gt;"","・SV","")&amp;IF(V258&lt;&gt;"","・データ送付待ち","")&amp;IF(W258&lt;&gt;"","・削除","")</f>
        <v/>
      </c>
    </row>
    <row r="259" ht="15" customHeight="1" s="87">
      <c r="A259" s="90" t="n">
        <v>202660001418</v>
      </c>
      <c r="B259" s="90" t="n"/>
      <c r="C259" s="90" t="n"/>
      <c r="D259" s="90" t="n">
        <v>32</v>
      </c>
      <c r="E259" s="90" t="inlineStr">
        <is>
          <t>32 ＳＶ確認中</t>
        </is>
      </c>
      <c r="F259" s="90" t="n"/>
      <c r="G259" s="90" t="n"/>
      <c r="H259" s="91" t="n">
        <v>46136</v>
      </c>
      <c r="I259" s="92" t="n">
        <v>46281</v>
      </c>
      <c r="J259" s="91" t="n">
        <v>46282</v>
      </c>
      <c r="K259" s="91" t="n">
        <v>46282</v>
      </c>
      <c r="L259" s="90" t="n"/>
      <c r="M259" s="90" t="n"/>
      <c r="N259" s="90" t="n"/>
      <c r="O259" s="90" t="inlineStr">
        <is>
          <t>30 登録</t>
        </is>
      </c>
      <c r="P259" s="90" t="n"/>
      <c r="Q259" s="90" t="n"/>
      <c r="R259" s="90" t="n"/>
      <c r="S259" s="90" t="n"/>
      <c r="T259" s="90" t="n"/>
      <c r="U259" s="90" t="n"/>
      <c r="V259" s="90" t="n"/>
      <c r="W259" s="90" t="n"/>
      <c r="X259" s="90" t="n"/>
      <c r="Y259" s="90" t="n"/>
      <c r="Z259" s="90" t="n"/>
      <c r="AA259" s="90" t="n"/>
      <c r="AB259" s="90" t="n">
        <v>3</v>
      </c>
      <c r="AC259" s="90" t="n">
        <v>0</v>
      </c>
      <c r="AD259" s="93" t="inlineStr">
        <is>
          <t>減</t>
        </is>
      </c>
      <c r="AE259" s="90" t="inlineStr">
        <is>
          <t>03 離婚</t>
        </is>
      </c>
      <c r="AF259" s="90" t="n"/>
      <c r="AG259" s="90" t="n"/>
      <c r="AH259" s="90" t="n"/>
      <c r="AI259" s="90" t="n"/>
      <c r="AJ259" s="90" t="n"/>
      <c r="AK259" s="90" t="n"/>
      <c r="AL259" s="94">
        <f>IF(A259="","",IF(COUNTIF(A259:A$2001,A259)=1,1,0))</f>
        <v/>
      </c>
      <c r="AM259" s="94">
        <f>IF(I259="","",TODAY()-I259)</f>
        <v/>
      </c>
      <c r="AN259" s="94">
        <f>IF(A259="","",IF(AND(E259&lt;&gt;"33 確認済",E259&lt;&gt;"36 送付中"),1,0))</f>
        <v/>
      </c>
      <c r="AO259" s="94">
        <f>IF(A259="","",IF(AG259&lt;&gt;"",1,0))</f>
        <v/>
      </c>
      <c r="AP259" s="220">
        <f>IF(P259&lt;&gt;"","・添待ち","")&amp;IF(Q259&lt;&gt;"","・住民票","")&amp;IF(R259&lt;&gt;"","・発信","")&amp;IF(S259&lt;&gt;"","・確認事項","")&amp;IF(T259&lt;&gt;"","・管","")&amp;IF(U259&lt;&gt;"","・SV","")&amp;IF(V259&lt;&gt;"","・データ送付待ち","")&amp;IF(W259&lt;&gt;"","・削除","")</f>
        <v/>
      </c>
    </row>
    <row r="260" ht="15" customHeight="1" s="87">
      <c r="A260" s="90" t="n">
        <v>202660001419</v>
      </c>
      <c r="B260" s="90" t="n"/>
      <c r="C260" s="90" t="n"/>
      <c r="D260" s="90" t="n">
        <v>20</v>
      </c>
      <c r="E260" s="90" t="inlineStr">
        <is>
          <t>20 確認待ち</t>
        </is>
      </c>
      <c r="F260" s="90" t="n"/>
      <c r="G260" s="90" t="n"/>
      <c r="H260" s="91" t="n">
        <v>46113</v>
      </c>
      <c r="I260" s="92" t="n">
        <v>46281</v>
      </c>
      <c r="J260" s="90" t="n"/>
      <c r="K260" s="90" t="n"/>
      <c r="L260" s="90" t="n"/>
      <c r="M260" s="90" t="n"/>
      <c r="N260" s="90" t="n"/>
      <c r="O260" s="90" t="inlineStr">
        <is>
          <t>10 申請</t>
        </is>
      </c>
      <c r="P260" s="90" t="n"/>
      <c r="Q260" s="90" t="n"/>
      <c r="R260" s="93" t="inlineStr">
        <is>
          <t>発</t>
        </is>
      </c>
      <c r="S260" s="90" t="n"/>
      <c r="T260" s="90" t="n"/>
      <c r="U260" s="90" t="n"/>
      <c r="V260" s="90" t="n"/>
      <c r="W260" s="90" t="n"/>
      <c r="X260" s="90" t="n"/>
      <c r="Y260" s="90" t="n"/>
      <c r="Z260" s="90" t="n"/>
      <c r="AA260" s="90" t="n"/>
      <c r="AB260" s="90" t="n">
        <v>50</v>
      </c>
      <c r="AC260" s="90" t="n">
        <v>0</v>
      </c>
      <c r="AD260" s="93" t="inlineStr">
        <is>
          <t>減</t>
        </is>
      </c>
      <c r="AE260" s="90" t="inlineStr">
        <is>
          <t>50 扶養者の変更</t>
        </is>
      </c>
      <c r="AF260" s="90" t="n"/>
      <c r="AG260" s="90" t="n"/>
      <c r="AH260" s="93" t="inlineStr">
        <is>
          <t>減</t>
        </is>
      </c>
      <c r="AI260" s="90" t="n"/>
      <c r="AJ260" s="90" t="n"/>
      <c r="AK260" s="90" t="n"/>
      <c r="AL260" s="94">
        <f>IF(A260="","",IF(COUNTIF(A260:A$2001,A260)=1,1,0))</f>
        <v/>
      </c>
      <c r="AM260" s="94">
        <f>IF(I260="","",TODAY()-I260)</f>
        <v/>
      </c>
      <c r="AN260" s="94">
        <f>IF(A260="","",IF(AND(E260&lt;&gt;"33 確認済",E260&lt;&gt;"36 送付中"),1,0))</f>
        <v/>
      </c>
      <c r="AO260" s="94">
        <f>IF(A260="","",IF(AG260&lt;&gt;"",1,0))</f>
        <v/>
      </c>
      <c r="AP260" s="220">
        <f>IF(P260&lt;&gt;"","・添待ち","")&amp;IF(Q260&lt;&gt;"","・住民票","")&amp;IF(R260&lt;&gt;"","・発信","")&amp;IF(S260&lt;&gt;"","・確認事項","")&amp;IF(T260&lt;&gt;"","・管","")&amp;IF(U260&lt;&gt;"","・SV","")&amp;IF(V260&lt;&gt;"","・データ送付待ち","")&amp;IF(W260&lt;&gt;"","・削除","")</f>
        <v/>
      </c>
    </row>
    <row r="261" ht="15" customHeight="1" s="87">
      <c r="A261" s="90" t="n">
        <v>202660001421</v>
      </c>
      <c r="B261" s="90" t="n"/>
      <c r="C261" s="90" t="n"/>
      <c r="D261" s="90" t="n">
        <v>30</v>
      </c>
      <c r="E261" s="90" t="inlineStr">
        <is>
          <t>30 申請受付</t>
        </is>
      </c>
      <c r="F261" s="90" t="n"/>
      <c r="G261" s="90" t="n"/>
      <c r="H261" s="91" t="n">
        <v>46143</v>
      </c>
      <c r="I261" s="92" t="n">
        <v>46281</v>
      </c>
      <c r="J261" s="91" t="n">
        <v>46289</v>
      </c>
      <c r="K261" s="90" t="n"/>
      <c r="L261" s="90" t="n"/>
      <c r="M261" s="90" t="n"/>
      <c r="N261" s="90" t="n"/>
      <c r="O261" s="90" t="inlineStr">
        <is>
          <t>20 申請受付</t>
        </is>
      </c>
      <c r="P261" s="90" t="n"/>
      <c r="Q261" s="90" t="n"/>
      <c r="R261" s="90" t="n"/>
      <c r="S261" s="90" t="n"/>
      <c r="T261" s="90" t="n"/>
      <c r="U261" s="90" t="n"/>
      <c r="V261" s="90" t="n"/>
      <c r="W261" s="90" t="n"/>
      <c r="X261" s="90" t="n"/>
      <c r="Y261" s="90" t="n"/>
      <c r="Z261" s="90" t="n"/>
      <c r="AA261" s="90" t="n"/>
      <c r="AB261" s="90" t="n">
        <v>49</v>
      </c>
      <c r="AC261" s="90" t="n">
        <v>0</v>
      </c>
      <c r="AD261" s="93" t="inlineStr">
        <is>
          <t>減</t>
        </is>
      </c>
      <c r="AE261" s="90" t="inlineStr">
        <is>
          <t>49 復職</t>
        </is>
      </c>
      <c r="AF261" s="90" t="n"/>
      <c r="AG261" s="90" t="n"/>
      <c r="AH261" s="93" t="inlineStr">
        <is>
          <t>減</t>
        </is>
      </c>
      <c r="AI261" s="90" t="n"/>
      <c r="AJ261" s="90" t="n"/>
      <c r="AK261" s="90" t="n"/>
      <c r="AL261" s="94">
        <f>IF(A261="","",IF(COUNTIF(A261:A$2001,A261)=1,1,0))</f>
        <v/>
      </c>
      <c r="AM261" s="94">
        <f>IF(I261="","",TODAY()-I261)</f>
        <v/>
      </c>
      <c r="AN261" s="94">
        <f>IF(A261="","",IF(AND(E261&lt;&gt;"33 確認済",E261&lt;&gt;"36 送付中"),1,0))</f>
        <v/>
      </c>
      <c r="AO261" s="94">
        <f>IF(A261="","",IF(AG261&lt;&gt;"",1,0))</f>
        <v/>
      </c>
      <c r="AP261" s="220">
        <f>IF(P261&lt;&gt;"","・添待ち","")&amp;IF(Q261&lt;&gt;"","・住民票","")&amp;IF(R261&lt;&gt;"","・発信","")&amp;IF(S261&lt;&gt;"","・確認事項","")&amp;IF(T261&lt;&gt;"","・管","")&amp;IF(U261&lt;&gt;"","・SV","")&amp;IF(V261&lt;&gt;"","・データ送付待ち","")&amp;IF(W261&lt;&gt;"","・削除","")</f>
        <v/>
      </c>
    </row>
    <row r="262" ht="15" customHeight="1" s="87">
      <c r="A262" s="90" t="n">
        <v>202660001423</v>
      </c>
      <c r="B262" s="90" t="n"/>
      <c r="C262" s="90" t="n"/>
      <c r="D262" s="90" t="n">
        <v>31</v>
      </c>
      <c r="E262" s="90" t="inlineStr">
        <is>
          <t>31 ＯＰ確認中</t>
        </is>
      </c>
      <c r="F262" s="90" t="n"/>
      <c r="G262" s="90" t="n"/>
      <c r="H262" s="91" t="n">
        <v>46266</v>
      </c>
      <c r="I262" s="92" t="n">
        <v>46281</v>
      </c>
      <c r="J262" s="91" t="n">
        <v>46283</v>
      </c>
      <c r="K262" s="91" t="n">
        <v>46283</v>
      </c>
      <c r="L262" s="90" t="n"/>
      <c r="M262" s="90" t="n"/>
      <c r="N262" s="90" t="n"/>
      <c r="O262" s="90" t="inlineStr">
        <is>
          <t>22 担当者変更</t>
        </is>
      </c>
      <c r="P262" s="90" t="n"/>
      <c r="Q262" s="90" t="n"/>
      <c r="R262" s="90" t="n"/>
      <c r="S262" s="90" t="n"/>
      <c r="T262" s="90" t="n"/>
      <c r="U262" s="90" t="n"/>
      <c r="V262" s="90" t="n"/>
      <c r="W262" s="90" t="n"/>
      <c r="X262" s="90" t="n"/>
      <c r="Y262" s="90" t="n"/>
      <c r="Z262" s="90" t="n"/>
      <c r="AA262" s="90" t="n"/>
      <c r="AB262" s="90" t="n">
        <v>26</v>
      </c>
      <c r="AC262" s="90" t="n">
        <v>1</v>
      </c>
      <c r="AD262" s="93" t="inlineStr">
        <is>
          <t>増</t>
        </is>
      </c>
      <c r="AE262" s="90" t="inlineStr">
        <is>
          <t>26 扶養者の変更</t>
        </is>
      </c>
      <c r="AF262" s="93" t="inlineStr">
        <is>
          <t>増</t>
        </is>
      </c>
      <c r="AG262" s="93" t="inlineStr">
        <is>
          <t>増</t>
        </is>
      </c>
      <c r="AH262" s="93" t="inlineStr">
        <is>
          <t>増</t>
        </is>
      </c>
      <c r="AI262" s="90" t="n"/>
      <c r="AJ262" s="90" t="n"/>
      <c r="AK262" s="90" t="n"/>
      <c r="AL262" s="94">
        <f>IF(A262="","",IF(COUNTIF(A262:A$2001,A262)=1,1,0))</f>
        <v/>
      </c>
      <c r="AM262" s="94">
        <f>IF(I262="","",TODAY()-I262)</f>
        <v/>
      </c>
      <c r="AN262" s="94">
        <f>IF(A262="","",IF(AND(E262&lt;&gt;"33 確認済",E262&lt;&gt;"36 送付中"),1,0))</f>
        <v/>
      </c>
      <c r="AO262" s="94">
        <f>IF(A262="","",IF(AG262&lt;&gt;"",1,0))</f>
        <v/>
      </c>
      <c r="AP262" s="220">
        <f>IF(P262&lt;&gt;"","・添待ち","")&amp;IF(Q262&lt;&gt;"","・住民票","")&amp;IF(R262&lt;&gt;"","・発信","")&amp;IF(S262&lt;&gt;"","・確認事項","")&amp;IF(T262&lt;&gt;"","・管","")&amp;IF(U262&lt;&gt;"","・SV","")&amp;IF(V262&lt;&gt;"","・データ送付待ち","")&amp;IF(W262&lt;&gt;"","・削除","")</f>
        <v/>
      </c>
    </row>
    <row r="263" ht="15" customHeight="1" s="87">
      <c r="A263" s="90" t="n">
        <v>202660001424</v>
      </c>
      <c r="B263" s="90" t="n"/>
      <c r="C263" s="90" t="n"/>
      <c r="D263" s="90" t="n">
        <v>31</v>
      </c>
      <c r="E263" s="90" t="inlineStr">
        <is>
          <t>31 ＯＰ確認中</t>
        </is>
      </c>
      <c r="F263" s="90" t="n"/>
      <c r="G263" s="90" t="n"/>
      <c r="H263" s="91" t="n">
        <v>46225</v>
      </c>
      <c r="I263" s="92" t="n">
        <v>46282</v>
      </c>
      <c r="J263" s="91" t="n">
        <v>46282</v>
      </c>
      <c r="K263" s="91" t="n">
        <v>46283</v>
      </c>
      <c r="L263" s="90" t="n"/>
      <c r="M263" s="90" t="n"/>
      <c r="N263" s="90" t="n"/>
      <c r="O263" s="90" t="inlineStr">
        <is>
          <t>21 担当者登録</t>
        </is>
      </c>
      <c r="P263" s="90" t="n"/>
      <c r="Q263" s="90" t="n"/>
      <c r="R263" s="90" t="n"/>
      <c r="S263" s="90" t="n"/>
      <c r="T263" s="90" t="n"/>
      <c r="U263" s="90" t="n"/>
      <c r="V263" s="90" t="n"/>
      <c r="W263" s="90" t="n"/>
      <c r="X263" s="90" t="n"/>
      <c r="Y263" s="90" t="n"/>
      <c r="Z263" s="90" t="n"/>
      <c r="AA263" s="90" t="n"/>
      <c r="AB263" s="90" t="n">
        <v>23</v>
      </c>
      <c r="AC263" s="90" t="n">
        <v>1</v>
      </c>
      <c r="AD263" s="93" t="inlineStr">
        <is>
          <t>増</t>
        </is>
      </c>
      <c r="AE263" s="90" t="inlineStr">
        <is>
          <t>23 本人の結婚</t>
        </is>
      </c>
      <c r="AF263" s="90" t="n"/>
      <c r="AG263" s="90" t="n"/>
      <c r="AH263" s="90" t="n"/>
      <c r="AI263" s="90" t="n"/>
      <c r="AJ263" s="90" t="n"/>
      <c r="AK263" s="90" t="n"/>
      <c r="AL263" s="94">
        <f>IF(A263="","",IF(COUNTIF(A263:A$2001,A263)=1,1,0))</f>
        <v/>
      </c>
      <c r="AM263" s="94">
        <f>IF(I263="","",TODAY()-I263)</f>
        <v/>
      </c>
      <c r="AN263" s="94">
        <f>IF(A263="","",IF(AND(E263&lt;&gt;"33 確認済",E263&lt;&gt;"36 送付中"),1,0))</f>
        <v/>
      </c>
      <c r="AO263" s="94">
        <f>IF(A263="","",IF(AG263&lt;&gt;"",1,0))</f>
        <v/>
      </c>
      <c r="AP263" s="220">
        <f>IF(P263&lt;&gt;"","・添待ち","")&amp;IF(Q263&lt;&gt;"","・住民票","")&amp;IF(R263&lt;&gt;"","・発信","")&amp;IF(S263&lt;&gt;"","・確認事項","")&amp;IF(T263&lt;&gt;"","・管","")&amp;IF(U263&lt;&gt;"","・SV","")&amp;IF(V263&lt;&gt;"","・データ送付待ち","")&amp;IF(W263&lt;&gt;"","・削除","")</f>
        <v/>
      </c>
    </row>
    <row r="264" ht="15" customHeight="1" s="87">
      <c r="A264" s="90" t="n">
        <v>202660001424</v>
      </c>
      <c r="B264" s="90" t="n"/>
      <c r="C264" s="90" t="n"/>
      <c r="D264" s="90" t="n">
        <v>31</v>
      </c>
      <c r="E264" s="90" t="inlineStr">
        <is>
          <t>31 ＯＰ確認中</t>
        </is>
      </c>
      <c r="F264" s="90" t="n"/>
      <c r="G264" s="90" t="n"/>
      <c r="H264" s="91" t="n">
        <v>46225</v>
      </c>
      <c r="I264" s="92" t="n">
        <v>46282</v>
      </c>
      <c r="J264" s="91" t="n">
        <v>46282</v>
      </c>
      <c r="K264" s="91" t="n">
        <v>46283</v>
      </c>
      <c r="L264" s="90" t="n"/>
      <c r="M264" s="90" t="n"/>
      <c r="N264" s="90" t="n"/>
      <c r="O264" s="90" t="inlineStr">
        <is>
          <t>21 担当者登録</t>
        </is>
      </c>
      <c r="P264" s="90" t="n"/>
      <c r="Q264" s="90" t="n"/>
      <c r="R264" s="90" t="n"/>
      <c r="S264" s="90" t="n"/>
      <c r="T264" s="90" t="n"/>
      <c r="U264" s="90" t="n"/>
      <c r="V264" s="90" t="n"/>
      <c r="W264" s="90" t="n"/>
      <c r="X264" s="90" t="n"/>
      <c r="Y264" s="90" t="n"/>
      <c r="Z264" s="90" t="n"/>
      <c r="AA264" s="90" t="n"/>
      <c r="AB264" s="90" t="n">
        <v>23</v>
      </c>
      <c r="AC264" s="90" t="n">
        <v>1</v>
      </c>
      <c r="AD264" s="93" t="inlineStr">
        <is>
          <t>増</t>
        </is>
      </c>
      <c r="AE264" s="90" t="inlineStr">
        <is>
          <t>23 結婚</t>
        </is>
      </c>
      <c r="AF264" s="90" t="n"/>
      <c r="AG264" s="90" t="n"/>
      <c r="AH264" s="90" t="n"/>
      <c r="AI264" s="90" t="n"/>
      <c r="AJ264" s="90" t="n"/>
      <c r="AK264" s="90" t="n"/>
      <c r="AL264" s="94">
        <f>IF(A264="","",IF(COUNTIF(A264:A$2001,A264)=1,1,0))</f>
        <v/>
      </c>
      <c r="AM264" s="94">
        <f>IF(I264="","",TODAY()-I264)</f>
        <v/>
      </c>
      <c r="AN264" s="94">
        <f>IF(A264="","",IF(AND(E264&lt;&gt;"33 確認済",E264&lt;&gt;"36 送付中"),1,0))</f>
        <v/>
      </c>
      <c r="AO264" s="94">
        <f>IF(A264="","",IF(AG264&lt;&gt;"",1,0))</f>
        <v/>
      </c>
      <c r="AP264" s="220">
        <f>IF(P264&lt;&gt;"","・添待ち","")&amp;IF(Q264&lt;&gt;"","・住民票","")&amp;IF(R264&lt;&gt;"","・発信","")&amp;IF(S264&lt;&gt;"","・確認事項","")&amp;IF(T264&lt;&gt;"","・管","")&amp;IF(U264&lt;&gt;"","・SV","")&amp;IF(V264&lt;&gt;"","・データ送付待ち","")&amp;IF(W264&lt;&gt;"","・削除","")</f>
        <v/>
      </c>
    </row>
    <row r="265" ht="15" customHeight="1" s="87">
      <c r="A265" s="90" t="n">
        <v>202660001425</v>
      </c>
      <c r="B265" s="90" t="n"/>
      <c r="C265" s="90" t="n"/>
      <c r="D265" s="90" t="n">
        <v>31</v>
      </c>
      <c r="E265" s="90" t="inlineStr">
        <is>
          <t>31 ＯＰ確認中</t>
        </is>
      </c>
      <c r="F265" s="90" t="n"/>
      <c r="G265" s="90" t="n"/>
      <c r="H265" s="91" t="n">
        <v>46282</v>
      </c>
      <c r="I265" s="92" t="n">
        <v>46282</v>
      </c>
      <c r="J265" s="91" t="n">
        <v>46289</v>
      </c>
      <c r="K265" s="91" t="n">
        <v>46289</v>
      </c>
      <c r="L265" s="90" t="n"/>
      <c r="M265" s="90" t="n"/>
      <c r="N265" s="90" t="n"/>
      <c r="O265" s="90" t="inlineStr">
        <is>
          <t>22 担当者変更</t>
        </is>
      </c>
      <c r="P265" s="90" t="n"/>
      <c r="Q265" s="90" t="n"/>
      <c r="R265" s="90" t="n"/>
      <c r="S265" s="90" t="n"/>
      <c r="T265" s="90" t="n"/>
      <c r="U265" s="90" t="n"/>
      <c r="V265" s="90" t="n"/>
      <c r="W265" s="90" t="n"/>
      <c r="X265" s="90" t="n"/>
      <c r="Y265" s="90" t="n"/>
      <c r="Z265" s="90" t="n"/>
      <c r="AA265" s="90" t="n"/>
      <c r="AB265" s="90" t="n">
        <v>25</v>
      </c>
      <c r="AC265" s="90" t="n">
        <v>1</v>
      </c>
      <c r="AD265" s="93" t="inlineStr">
        <is>
          <t>増</t>
        </is>
      </c>
      <c r="AE265" s="90" t="inlineStr">
        <is>
          <t>25 育休</t>
        </is>
      </c>
      <c r="AF265" s="90" t="n"/>
      <c r="AG265" s="90" t="n"/>
      <c r="AH265" s="93" t="inlineStr">
        <is>
          <t>増</t>
        </is>
      </c>
      <c r="AI265" s="90" t="n"/>
      <c r="AJ265" s="90" t="n"/>
      <c r="AK265" s="90" t="n"/>
      <c r="AL265" s="94">
        <f>IF(A265="","",IF(COUNTIF(A265:A$2001,A265)=1,1,0))</f>
        <v/>
      </c>
      <c r="AM265" s="94">
        <f>IF(I265="","",TODAY()-I265)</f>
        <v/>
      </c>
      <c r="AN265" s="94">
        <f>IF(A265="","",IF(AND(E265&lt;&gt;"33 確認済",E265&lt;&gt;"36 送付中"),1,0))</f>
        <v/>
      </c>
      <c r="AO265" s="94">
        <f>IF(A265="","",IF(AG265&lt;&gt;"",1,0))</f>
        <v/>
      </c>
      <c r="AP265" s="220">
        <f>IF(P265&lt;&gt;"","・添待ち","")&amp;IF(Q265&lt;&gt;"","・住民票","")&amp;IF(R265&lt;&gt;"","・発信","")&amp;IF(S265&lt;&gt;"","・確認事項","")&amp;IF(T265&lt;&gt;"","・管","")&amp;IF(U265&lt;&gt;"","・SV","")&amp;IF(V265&lt;&gt;"","・データ送付待ち","")&amp;IF(W265&lt;&gt;"","・削除","")</f>
        <v/>
      </c>
    </row>
    <row r="266" ht="15" customHeight="1" s="87">
      <c r="A266" s="90" t="n">
        <v>202660001426</v>
      </c>
      <c r="B266" s="90" t="n"/>
      <c r="C266" s="90" t="n"/>
      <c r="D266" s="90" t="n">
        <v>30</v>
      </c>
      <c r="E266" s="90" t="inlineStr">
        <is>
          <t>30 申請受付</t>
        </is>
      </c>
      <c r="F266" s="90" t="n"/>
      <c r="G266" s="90" t="n"/>
      <c r="H266" s="91" t="n">
        <v>46113</v>
      </c>
      <c r="I266" s="92" t="n">
        <v>46282</v>
      </c>
      <c r="J266" s="91" t="n">
        <v>46289</v>
      </c>
      <c r="K266" s="90" t="n"/>
      <c r="L266" s="90" t="n"/>
      <c r="M266" s="90" t="n"/>
      <c r="N266" s="90" t="n"/>
      <c r="O266" s="90" t="inlineStr">
        <is>
          <t>20 申請受付</t>
        </is>
      </c>
      <c r="P266" s="90" t="n"/>
      <c r="Q266" s="90" t="n"/>
      <c r="R266" s="90" t="n"/>
      <c r="S266" s="90" t="n"/>
      <c r="T266" s="90" t="n"/>
      <c r="U266" s="90" t="n"/>
      <c r="V266" s="90" t="n"/>
      <c r="W266" s="90" t="n"/>
      <c r="X266" s="90" t="n"/>
      <c r="Y266" s="90" t="n"/>
      <c r="Z266" s="90" t="n"/>
      <c r="AA266" s="90" t="n"/>
      <c r="AB266" s="90" t="n">
        <v>47</v>
      </c>
      <c r="AC266" s="90" t="n">
        <v>0</v>
      </c>
      <c r="AD266" s="93" t="inlineStr">
        <is>
          <t>減</t>
        </is>
      </c>
      <c r="AE266" s="90" t="inlineStr">
        <is>
          <t>47 扶養親族の就職</t>
        </is>
      </c>
      <c r="AF266" s="90" t="n"/>
      <c r="AG266" s="90" t="n"/>
      <c r="AH266" s="93" t="inlineStr">
        <is>
          <t>減</t>
        </is>
      </c>
      <c r="AI266" s="90" t="n"/>
      <c r="AJ266" s="90" t="n"/>
      <c r="AK266" s="90" t="n"/>
      <c r="AL266" s="94">
        <f>IF(A266="","",IF(COUNTIF(A266:A$2001,A266)=1,1,0))</f>
        <v/>
      </c>
      <c r="AM266" s="94">
        <f>IF(I266="","",TODAY()-I266)</f>
        <v/>
      </c>
      <c r="AN266" s="94">
        <f>IF(A266="","",IF(AND(E266&lt;&gt;"33 確認済",E266&lt;&gt;"36 送付中"),1,0))</f>
        <v/>
      </c>
      <c r="AO266" s="94">
        <f>IF(A266="","",IF(AG266&lt;&gt;"",1,0))</f>
        <v/>
      </c>
      <c r="AP266" s="220">
        <f>IF(P266&lt;&gt;"","・添待ち","")&amp;IF(Q266&lt;&gt;"","・住民票","")&amp;IF(R266&lt;&gt;"","・発信","")&amp;IF(S266&lt;&gt;"","・確認事項","")&amp;IF(T266&lt;&gt;"","・管","")&amp;IF(U266&lt;&gt;"","・SV","")&amp;IF(V266&lt;&gt;"","・データ送付待ち","")&amp;IF(W266&lt;&gt;"","・削除","")</f>
        <v/>
      </c>
    </row>
    <row r="267" ht="15" customHeight="1" s="87">
      <c r="A267" s="90" t="n">
        <v>202660001428</v>
      </c>
      <c r="B267" s="90" t="n"/>
      <c r="C267" s="90" t="n"/>
      <c r="D267" s="90" t="n">
        <v>30</v>
      </c>
      <c r="E267" s="90" t="inlineStr">
        <is>
          <t>30 申請受付</t>
        </is>
      </c>
      <c r="F267" s="90" t="n"/>
      <c r="G267" s="90" t="n"/>
      <c r="H267" s="91" t="n">
        <v>46242</v>
      </c>
      <c r="I267" s="92" t="n">
        <v>46282</v>
      </c>
      <c r="J267" s="91" t="n">
        <v>46282</v>
      </c>
      <c r="K267" s="90" t="n"/>
      <c r="L267" s="90" t="n"/>
      <c r="M267" s="90" t="n"/>
      <c r="N267" s="90" t="n"/>
      <c r="O267" s="90" t="inlineStr">
        <is>
          <t>20 申請受付</t>
        </is>
      </c>
      <c r="P267" s="90" t="n"/>
      <c r="Q267" s="90" t="n"/>
      <c r="R267" s="90" t="n"/>
      <c r="S267" s="90" t="n"/>
      <c r="T267" s="90" t="n"/>
      <c r="U267" s="90" t="n"/>
      <c r="V267" s="90" t="n"/>
      <c r="W267" s="90" t="n"/>
      <c r="X267" s="90" t="n"/>
      <c r="Y267" s="90" t="n"/>
      <c r="Z267" s="90" t="n"/>
      <c r="AA267" s="90" t="n"/>
      <c r="AB267" s="90" t="n">
        <v>23</v>
      </c>
      <c r="AC267" s="90" t="n">
        <v>1</v>
      </c>
      <c r="AD267" s="93" t="inlineStr">
        <is>
          <t>増</t>
        </is>
      </c>
      <c r="AE267" s="90" t="inlineStr">
        <is>
          <t>23 本人の結婚</t>
        </is>
      </c>
      <c r="AF267" s="90" t="n"/>
      <c r="AG267" s="90" t="n"/>
      <c r="AH267" s="90" t="n"/>
      <c r="AI267" s="90" t="n"/>
      <c r="AJ267" s="90" t="n"/>
      <c r="AK267" s="90" t="n"/>
      <c r="AL267" s="94">
        <f>IF(A267="","",IF(COUNTIF(A267:A$2001,A267)=1,1,0))</f>
        <v/>
      </c>
      <c r="AM267" s="94">
        <f>IF(I267="","",TODAY()-I267)</f>
        <v/>
      </c>
      <c r="AN267" s="94">
        <f>IF(A267="","",IF(AND(E267&lt;&gt;"33 確認済",E267&lt;&gt;"36 送付中"),1,0))</f>
        <v/>
      </c>
      <c r="AO267" s="94">
        <f>IF(A267="","",IF(AG267&lt;&gt;"",1,0))</f>
        <v/>
      </c>
      <c r="AP267" s="220">
        <f>IF(P267&lt;&gt;"","・添待ち","")&amp;IF(Q267&lt;&gt;"","・住民票","")&amp;IF(R267&lt;&gt;"","・発信","")&amp;IF(S267&lt;&gt;"","・確認事項","")&amp;IF(T267&lt;&gt;"","・管","")&amp;IF(U267&lt;&gt;"","・SV","")&amp;IF(V267&lt;&gt;"","・データ送付待ち","")&amp;IF(W267&lt;&gt;"","・削除","")</f>
        <v/>
      </c>
    </row>
    <row r="268" ht="15" customHeight="1" s="87">
      <c r="A268" s="90" t="n">
        <v>202660001428</v>
      </c>
      <c r="B268" s="90" t="n"/>
      <c r="C268" s="90" t="n"/>
      <c r="D268" s="90" t="n">
        <v>30</v>
      </c>
      <c r="E268" s="90" t="inlineStr">
        <is>
          <t>30 申請受付</t>
        </is>
      </c>
      <c r="F268" s="90" t="n"/>
      <c r="G268" s="90" t="n"/>
      <c r="H268" s="91" t="n">
        <v>46242</v>
      </c>
      <c r="I268" s="92" t="n">
        <v>46282</v>
      </c>
      <c r="J268" s="91" t="n">
        <v>46282</v>
      </c>
      <c r="K268" s="90" t="n"/>
      <c r="L268" s="90" t="n"/>
      <c r="M268" s="90" t="n"/>
      <c r="N268" s="90" t="n"/>
      <c r="O268" s="90" t="inlineStr">
        <is>
          <t>20 申請受付</t>
        </is>
      </c>
      <c r="P268" s="90" t="n"/>
      <c r="Q268" s="90" t="n"/>
      <c r="R268" s="90" t="n"/>
      <c r="S268" s="90" t="n"/>
      <c r="T268" s="90" t="n"/>
      <c r="U268" s="90" t="n"/>
      <c r="V268" s="90" t="n"/>
      <c r="W268" s="90" t="n"/>
      <c r="X268" s="90" t="n"/>
      <c r="Y268" s="90" t="n"/>
      <c r="Z268" s="90" t="n"/>
      <c r="AA268" s="90" t="n"/>
      <c r="AB268" s="90" t="n">
        <v>23</v>
      </c>
      <c r="AC268" s="90" t="n">
        <v>1</v>
      </c>
      <c r="AD268" s="93" t="inlineStr">
        <is>
          <t>増</t>
        </is>
      </c>
      <c r="AE268" s="90" t="inlineStr">
        <is>
          <t>23 結婚</t>
        </is>
      </c>
      <c r="AF268" s="90" t="n"/>
      <c r="AG268" s="90" t="n"/>
      <c r="AH268" s="90" t="n"/>
      <c r="AI268" s="90" t="n"/>
      <c r="AJ268" s="90" t="n"/>
      <c r="AK268" s="90" t="n"/>
      <c r="AL268" s="94">
        <f>IF(A268="","",IF(COUNTIF(A268:A$2001,A268)=1,1,0))</f>
        <v/>
      </c>
      <c r="AM268" s="94">
        <f>IF(I268="","",TODAY()-I268)</f>
        <v/>
      </c>
      <c r="AN268" s="94">
        <f>IF(A268="","",IF(AND(E268&lt;&gt;"33 確認済",E268&lt;&gt;"36 送付中"),1,0))</f>
        <v/>
      </c>
      <c r="AO268" s="94">
        <f>IF(A268="","",IF(AG268&lt;&gt;"",1,0))</f>
        <v/>
      </c>
      <c r="AP268" s="220">
        <f>IF(P268&lt;&gt;"","・添待ち","")&amp;IF(Q268&lt;&gt;"","・住民票","")&amp;IF(R268&lt;&gt;"","・発信","")&amp;IF(S268&lt;&gt;"","・確認事項","")&amp;IF(T268&lt;&gt;"","・管","")&amp;IF(U268&lt;&gt;"","・SV","")&amp;IF(V268&lt;&gt;"","・データ送付待ち","")&amp;IF(W268&lt;&gt;"","・削除","")</f>
        <v/>
      </c>
    </row>
    <row r="269" ht="15" customHeight="1" s="87">
      <c r="A269" s="90" t="n">
        <v>202660001430</v>
      </c>
      <c r="B269" s="90" t="n"/>
      <c r="C269" s="90" t="n"/>
      <c r="D269" s="90" t="n">
        <v>30</v>
      </c>
      <c r="E269" s="90" t="inlineStr">
        <is>
          <t>30 申請受付</t>
        </is>
      </c>
      <c r="F269" s="90" t="n"/>
      <c r="G269" s="90" t="n"/>
      <c r="H269" s="91" t="n">
        <v>46072</v>
      </c>
      <c r="I269" s="92" t="n">
        <v>46282</v>
      </c>
      <c r="J269" s="91" t="n">
        <v>46289</v>
      </c>
      <c r="K269" s="90" t="n"/>
      <c r="L269" s="90" t="n"/>
      <c r="M269" s="90" t="n"/>
      <c r="N269" s="90" t="n"/>
      <c r="O269" s="90" t="inlineStr">
        <is>
          <t>20 申請受付</t>
        </is>
      </c>
      <c r="P269" s="90" t="n"/>
      <c r="Q269" s="90" t="n"/>
      <c r="R269" s="90" t="n"/>
      <c r="S269" s="90" t="n"/>
      <c r="T269" s="90" t="n"/>
      <c r="U269" s="90" t="n"/>
      <c r="V269" s="90" t="n"/>
      <c r="W269" s="90" t="n"/>
      <c r="X269" s="90" t="n"/>
      <c r="Y269" s="90" t="n"/>
      <c r="Z269" s="90" t="n"/>
      <c r="AA269" s="90" t="n"/>
      <c r="AB269" s="90" t="n">
        <v>9</v>
      </c>
      <c r="AC269" s="90" t="n">
        <v>0</v>
      </c>
      <c r="AD269" s="93" t="inlineStr">
        <is>
          <t>減</t>
        </is>
      </c>
      <c r="AE269" s="90" t="inlineStr">
        <is>
          <t>09 死亡</t>
        </is>
      </c>
      <c r="AF269" s="90" t="n"/>
      <c r="AG269" s="90" t="n"/>
      <c r="AH269" s="93" t="inlineStr">
        <is>
          <t>減</t>
        </is>
      </c>
      <c r="AI269" s="90" t="n"/>
      <c r="AJ269" s="90" t="n"/>
      <c r="AK269" s="90" t="n"/>
      <c r="AL269" s="94">
        <f>IF(A269="","",IF(COUNTIF(A269:A$2001,A269)=1,1,0))</f>
        <v/>
      </c>
      <c r="AM269" s="94">
        <f>IF(I269="","",TODAY()-I269)</f>
        <v/>
      </c>
      <c r="AN269" s="94">
        <f>IF(A269="","",IF(AND(E269&lt;&gt;"33 確認済",E269&lt;&gt;"36 送付中"),1,0))</f>
        <v/>
      </c>
      <c r="AO269" s="94">
        <f>IF(A269="","",IF(AG269&lt;&gt;"",1,0))</f>
        <v/>
      </c>
      <c r="AP269" s="220">
        <f>IF(P269&lt;&gt;"","・添待ち","")&amp;IF(Q269&lt;&gt;"","・住民票","")&amp;IF(R269&lt;&gt;"","・発信","")&amp;IF(S269&lt;&gt;"","・確認事項","")&amp;IF(T269&lt;&gt;"","・管","")&amp;IF(U269&lt;&gt;"","・SV","")&amp;IF(V269&lt;&gt;"","・データ送付待ち","")&amp;IF(W269&lt;&gt;"","・削除","")</f>
        <v/>
      </c>
    </row>
    <row r="270" ht="15" customHeight="1" s="87">
      <c r="A270" s="90" t="n">
        <v>202660001431</v>
      </c>
      <c r="B270" s="90" t="n"/>
      <c r="C270" s="90" t="n"/>
      <c r="D270" s="90" t="n">
        <v>30</v>
      </c>
      <c r="E270" s="90" t="inlineStr">
        <is>
          <t>30 申請受付</t>
        </is>
      </c>
      <c r="F270" s="90" t="n"/>
      <c r="G270" s="90" t="n"/>
      <c r="H270" s="91" t="n">
        <v>46074</v>
      </c>
      <c r="I270" s="92" t="n">
        <v>46282</v>
      </c>
      <c r="J270" s="91" t="n">
        <v>46289</v>
      </c>
      <c r="K270" s="90" t="n"/>
      <c r="L270" s="90" t="n"/>
      <c r="M270" s="90" t="n"/>
      <c r="N270" s="90" t="n"/>
      <c r="O270" s="90" t="inlineStr">
        <is>
          <t>20 申請受付</t>
        </is>
      </c>
      <c r="P270" s="90" t="n"/>
      <c r="Q270" s="90" t="n"/>
      <c r="R270" s="90" t="n"/>
      <c r="S270" s="90" t="n"/>
      <c r="T270" s="90" t="n"/>
      <c r="U270" s="90" t="n"/>
      <c r="V270" s="90" t="n"/>
      <c r="W270" s="90" t="n"/>
      <c r="X270" s="90" t="n"/>
      <c r="Y270" s="90" t="n"/>
      <c r="Z270" s="90" t="n"/>
      <c r="AA270" s="90" t="n"/>
      <c r="AB270" s="90" t="n">
        <v>47</v>
      </c>
      <c r="AC270" s="90" t="n">
        <v>0</v>
      </c>
      <c r="AD270" s="93" t="inlineStr">
        <is>
          <t>減</t>
        </is>
      </c>
      <c r="AE270" s="90" t="inlineStr">
        <is>
          <t>47 扶養親族の就職</t>
        </is>
      </c>
      <c r="AF270" s="90" t="n"/>
      <c r="AG270" s="90" t="n"/>
      <c r="AH270" s="93" t="inlineStr">
        <is>
          <t>減</t>
        </is>
      </c>
      <c r="AI270" s="90" t="n"/>
      <c r="AJ270" s="90" t="n"/>
      <c r="AK270" s="90" t="n"/>
      <c r="AL270" s="94">
        <f>IF(A270="","",IF(COUNTIF(A270:A$2001,A270)=1,1,0))</f>
        <v/>
      </c>
      <c r="AM270" s="94">
        <f>IF(I270="","",TODAY()-I270)</f>
        <v/>
      </c>
      <c r="AN270" s="94">
        <f>IF(A270="","",IF(AND(E270&lt;&gt;"33 確認済",E270&lt;&gt;"36 送付中"),1,0))</f>
        <v/>
      </c>
      <c r="AO270" s="94">
        <f>IF(A270="","",IF(AG270&lt;&gt;"",1,0))</f>
        <v/>
      </c>
      <c r="AP270" s="220">
        <f>IF(P270&lt;&gt;"","・添待ち","")&amp;IF(Q270&lt;&gt;"","・住民票","")&amp;IF(R270&lt;&gt;"","・発信","")&amp;IF(S270&lt;&gt;"","・確認事項","")&amp;IF(T270&lt;&gt;"","・管","")&amp;IF(U270&lt;&gt;"","・SV","")&amp;IF(V270&lt;&gt;"","・データ送付待ち","")&amp;IF(W270&lt;&gt;"","・削除","")</f>
        <v/>
      </c>
    </row>
    <row r="271" ht="15" customHeight="1" s="87">
      <c r="A271" s="90" t="n">
        <v>202660001433</v>
      </c>
      <c r="B271" s="90" t="n"/>
      <c r="C271" s="90" t="n"/>
      <c r="D271" s="90" t="n">
        <v>20</v>
      </c>
      <c r="E271" s="90" t="inlineStr">
        <is>
          <t>20 確認待ち</t>
        </is>
      </c>
      <c r="F271" s="90" t="n"/>
      <c r="G271" s="90" t="n"/>
      <c r="H271" s="91" t="n">
        <v>46282</v>
      </c>
      <c r="I271" s="92" t="n">
        <v>46282</v>
      </c>
      <c r="J271" s="90" t="n"/>
      <c r="K271" s="90" t="n"/>
      <c r="L271" s="90" t="n"/>
      <c r="M271" s="90" t="n"/>
      <c r="N271" s="90" t="n"/>
      <c r="O271" s="90" t="inlineStr">
        <is>
          <t>55 添付書類待ち登録</t>
        </is>
      </c>
      <c r="P271" s="93" t="inlineStr">
        <is>
          <t>添</t>
        </is>
      </c>
      <c r="Q271" s="90" t="n"/>
      <c r="R271" s="90" t="n"/>
      <c r="S271" s="90" t="n"/>
      <c r="T271" s="90" t="n"/>
      <c r="U271" s="90" t="n"/>
      <c r="V271" s="90" t="n"/>
      <c r="W271" s="90" t="n"/>
      <c r="X271" s="90" t="n"/>
      <c r="Y271" s="90" t="n"/>
      <c r="Z271" s="90" t="n"/>
      <c r="AA271" s="90" t="n"/>
      <c r="AB271" s="90" t="n">
        <v>26</v>
      </c>
      <c r="AC271" s="90" t="n">
        <v>1</v>
      </c>
      <c r="AD271" s="93" t="inlineStr">
        <is>
          <t>増</t>
        </is>
      </c>
      <c r="AE271" s="90" t="inlineStr">
        <is>
          <t>26 扶養者の変更</t>
        </is>
      </c>
      <c r="AF271" s="90" t="n"/>
      <c r="AG271" s="90" t="n"/>
      <c r="AH271" s="93" t="inlineStr">
        <is>
          <t>増</t>
        </is>
      </c>
      <c r="AI271" s="90" t="n"/>
      <c r="AJ271" s="90" t="n"/>
      <c r="AK271" s="90" t="n"/>
      <c r="AL271" s="94">
        <f>IF(A271="","",IF(COUNTIF(A271:A$2001,A271)=1,1,0))</f>
        <v/>
      </c>
      <c r="AM271" s="94">
        <f>IF(I271="","",TODAY()-I271)</f>
        <v/>
      </c>
      <c r="AN271" s="94">
        <f>IF(A271="","",IF(AND(E271&lt;&gt;"33 確認済",E271&lt;&gt;"36 送付中"),1,0))</f>
        <v/>
      </c>
      <c r="AO271" s="94">
        <f>IF(A271="","",IF(AG271&lt;&gt;"",1,0))</f>
        <v/>
      </c>
      <c r="AP271" s="220">
        <f>IF(P271&lt;&gt;"","・添待ち","")&amp;IF(Q271&lt;&gt;"","・住民票","")&amp;IF(R271&lt;&gt;"","・発信","")&amp;IF(S271&lt;&gt;"","・確認事項","")&amp;IF(T271&lt;&gt;"","・管","")&amp;IF(U271&lt;&gt;"","・SV","")&amp;IF(V271&lt;&gt;"","・データ送付待ち","")&amp;IF(W271&lt;&gt;"","・削除","")</f>
        <v/>
      </c>
    </row>
    <row r="272" ht="15" customHeight="1" s="87">
      <c r="A272" s="90" t="n">
        <v>202660001434</v>
      </c>
      <c r="B272" s="90" t="n"/>
      <c r="C272" s="90" t="n"/>
      <c r="D272" s="90" t="n">
        <v>20</v>
      </c>
      <c r="E272" s="90" t="inlineStr">
        <is>
          <t>20 確認待ち</t>
        </is>
      </c>
      <c r="F272" s="90" t="n"/>
      <c r="G272" s="90" t="n"/>
      <c r="H272" s="91" t="n">
        <v>46276</v>
      </c>
      <c r="I272" s="92" t="n">
        <v>46282</v>
      </c>
      <c r="J272" s="90" t="n"/>
      <c r="K272" s="90" t="n"/>
      <c r="L272" s="90" t="n"/>
      <c r="M272" s="90" t="n"/>
      <c r="N272" s="90" t="n"/>
      <c r="O272" s="90" t="inlineStr">
        <is>
          <t>55 添付書類待ち登録</t>
        </is>
      </c>
      <c r="P272" s="93" t="inlineStr">
        <is>
          <t>添</t>
        </is>
      </c>
      <c r="Q272" s="90" t="n"/>
      <c r="R272" s="90" t="n"/>
      <c r="S272" s="90" t="n"/>
      <c r="T272" s="90" t="n"/>
      <c r="U272" s="90" t="n"/>
      <c r="V272" s="90" t="n"/>
      <c r="W272" s="90" t="n"/>
      <c r="X272" s="90" t="n"/>
      <c r="Y272" s="90" t="n"/>
      <c r="Z272" s="90" t="n"/>
      <c r="AA272" s="90" t="n"/>
      <c r="AB272" s="90" t="n">
        <v>21</v>
      </c>
      <c r="AC272" s="90" t="n">
        <v>1</v>
      </c>
      <c r="AD272" s="93" t="inlineStr">
        <is>
          <t>増</t>
        </is>
      </c>
      <c r="AE272" s="90" t="inlineStr">
        <is>
          <t>21 出生</t>
        </is>
      </c>
      <c r="AF272" s="93" t="inlineStr">
        <is>
          <t>増</t>
        </is>
      </c>
      <c r="AG272" s="93" t="inlineStr">
        <is>
          <t>増</t>
        </is>
      </c>
      <c r="AH272" s="93" t="inlineStr">
        <is>
          <t>増</t>
        </is>
      </c>
      <c r="AI272" s="90" t="n"/>
      <c r="AJ272" s="90" t="n"/>
      <c r="AK272" s="90" t="n"/>
      <c r="AL272" s="94">
        <f>IF(A272="","",IF(COUNTIF(A272:A$2001,A272)=1,1,0))</f>
        <v/>
      </c>
      <c r="AM272" s="94">
        <f>IF(I272="","",TODAY()-I272)</f>
        <v/>
      </c>
      <c r="AN272" s="94">
        <f>IF(A272="","",IF(AND(E272&lt;&gt;"33 確認済",E272&lt;&gt;"36 送付中"),1,0))</f>
        <v/>
      </c>
      <c r="AO272" s="94">
        <f>IF(A272="","",IF(AG272&lt;&gt;"",1,0))</f>
        <v/>
      </c>
      <c r="AP272" s="220">
        <f>IF(P272&lt;&gt;"","・添待ち","")&amp;IF(Q272&lt;&gt;"","・住民票","")&amp;IF(R272&lt;&gt;"","・発信","")&amp;IF(S272&lt;&gt;"","・確認事項","")&amp;IF(T272&lt;&gt;"","・管","")&amp;IF(U272&lt;&gt;"","・SV","")&amp;IF(V272&lt;&gt;"","・データ送付待ち","")&amp;IF(W272&lt;&gt;"","・削除","")</f>
        <v/>
      </c>
    </row>
    <row r="273" ht="15" customHeight="1" s="87">
      <c r="A273" s="90" t="n">
        <v>202660001435</v>
      </c>
      <c r="B273" s="90" t="n"/>
      <c r="C273" s="90" t="n"/>
      <c r="D273" s="90" t="n">
        <v>30</v>
      </c>
      <c r="E273" s="90" t="inlineStr">
        <is>
          <t>30 申請受付</t>
        </is>
      </c>
      <c r="F273" s="90" t="n"/>
      <c r="G273" s="90" t="n"/>
      <c r="H273" s="91" t="n">
        <v>46081</v>
      </c>
      <c r="I273" s="92" t="n">
        <v>46282</v>
      </c>
      <c r="J273" s="91" t="n">
        <v>46289</v>
      </c>
      <c r="K273" s="90" t="n"/>
      <c r="L273" s="90" t="n"/>
      <c r="M273" s="90" t="n"/>
      <c r="N273" s="90" t="n"/>
      <c r="O273" s="90" t="inlineStr">
        <is>
          <t>20 申請受付</t>
        </is>
      </c>
      <c r="P273" s="90" t="n"/>
      <c r="Q273" s="90" t="n"/>
      <c r="R273" s="90" t="n"/>
      <c r="S273" s="90" t="n"/>
      <c r="T273" s="90" t="n"/>
      <c r="U273" s="90" t="n"/>
      <c r="V273" s="90" t="n"/>
      <c r="W273" s="90" t="n"/>
      <c r="X273" s="90" t="n"/>
      <c r="Y273" s="90" t="n"/>
      <c r="Z273" s="90" t="n"/>
      <c r="AA273" s="90" t="n"/>
      <c r="AB273" s="90" t="n">
        <v>9</v>
      </c>
      <c r="AC273" s="90" t="n">
        <v>0</v>
      </c>
      <c r="AD273" s="93" t="inlineStr">
        <is>
          <t>減</t>
        </is>
      </c>
      <c r="AE273" s="90" t="inlineStr">
        <is>
          <t>09 死亡</t>
        </is>
      </c>
      <c r="AF273" s="90" t="n"/>
      <c r="AG273" s="90" t="n"/>
      <c r="AH273" s="93" t="inlineStr">
        <is>
          <t>減</t>
        </is>
      </c>
      <c r="AI273" s="90" t="n"/>
      <c r="AJ273" s="90" t="n"/>
      <c r="AK273" s="90" t="n"/>
      <c r="AL273" s="94">
        <f>IF(A273="","",IF(COUNTIF(A273:A$2001,A273)=1,1,0))</f>
        <v/>
      </c>
      <c r="AM273" s="94">
        <f>IF(I273="","",TODAY()-I273)</f>
        <v/>
      </c>
      <c r="AN273" s="94">
        <f>IF(A273="","",IF(AND(E273&lt;&gt;"33 確認済",E273&lt;&gt;"36 送付中"),1,0))</f>
        <v/>
      </c>
      <c r="AO273" s="94">
        <f>IF(A273="","",IF(AG273&lt;&gt;"",1,0))</f>
        <v/>
      </c>
      <c r="AP273" s="220">
        <f>IF(P273&lt;&gt;"","・添待ち","")&amp;IF(Q273&lt;&gt;"","・住民票","")&amp;IF(R273&lt;&gt;"","・発信","")&amp;IF(S273&lt;&gt;"","・確認事項","")&amp;IF(T273&lt;&gt;"","・管","")&amp;IF(U273&lt;&gt;"","・SV","")&amp;IF(V273&lt;&gt;"","・データ送付待ち","")&amp;IF(W273&lt;&gt;"","・削除","")</f>
        <v/>
      </c>
    </row>
    <row r="274" ht="15" customHeight="1" s="87">
      <c r="A274" s="90" t="n">
        <v>202660001436</v>
      </c>
      <c r="B274" s="90" t="n"/>
      <c r="C274" s="90" t="n"/>
      <c r="D274" s="90" t="n">
        <v>31</v>
      </c>
      <c r="E274" s="90" t="inlineStr">
        <is>
          <t>31 ＯＰ確認中</t>
        </is>
      </c>
      <c r="F274" s="90" t="n"/>
      <c r="G274" s="90" t="n"/>
      <c r="H274" s="91" t="n">
        <v>46143</v>
      </c>
      <c r="I274" s="92" t="n">
        <v>46282</v>
      </c>
      <c r="J274" s="91" t="n">
        <v>46289</v>
      </c>
      <c r="K274" s="91" t="n">
        <v>46289</v>
      </c>
      <c r="L274" s="90" t="n"/>
      <c r="M274" s="90" t="n"/>
      <c r="N274" s="90" t="n"/>
      <c r="O274" s="90" t="inlineStr">
        <is>
          <t>22 担当者変更</t>
        </is>
      </c>
      <c r="P274" s="90" t="n"/>
      <c r="Q274" s="90" t="n"/>
      <c r="R274" s="90" t="n"/>
      <c r="S274" s="90" t="n"/>
      <c r="T274" s="90" t="n"/>
      <c r="U274" s="90" t="n"/>
      <c r="V274" s="90" t="n"/>
      <c r="W274" s="90" t="n"/>
      <c r="X274" s="90" t="n"/>
      <c r="Y274" s="90" t="n"/>
      <c r="Z274" s="90" t="n"/>
      <c r="AA274" s="90" t="n"/>
      <c r="AB274" s="90" t="n">
        <v>49</v>
      </c>
      <c r="AC274" s="90" t="n">
        <v>0</v>
      </c>
      <c r="AD274" s="93" t="inlineStr">
        <is>
          <t>減</t>
        </is>
      </c>
      <c r="AE274" s="90" t="inlineStr">
        <is>
          <t>49 復職</t>
        </is>
      </c>
      <c r="AF274" s="93" t="inlineStr">
        <is>
          <t>減</t>
        </is>
      </c>
      <c r="AG274" s="93" t="inlineStr">
        <is>
          <t>減</t>
        </is>
      </c>
      <c r="AH274" s="93" t="inlineStr">
        <is>
          <t>減</t>
        </is>
      </c>
      <c r="AI274" s="90" t="n"/>
      <c r="AJ274" s="90" t="n"/>
      <c r="AK274" s="90" t="n"/>
      <c r="AL274" s="94">
        <f>IF(A274="","",IF(COUNTIF(A274:A$2001,A274)=1,1,0))</f>
        <v/>
      </c>
      <c r="AM274" s="94">
        <f>IF(I274="","",TODAY()-I274)</f>
        <v/>
      </c>
      <c r="AN274" s="94">
        <f>IF(A274="","",IF(AND(E274&lt;&gt;"33 確認済",E274&lt;&gt;"36 送付中"),1,0))</f>
        <v/>
      </c>
      <c r="AO274" s="94">
        <f>IF(A274="","",IF(AG274&lt;&gt;"",1,0))</f>
        <v/>
      </c>
      <c r="AP274" s="220">
        <f>IF(P274&lt;&gt;"","・添待ち","")&amp;IF(Q274&lt;&gt;"","・住民票","")&amp;IF(R274&lt;&gt;"","・発信","")&amp;IF(S274&lt;&gt;"","・確認事項","")&amp;IF(T274&lt;&gt;"","・管","")&amp;IF(U274&lt;&gt;"","・SV","")&amp;IF(V274&lt;&gt;"","・データ送付待ち","")&amp;IF(W274&lt;&gt;"","・削除","")</f>
        <v/>
      </c>
    </row>
    <row r="275" ht="15" customHeight="1" s="87">
      <c r="A275" s="90" t="n">
        <v>202660001437</v>
      </c>
      <c r="B275" s="90" t="n"/>
      <c r="C275" s="90" t="n"/>
      <c r="D275" s="90" t="n">
        <v>31</v>
      </c>
      <c r="E275" s="90" t="inlineStr">
        <is>
          <t>31 ＯＰ確認中</t>
        </is>
      </c>
      <c r="F275" s="90" t="n"/>
      <c r="G275" s="90" t="n"/>
      <c r="H275" s="91" t="n">
        <v>46210</v>
      </c>
      <c r="I275" s="92" t="n">
        <v>46282</v>
      </c>
      <c r="J275" s="91" t="n">
        <v>46289</v>
      </c>
      <c r="K275" s="91" t="n">
        <v>46289</v>
      </c>
      <c r="L275" s="90" t="n"/>
      <c r="M275" s="90" t="n"/>
      <c r="N275" s="90" t="n"/>
      <c r="O275" s="90" t="inlineStr">
        <is>
          <t>22 担当者変更</t>
        </is>
      </c>
      <c r="P275" s="90" t="n"/>
      <c r="Q275" s="90" t="n"/>
      <c r="R275" s="90" t="n"/>
      <c r="S275" s="90" t="n"/>
      <c r="T275" s="90" t="n"/>
      <c r="U275" s="90" t="n"/>
      <c r="V275" s="90" t="n"/>
      <c r="W275" s="90" t="n"/>
      <c r="X275" s="90" t="n"/>
      <c r="Y275" s="90" t="n"/>
      <c r="Z275" s="90" t="n"/>
      <c r="AA275" s="90" t="n"/>
      <c r="AB275" s="90" t="n">
        <v>28</v>
      </c>
      <c r="AC275" s="90" t="n">
        <v>3</v>
      </c>
      <c r="AD275" s="93" t="inlineStr">
        <is>
          <t>減</t>
        </is>
      </c>
      <c r="AE275" s="90" t="n"/>
      <c r="AF275" s="90" t="n"/>
      <c r="AG275" s="90" t="n"/>
      <c r="AH275" s="90" t="n"/>
      <c r="AI275" s="90" t="n"/>
      <c r="AJ275" s="90" t="n"/>
      <c r="AK275" s="90" t="n"/>
      <c r="AL275" s="94">
        <f>IF(A275="","",IF(COUNTIF(A275:A$2001,A275)=1,1,0))</f>
        <v/>
      </c>
      <c r="AM275" s="94">
        <f>IF(I275="","",TODAY()-I275)</f>
        <v/>
      </c>
      <c r="AN275" s="94">
        <f>IF(A275="","",IF(AND(E275&lt;&gt;"33 確認済",E275&lt;&gt;"36 送付中"),1,0))</f>
        <v/>
      </c>
      <c r="AO275" s="94">
        <f>IF(A275="","",IF(AG275&lt;&gt;"",1,0))</f>
        <v/>
      </c>
      <c r="AP275" s="220">
        <f>IF(P275&lt;&gt;"","・添待ち","")&amp;IF(Q275&lt;&gt;"","・住民票","")&amp;IF(R275&lt;&gt;"","・発信","")&amp;IF(S275&lt;&gt;"","・確認事項","")&amp;IF(T275&lt;&gt;"","・管","")&amp;IF(U275&lt;&gt;"","・SV","")&amp;IF(V275&lt;&gt;"","・データ送付待ち","")&amp;IF(W275&lt;&gt;"","・削除","")</f>
        <v/>
      </c>
    </row>
    <row r="276" ht="15" customHeight="1" s="87">
      <c r="A276" s="90" t="n">
        <v>202660001438</v>
      </c>
      <c r="B276" s="90" t="n"/>
      <c r="C276" s="90" t="n"/>
      <c r="D276" s="90" t="n">
        <v>31</v>
      </c>
      <c r="E276" s="90" t="inlineStr">
        <is>
          <t>31 ＯＰ確認中</t>
        </is>
      </c>
      <c r="F276" s="90" t="n"/>
      <c r="G276" s="90" t="n"/>
      <c r="H276" s="91" t="n">
        <v>46023</v>
      </c>
      <c r="I276" s="92" t="n">
        <v>46282</v>
      </c>
      <c r="J276" s="91" t="n">
        <v>46283</v>
      </c>
      <c r="K276" s="91" t="n">
        <v>46283</v>
      </c>
      <c r="L276" s="90" t="n"/>
      <c r="M276" s="90" t="n"/>
      <c r="N276" s="90" t="n"/>
      <c r="O276" s="90" t="inlineStr">
        <is>
          <t>22 担当者変更</t>
        </is>
      </c>
      <c r="P276" s="90" t="n"/>
      <c r="Q276" s="90" t="n"/>
      <c r="R276" s="90" t="n"/>
      <c r="S276" s="90" t="n"/>
      <c r="T276" s="90" t="n"/>
      <c r="U276" s="90" t="n"/>
      <c r="V276" s="90" t="n"/>
      <c r="W276" s="90" t="n"/>
      <c r="X276" s="90" t="n"/>
      <c r="Y276" s="90" t="n"/>
      <c r="Z276" s="90" t="n"/>
      <c r="AA276" s="90" t="n"/>
      <c r="AB276" s="90" t="n">
        <v>28</v>
      </c>
      <c r="AC276" s="90" t="n">
        <v>3</v>
      </c>
      <c r="AD276" s="93" t="inlineStr">
        <is>
          <t>減</t>
        </is>
      </c>
      <c r="AE276" s="90" t="n"/>
      <c r="AF276" s="90" t="n"/>
      <c r="AG276" s="90" t="n"/>
      <c r="AH276" s="93" t="inlineStr">
        <is>
          <t>増</t>
        </is>
      </c>
      <c r="AI276" s="90" t="n"/>
      <c r="AJ276" s="90" t="n"/>
      <c r="AK276" s="90" t="n"/>
      <c r="AL276" s="94">
        <f>IF(A276="","",IF(COUNTIF(A276:A$2001,A276)=1,1,0))</f>
        <v/>
      </c>
      <c r="AM276" s="94">
        <f>IF(I276="","",TODAY()-I276)</f>
        <v/>
      </c>
      <c r="AN276" s="94">
        <f>IF(A276="","",IF(AND(E276&lt;&gt;"33 確認済",E276&lt;&gt;"36 送付中"),1,0))</f>
        <v/>
      </c>
      <c r="AO276" s="94">
        <f>IF(A276="","",IF(AG276&lt;&gt;"",1,0))</f>
        <v/>
      </c>
      <c r="AP276" s="220">
        <f>IF(P276&lt;&gt;"","・添待ち","")&amp;IF(Q276&lt;&gt;"","・住民票","")&amp;IF(R276&lt;&gt;"","・発信","")&amp;IF(S276&lt;&gt;"","・確認事項","")&amp;IF(T276&lt;&gt;"","・管","")&amp;IF(U276&lt;&gt;"","・SV","")&amp;IF(V276&lt;&gt;"","・データ送付待ち","")&amp;IF(W276&lt;&gt;"","・削除","")</f>
        <v/>
      </c>
    </row>
    <row r="277" ht="15" customHeight="1" s="87">
      <c r="A277" s="90" t="n">
        <v>202660001439</v>
      </c>
      <c r="B277" s="90" t="n"/>
      <c r="C277" s="90" t="n"/>
      <c r="D277" s="90" t="n">
        <v>30</v>
      </c>
      <c r="E277" s="90" t="inlineStr">
        <is>
          <t>30 申請受付</t>
        </is>
      </c>
      <c r="F277" s="90" t="n"/>
      <c r="G277" s="90" t="n"/>
      <c r="H277" s="91" t="n">
        <v>46065</v>
      </c>
      <c r="I277" s="92" t="n">
        <v>46282</v>
      </c>
      <c r="J277" s="91" t="n">
        <v>46283</v>
      </c>
      <c r="K277" s="90" t="n"/>
      <c r="L277" s="90" t="n"/>
      <c r="M277" s="90" t="n"/>
      <c r="N277" s="90" t="n"/>
      <c r="O277" s="90" t="inlineStr">
        <is>
          <t>20 申請受付</t>
        </is>
      </c>
      <c r="P277" s="90" t="n"/>
      <c r="Q277" s="90" t="n"/>
      <c r="R277" s="90" t="n"/>
      <c r="S277" s="90" t="n"/>
      <c r="T277" s="90" t="n"/>
      <c r="U277" s="90" t="n"/>
      <c r="V277" s="90" t="n"/>
      <c r="W277" s="90" t="n"/>
      <c r="X277" s="90" t="n"/>
      <c r="Y277" s="90" t="n"/>
      <c r="Z277" s="90" t="n"/>
      <c r="AA277" s="90" t="n"/>
      <c r="AB277" s="90" t="n">
        <v>23</v>
      </c>
      <c r="AC277" s="90" t="n">
        <v>1</v>
      </c>
      <c r="AD277" s="93" t="inlineStr">
        <is>
          <t>増</t>
        </is>
      </c>
      <c r="AE277" s="90" t="inlineStr">
        <is>
          <t>23 本人の結婚</t>
        </is>
      </c>
      <c r="AF277" s="90" t="n"/>
      <c r="AG277" s="90" t="n"/>
      <c r="AH277" s="90" t="n"/>
      <c r="AI277" s="90" t="n"/>
      <c r="AJ277" s="90" t="n"/>
      <c r="AK277" s="90" t="n"/>
      <c r="AL277" s="94">
        <f>IF(A277="","",IF(COUNTIF(A277:A$2001,A277)=1,1,0))</f>
        <v/>
      </c>
      <c r="AM277" s="94">
        <f>IF(I277="","",TODAY()-I277)</f>
        <v/>
      </c>
      <c r="AN277" s="94">
        <f>IF(A277="","",IF(AND(E277&lt;&gt;"33 確認済",E277&lt;&gt;"36 送付中"),1,0))</f>
        <v/>
      </c>
      <c r="AO277" s="94">
        <f>IF(A277="","",IF(AG277&lt;&gt;"",1,0))</f>
        <v/>
      </c>
      <c r="AP277" s="220">
        <f>IF(P277&lt;&gt;"","・添待ち","")&amp;IF(Q277&lt;&gt;"","・住民票","")&amp;IF(R277&lt;&gt;"","・発信","")&amp;IF(S277&lt;&gt;"","・確認事項","")&amp;IF(T277&lt;&gt;"","・管","")&amp;IF(U277&lt;&gt;"","・SV","")&amp;IF(V277&lt;&gt;"","・データ送付待ち","")&amp;IF(W277&lt;&gt;"","・削除","")</f>
        <v/>
      </c>
    </row>
    <row r="278" ht="15" customHeight="1" s="87">
      <c r="A278" s="90" t="n">
        <v>202660001439</v>
      </c>
      <c r="B278" s="90" t="n"/>
      <c r="C278" s="90" t="n"/>
      <c r="D278" s="90" t="n">
        <v>30</v>
      </c>
      <c r="E278" s="90" t="inlineStr">
        <is>
          <t>30 申請受付</t>
        </is>
      </c>
      <c r="F278" s="90" t="n"/>
      <c r="G278" s="90" t="n"/>
      <c r="H278" s="91" t="n">
        <v>46065</v>
      </c>
      <c r="I278" s="92" t="n">
        <v>46282</v>
      </c>
      <c r="J278" s="91" t="n">
        <v>46283</v>
      </c>
      <c r="K278" s="90" t="n"/>
      <c r="L278" s="90" t="n"/>
      <c r="M278" s="90" t="n"/>
      <c r="N278" s="90" t="n"/>
      <c r="O278" s="90" t="inlineStr">
        <is>
          <t>20 申請受付</t>
        </is>
      </c>
      <c r="P278" s="90" t="n"/>
      <c r="Q278" s="90" t="n"/>
      <c r="R278" s="90" t="n"/>
      <c r="S278" s="90" t="n"/>
      <c r="T278" s="90" t="n"/>
      <c r="U278" s="90" t="n"/>
      <c r="V278" s="90" t="n"/>
      <c r="W278" s="90" t="n"/>
      <c r="X278" s="90" t="n"/>
      <c r="Y278" s="90" t="n"/>
      <c r="Z278" s="90" t="n"/>
      <c r="AA278" s="90" t="n"/>
      <c r="AB278" s="90" t="n">
        <v>23</v>
      </c>
      <c r="AC278" s="90" t="n">
        <v>1</v>
      </c>
      <c r="AD278" s="93" t="inlineStr">
        <is>
          <t>増</t>
        </is>
      </c>
      <c r="AE278" s="90" t="inlineStr">
        <is>
          <t>23 結婚</t>
        </is>
      </c>
      <c r="AF278" s="90" t="n"/>
      <c r="AG278" s="90" t="n"/>
      <c r="AH278" s="90" t="n"/>
      <c r="AI278" s="90" t="n"/>
      <c r="AJ278" s="90" t="n"/>
      <c r="AK278" s="90" t="n"/>
      <c r="AL278" s="94">
        <f>IF(A278="","",IF(COUNTIF(A278:A$2001,A278)=1,1,0))</f>
        <v/>
      </c>
      <c r="AM278" s="94">
        <f>IF(I278="","",TODAY()-I278)</f>
        <v/>
      </c>
      <c r="AN278" s="94">
        <f>IF(A278="","",IF(AND(E278&lt;&gt;"33 確認済",E278&lt;&gt;"36 送付中"),1,0))</f>
        <v/>
      </c>
      <c r="AO278" s="94">
        <f>IF(A278="","",IF(AG278&lt;&gt;"",1,0))</f>
        <v/>
      </c>
      <c r="AP278" s="220">
        <f>IF(P278&lt;&gt;"","・添待ち","")&amp;IF(Q278&lt;&gt;"","・住民票","")&amp;IF(R278&lt;&gt;"","・発信","")&amp;IF(S278&lt;&gt;"","・確認事項","")&amp;IF(T278&lt;&gt;"","・管","")&amp;IF(U278&lt;&gt;"","・SV","")&amp;IF(V278&lt;&gt;"","・データ送付待ち","")&amp;IF(W278&lt;&gt;"","・削除","")</f>
        <v/>
      </c>
    </row>
    <row r="279" ht="15" customHeight="1" s="87">
      <c r="A279" s="90" t="n">
        <v>202660001442</v>
      </c>
      <c r="B279" s="90" t="n"/>
      <c r="C279" s="90" t="n"/>
      <c r="D279" s="90" t="n">
        <v>31</v>
      </c>
      <c r="E279" s="90" t="inlineStr">
        <is>
          <t>31 ＯＰ確認中</t>
        </is>
      </c>
      <c r="F279" s="90" t="n"/>
      <c r="G279" s="90" t="n"/>
      <c r="H279" s="91" t="n">
        <v>46219</v>
      </c>
      <c r="I279" s="92" t="n">
        <v>46282</v>
      </c>
      <c r="J279" s="91" t="n">
        <v>46283</v>
      </c>
      <c r="K279" s="91" t="n">
        <v>46283</v>
      </c>
      <c r="L279" s="90" t="n"/>
      <c r="M279" s="90" t="n"/>
      <c r="N279" s="90" t="n"/>
      <c r="O279" s="90" t="inlineStr">
        <is>
          <t>22 担当者変更</t>
        </is>
      </c>
      <c r="P279" s="90" t="n"/>
      <c r="Q279" s="90" t="n"/>
      <c r="R279" s="90" t="n"/>
      <c r="S279" s="90" t="n"/>
      <c r="T279" s="90" t="n"/>
      <c r="U279" s="90" t="n"/>
      <c r="V279" s="90" t="n"/>
      <c r="W279" s="90" t="n"/>
      <c r="X279" s="90" t="n"/>
      <c r="Y279" s="90" t="n"/>
      <c r="Z279" s="90" t="n"/>
      <c r="AA279" s="90" t="n"/>
      <c r="AB279" s="90" t="n">
        <v>24</v>
      </c>
      <c r="AC279" s="90" t="n">
        <v>1</v>
      </c>
      <c r="AD279" s="93" t="inlineStr">
        <is>
          <t>増</t>
        </is>
      </c>
      <c r="AE279" s="90" t="inlineStr">
        <is>
          <t>24 雇用保険受給終了</t>
        </is>
      </c>
      <c r="AF279" s="93" t="inlineStr">
        <is>
          <t>増</t>
        </is>
      </c>
      <c r="AG279" s="93" t="inlineStr">
        <is>
          <t>増</t>
        </is>
      </c>
      <c r="AH279" s="93" t="inlineStr">
        <is>
          <t>増</t>
        </is>
      </c>
      <c r="AI279" s="90" t="n"/>
      <c r="AJ279" s="90" t="n"/>
      <c r="AK279" s="90" t="n"/>
      <c r="AL279" s="94">
        <f>IF(A279="","",IF(COUNTIF(A279:A$2001,A279)=1,1,0))</f>
        <v/>
      </c>
      <c r="AM279" s="94">
        <f>IF(I279="","",TODAY()-I279)</f>
        <v/>
      </c>
      <c r="AN279" s="94">
        <f>IF(A279="","",IF(AND(E279&lt;&gt;"33 確認済",E279&lt;&gt;"36 送付中"),1,0))</f>
        <v/>
      </c>
      <c r="AO279" s="94">
        <f>IF(A279="","",IF(AG279&lt;&gt;"",1,0))</f>
        <v/>
      </c>
      <c r="AP279" s="220">
        <f>IF(P279&lt;&gt;"","・添待ち","")&amp;IF(Q279&lt;&gt;"","・住民票","")&amp;IF(R279&lt;&gt;"","・発信","")&amp;IF(S279&lt;&gt;"","・確認事項","")&amp;IF(T279&lt;&gt;"","・管","")&amp;IF(U279&lt;&gt;"","・SV","")&amp;IF(V279&lt;&gt;"","・データ送付待ち","")&amp;IF(W279&lt;&gt;"","・削除","")</f>
        <v/>
      </c>
    </row>
    <row r="280" ht="15" customHeight="1" s="87">
      <c r="A280" s="90" t="n">
        <v>202660001444</v>
      </c>
      <c r="B280" s="90" t="n"/>
      <c r="C280" s="90" t="n"/>
      <c r="D280" s="90" t="n">
        <v>20</v>
      </c>
      <c r="E280" s="90" t="inlineStr">
        <is>
          <t>20 確認待ち</t>
        </is>
      </c>
      <c r="F280" s="90" t="n"/>
      <c r="G280" s="90" t="n"/>
      <c r="H280" s="91" t="n">
        <v>46277</v>
      </c>
      <c r="I280" s="92" t="n">
        <v>46282</v>
      </c>
      <c r="J280" s="90" t="n"/>
      <c r="K280" s="90" t="n"/>
      <c r="L280" s="90" t="n"/>
      <c r="M280" s="90" t="n"/>
      <c r="N280" s="90" t="n"/>
      <c r="O280" s="90" t="inlineStr">
        <is>
          <t>10 申請</t>
        </is>
      </c>
      <c r="P280" s="93" t="inlineStr">
        <is>
          <t>添</t>
        </is>
      </c>
      <c r="Q280" s="90" t="n"/>
      <c r="R280" s="90" t="n"/>
      <c r="S280" s="90" t="n"/>
      <c r="T280" s="90" t="n"/>
      <c r="U280" s="90" t="n"/>
      <c r="V280" s="90" t="n"/>
      <c r="W280" s="90" t="n"/>
      <c r="X280" s="90" t="n"/>
      <c r="Y280" s="90" t="n"/>
      <c r="Z280" s="90" t="n"/>
      <c r="AA280" s="90" t="n"/>
      <c r="AB280" s="90" t="n">
        <v>25</v>
      </c>
      <c r="AC280" s="90" t="n">
        <v>1</v>
      </c>
      <c r="AD280" s="93" t="inlineStr">
        <is>
          <t>増</t>
        </is>
      </c>
      <c r="AE280" s="90" t="inlineStr">
        <is>
          <t>25 育休</t>
        </is>
      </c>
      <c r="AF280" s="90" t="n"/>
      <c r="AG280" s="90" t="n"/>
      <c r="AH280" s="93" t="inlineStr">
        <is>
          <t>増</t>
        </is>
      </c>
      <c r="AI280" s="90" t="n"/>
      <c r="AJ280" s="90" t="n"/>
      <c r="AK280" s="90" t="n"/>
      <c r="AL280" s="94">
        <f>IF(A280="","",IF(COUNTIF(A280:A$2001,A280)=1,1,0))</f>
        <v/>
      </c>
      <c r="AM280" s="94">
        <f>IF(I280="","",TODAY()-I280)</f>
        <v/>
      </c>
      <c r="AN280" s="94">
        <f>IF(A280="","",IF(AND(E280&lt;&gt;"33 確認済",E280&lt;&gt;"36 送付中"),1,0))</f>
        <v/>
      </c>
      <c r="AO280" s="94">
        <f>IF(A280="","",IF(AG280&lt;&gt;"",1,0))</f>
        <v/>
      </c>
      <c r="AP280" s="220">
        <f>IF(P280&lt;&gt;"","・添待ち","")&amp;IF(Q280&lt;&gt;"","・住民票","")&amp;IF(R280&lt;&gt;"","・発信","")&amp;IF(S280&lt;&gt;"","・確認事項","")&amp;IF(T280&lt;&gt;"","・管","")&amp;IF(U280&lt;&gt;"","・SV","")&amp;IF(V280&lt;&gt;"","・データ送付待ち","")&amp;IF(W280&lt;&gt;"","・削除","")</f>
        <v/>
      </c>
    </row>
    <row r="281" ht="15" customHeight="1" s="87">
      <c r="A281" s="90" t="n">
        <v>202660001445</v>
      </c>
      <c r="B281" s="90" t="n"/>
      <c r="C281" s="90" t="n"/>
      <c r="D281" s="90" t="n">
        <v>30</v>
      </c>
      <c r="E281" s="90" t="inlineStr">
        <is>
          <t>30 申請受付</t>
        </is>
      </c>
      <c r="F281" s="90" t="n"/>
      <c r="G281" s="90" t="n"/>
      <c r="H281" s="91" t="n">
        <v>46282</v>
      </c>
      <c r="I281" s="92" t="n">
        <v>46282</v>
      </c>
      <c r="J281" s="91" t="n">
        <v>46289</v>
      </c>
      <c r="K281" s="90" t="n"/>
      <c r="L281" s="90" t="n"/>
      <c r="M281" s="90" t="n"/>
      <c r="N281" s="90" t="n"/>
      <c r="O281" s="90" t="inlineStr">
        <is>
          <t>20 申請受付</t>
        </is>
      </c>
      <c r="P281" s="90" t="n"/>
      <c r="Q281" s="90" t="n"/>
      <c r="R281" s="90" t="n"/>
      <c r="S281" s="90" t="n"/>
      <c r="T281" s="90" t="n"/>
      <c r="U281" s="90" t="n"/>
      <c r="V281" s="90" t="n"/>
      <c r="W281" s="90" t="n"/>
      <c r="X281" s="90" t="n"/>
      <c r="Y281" s="90" t="n"/>
      <c r="Z281" s="90" t="n"/>
      <c r="AA281" s="90" t="n"/>
      <c r="AB281" s="90" t="n">
        <v>51</v>
      </c>
      <c r="AC281" s="90" t="n">
        <v>0</v>
      </c>
      <c r="AD281" s="93" t="inlineStr">
        <is>
          <t>減</t>
        </is>
      </c>
      <c r="AE281" s="90" t="inlineStr">
        <is>
          <t>51 収入限度額以上</t>
        </is>
      </c>
      <c r="AF281" s="90" t="n"/>
      <c r="AG281" s="90" t="n"/>
      <c r="AH281" s="93" t="inlineStr">
        <is>
          <t>減</t>
        </is>
      </c>
      <c r="AI281" s="90" t="n"/>
      <c r="AJ281" s="90" t="n"/>
      <c r="AK281" s="90" t="n"/>
      <c r="AL281" s="94">
        <f>IF(A281="","",IF(COUNTIF(A281:A$2001,A281)=1,1,0))</f>
        <v/>
      </c>
      <c r="AM281" s="94">
        <f>IF(I281="","",TODAY()-I281)</f>
        <v/>
      </c>
      <c r="AN281" s="94">
        <f>IF(A281="","",IF(AND(E281&lt;&gt;"33 確認済",E281&lt;&gt;"36 送付中"),1,0))</f>
        <v/>
      </c>
      <c r="AO281" s="94">
        <f>IF(A281="","",IF(AG281&lt;&gt;"",1,0))</f>
        <v/>
      </c>
      <c r="AP281" s="220">
        <f>IF(P281&lt;&gt;"","・添待ち","")&amp;IF(Q281&lt;&gt;"","・住民票","")&amp;IF(R281&lt;&gt;"","・発信","")&amp;IF(S281&lt;&gt;"","・確認事項","")&amp;IF(T281&lt;&gt;"","・管","")&amp;IF(U281&lt;&gt;"","・SV","")&amp;IF(V281&lt;&gt;"","・データ送付待ち","")&amp;IF(W281&lt;&gt;"","・削除","")</f>
        <v/>
      </c>
    </row>
    <row r="282" ht="15" customHeight="1" s="87">
      <c r="A282" s="90" t="n">
        <v>202660001446</v>
      </c>
      <c r="B282" s="90" t="n"/>
      <c r="C282" s="90" t="n"/>
      <c r="D282" s="90" t="n">
        <v>20</v>
      </c>
      <c r="E282" s="90" t="inlineStr">
        <is>
          <t>20 確認待ち</t>
        </is>
      </c>
      <c r="F282" s="90" t="n"/>
      <c r="G282" s="90" t="n"/>
      <c r="H282" s="91" t="n">
        <v>46189</v>
      </c>
      <c r="I282" s="92" t="n">
        <v>46283</v>
      </c>
      <c r="J282" s="90" t="n"/>
      <c r="K282" s="90" t="n"/>
      <c r="L282" s="90" t="n"/>
      <c r="M282" s="90" t="n"/>
      <c r="N282" s="90" t="n"/>
      <c r="O282" s="90" t="inlineStr">
        <is>
          <t>10 申請</t>
        </is>
      </c>
      <c r="P282" s="93" t="inlineStr">
        <is>
          <t>添</t>
        </is>
      </c>
      <c r="Q282" s="90" t="n"/>
      <c r="R282" s="90" t="n"/>
      <c r="S282" s="90" t="n"/>
      <c r="T282" s="90" t="n"/>
      <c r="U282" s="90" t="n"/>
      <c r="V282" s="90" t="n"/>
      <c r="W282" s="90" t="n"/>
      <c r="X282" s="90" t="n"/>
      <c r="Y282" s="90" t="n"/>
      <c r="Z282" s="90" t="n"/>
      <c r="AA282" s="90" t="n"/>
      <c r="AB282" s="90" t="n">
        <v>21</v>
      </c>
      <c r="AC282" s="90" t="n">
        <v>1</v>
      </c>
      <c r="AD282" s="93" t="inlineStr">
        <is>
          <t>増</t>
        </is>
      </c>
      <c r="AE282" s="90" t="inlineStr">
        <is>
          <t>21 出生</t>
        </is>
      </c>
      <c r="AF282" s="93" t="inlineStr">
        <is>
          <t>増</t>
        </is>
      </c>
      <c r="AG282" s="93" t="inlineStr">
        <is>
          <t>増</t>
        </is>
      </c>
      <c r="AH282" s="93" t="inlineStr">
        <is>
          <t>増</t>
        </is>
      </c>
      <c r="AI282" s="90" t="n"/>
      <c r="AJ282" s="90" t="n"/>
      <c r="AK282" s="90" t="n"/>
      <c r="AL282" s="94">
        <f>IF(A282="","",IF(COUNTIF(A282:A$2001,A282)=1,1,0))</f>
        <v/>
      </c>
      <c r="AM282" s="94">
        <f>IF(I282="","",TODAY()-I282)</f>
        <v/>
      </c>
      <c r="AN282" s="94">
        <f>IF(A282="","",IF(AND(E282&lt;&gt;"33 確認済",E282&lt;&gt;"36 送付中"),1,0))</f>
        <v/>
      </c>
      <c r="AO282" s="94">
        <f>IF(A282="","",IF(AG282&lt;&gt;"",1,0))</f>
        <v/>
      </c>
      <c r="AP282" s="220">
        <f>IF(P282&lt;&gt;"","・添待ち","")&amp;IF(Q282&lt;&gt;"","・住民票","")&amp;IF(R282&lt;&gt;"","・発信","")&amp;IF(S282&lt;&gt;"","・確認事項","")&amp;IF(T282&lt;&gt;"","・管","")&amp;IF(U282&lt;&gt;"","・SV","")&amp;IF(V282&lt;&gt;"","・データ送付待ち","")&amp;IF(W282&lt;&gt;"","・削除","")</f>
        <v/>
      </c>
    </row>
    <row r="283" ht="15" customHeight="1" s="87">
      <c r="A283" s="90" t="n">
        <v>202660001447</v>
      </c>
      <c r="B283" s="90" t="n"/>
      <c r="C283" s="90" t="n"/>
      <c r="D283" s="90" t="n">
        <v>30</v>
      </c>
      <c r="E283" s="90" t="inlineStr">
        <is>
          <t>30 申請受付</t>
        </is>
      </c>
      <c r="F283" s="90" t="n"/>
      <c r="G283" s="90" t="n"/>
      <c r="H283" s="91" t="n">
        <v>46113</v>
      </c>
      <c r="I283" s="92" t="n">
        <v>46282</v>
      </c>
      <c r="J283" s="91" t="n">
        <v>46289</v>
      </c>
      <c r="K283" s="90" t="n"/>
      <c r="L283" s="90" t="n"/>
      <c r="M283" s="90" t="n"/>
      <c r="N283" s="90" t="n"/>
      <c r="O283" s="90" t="inlineStr">
        <is>
          <t>20 申請受付</t>
        </is>
      </c>
      <c r="P283" s="90" t="n"/>
      <c r="Q283" s="90" t="n"/>
      <c r="R283" s="90" t="n"/>
      <c r="S283" s="90" t="n"/>
      <c r="T283" s="90" t="n"/>
      <c r="U283" s="90" t="n"/>
      <c r="V283" s="90" t="n"/>
      <c r="W283" s="90" t="n"/>
      <c r="X283" s="90" t="n"/>
      <c r="Y283" s="90" t="n"/>
      <c r="Z283" s="90" t="n"/>
      <c r="AA283" s="90" t="n"/>
      <c r="AB283" s="90" t="n">
        <v>51</v>
      </c>
      <c r="AC283" s="90" t="n">
        <v>0</v>
      </c>
      <c r="AD283" s="93" t="inlineStr">
        <is>
          <t>減</t>
        </is>
      </c>
      <c r="AE283" s="90" t="inlineStr">
        <is>
          <t>51 収入限度額以上</t>
        </is>
      </c>
      <c r="AF283" s="90" t="n"/>
      <c r="AG283" s="90" t="n"/>
      <c r="AH283" s="93" t="inlineStr">
        <is>
          <t>減</t>
        </is>
      </c>
      <c r="AI283" s="90" t="n"/>
      <c r="AJ283" s="90" t="n"/>
      <c r="AK283" s="90" t="n"/>
      <c r="AL283" s="94">
        <f>IF(A283="","",IF(COUNTIF(A283:A$2001,A283)=1,1,0))</f>
        <v/>
      </c>
      <c r="AM283" s="94">
        <f>IF(I283="","",TODAY()-I283)</f>
        <v/>
      </c>
      <c r="AN283" s="94">
        <f>IF(A283="","",IF(AND(E283&lt;&gt;"33 確認済",E283&lt;&gt;"36 送付中"),1,0))</f>
        <v/>
      </c>
      <c r="AO283" s="94">
        <f>IF(A283="","",IF(AG283&lt;&gt;"",1,0))</f>
        <v/>
      </c>
      <c r="AP283" s="220">
        <f>IF(P283&lt;&gt;"","・添待ち","")&amp;IF(Q283&lt;&gt;"","・住民票","")&amp;IF(R283&lt;&gt;"","・発信","")&amp;IF(S283&lt;&gt;"","・確認事項","")&amp;IF(T283&lt;&gt;"","・管","")&amp;IF(U283&lt;&gt;"","・SV","")&amp;IF(V283&lt;&gt;"","・データ送付待ち","")&amp;IF(W283&lt;&gt;"","・削除","")</f>
        <v/>
      </c>
    </row>
    <row r="284" ht="15" customHeight="1" s="87">
      <c r="A284" s="90" t="n">
        <v>202660001448</v>
      </c>
      <c r="B284" s="90" t="n"/>
      <c r="C284" s="90" t="n"/>
      <c r="D284" s="90" t="n">
        <v>20</v>
      </c>
      <c r="E284" s="90" t="inlineStr">
        <is>
          <t>20 確認待ち</t>
        </is>
      </c>
      <c r="F284" s="90" t="n"/>
      <c r="G284" s="90" t="n"/>
      <c r="H284" s="91" t="n">
        <v>46282</v>
      </c>
      <c r="I284" s="92" t="n">
        <v>46282</v>
      </c>
      <c r="J284" s="90" t="n"/>
      <c r="K284" s="90" t="n"/>
      <c r="L284" s="90" t="n"/>
      <c r="M284" s="90" t="n"/>
      <c r="N284" s="90" t="n"/>
      <c r="O284" s="90" t="inlineStr">
        <is>
          <t>55 添付書類待ち登録</t>
        </is>
      </c>
      <c r="P284" s="93" t="inlineStr">
        <is>
          <t>添</t>
        </is>
      </c>
      <c r="Q284" s="90" t="n"/>
      <c r="R284" s="90" t="n"/>
      <c r="S284" s="90" t="n"/>
      <c r="T284" s="90" t="n"/>
      <c r="U284" s="90" t="n"/>
      <c r="V284" s="90" t="n"/>
      <c r="W284" s="90" t="n"/>
      <c r="X284" s="90" t="n"/>
      <c r="Y284" s="90" t="n"/>
      <c r="Z284" s="90" t="n"/>
      <c r="AA284" s="90" t="n"/>
      <c r="AB284" s="90" t="n">
        <v>99</v>
      </c>
      <c r="AC284" s="90" t="n">
        <v>1</v>
      </c>
      <c r="AD284" s="93" t="inlineStr">
        <is>
          <t>増</t>
        </is>
      </c>
      <c r="AE284" s="90" t="inlineStr">
        <is>
          <t>99 その他</t>
        </is>
      </c>
      <c r="AF284" s="90" t="n"/>
      <c r="AG284" s="90" t="n"/>
      <c r="AH284" s="93" t="inlineStr">
        <is>
          <t>増</t>
        </is>
      </c>
      <c r="AI284" s="90" t="n"/>
      <c r="AJ284" s="90" t="n"/>
      <c r="AK284" s="90" t="n"/>
      <c r="AL284" s="94">
        <f>IF(A284="","",IF(COUNTIF(A284:A$2001,A284)=1,1,0))</f>
        <v/>
      </c>
      <c r="AM284" s="94">
        <f>IF(I284="","",TODAY()-I284)</f>
        <v/>
      </c>
      <c r="AN284" s="94">
        <f>IF(A284="","",IF(AND(E284&lt;&gt;"33 確認済",E284&lt;&gt;"36 送付中"),1,0))</f>
        <v/>
      </c>
      <c r="AO284" s="94">
        <f>IF(A284="","",IF(AG284&lt;&gt;"",1,0))</f>
        <v/>
      </c>
      <c r="AP284" s="220">
        <f>IF(P284&lt;&gt;"","・添待ち","")&amp;IF(Q284&lt;&gt;"","・住民票","")&amp;IF(R284&lt;&gt;"","・発信","")&amp;IF(S284&lt;&gt;"","・確認事項","")&amp;IF(T284&lt;&gt;"","・管","")&amp;IF(U284&lt;&gt;"","・SV","")&amp;IF(V284&lt;&gt;"","・データ送付待ち","")&amp;IF(W284&lt;&gt;"","・削除","")</f>
        <v/>
      </c>
    </row>
    <row r="285" ht="15" customHeight="1" s="87">
      <c r="A285" s="90" t="n">
        <v>202660001449</v>
      </c>
      <c r="B285" s="90" t="n"/>
      <c r="C285" s="90" t="n"/>
      <c r="D285" s="90" t="n">
        <v>30</v>
      </c>
      <c r="E285" s="90" t="inlineStr">
        <is>
          <t>30 申請受付</t>
        </is>
      </c>
      <c r="F285" s="90" t="n"/>
      <c r="G285" s="90" t="n"/>
      <c r="H285" s="91" t="n">
        <v>46113</v>
      </c>
      <c r="I285" s="92" t="n">
        <v>46282</v>
      </c>
      <c r="J285" s="91" t="n">
        <v>46289</v>
      </c>
      <c r="K285" s="90" t="n"/>
      <c r="L285" s="90" t="n"/>
      <c r="M285" s="90" t="n"/>
      <c r="N285" s="90" t="n"/>
      <c r="O285" s="90" t="inlineStr">
        <is>
          <t>20 申請受付</t>
        </is>
      </c>
      <c r="P285" s="90" t="n"/>
      <c r="Q285" s="90" t="n"/>
      <c r="R285" s="90" t="n"/>
      <c r="S285" s="90" t="n"/>
      <c r="T285" s="90" t="n"/>
      <c r="U285" s="90" t="n"/>
      <c r="V285" s="90" t="n"/>
      <c r="W285" s="90" t="n"/>
      <c r="X285" s="90" t="n"/>
      <c r="Y285" s="90" t="n"/>
      <c r="Z285" s="90" t="n"/>
      <c r="AA285" s="90" t="n"/>
      <c r="AB285" s="90" t="n">
        <v>47</v>
      </c>
      <c r="AC285" s="90" t="n">
        <v>0</v>
      </c>
      <c r="AD285" s="93" t="inlineStr">
        <is>
          <t>減</t>
        </is>
      </c>
      <c r="AE285" s="90" t="inlineStr">
        <is>
          <t>47 扶養親族の就職</t>
        </is>
      </c>
      <c r="AF285" s="90" t="n"/>
      <c r="AG285" s="90" t="n"/>
      <c r="AH285" s="93" t="inlineStr">
        <is>
          <t>減</t>
        </is>
      </c>
      <c r="AI285" s="90" t="n"/>
      <c r="AJ285" s="90" t="n"/>
      <c r="AK285" s="90" t="n"/>
      <c r="AL285" s="94">
        <f>IF(A285="","",IF(COUNTIF(A285:A$2001,A285)=1,1,0))</f>
        <v/>
      </c>
      <c r="AM285" s="94">
        <f>IF(I285="","",TODAY()-I285)</f>
        <v/>
      </c>
      <c r="AN285" s="94">
        <f>IF(A285="","",IF(AND(E285&lt;&gt;"33 確認済",E285&lt;&gt;"36 送付中"),1,0))</f>
        <v/>
      </c>
      <c r="AO285" s="94">
        <f>IF(A285="","",IF(AG285&lt;&gt;"",1,0))</f>
        <v/>
      </c>
      <c r="AP285" s="220">
        <f>IF(P285&lt;&gt;"","・添待ち","")&amp;IF(Q285&lt;&gt;"","・住民票","")&amp;IF(R285&lt;&gt;"","・発信","")&amp;IF(S285&lt;&gt;"","・確認事項","")&amp;IF(T285&lt;&gt;"","・管","")&amp;IF(U285&lt;&gt;"","・SV","")&amp;IF(V285&lt;&gt;"","・データ送付待ち","")&amp;IF(W285&lt;&gt;"","・削除","")</f>
        <v/>
      </c>
    </row>
    <row r="286" ht="15" customHeight="1" s="87">
      <c r="A286" s="90" t="n">
        <v>202660001450</v>
      </c>
      <c r="B286" s="90" t="n"/>
      <c r="C286" s="90" t="n"/>
      <c r="D286" s="90" t="n">
        <v>30</v>
      </c>
      <c r="E286" s="90" t="inlineStr">
        <is>
          <t>30 申請受付</t>
        </is>
      </c>
      <c r="F286" s="90" t="n"/>
      <c r="G286" s="90" t="n"/>
      <c r="H286" s="91" t="n">
        <v>46152</v>
      </c>
      <c r="I286" s="92" t="n">
        <v>46282</v>
      </c>
      <c r="J286" s="91" t="n">
        <v>46283</v>
      </c>
      <c r="K286" s="90" t="n"/>
      <c r="L286" s="90" t="n"/>
      <c r="M286" s="90" t="n"/>
      <c r="N286" s="90" t="n"/>
      <c r="O286" s="90" t="inlineStr">
        <is>
          <t>20 申請受付</t>
        </is>
      </c>
      <c r="P286" s="90" t="n"/>
      <c r="Q286" s="90" t="n"/>
      <c r="R286" s="90" t="n"/>
      <c r="S286" s="90" t="n"/>
      <c r="T286" s="90" t="n"/>
      <c r="U286" s="90" t="n"/>
      <c r="V286" s="90" t="n"/>
      <c r="W286" s="90" t="n"/>
      <c r="X286" s="90" t="n"/>
      <c r="Y286" s="90" t="n"/>
      <c r="Z286" s="90" t="n"/>
      <c r="AA286" s="90" t="n"/>
      <c r="AB286" s="90" t="n">
        <v>23</v>
      </c>
      <c r="AC286" s="90" t="n">
        <v>1</v>
      </c>
      <c r="AD286" s="93" t="inlineStr">
        <is>
          <t>増</t>
        </is>
      </c>
      <c r="AE286" s="90" t="inlineStr">
        <is>
          <t>23 本人の結婚</t>
        </is>
      </c>
      <c r="AF286" s="90" t="n"/>
      <c r="AG286" s="90" t="n"/>
      <c r="AH286" s="90" t="n"/>
      <c r="AI286" s="90" t="n"/>
      <c r="AJ286" s="90" t="n"/>
      <c r="AK286" s="90" t="n"/>
      <c r="AL286" s="94">
        <f>IF(A286="","",IF(COUNTIF(A286:A$2001,A286)=1,1,0))</f>
        <v/>
      </c>
      <c r="AM286" s="94">
        <f>IF(I286="","",TODAY()-I286)</f>
        <v/>
      </c>
      <c r="AN286" s="94">
        <f>IF(A286="","",IF(AND(E286&lt;&gt;"33 確認済",E286&lt;&gt;"36 送付中"),1,0))</f>
        <v/>
      </c>
      <c r="AO286" s="94">
        <f>IF(A286="","",IF(AG286&lt;&gt;"",1,0))</f>
        <v/>
      </c>
      <c r="AP286" s="220">
        <f>IF(P286&lt;&gt;"","・添待ち","")&amp;IF(Q286&lt;&gt;"","・住民票","")&amp;IF(R286&lt;&gt;"","・発信","")&amp;IF(S286&lt;&gt;"","・確認事項","")&amp;IF(T286&lt;&gt;"","・管","")&amp;IF(U286&lt;&gt;"","・SV","")&amp;IF(V286&lt;&gt;"","・データ送付待ち","")&amp;IF(W286&lt;&gt;"","・削除","")</f>
        <v/>
      </c>
    </row>
    <row r="287" ht="15" customHeight="1" s="87">
      <c r="A287" s="90" t="n">
        <v>202660001450</v>
      </c>
      <c r="B287" s="90" t="n"/>
      <c r="C287" s="90" t="n"/>
      <c r="D287" s="90" t="n">
        <v>30</v>
      </c>
      <c r="E287" s="90" t="inlineStr">
        <is>
          <t>30 申請受付</t>
        </is>
      </c>
      <c r="F287" s="90" t="n"/>
      <c r="G287" s="90" t="n"/>
      <c r="H287" s="91" t="n">
        <v>46152</v>
      </c>
      <c r="I287" s="92" t="n">
        <v>46282</v>
      </c>
      <c r="J287" s="91" t="n">
        <v>46283</v>
      </c>
      <c r="K287" s="90" t="n"/>
      <c r="L287" s="90" t="n"/>
      <c r="M287" s="90" t="n"/>
      <c r="N287" s="90" t="n"/>
      <c r="O287" s="90" t="inlineStr">
        <is>
          <t>20 申請受付</t>
        </is>
      </c>
      <c r="P287" s="90" t="n"/>
      <c r="Q287" s="90" t="n"/>
      <c r="R287" s="90" t="n"/>
      <c r="S287" s="90" t="n"/>
      <c r="T287" s="90" t="n"/>
      <c r="U287" s="90" t="n"/>
      <c r="V287" s="90" t="n"/>
      <c r="W287" s="90" t="n"/>
      <c r="X287" s="90" t="n"/>
      <c r="Y287" s="90" t="n"/>
      <c r="Z287" s="90" t="n"/>
      <c r="AA287" s="90" t="n"/>
      <c r="AB287" s="90" t="n">
        <v>23</v>
      </c>
      <c r="AC287" s="90" t="n">
        <v>1</v>
      </c>
      <c r="AD287" s="93" t="inlineStr">
        <is>
          <t>増</t>
        </is>
      </c>
      <c r="AE287" s="90" t="inlineStr">
        <is>
          <t>23 結婚</t>
        </is>
      </c>
      <c r="AF287" s="90" t="n"/>
      <c r="AG287" s="90" t="n"/>
      <c r="AH287" s="90" t="n"/>
      <c r="AI287" s="90" t="n"/>
      <c r="AJ287" s="90" t="n"/>
      <c r="AK287" s="90" t="n"/>
      <c r="AL287" s="94">
        <f>IF(A287="","",IF(COUNTIF(A287:A$2001,A287)=1,1,0))</f>
        <v/>
      </c>
      <c r="AM287" s="94">
        <f>IF(I287="","",TODAY()-I287)</f>
        <v/>
      </c>
      <c r="AN287" s="94">
        <f>IF(A287="","",IF(AND(E287&lt;&gt;"33 確認済",E287&lt;&gt;"36 送付中"),1,0))</f>
        <v/>
      </c>
      <c r="AO287" s="94">
        <f>IF(A287="","",IF(AG287&lt;&gt;"",1,0))</f>
        <v/>
      </c>
      <c r="AP287" s="220">
        <f>IF(P287&lt;&gt;"","・添待ち","")&amp;IF(Q287&lt;&gt;"","・住民票","")&amp;IF(R287&lt;&gt;"","・発信","")&amp;IF(S287&lt;&gt;"","・確認事項","")&amp;IF(T287&lt;&gt;"","・管","")&amp;IF(U287&lt;&gt;"","・SV","")&amp;IF(V287&lt;&gt;"","・データ送付待ち","")&amp;IF(W287&lt;&gt;"","・削除","")</f>
        <v/>
      </c>
    </row>
    <row r="288" ht="15" customHeight="1" s="87">
      <c r="A288" s="90" t="n">
        <v>202660001451</v>
      </c>
      <c r="B288" s="90" t="n"/>
      <c r="C288" s="90" t="n"/>
      <c r="D288" s="90" t="n">
        <v>31</v>
      </c>
      <c r="E288" s="90" t="inlineStr">
        <is>
          <t>31 ＯＰ確認中</t>
        </is>
      </c>
      <c r="F288" s="90" t="n"/>
      <c r="G288" s="90" t="n"/>
      <c r="H288" s="91" t="n">
        <v>46276</v>
      </c>
      <c r="I288" s="92" t="n">
        <v>46282</v>
      </c>
      <c r="J288" s="91" t="n">
        <v>46289</v>
      </c>
      <c r="K288" s="91" t="n">
        <v>46289</v>
      </c>
      <c r="L288" s="90" t="n"/>
      <c r="M288" s="90" t="n"/>
      <c r="N288" s="90" t="n"/>
      <c r="O288" s="90" t="inlineStr">
        <is>
          <t>21 担当者登録</t>
        </is>
      </c>
      <c r="P288" s="90" t="n"/>
      <c r="Q288" s="90" t="n"/>
      <c r="R288" s="90" t="n"/>
      <c r="S288" s="90" t="n"/>
      <c r="T288" s="90" t="n"/>
      <c r="U288" s="90" t="n"/>
      <c r="V288" s="90" t="n"/>
      <c r="W288" s="90" t="n"/>
      <c r="X288" s="90" t="n"/>
      <c r="Y288" s="90" t="n"/>
      <c r="Z288" s="90" t="n"/>
      <c r="AA288" s="90" t="n"/>
      <c r="AB288" s="90" t="n">
        <v>21</v>
      </c>
      <c r="AC288" s="90" t="n">
        <v>1</v>
      </c>
      <c r="AD288" s="93" t="inlineStr">
        <is>
          <t>増</t>
        </is>
      </c>
      <c r="AE288" s="90" t="inlineStr">
        <is>
          <t>21 出生</t>
        </is>
      </c>
      <c r="AF288" s="93" t="inlineStr">
        <is>
          <t>増</t>
        </is>
      </c>
      <c r="AG288" s="93" t="inlineStr">
        <is>
          <t>増</t>
        </is>
      </c>
      <c r="AH288" s="93" t="inlineStr">
        <is>
          <t>増</t>
        </is>
      </c>
      <c r="AI288" s="90" t="n"/>
      <c r="AJ288" s="90" t="n"/>
      <c r="AK288" s="90" t="n"/>
      <c r="AL288" s="94">
        <f>IF(A288="","",IF(COUNTIF(A288:A$2001,A288)=1,1,0))</f>
        <v/>
      </c>
      <c r="AM288" s="94">
        <f>IF(I288="","",TODAY()-I288)</f>
        <v/>
      </c>
      <c r="AN288" s="94">
        <f>IF(A288="","",IF(AND(E288&lt;&gt;"33 確認済",E288&lt;&gt;"36 送付中"),1,0))</f>
        <v/>
      </c>
      <c r="AO288" s="94">
        <f>IF(A288="","",IF(AG288&lt;&gt;"",1,0))</f>
        <v/>
      </c>
      <c r="AP288" s="220">
        <f>IF(P288&lt;&gt;"","・添待ち","")&amp;IF(Q288&lt;&gt;"","・住民票","")&amp;IF(R288&lt;&gt;"","・発信","")&amp;IF(S288&lt;&gt;"","・確認事項","")&amp;IF(T288&lt;&gt;"","・管","")&amp;IF(U288&lt;&gt;"","・SV","")&amp;IF(V288&lt;&gt;"","・データ送付待ち","")&amp;IF(W288&lt;&gt;"","・削除","")</f>
        <v/>
      </c>
    </row>
    <row r="289" ht="15" customHeight="1" s="87">
      <c r="A289" s="90" t="n">
        <v>202660001452</v>
      </c>
      <c r="B289" s="90" t="n"/>
      <c r="C289" s="90" t="n"/>
      <c r="D289" s="90" t="n">
        <v>30</v>
      </c>
      <c r="E289" s="90" t="inlineStr">
        <is>
          <t>30 申請受付</t>
        </is>
      </c>
      <c r="F289" s="90" t="n"/>
      <c r="G289" s="90" t="n"/>
      <c r="H289" s="91" t="n">
        <v>46143</v>
      </c>
      <c r="I289" s="92" t="n">
        <v>46282</v>
      </c>
      <c r="J289" s="91" t="n">
        <v>46289</v>
      </c>
      <c r="K289" s="90" t="n"/>
      <c r="L289" s="90" t="n"/>
      <c r="M289" s="90" t="n"/>
      <c r="N289" s="90" t="n"/>
      <c r="O289" s="90" t="inlineStr">
        <is>
          <t>20 申請受付</t>
        </is>
      </c>
      <c r="P289" s="90" t="n"/>
      <c r="Q289" s="90" t="n"/>
      <c r="R289" s="90" t="n"/>
      <c r="S289" s="90" t="n"/>
      <c r="T289" s="90" t="n"/>
      <c r="U289" s="90" t="n"/>
      <c r="V289" s="90" t="n"/>
      <c r="W289" s="90" t="n"/>
      <c r="X289" s="90" t="n"/>
      <c r="Y289" s="90" t="n"/>
      <c r="Z289" s="90" t="n"/>
      <c r="AA289" s="90" t="n"/>
      <c r="AB289" s="90" t="n">
        <v>51</v>
      </c>
      <c r="AC289" s="90" t="n">
        <v>0</v>
      </c>
      <c r="AD289" s="93" t="inlineStr">
        <is>
          <t>減</t>
        </is>
      </c>
      <c r="AE289" s="90" t="inlineStr">
        <is>
          <t>51 収入限度額以上</t>
        </is>
      </c>
      <c r="AF289" s="90" t="n"/>
      <c r="AG289" s="90" t="n"/>
      <c r="AH289" s="93" t="inlineStr">
        <is>
          <t>減</t>
        </is>
      </c>
      <c r="AI289" s="90" t="n"/>
      <c r="AJ289" s="90" t="n"/>
      <c r="AK289" s="90" t="n"/>
      <c r="AL289" s="94">
        <f>IF(A289="","",IF(COUNTIF(A289:A$2001,A289)=1,1,0))</f>
        <v/>
      </c>
      <c r="AM289" s="94">
        <f>IF(I289="","",TODAY()-I289)</f>
        <v/>
      </c>
      <c r="AN289" s="94">
        <f>IF(A289="","",IF(AND(E289&lt;&gt;"33 確認済",E289&lt;&gt;"36 送付中"),1,0))</f>
        <v/>
      </c>
      <c r="AO289" s="94">
        <f>IF(A289="","",IF(AG289&lt;&gt;"",1,0))</f>
        <v/>
      </c>
      <c r="AP289" s="220">
        <f>IF(P289&lt;&gt;"","・添待ち","")&amp;IF(Q289&lt;&gt;"","・住民票","")&amp;IF(R289&lt;&gt;"","・発信","")&amp;IF(S289&lt;&gt;"","・確認事項","")&amp;IF(T289&lt;&gt;"","・管","")&amp;IF(U289&lt;&gt;"","・SV","")&amp;IF(V289&lt;&gt;"","・データ送付待ち","")&amp;IF(W289&lt;&gt;"","・削除","")</f>
        <v/>
      </c>
    </row>
    <row r="290" ht="15" customHeight="1" s="87">
      <c r="A290" s="90" t="n">
        <v>202660001453</v>
      </c>
      <c r="B290" s="90" t="n"/>
      <c r="C290" s="90" t="n"/>
      <c r="D290" s="90" t="n">
        <v>30</v>
      </c>
      <c r="E290" s="90" t="inlineStr">
        <is>
          <t>30 申請受付</t>
        </is>
      </c>
      <c r="F290" s="90" t="n"/>
      <c r="G290" s="90" t="n"/>
      <c r="H290" s="91" t="n">
        <v>46222</v>
      </c>
      <c r="I290" s="92" t="n">
        <v>46282</v>
      </c>
      <c r="J290" s="91" t="n">
        <v>46283</v>
      </c>
      <c r="K290" s="90" t="n"/>
      <c r="L290" s="90" t="n"/>
      <c r="M290" s="90" t="n"/>
      <c r="N290" s="90" t="n"/>
      <c r="O290" s="90" t="inlineStr">
        <is>
          <t>20 申請受付</t>
        </is>
      </c>
      <c r="P290" s="90" t="n"/>
      <c r="Q290" s="90" t="n"/>
      <c r="R290" s="90" t="n"/>
      <c r="S290" s="90" t="n"/>
      <c r="T290" s="90" t="n"/>
      <c r="U290" s="90" t="n"/>
      <c r="V290" s="90" t="n"/>
      <c r="W290" s="90" t="n"/>
      <c r="X290" s="90" t="n"/>
      <c r="Y290" s="90" t="n"/>
      <c r="Z290" s="90" t="n"/>
      <c r="AA290" s="90" t="n"/>
      <c r="AB290" s="90" t="n">
        <v>23</v>
      </c>
      <c r="AC290" s="90" t="n">
        <v>1</v>
      </c>
      <c r="AD290" s="93" t="inlineStr">
        <is>
          <t>増</t>
        </is>
      </c>
      <c r="AE290" s="90" t="inlineStr">
        <is>
          <t>23 本人の結婚</t>
        </is>
      </c>
      <c r="AF290" s="90" t="n"/>
      <c r="AG290" s="90" t="n"/>
      <c r="AH290" s="90" t="n"/>
      <c r="AI290" s="90" t="n"/>
      <c r="AJ290" s="90" t="n"/>
      <c r="AK290" s="90" t="n"/>
      <c r="AL290" s="94">
        <f>IF(A290="","",IF(COUNTIF(A290:A$2001,A290)=1,1,0))</f>
        <v/>
      </c>
      <c r="AM290" s="94">
        <f>IF(I290="","",TODAY()-I290)</f>
        <v/>
      </c>
      <c r="AN290" s="94">
        <f>IF(A290="","",IF(AND(E290&lt;&gt;"33 確認済",E290&lt;&gt;"36 送付中"),1,0))</f>
        <v/>
      </c>
      <c r="AO290" s="94">
        <f>IF(A290="","",IF(AG290&lt;&gt;"",1,0))</f>
        <v/>
      </c>
      <c r="AP290" s="220">
        <f>IF(P290&lt;&gt;"","・添待ち","")&amp;IF(Q290&lt;&gt;"","・住民票","")&amp;IF(R290&lt;&gt;"","・発信","")&amp;IF(S290&lt;&gt;"","・確認事項","")&amp;IF(T290&lt;&gt;"","・管","")&amp;IF(U290&lt;&gt;"","・SV","")&amp;IF(V290&lt;&gt;"","・データ送付待ち","")&amp;IF(W290&lt;&gt;"","・削除","")</f>
        <v/>
      </c>
    </row>
    <row r="291" ht="15" customHeight="1" s="87">
      <c r="A291" s="90" t="n">
        <v>202660001453</v>
      </c>
      <c r="B291" s="90" t="n"/>
      <c r="C291" s="90" t="n"/>
      <c r="D291" s="90" t="n">
        <v>30</v>
      </c>
      <c r="E291" s="90" t="inlineStr">
        <is>
          <t>30 申請受付</t>
        </is>
      </c>
      <c r="F291" s="90" t="n"/>
      <c r="G291" s="90" t="n"/>
      <c r="H291" s="91" t="n">
        <v>46222</v>
      </c>
      <c r="I291" s="92" t="n">
        <v>46282</v>
      </c>
      <c r="J291" s="91" t="n">
        <v>46283</v>
      </c>
      <c r="K291" s="90" t="n"/>
      <c r="L291" s="90" t="n"/>
      <c r="M291" s="90" t="n"/>
      <c r="N291" s="90" t="n"/>
      <c r="O291" s="90" t="inlineStr">
        <is>
          <t>20 申請受付</t>
        </is>
      </c>
      <c r="P291" s="90" t="n"/>
      <c r="Q291" s="90" t="n"/>
      <c r="R291" s="90" t="n"/>
      <c r="S291" s="90" t="n"/>
      <c r="T291" s="90" t="n"/>
      <c r="U291" s="90" t="n"/>
      <c r="V291" s="90" t="n"/>
      <c r="W291" s="90" t="n"/>
      <c r="X291" s="90" t="n"/>
      <c r="Y291" s="90" t="n"/>
      <c r="Z291" s="90" t="n"/>
      <c r="AA291" s="90" t="n"/>
      <c r="AB291" s="90" t="n">
        <v>23</v>
      </c>
      <c r="AC291" s="90" t="n">
        <v>1</v>
      </c>
      <c r="AD291" s="93" t="inlineStr">
        <is>
          <t>増</t>
        </is>
      </c>
      <c r="AE291" s="90" t="inlineStr">
        <is>
          <t>23 結婚</t>
        </is>
      </c>
      <c r="AF291" s="90" t="n"/>
      <c r="AG291" s="90" t="n"/>
      <c r="AH291" s="90" t="n"/>
      <c r="AI291" s="90" t="n"/>
      <c r="AJ291" s="90" t="n"/>
      <c r="AK291" s="90" t="n"/>
      <c r="AL291" s="94">
        <f>IF(A291="","",IF(COUNTIF(A291:A$2001,A291)=1,1,0))</f>
        <v/>
      </c>
      <c r="AM291" s="94">
        <f>IF(I291="","",TODAY()-I291)</f>
        <v/>
      </c>
      <c r="AN291" s="94">
        <f>IF(A291="","",IF(AND(E291&lt;&gt;"33 確認済",E291&lt;&gt;"36 送付中"),1,0))</f>
        <v/>
      </c>
      <c r="AO291" s="94">
        <f>IF(A291="","",IF(AG291&lt;&gt;"",1,0))</f>
        <v/>
      </c>
      <c r="AP291" s="220">
        <f>IF(P291&lt;&gt;"","・添待ち","")&amp;IF(Q291&lt;&gt;"","・住民票","")&amp;IF(R291&lt;&gt;"","・発信","")&amp;IF(S291&lt;&gt;"","・確認事項","")&amp;IF(T291&lt;&gt;"","・管","")&amp;IF(U291&lt;&gt;"","・SV","")&amp;IF(V291&lt;&gt;"","・データ送付待ち","")&amp;IF(W291&lt;&gt;"","・削除","")</f>
        <v/>
      </c>
    </row>
    <row r="292" ht="15" customHeight="1" s="87">
      <c r="A292" s="90" t="n">
        <v>202660001455</v>
      </c>
      <c r="B292" s="90" t="n"/>
      <c r="C292" s="90" t="n"/>
      <c r="D292" s="90" t="n">
        <v>20</v>
      </c>
      <c r="E292" s="90" t="inlineStr">
        <is>
          <t>20 確認待ち</t>
        </is>
      </c>
      <c r="F292" s="90" t="n"/>
      <c r="G292" s="90" t="n"/>
      <c r="H292" s="91" t="n">
        <v>46289</v>
      </c>
      <c r="I292" s="92" t="n">
        <v>46289</v>
      </c>
      <c r="J292" s="90" t="n"/>
      <c r="K292" s="90" t="n"/>
      <c r="L292" s="90" t="n"/>
      <c r="M292" s="90" t="n"/>
      <c r="N292" s="90" t="n"/>
      <c r="O292" s="90" t="inlineStr">
        <is>
          <t>10 申請</t>
        </is>
      </c>
      <c r="P292" s="90" t="n"/>
      <c r="Q292" s="90" t="n"/>
      <c r="R292" s="90" t="n"/>
      <c r="S292" s="90" t="n"/>
      <c r="T292" s="90" t="n"/>
      <c r="U292" s="90" t="n"/>
      <c r="V292" s="90" t="n"/>
      <c r="W292" s="90" t="n"/>
      <c r="X292" s="90" t="n"/>
      <c r="Y292" s="90" t="n"/>
      <c r="Z292" s="90" t="n"/>
      <c r="AA292" s="90" t="n"/>
      <c r="AB292" s="90" t="n">
        <v>51</v>
      </c>
      <c r="AC292" s="90" t="n">
        <v>0</v>
      </c>
      <c r="AD292" s="93" t="inlineStr">
        <is>
          <t>減</t>
        </is>
      </c>
      <c r="AE292" s="90" t="inlineStr">
        <is>
          <t>51 収入限度額以上</t>
        </is>
      </c>
      <c r="AF292" s="90" t="n"/>
      <c r="AG292" s="90" t="n"/>
      <c r="AH292" s="93" t="inlineStr">
        <is>
          <t>減</t>
        </is>
      </c>
      <c r="AI292" s="90" t="n"/>
      <c r="AJ292" s="90" t="n"/>
      <c r="AK292" s="90" t="n"/>
      <c r="AL292" s="94">
        <f>IF(A292="","",IF(COUNTIF(A292:A$2001,A292)=1,1,0))</f>
        <v/>
      </c>
      <c r="AM292" s="94">
        <f>IF(I292="","",TODAY()-I292)</f>
        <v/>
      </c>
      <c r="AN292" s="94">
        <f>IF(A292="","",IF(AND(E292&lt;&gt;"33 確認済",E292&lt;&gt;"36 送付中"),1,0))</f>
        <v/>
      </c>
      <c r="AO292" s="94">
        <f>IF(A292="","",IF(AG292&lt;&gt;"",1,0))</f>
        <v/>
      </c>
      <c r="AP292" s="220">
        <f>IF(P292&lt;&gt;"","・添待ち","")&amp;IF(Q292&lt;&gt;"","・住民票","")&amp;IF(R292&lt;&gt;"","・発信","")&amp;IF(S292&lt;&gt;"","・確認事項","")&amp;IF(T292&lt;&gt;"","・管","")&amp;IF(U292&lt;&gt;"","・SV","")&amp;IF(V292&lt;&gt;"","・データ送付待ち","")&amp;IF(W292&lt;&gt;"","・削除","")</f>
        <v/>
      </c>
    </row>
    <row r="293" ht="15" customHeight="1" s="87">
      <c r="A293" s="90" t="n">
        <v>202660001456</v>
      </c>
      <c r="B293" s="90" t="n"/>
      <c r="C293" s="90" t="n"/>
      <c r="D293" s="90" t="n">
        <v>31</v>
      </c>
      <c r="E293" s="90" t="inlineStr">
        <is>
          <t>31 ＯＰ確認中</t>
        </is>
      </c>
      <c r="F293" s="90" t="n"/>
      <c r="G293" s="90" t="n"/>
      <c r="H293" s="91" t="n">
        <v>46112</v>
      </c>
      <c r="I293" s="92" t="n">
        <v>46282</v>
      </c>
      <c r="J293" s="91" t="n">
        <v>46289</v>
      </c>
      <c r="K293" s="91" t="n">
        <v>46289</v>
      </c>
      <c r="L293" s="90" t="n"/>
      <c r="M293" s="90" t="n"/>
      <c r="N293" s="90" t="n"/>
      <c r="O293" s="90" t="inlineStr">
        <is>
          <t>22 担当者変更</t>
        </is>
      </c>
      <c r="P293" s="90" t="n"/>
      <c r="Q293" s="90" t="n"/>
      <c r="R293" s="90" t="n"/>
      <c r="S293" s="90" t="n"/>
      <c r="T293" s="90" t="n"/>
      <c r="U293" s="90" t="n"/>
      <c r="V293" s="90" t="n"/>
      <c r="W293" s="90" t="n"/>
      <c r="X293" s="90" t="n"/>
      <c r="Y293" s="90" t="n"/>
      <c r="Z293" s="90" t="n"/>
      <c r="AA293" s="90" t="n"/>
      <c r="AB293" s="90" t="n">
        <v>28</v>
      </c>
      <c r="AC293" s="90" t="n">
        <v>3</v>
      </c>
      <c r="AD293" s="93" t="inlineStr">
        <is>
          <t>減</t>
        </is>
      </c>
      <c r="AE293" s="90" t="n"/>
      <c r="AF293" s="90" t="n"/>
      <c r="AG293" s="90" t="n"/>
      <c r="AH293" s="90" t="n"/>
      <c r="AI293" s="90" t="n"/>
      <c r="AJ293" s="90" t="n"/>
      <c r="AK293" s="90" t="n"/>
      <c r="AL293" s="94">
        <f>IF(A293="","",IF(COUNTIF(A293:A$2001,A293)=1,1,0))</f>
        <v/>
      </c>
      <c r="AM293" s="94">
        <f>IF(I293="","",TODAY()-I293)</f>
        <v/>
      </c>
      <c r="AN293" s="94">
        <f>IF(A293="","",IF(AND(E293&lt;&gt;"33 確認済",E293&lt;&gt;"36 送付中"),1,0))</f>
        <v/>
      </c>
      <c r="AO293" s="94">
        <f>IF(A293="","",IF(AG293&lt;&gt;"",1,0))</f>
        <v/>
      </c>
      <c r="AP293" s="220">
        <f>IF(P293&lt;&gt;"","・添待ち","")&amp;IF(Q293&lt;&gt;"","・住民票","")&amp;IF(R293&lt;&gt;"","・発信","")&amp;IF(S293&lt;&gt;"","・確認事項","")&amp;IF(T293&lt;&gt;"","・管","")&amp;IF(U293&lt;&gt;"","・SV","")&amp;IF(V293&lt;&gt;"","・データ送付待ち","")&amp;IF(W293&lt;&gt;"","・削除","")</f>
        <v/>
      </c>
    </row>
    <row r="294" ht="15" customHeight="1" s="87">
      <c r="A294" s="90" t="n">
        <v>202660001457</v>
      </c>
      <c r="B294" s="90" t="n"/>
      <c r="C294" s="90" t="n"/>
      <c r="D294" s="90" t="n">
        <v>30</v>
      </c>
      <c r="E294" s="90" t="inlineStr">
        <is>
          <t>30 申請受付</t>
        </is>
      </c>
      <c r="F294" s="90" t="n"/>
      <c r="G294" s="90" t="n"/>
      <c r="H294" s="91" t="n">
        <v>46275</v>
      </c>
      <c r="I294" s="92" t="n">
        <v>46282</v>
      </c>
      <c r="J294" s="91" t="n">
        <v>46283</v>
      </c>
      <c r="K294" s="90" t="n"/>
      <c r="L294" s="90" t="n"/>
      <c r="M294" s="90" t="n"/>
      <c r="N294" s="90" t="n"/>
      <c r="O294" s="90" t="inlineStr">
        <is>
          <t>20 申請受付</t>
        </is>
      </c>
      <c r="P294" s="90" t="n"/>
      <c r="Q294" s="90" t="n"/>
      <c r="R294" s="90" t="n"/>
      <c r="S294" s="90" t="n"/>
      <c r="T294" s="90" t="n"/>
      <c r="U294" s="90" t="n"/>
      <c r="V294" s="90" t="n"/>
      <c r="W294" s="90" t="n"/>
      <c r="X294" s="90" t="n"/>
      <c r="Y294" s="90" t="n"/>
      <c r="Z294" s="90" t="n"/>
      <c r="AA294" s="90" t="n"/>
      <c r="AB294" s="90" t="n">
        <v>23</v>
      </c>
      <c r="AC294" s="90" t="n">
        <v>1</v>
      </c>
      <c r="AD294" s="93" t="inlineStr">
        <is>
          <t>増</t>
        </is>
      </c>
      <c r="AE294" s="90" t="inlineStr">
        <is>
          <t>23 本人の結婚</t>
        </is>
      </c>
      <c r="AF294" s="90" t="n"/>
      <c r="AG294" s="90" t="n"/>
      <c r="AH294" s="90" t="n"/>
      <c r="AI294" s="90" t="n"/>
      <c r="AJ294" s="90" t="n"/>
      <c r="AK294" s="90" t="n"/>
      <c r="AL294" s="94">
        <f>IF(A294="","",IF(COUNTIF(A294:A$2001,A294)=1,1,0))</f>
        <v/>
      </c>
      <c r="AM294" s="94">
        <f>IF(I294="","",TODAY()-I294)</f>
        <v/>
      </c>
      <c r="AN294" s="94">
        <f>IF(A294="","",IF(AND(E294&lt;&gt;"33 確認済",E294&lt;&gt;"36 送付中"),1,0))</f>
        <v/>
      </c>
      <c r="AO294" s="94">
        <f>IF(A294="","",IF(AG294&lt;&gt;"",1,0))</f>
        <v/>
      </c>
      <c r="AP294" s="220">
        <f>IF(P294&lt;&gt;"","・添待ち","")&amp;IF(Q294&lt;&gt;"","・住民票","")&amp;IF(R294&lt;&gt;"","・発信","")&amp;IF(S294&lt;&gt;"","・確認事項","")&amp;IF(T294&lt;&gt;"","・管","")&amp;IF(U294&lt;&gt;"","・SV","")&amp;IF(V294&lt;&gt;"","・データ送付待ち","")&amp;IF(W294&lt;&gt;"","・削除","")</f>
        <v/>
      </c>
    </row>
    <row r="295" ht="15" customHeight="1" s="87">
      <c r="A295" s="90" t="n">
        <v>202660001457</v>
      </c>
      <c r="B295" s="90" t="n"/>
      <c r="C295" s="90" t="n"/>
      <c r="D295" s="90" t="n">
        <v>30</v>
      </c>
      <c r="E295" s="90" t="inlineStr">
        <is>
          <t>30 申請受付</t>
        </is>
      </c>
      <c r="F295" s="90" t="n"/>
      <c r="G295" s="90" t="n"/>
      <c r="H295" s="91" t="n">
        <v>46275</v>
      </c>
      <c r="I295" s="92" t="n">
        <v>46282</v>
      </c>
      <c r="J295" s="91" t="n">
        <v>46283</v>
      </c>
      <c r="K295" s="90" t="n"/>
      <c r="L295" s="90" t="n"/>
      <c r="M295" s="90" t="n"/>
      <c r="N295" s="90" t="n"/>
      <c r="O295" s="90" t="inlineStr">
        <is>
          <t>20 申請受付</t>
        </is>
      </c>
      <c r="P295" s="90" t="n"/>
      <c r="Q295" s="90" t="n"/>
      <c r="R295" s="90" t="n"/>
      <c r="S295" s="90" t="n"/>
      <c r="T295" s="90" t="n"/>
      <c r="U295" s="90" t="n"/>
      <c r="V295" s="90" t="n"/>
      <c r="W295" s="90" t="n"/>
      <c r="X295" s="90" t="n"/>
      <c r="Y295" s="90" t="n"/>
      <c r="Z295" s="90" t="n"/>
      <c r="AA295" s="90" t="n"/>
      <c r="AB295" s="90" t="n">
        <v>23</v>
      </c>
      <c r="AC295" s="90" t="n">
        <v>1</v>
      </c>
      <c r="AD295" s="93" t="inlineStr">
        <is>
          <t>増</t>
        </is>
      </c>
      <c r="AE295" s="90" t="inlineStr">
        <is>
          <t>23 結婚</t>
        </is>
      </c>
      <c r="AF295" s="90" t="n"/>
      <c r="AG295" s="90" t="n"/>
      <c r="AH295" s="90" t="n"/>
      <c r="AI295" s="90" t="n"/>
      <c r="AJ295" s="90" t="n"/>
      <c r="AK295" s="90" t="n"/>
      <c r="AL295" s="94">
        <f>IF(A295="","",IF(COUNTIF(A295:A$2001,A295)=1,1,0))</f>
        <v/>
      </c>
      <c r="AM295" s="94">
        <f>IF(I295="","",TODAY()-I295)</f>
        <v/>
      </c>
      <c r="AN295" s="94">
        <f>IF(A295="","",IF(AND(E295&lt;&gt;"33 確認済",E295&lt;&gt;"36 送付中"),1,0))</f>
        <v/>
      </c>
      <c r="AO295" s="94">
        <f>IF(A295="","",IF(AG295&lt;&gt;"",1,0))</f>
        <v/>
      </c>
      <c r="AP295" s="220">
        <f>IF(P295&lt;&gt;"","・添待ち","")&amp;IF(Q295&lt;&gt;"","・住民票","")&amp;IF(R295&lt;&gt;"","・発信","")&amp;IF(S295&lt;&gt;"","・確認事項","")&amp;IF(T295&lt;&gt;"","・管","")&amp;IF(U295&lt;&gt;"","・SV","")&amp;IF(V295&lt;&gt;"","・データ送付待ち","")&amp;IF(W295&lt;&gt;"","・削除","")</f>
        <v/>
      </c>
    </row>
    <row r="296" ht="15" customHeight="1" s="87">
      <c r="A296" s="90" t="n">
        <v>202660001459</v>
      </c>
      <c r="B296" s="90" t="n"/>
      <c r="C296" s="90" t="n"/>
      <c r="D296" s="90" t="n">
        <v>20</v>
      </c>
      <c r="E296" s="90" t="inlineStr">
        <is>
          <t>20 確認待ち</t>
        </is>
      </c>
      <c r="F296" s="90" t="n"/>
      <c r="G296" s="90" t="n"/>
      <c r="H296" s="91" t="n">
        <v>46266</v>
      </c>
      <c r="I296" s="92" t="n">
        <v>46283</v>
      </c>
      <c r="J296" s="90" t="n"/>
      <c r="K296" s="90" t="n"/>
      <c r="L296" s="90" t="n"/>
      <c r="M296" s="90" t="n"/>
      <c r="N296" s="90" t="n"/>
      <c r="O296" s="90" t="inlineStr">
        <is>
          <t>10 申請</t>
        </is>
      </c>
      <c r="P296" s="93" t="inlineStr">
        <is>
          <t>添</t>
        </is>
      </c>
      <c r="Q296" s="90" t="n"/>
      <c r="R296" s="90" t="n"/>
      <c r="S296" s="90" t="n"/>
      <c r="T296" s="90" t="n"/>
      <c r="U296" s="90" t="n"/>
      <c r="V296" s="90" t="n"/>
      <c r="W296" s="90" t="n"/>
      <c r="X296" s="90" t="n"/>
      <c r="Y296" s="90" t="n"/>
      <c r="Z296" s="90" t="n"/>
      <c r="AA296" s="90" t="n"/>
      <c r="AB296" s="90" t="n">
        <v>22</v>
      </c>
      <c r="AC296" s="90" t="n">
        <v>1</v>
      </c>
      <c r="AD296" s="93" t="inlineStr">
        <is>
          <t>増</t>
        </is>
      </c>
      <c r="AE296" s="90" t="inlineStr">
        <is>
          <t>22 扶養親族の退職</t>
        </is>
      </c>
      <c r="AF296" s="90" t="n"/>
      <c r="AG296" s="93" t="inlineStr">
        <is>
          <t>増</t>
        </is>
      </c>
      <c r="AH296" s="90" t="n"/>
      <c r="AI296" s="90" t="n"/>
      <c r="AJ296" s="90" t="n"/>
      <c r="AK296" s="90" t="n"/>
      <c r="AL296" s="94">
        <f>IF(A296="","",IF(COUNTIF(A296:A$2001,A296)=1,1,0))</f>
        <v/>
      </c>
      <c r="AM296" s="94">
        <f>IF(I296="","",TODAY()-I296)</f>
        <v/>
      </c>
      <c r="AN296" s="94">
        <f>IF(A296="","",IF(AND(E296&lt;&gt;"33 確認済",E296&lt;&gt;"36 送付中"),1,0))</f>
        <v/>
      </c>
      <c r="AO296" s="94">
        <f>IF(A296="","",IF(AG296&lt;&gt;"",1,0))</f>
        <v/>
      </c>
      <c r="AP296" s="220">
        <f>IF(P296&lt;&gt;"","・添待ち","")&amp;IF(Q296&lt;&gt;"","・住民票","")&amp;IF(R296&lt;&gt;"","・発信","")&amp;IF(S296&lt;&gt;"","・確認事項","")&amp;IF(T296&lt;&gt;"","・管","")&amp;IF(U296&lt;&gt;"","・SV","")&amp;IF(V296&lt;&gt;"","・データ送付待ち","")&amp;IF(W296&lt;&gt;"","・削除","")</f>
        <v/>
      </c>
    </row>
    <row r="297" ht="15" customHeight="1" s="87">
      <c r="A297" s="90" t="n">
        <v>202660001460</v>
      </c>
      <c r="B297" s="90" t="n"/>
      <c r="C297" s="90" t="n"/>
      <c r="D297" s="90" t="n">
        <v>20</v>
      </c>
      <c r="E297" s="90" t="inlineStr">
        <is>
          <t>20 確認待ち</t>
        </is>
      </c>
      <c r="F297" s="90" t="n"/>
      <c r="G297" s="90" t="n"/>
      <c r="H297" s="91" t="n">
        <v>46023</v>
      </c>
      <c r="I297" s="92" t="n">
        <v>46283</v>
      </c>
      <c r="J297" s="90" t="n"/>
      <c r="K297" s="90" t="n"/>
      <c r="L297" s="90" t="n"/>
      <c r="M297" s="90" t="n"/>
      <c r="N297" s="90" t="n"/>
      <c r="O297" s="90" t="inlineStr">
        <is>
          <t>10 申請</t>
        </is>
      </c>
      <c r="P297" s="93" t="inlineStr">
        <is>
          <t>添</t>
        </is>
      </c>
      <c r="Q297" s="90" t="n"/>
      <c r="R297" s="90" t="n"/>
      <c r="S297" s="90" t="n"/>
      <c r="T297" s="90" t="n"/>
      <c r="U297" s="90" t="n"/>
      <c r="V297" s="90" t="n"/>
      <c r="W297" s="90" t="n"/>
      <c r="X297" s="90" t="n"/>
      <c r="Y297" s="90" t="n"/>
      <c r="Z297" s="90" t="n"/>
      <c r="AA297" s="90" t="n"/>
      <c r="AB297" s="90" t="n">
        <v>25</v>
      </c>
      <c r="AC297" s="90" t="n">
        <v>1</v>
      </c>
      <c r="AD297" s="93" t="inlineStr">
        <is>
          <t>増</t>
        </is>
      </c>
      <c r="AE297" s="90" t="inlineStr">
        <is>
          <t>25 育休</t>
        </is>
      </c>
      <c r="AF297" s="90" t="n"/>
      <c r="AG297" s="90" t="n"/>
      <c r="AH297" s="93" t="inlineStr">
        <is>
          <t>増</t>
        </is>
      </c>
      <c r="AI297" s="90" t="n"/>
      <c r="AJ297" s="90" t="n"/>
      <c r="AK297" s="90" t="n"/>
      <c r="AL297" s="94">
        <f>IF(A297="","",IF(COUNTIF(A297:A$2001,A297)=1,1,0))</f>
        <v/>
      </c>
      <c r="AM297" s="94">
        <f>IF(I297="","",TODAY()-I297)</f>
        <v/>
      </c>
      <c r="AN297" s="94">
        <f>IF(A297="","",IF(AND(E297&lt;&gt;"33 確認済",E297&lt;&gt;"36 送付中"),1,0))</f>
        <v/>
      </c>
      <c r="AO297" s="94">
        <f>IF(A297="","",IF(AG297&lt;&gt;"",1,0))</f>
        <v/>
      </c>
      <c r="AP297" s="220">
        <f>IF(P297&lt;&gt;"","・添待ち","")&amp;IF(Q297&lt;&gt;"","・住民票","")&amp;IF(R297&lt;&gt;"","・発信","")&amp;IF(S297&lt;&gt;"","・確認事項","")&amp;IF(T297&lt;&gt;"","・管","")&amp;IF(U297&lt;&gt;"","・SV","")&amp;IF(V297&lt;&gt;"","・データ送付待ち","")&amp;IF(W297&lt;&gt;"","・削除","")</f>
        <v/>
      </c>
    </row>
    <row r="298" ht="15" customHeight="1" s="87">
      <c r="A298" s="90" t="n">
        <v>202660001461</v>
      </c>
      <c r="B298" s="90" t="n"/>
      <c r="C298" s="90" t="n"/>
      <c r="D298" s="90" t="n">
        <v>31</v>
      </c>
      <c r="E298" s="90" t="inlineStr">
        <is>
          <t>31 ＯＰ確認中</t>
        </is>
      </c>
      <c r="F298" s="90" t="n"/>
      <c r="G298" s="90" t="n"/>
      <c r="H298" s="91" t="n">
        <v>46255</v>
      </c>
      <c r="I298" s="92" t="n">
        <v>46282</v>
      </c>
      <c r="J298" s="91" t="n">
        <v>46289</v>
      </c>
      <c r="K298" s="91" t="n">
        <v>46289</v>
      </c>
      <c r="L298" s="90" t="n"/>
      <c r="M298" s="90" t="n"/>
      <c r="N298" s="90" t="n"/>
      <c r="O298" s="90" t="inlineStr">
        <is>
          <t>21 担当者登録</t>
        </is>
      </c>
      <c r="P298" s="90" t="n"/>
      <c r="Q298" s="90" t="n"/>
      <c r="R298" s="90" t="n"/>
      <c r="S298" s="90" t="n"/>
      <c r="T298" s="90" t="n"/>
      <c r="U298" s="90" t="n"/>
      <c r="V298" s="90" t="n"/>
      <c r="W298" s="90" t="n"/>
      <c r="X298" s="90" t="n"/>
      <c r="Y298" s="90" t="n"/>
      <c r="Z298" s="90" t="n"/>
      <c r="AA298" s="90" t="n"/>
      <c r="AB298" s="90" t="n">
        <v>21</v>
      </c>
      <c r="AC298" s="90" t="n">
        <v>1</v>
      </c>
      <c r="AD298" s="93" t="inlineStr">
        <is>
          <t>増</t>
        </is>
      </c>
      <c r="AE298" s="90" t="inlineStr">
        <is>
          <t>21 出生</t>
        </is>
      </c>
      <c r="AF298" s="93" t="inlineStr">
        <is>
          <t>増</t>
        </is>
      </c>
      <c r="AG298" s="93" t="inlineStr">
        <is>
          <t>増</t>
        </is>
      </c>
      <c r="AH298" s="90" t="n"/>
      <c r="AI298" s="90" t="n"/>
      <c r="AJ298" s="90" t="n"/>
      <c r="AK298" s="90" t="n"/>
      <c r="AL298" s="94">
        <f>IF(A298="","",IF(COUNTIF(A298:A$2001,A298)=1,1,0))</f>
        <v/>
      </c>
      <c r="AM298" s="94">
        <f>IF(I298="","",TODAY()-I298)</f>
        <v/>
      </c>
      <c r="AN298" s="94">
        <f>IF(A298="","",IF(AND(E298&lt;&gt;"33 確認済",E298&lt;&gt;"36 送付中"),1,0))</f>
        <v/>
      </c>
      <c r="AO298" s="94">
        <f>IF(A298="","",IF(AG298&lt;&gt;"",1,0))</f>
        <v/>
      </c>
      <c r="AP298" s="220">
        <f>IF(P298&lt;&gt;"","・添待ち","")&amp;IF(Q298&lt;&gt;"","・住民票","")&amp;IF(R298&lt;&gt;"","・発信","")&amp;IF(S298&lt;&gt;"","・確認事項","")&amp;IF(T298&lt;&gt;"","・管","")&amp;IF(U298&lt;&gt;"","・SV","")&amp;IF(V298&lt;&gt;"","・データ送付待ち","")&amp;IF(W298&lt;&gt;"","・削除","")</f>
        <v/>
      </c>
    </row>
    <row r="299" ht="15" customHeight="1" s="87">
      <c r="A299" s="90" t="n">
        <v>202660001462</v>
      </c>
      <c r="B299" s="90" t="n"/>
      <c r="C299" s="90" t="n"/>
      <c r="D299" s="90" t="n">
        <v>30</v>
      </c>
      <c r="E299" s="90" t="inlineStr">
        <is>
          <t>30 申請受付</t>
        </is>
      </c>
      <c r="F299" s="90" t="n"/>
      <c r="G299" s="90" t="n"/>
      <c r="H299" s="91" t="n">
        <v>46011</v>
      </c>
      <c r="I299" s="92" t="n">
        <v>46283</v>
      </c>
      <c r="J299" s="91" t="n">
        <v>46283</v>
      </c>
      <c r="K299" s="90" t="n"/>
      <c r="L299" s="90" t="n"/>
      <c r="M299" s="90" t="n"/>
      <c r="N299" s="90" t="n"/>
      <c r="O299" s="90" t="inlineStr">
        <is>
          <t>20 申請受付</t>
        </is>
      </c>
      <c r="P299" s="90" t="n"/>
      <c r="Q299" s="90" t="n"/>
      <c r="R299" s="90" t="n"/>
      <c r="S299" s="90" t="n"/>
      <c r="T299" s="90" t="n"/>
      <c r="U299" s="90" t="n"/>
      <c r="V299" s="90" t="n"/>
      <c r="W299" s="90" t="n"/>
      <c r="X299" s="90" t="n"/>
      <c r="Y299" s="90" t="n"/>
      <c r="Z299" s="90" t="n"/>
      <c r="AA299" s="90" t="n"/>
      <c r="AB299" s="90" t="n">
        <v>23</v>
      </c>
      <c r="AC299" s="90" t="n">
        <v>1</v>
      </c>
      <c r="AD299" s="93" t="inlineStr">
        <is>
          <t>増</t>
        </is>
      </c>
      <c r="AE299" s="90" t="inlineStr">
        <is>
          <t>23 本人の結婚</t>
        </is>
      </c>
      <c r="AF299" s="90" t="n"/>
      <c r="AG299" s="90" t="n"/>
      <c r="AH299" s="90" t="n"/>
      <c r="AI299" s="90" t="n"/>
      <c r="AJ299" s="90" t="n"/>
      <c r="AK299" s="90" t="n"/>
      <c r="AL299" s="94">
        <f>IF(A299="","",IF(COUNTIF(A299:A$2001,A299)=1,1,0))</f>
        <v/>
      </c>
      <c r="AM299" s="94">
        <f>IF(I299="","",TODAY()-I299)</f>
        <v/>
      </c>
      <c r="AN299" s="94">
        <f>IF(A299="","",IF(AND(E299&lt;&gt;"33 確認済",E299&lt;&gt;"36 送付中"),1,0))</f>
        <v/>
      </c>
      <c r="AO299" s="94">
        <f>IF(A299="","",IF(AG299&lt;&gt;"",1,0))</f>
        <v/>
      </c>
      <c r="AP299" s="220">
        <f>IF(P299&lt;&gt;"","・添待ち","")&amp;IF(Q299&lt;&gt;"","・住民票","")&amp;IF(R299&lt;&gt;"","・発信","")&amp;IF(S299&lt;&gt;"","・確認事項","")&amp;IF(T299&lt;&gt;"","・管","")&amp;IF(U299&lt;&gt;"","・SV","")&amp;IF(V299&lt;&gt;"","・データ送付待ち","")&amp;IF(W299&lt;&gt;"","・削除","")</f>
        <v/>
      </c>
    </row>
    <row r="300" ht="15" customHeight="1" s="87">
      <c r="A300" s="90" t="n">
        <v>202660001462</v>
      </c>
      <c r="B300" s="90" t="n"/>
      <c r="C300" s="90" t="n"/>
      <c r="D300" s="90" t="n">
        <v>30</v>
      </c>
      <c r="E300" s="90" t="inlineStr">
        <is>
          <t>30 申請受付</t>
        </is>
      </c>
      <c r="F300" s="90" t="n"/>
      <c r="G300" s="90" t="n"/>
      <c r="H300" s="91" t="n">
        <v>46011</v>
      </c>
      <c r="I300" s="92" t="n">
        <v>46283</v>
      </c>
      <c r="J300" s="91" t="n">
        <v>46283</v>
      </c>
      <c r="K300" s="90" t="n"/>
      <c r="L300" s="90" t="n"/>
      <c r="M300" s="90" t="n"/>
      <c r="N300" s="90" t="n"/>
      <c r="O300" s="90" t="inlineStr">
        <is>
          <t>20 申請受付</t>
        </is>
      </c>
      <c r="P300" s="90" t="n"/>
      <c r="Q300" s="90" t="n"/>
      <c r="R300" s="90" t="n"/>
      <c r="S300" s="90" t="n"/>
      <c r="T300" s="90" t="n"/>
      <c r="U300" s="90" t="n"/>
      <c r="V300" s="90" t="n"/>
      <c r="W300" s="90" t="n"/>
      <c r="X300" s="90" t="n"/>
      <c r="Y300" s="90" t="n"/>
      <c r="Z300" s="90" t="n"/>
      <c r="AA300" s="90" t="n"/>
      <c r="AB300" s="90" t="n">
        <v>23</v>
      </c>
      <c r="AC300" s="90" t="n">
        <v>1</v>
      </c>
      <c r="AD300" s="93" t="inlineStr">
        <is>
          <t>増</t>
        </is>
      </c>
      <c r="AE300" s="90" t="inlineStr">
        <is>
          <t>23 結婚</t>
        </is>
      </c>
      <c r="AF300" s="90" t="n"/>
      <c r="AG300" s="90" t="n"/>
      <c r="AH300" s="90" t="n"/>
      <c r="AI300" s="90" t="n"/>
      <c r="AJ300" s="90" t="n"/>
      <c r="AK300" s="90" t="n"/>
      <c r="AL300" s="94">
        <f>IF(A300="","",IF(COUNTIF(A300:A$2001,A300)=1,1,0))</f>
        <v/>
      </c>
      <c r="AM300" s="94">
        <f>IF(I300="","",TODAY()-I300)</f>
        <v/>
      </c>
      <c r="AN300" s="94">
        <f>IF(A300="","",IF(AND(E300&lt;&gt;"33 確認済",E300&lt;&gt;"36 送付中"),1,0))</f>
        <v/>
      </c>
      <c r="AO300" s="94">
        <f>IF(A300="","",IF(AG300&lt;&gt;"",1,0))</f>
        <v/>
      </c>
      <c r="AP300" s="220">
        <f>IF(P300&lt;&gt;"","・添待ち","")&amp;IF(Q300&lt;&gt;"","・住民票","")&amp;IF(R300&lt;&gt;"","・発信","")&amp;IF(S300&lt;&gt;"","・確認事項","")&amp;IF(T300&lt;&gt;"","・管","")&amp;IF(U300&lt;&gt;"","・SV","")&amp;IF(V300&lt;&gt;"","・データ送付待ち","")&amp;IF(W300&lt;&gt;"","・削除","")</f>
        <v/>
      </c>
    </row>
    <row r="301" ht="15" customHeight="1" s="87">
      <c r="A301" s="90" t="n">
        <v>202660001463</v>
      </c>
      <c r="B301" s="90" t="n"/>
      <c r="C301" s="90" t="n"/>
      <c r="D301" s="90" t="n">
        <v>30</v>
      </c>
      <c r="E301" s="90" t="inlineStr">
        <is>
          <t>30 申請受付</t>
        </is>
      </c>
      <c r="F301" s="90" t="n"/>
      <c r="G301" s="90" t="n"/>
      <c r="H301" s="91" t="n">
        <v>46242</v>
      </c>
      <c r="I301" s="92" t="n">
        <v>46283</v>
      </c>
      <c r="J301" s="91" t="n">
        <v>46283</v>
      </c>
      <c r="K301" s="90" t="n"/>
      <c r="L301" s="90" t="n"/>
      <c r="M301" s="90" t="n"/>
      <c r="N301" s="90" t="n"/>
      <c r="O301" s="90" t="inlineStr">
        <is>
          <t>20 申請受付</t>
        </is>
      </c>
      <c r="P301" s="90" t="n"/>
      <c r="Q301" s="90" t="n"/>
      <c r="R301" s="90" t="n"/>
      <c r="S301" s="90" t="n"/>
      <c r="T301" s="90" t="n"/>
      <c r="U301" s="90" t="n"/>
      <c r="V301" s="90" t="n"/>
      <c r="W301" s="90" t="n"/>
      <c r="X301" s="90" t="n"/>
      <c r="Y301" s="90" t="n"/>
      <c r="Z301" s="90" t="n"/>
      <c r="AA301" s="90" t="n"/>
      <c r="AB301" s="90" t="n">
        <v>23</v>
      </c>
      <c r="AC301" s="90" t="n">
        <v>1</v>
      </c>
      <c r="AD301" s="93" t="inlineStr">
        <is>
          <t>増</t>
        </is>
      </c>
      <c r="AE301" s="90" t="inlineStr">
        <is>
          <t>23 本人の結婚</t>
        </is>
      </c>
      <c r="AF301" s="90" t="n"/>
      <c r="AG301" s="90" t="n"/>
      <c r="AH301" s="90" t="n"/>
      <c r="AI301" s="90" t="n"/>
      <c r="AJ301" s="90" t="n"/>
      <c r="AK301" s="90" t="n"/>
      <c r="AL301" s="94">
        <f>IF(A301="","",IF(COUNTIF(A301:A$2001,A301)=1,1,0))</f>
        <v/>
      </c>
      <c r="AM301" s="94">
        <f>IF(I301="","",TODAY()-I301)</f>
        <v/>
      </c>
      <c r="AN301" s="94">
        <f>IF(A301="","",IF(AND(E301&lt;&gt;"33 確認済",E301&lt;&gt;"36 送付中"),1,0))</f>
        <v/>
      </c>
      <c r="AO301" s="94">
        <f>IF(A301="","",IF(AG301&lt;&gt;"",1,0))</f>
        <v/>
      </c>
      <c r="AP301" s="220">
        <f>IF(P301&lt;&gt;"","・添待ち","")&amp;IF(Q301&lt;&gt;"","・住民票","")&amp;IF(R301&lt;&gt;"","・発信","")&amp;IF(S301&lt;&gt;"","・確認事項","")&amp;IF(T301&lt;&gt;"","・管","")&amp;IF(U301&lt;&gt;"","・SV","")&amp;IF(V301&lt;&gt;"","・データ送付待ち","")&amp;IF(W301&lt;&gt;"","・削除","")</f>
        <v/>
      </c>
    </row>
    <row r="302" ht="15" customHeight="1" s="87">
      <c r="A302" s="90" t="n">
        <v>202660001463</v>
      </c>
      <c r="B302" s="90" t="n"/>
      <c r="C302" s="90" t="n"/>
      <c r="D302" s="90" t="n">
        <v>30</v>
      </c>
      <c r="E302" s="90" t="inlineStr">
        <is>
          <t>30 申請受付</t>
        </is>
      </c>
      <c r="F302" s="90" t="n"/>
      <c r="G302" s="90" t="n"/>
      <c r="H302" s="91" t="n">
        <v>46242</v>
      </c>
      <c r="I302" s="92" t="n">
        <v>46283</v>
      </c>
      <c r="J302" s="91" t="n">
        <v>46283</v>
      </c>
      <c r="K302" s="90" t="n"/>
      <c r="L302" s="90" t="n"/>
      <c r="M302" s="90" t="n"/>
      <c r="N302" s="90" t="n"/>
      <c r="O302" s="90" t="inlineStr">
        <is>
          <t>20 申請受付</t>
        </is>
      </c>
      <c r="P302" s="90" t="n"/>
      <c r="Q302" s="90" t="n"/>
      <c r="R302" s="90" t="n"/>
      <c r="S302" s="90" t="n"/>
      <c r="T302" s="90" t="n"/>
      <c r="U302" s="90" t="n"/>
      <c r="V302" s="90" t="n"/>
      <c r="W302" s="90" t="n"/>
      <c r="X302" s="90" t="n"/>
      <c r="Y302" s="90" t="n"/>
      <c r="Z302" s="90" t="n"/>
      <c r="AA302" s="90" t="n"/>
      <c r="AB302" s="90" t="n">
        <v>23</v>
      </c>
      <c r="AC302" s="90" t="n">
        <v>1</v>
      </c>
      <c r="AD302" s="93" t="inlineStr">
        <is>
          <t>増</t>
        </is>
      </c>
      <c r="AE302" s="90" t="inlineStr">
        <is>
          <t>23 結婚</t>
        </is>
      </c>
      <c r="AF302" s="90" t="n"/>
      <c r="AG302" s="90" t="n"/>
      <c r="AH302" s="90" t="n"/>
      <c r="AI302" s="90" t="n"/>
      <c r="AJ302" s="90" t="n"/>
      <c r="AK302" s="90" t="n"/>
      <c r="AL302" s="94">
        <f>IF(A302="","",IF(COUNTIF(A302:A$2001,A302)=1,1,0))</f>
        <v/>
      </c>
      <c r="AM302" s="94">
        <f>IF(I302="","",TODAY()-I302)</f>
        <v/>
      </c>
      <c r="AN302" s="94">
        <f>IF(A302="","",IF(AND(E302&lt;&gt;"33 確認済",E302&lt;&gt;"36 送付中"),1,0))</f>
        <v/>
      </c>
      <c r="AO302" s="94">
        <f>IF(A302="","",IF(AG302&lt;&gt;"",1,0))</f>
        <v/>
      </c>
      <c r="AP302" s="220">
        <f>IF(P302&lt;&gt;"","・添待ち","")&amp;IF(Q302&lt;&gt;"","・住民票","")&amp;IF(R302&lt;&gt;"","・発信","")&amp;IF(S302&lt;&gt;"","・確認事項","")&amp;IF(T302&lt;&gt;"","・管","")&amp;IF(U302&lt;&gt;"","・SV","")&amp;IF(V302&lt;&gt;"","・データ送付待ち","")&amp;IF(W302&lt;&gt;"","・削除","")</f>
        <v/>
      </c>
    </row>
    <row r="303" ht="15" customHeight="1" s="87">
      <c r="A303" s="90" t="n">
        <v>202660001464</v>
      </c>
      <c r="B303" s="90" t="n"/>
      <c r="C303" s="90" t="n"/>
      <c r="D303" s="90" t="n">
        <v>30</v>
      </c>
      <c r="E303" s="90" t="inlineStr">
        <is>
          <t>30 申請受付</t>
        </is>
      </c>
      <c r="F303" s="90" t="n"/>
      <c r="G303" s="90" t="n"/>
      <c r="H303" s="91" t="n">
        <v>46113</v>
      </c>
      <c r="I303" s="92" t="n">
        <v>46283</v>
      </c>
      <c r="J303" s="91" t="n">
        <v>46289</v>
      </c>
      <c r="K303" s="90" t="n"/>
      <c r="L303" s="90" t="n"/>
      <c r="M303" s="90" t="n"/>
      <c r="N303" s="90" t="n"/>
      <c r="O303" s="90" t="inlineStr">
        <is>
          <t>20 申請受付</t>
        </is>
      </c>
      <c r="P303" s="90" t="n"/>
      <c r="Q303" s="90" t="n"/>
      <c r="R303" s="90" t="n"/>
      <c r="S303" s="90" t="n"/>
      <c r="T303" s="90" t="n"/>
      <c r="U303" s="90" t="n"/>
      <c r="V303" s="90" t="n"/>
      <c r="W303" s="90" t="n"/>
      <c r="X303" s="90" t="n"/>
      <c r="Y303" s="90" t="n"/>
      <c r="Z303" s="90" t="n"/>
      <c r="AA303" s="90" t="n"/>
      <c r="AB303" s="90" t="n">
        <v>47</v>
      </c>
      <c r="AC303" s="90" t="n">
        <v>0</v>
      </c>
      <c r="AD303" s="93" t="inlineStr">
        <is>
          <t>減</t>
        </is>
      </c>
      <c r="AE303" s="90" t="inlineStr">
        <is>
          <t>47 扶養親族の就職</t>
        </is>
      </c>
      <c r="AF303" s="90" t="n"/>
      <c r="AG303" s="90" t="n"/>
      <c r="AH303" s="93" t="inlineStr">
        <is>
          <t>減</t>
        </is>
      </c>
      <c r="AI303" s="90" t="n"/>
      <c r="AJ303" s="90" t="n"/>
      <c r="AK303" s="90" t="n"/>
      <c r="AL303" s="94">
        <f>IF(A303="","",IF(COUNTIF(A303:A$2001,A303)=1,1,0))</f>
        <v/>
      </c>
      <c r="AM303" s="94">
        <f>IF(I303="","",TODAY()-I303)</f>
        <v/>
      </c>
      <c r="AN303" s="94">
        <f>IF(A303="","",IF(AND(E303&lt;&gt;"33 確認済",E303&lt;&gt;"36 送付中"),1,0))</f>
        <v/>
      </c>
      <c r="AO303" s="94">
        <f>IF(A303="","",IF(AG303&lt;&gt;"",1,0))</f>
        <v/>
      </c>
      <c r="AP303" s="220">
        <f>IF(P303&lt;&gt;"","・添待ち","")&amp;IF(Q303&lt;&gt;"","・住民票","")&amp;IF(R303&lt;&gt;"","・発信","")&amp;IF(S303&lt;&gt;"","・確認事項","")&amp;IF(T303&lt;&gt;"","・管","")&amp;IF(U303&lt;&gt;"","・SV","")&amp;IF(V303&lt;&gt;"","・データ送付待ち","")&amp;IF(W303&lt;&gt;"","・削除","")</f>
        <v/>
      </c>
    </row>
    <row r="304" ht="15" customHeight="1" s="87">
      <c r="A304" s="90" t="n">
        <v>202660001466</v>
      </c>
      <c r="B304" s="90" t="n"/>
      <c r="C304" s="90" t="n"/>
      <c r="D304" s="90" t="n">
        <v>30</v>
      </c>
      <c r="E304" s="90" t="inlineStr">
        <is>
          <t>30 申請受付</t>
        </is>
      </c>
      <c r="F304" s="90" t="n"/>
      <c r="G304" s="90" t="n"/>
      <c r="H304" s="91" t="n">
        <v>46272</v>
      </c>
      <c r="I304" s="92" t="n">
        <v>46283</v>
      </c>
      <c r="J304" s="91" t="n">
        <v>46283</v>
      </c>
      <c r="K304" s="90" t="n"/>
      <c r="L304" s="90" t="n"/>
      <c r="M304" s="90" t="n"/>
      <c r="N304" s="90" t="n"/>
      <c r="O304" s="90" t="inlineStr">
        <is>
          <t>20 申請受付</t>
        </is>
      </c>
      <c r="P304" s="90" t="n"/>
      <c r="Q304" s="90" t="n"/>
      <c r="R304" s="90" t="n"/>
      <c r="S304" s="90" t="n"/>
      <c r="T304" s="90" t="n"/>
      <c r="U304" s="90" t="n"/>
      <c r="V304" s="90" t="n"/>
      <c r="W304" s="90" t="n"/>
      <c r="X304" s="90" t="n"/>
      <c r="Y304" s="90" t="n"/>
      <c r="Z304" s="90" t="n"/>
      <c r="AA304" s="90" t="n"/>
      <c r="AB304" s="90" t="n">
        <v>23</v>
      </c>
      <c r="AC304" s="90" t="n">
        <v>1</v>
      </c>
      <c r="AD304" s="93" t="inlineStr">
        <is>
          <t>増</t>
        </is>
      </c>
      <c r="AE304" s="90" t="inlineStr">
        <is>
          <t>23 本人の結婚</t>
        </is>
      </c>
      <c r="AF304" s="90" t="n"/>
      <c r="AG304" s="90" t="n"/>
      <c r="AH304" s="90" t="n"/>
      <c r="AI304" s="90" t="n"/>
      <c r="AJ304" s="90" t="n"/>
      <c r="AK304" s="90" t="n"/>
      <c r="AL304" s="94">
        <f>IF(A304="","",IF(COUNTIF(A304:A$2001,A304)=1,1,0))</f>
        <v/>
      </c>
      <c r="AM304" s="94">
        <f>IF(I304="","",TODAY()-I304)</f>
        <v/>
      </c>
      <c r="AN304" s="94">
        <f>IF(A304="","",IF(AND(E304&lt;&gt;"33 確認済",E304&lt;&gt;"36 送付中"),1,0))</f>
        <v/>
      </c>
      <c r="AO304" s="94">
        <f>IF(A304="","",IF(AG304&lt;&gt;"",1,0))</f>
        <v/>
      </c>
      <c r="AP304" s="220">
        <f>IF(P304&lt;&gt;"","・添待ち","")&amp;IF(Q304&lt;&gt;"","・住民票","")&amp;IF(R304&lt;&gt;"","・発信","")&amp;IF(S304&lt;&gt;"","・確認事項","")&amp;IF(T304&lt;&gt;"","・管","")&amp;IF(U304&lt;&gt;"","・SV","")&amp;IF(V304&lt;&gt;"","・データ送付待ち","")&amp;IF(W304&lt;&gt;"","・削除","")</f>
        <v/>
      </c>
    </row>
    <row r="305" ht="15" customHeight="1" s="87">
      <c r="A305" s="90" t="n">
        <v>202660001466</v>
      </c>
      <c r="B305" s="90" t="n"/>
      <c r="C305" s="90" t="n"/>
      <c r="D305" s="90" t="n">
        <v>30</v>
      </c>
      <c r="E305" s="90" t="inlineStr">
        <is>
          <t>30 申請受付</t>
        </is>
      </c>
      <c r="F305" s="90" t="n"/>
      <c r="G305" s="90" t="n"/>
      <c r="H305" s="91" t="n">
        <v>46272</v>
      </c>
      <c r="I305" s="92" t="n">
        <v>46283</v>
      </c>
      <c r="J305" s="91" t="n">
        <v>46283</v>
      </c>
      <c r="K305" s="90" t="n"/>
      <c r="L305" s="90" t="n"/>
      <c r="M305" s="90" t="n"/>
      <c r="N305" s="90" t="n"/>
      <c r="O305" s="90" t="inlineStr">
        <is>
          <t>20 申請受付</t>
        </is>
      </c>
      <c r="P305" s="90" t="n"/>
      <c r="Q305" s="90" t="n"/>
      <c r="R305" s="90" t="n"/>
      <c r="S305" s="90" t="n"/>
      <c r="T305" s="90" t="n"/>
      <c r="U305" s="90" t="n"/>
      <c r="V305" s="90" t="n"/>
      <c r="W305" s="90" t="n"/>
      <c r="X305" s="90" t="n"/>
      <c r="Y305" s="90" t="n"/>
      <c r="Z305" s="90" t="n"/>
      <c r="AA305" s="90" t="n"/>
      <c r="AB305" s="90" t="n">
        <v>23</v>
      </c>
      <c r="AC305" s="90" t="n">
        <v>1</v>
      </c>
      <c r="AD305" s="93" t="inlineStr">
        <is>
          <t>増</t>
        </is>
      </c>
      <c r="AE305" s="90" t="inlineStr">
        <is>
          <t>23 結婚</t>
        </is>
      </c>
      <c r="AF305" s="90" t="n"/>
      <c r="AG305" s="90" t="n"/>
      <c r="AH305" s="90" t="n"/>
      <c r="AI305" s="90" t="n"/>
      <c r="AJ305" s="90" t="n"/>
      <c r="AK305" s="90" t="n"/>
      <c r="AL305" s="94">
        <f>IF(A305="","",IF(COUNTIF(A305:A$2001,A305)=1,1,0))</f>
        <v/>
      </c>
      <c r="AM305" s="94">
        <f>IF(I305="","",TODAY()-I305)</f>
        <v/>
      </c>
      <c r="AN305" s="94">
        <f>IF(A305="","",IF(AND(E305&lt;&gt;"33 確認済",E305&lt;&gt;"36 送付中"),1,0))</f>
        <v/>
      </c>
      <c r="AO305" s="94">
        <f>IF(A305="","",IF(AG305&lt;&gt;"",1,0))</f>
        <v/>
      </c>
      <c r="AP305" s="220">
        <f>IF(P305&lt;&gt;"","・添待ち","")&amp;IF(Q305&lt;&gt;"","・住民票","")&amp;IF(R305&lt;&gt;"","・発信","")&amp;IF(S305&lt;&gt;"","・確認事項","")&amp;IF(T305&lt;&gt;"","・管","")&amp;IF(U305&lt;&gt;"","・SV","")&amp;IF(V305&lt;&gt;"","・データ送付待ち","")&amp;IF(W305&lt;&gt;"","・削除","")</f>
        <v/>
      </c>
    </row>
    <row r="306" ht="15" customHeight="1" s="87">
      <c r="A306" s="90" t="n">
        <v>202660001467</v>
      </c>
      <c r="B306" s="90" t="n"/>
      <c r="C306" s="90" t="n"/>
      <c r="D306" s="90" t="n">
        <v>31</v>
      </c>
      <c r="E306" s="90" t="inlineStr">
        <is>
          <t>31 ＯＰ確認中</t>
        </is>
      </c>
      <c r="F306" s="90" t="n"/>
      <c r="G306" s="90" t="n"/>
      <c r="H306" s="91" t="n">
        <v>46113</v>
      </c>
      <c r="I306" s="92" t="n">
        <v>46283</v>
      </c>
      <c r="J306" s="91" t="n">
        <v>46289</v>
      </c>
      <c r="K306" s="91" t="n">
        <v>46289</v>
      </c>
      <c r="L306" s="90" t="n"/>
      <c r="M306" s="90" t="n"/>
      <c r="N306" s="90" t="n"/>
      <c r="O306" s="90" t="inlineStr">
        <is>
          <t>22 担当者変更</t>
        </is>
      </c>
      <c r="P306" s="90" t="n"/>
      <c r="Q306" s="90" t="n"/>
      <c r="R306" s="90" t="n"/>
      <c r="S306" s="90" t="n"/>
      <c r="T306" s="90" t="n"/>
      <c r="U306" s="90" t="n"/>
      <c r="V306" s="90" t="n"/>
      <c r="W306" s="90" t="n"/>
      <c r="X306" s="90" t="n"/>
      <c r="Y306" s="90" t="n"/>
      <c r="Z306" s="90" t="n"/>
      <c r="AA306" s="90" t="n"/>
      <c r="AB306" s="90" t="n">
        <v>47</v>
      </c>
      <c r="AC306" s="90" t="n">
        <v>0</v>
      </c>
      <c r="AD306" s="93" t="inlineStr">
        <is>
          <t>減</t>
        </is>
      </c>
      <c r="AE306" s="90" t="inlineStr">
        <is>
          <t>47 扶養親族の就職</t>
        </is>
      </c>
      <c r="AF306" s="90" t="n"/>
      <c r="AG306" s="90" t="n"/>
      <c r="AH306" s="93" t="inlineStr">
        <is>
          <t>減</t>
        </is>
      </c>
      <c r="AI306" s="90" t="n"/>
      <c r="AJ306" s="90" t="n"/>
      <c r="AK306" s="90" t="n"/>
      <c r="AL306" s="94">
        <f>IF(A306="","",IF(COUNTIF(A306:A$2001,A306)=1,1,0))</f>
        <v/>
      </c>
      <c r="AM306" s="94">
        <f>IF(I306="","",TODAY()-I306)</f>
        <v/>
      </c>
      <c r="AN306" s="94">
        <f>IF(A306="","",IF(AND(E306&lt;&gt;"33 確認済",E306&lt;&gt;"36 送付中"),1,0))</f>
        <v/>
      </c>
      <c r="AO306" s="94">
        <f>IF(A306="","",IF(AG306&lt;&gt;"",1,0))</f>
        <v/>
      </c>
      <c r="AP306" s="220">
        <f>IF(P306&lt;&gt;"","・添待ち","")&amp;IF(Q306&lt;&gt;"","・住民票","")&amp;IF(R306&lt;&gt;"","・発信","")&amp;IF(S306&lt;&gt;"","・確認事項","")&amp;IF(T306&lt;&gt;"","・管","")&amp;IF(U306&lt;&gt;"","・SV","")&amp;IF(V306&lt;&gt;"","・データ送付待ち","")&amp;IF(W306&lt;&gt;"","・削除","")</f>
        <v/>
      </c>
    </row>
    <row r="307" ht="15" customHeight="1" s="87">
      <c r="A307" s="90" t="n">
        <v>202660001468</v>
      </c>
      <c r="B307" s="90" t="n"/>
      <c r="C307" s="90" t="n"/>
      <c r="D307" s="90" t="n">
        <v>30</v>
      </c>
      <c r="E307" s="90" t="inlineStr">
        <is>
          <t>30 申請受付</t>
        </is>
      </c>
      <c r="F307" s="90" t="n"/>
      <c r="G307" s="90" t="n"/>
      <c r="H307" s="91" t="n">
        <v>46228</v>
      </c>
      <c r="I307" s="92" t="n">
        <v>46283</v>
      </c>
      <c r="J307" s="91" t="n">
        <v>46289</v>
      </c>
      <c r="K307" s="90" t="n"/>
      <c r="L307" s="90" t="n"/>
      <c r="M307" s="90" t="n"/>
      <c r="N307" s="90" t="n"/>
      <c r="O307" s="90" t="inlineStr">
        <is>
          <t>20 申請受付</t>
        </is>
      </c>
      <c r="P307" s="90" t="n"/>
      <c r="Q307" s="90" t="n"/>
      <c r="R307" s="90" t="n"/>
      <c r="S307" s="90" t="n"/>
      <c r="T307" s="90" t="n"/>
      <c r="U307" s="90" t="n"/>
      <c r="V307" s="90" t="n"/>
      <c r="W307" s="90" t="n"/>
      <c r="X307" s="90" t="n"/>
      <c r="Y307" s="90" t="n"/>
      <c r="Z307" s="90" t="n"/>
      <c r="AA307" s="90" t="n"/>
      <c r="AB307" s="90" t="n">
        <v>23</v>
      </c>
      <c r="AC307" s="90" t="n">
        <v>1</v>
      </c>
      <c r="AD307" s="93" t="inlineStr">
        <is>
          <t>増</t>
        </is>
      </c>
      <c r="AE307" s="90" t="inlineStr">
        <is>
          <t>23 本人の結婚</t>
        </is>
      </c>
      <c r="AF307" s="90" t="n"/>
      <c r="AG307" s="90" t="n"/>
      <c r="AH307" s="90" t="n"/>
      <c r="AI307" s="90" t="n"/>
      <c r="AJ307" s="90" t="n"/>
      <c r="AK307" s="90" t="n"/>
      <c r="AL307" s="94">
        <f>IF(A307="","",IF(COUNTIF(A307:A$2001,A307)=1,1,0))</f>
        <v/>
      </c>
      <c r="AM307" s="94">
        <f>IF(I307="","",TODAY()-I307)</f>
        <v/>
      </c>
      <c r="AN307" s="94">
        <f>IF(A307="","",IF(AND(E307&lt;&gt;"33 確認済",E307&lt;&gt;"36 送付中"),1,0))</f>
        <v/>
      </c>
      <c r="AO307" s="94">
        <f>IF(A307="","",IF(AG307&lt;&gt;"",1,0))</f>
        <v/>
      </c>
      <c r="AP307" s="220">
        <f>IF(P307&lt;&gt;"","・添待ち","")&amp;IF(Q307&lt;&gt;"","・住民票","")&amp;IF(R307&lt;&gt;"","・発信","")&amp;IF(S307&lt;&gt;"","・確認事項","")&amp;IF(T307&lt;&gt;"","・管","")&amp;IF(U307&lt;&gt;"","・SV","")&amp;IF(V307&lt;&gt;"","・データ送付待ち","")&amp;IF(W307&lt;&gt;"","・削除","")</f>
        <v/>
      </c>
    </row>
    <row r="308" ht="15" customHeight="1" s="87">
      <c r="A308" s="90" t="n">
        <v>202660001468</v>
      </c>
      <c r="B308" s="90" t="n"/>
      <c r="C308" s="90" t="n"/>
      <c r="D308" s="90" t="n">
        <v>30</v>
      </c>
      <c r="E308" s="90" t="inlineStr">
        <is>
          <t>30 申請受付</t>
        </is>
      </c>
      <c r="F308" s="90" t="n"/>
      <c r="G308" s="90" t="n"/>
      <c r="H308" s="91" t="n">
        <v>46228</v>
      </c>
      <c r="I308" s="92" t="n">
        <v>46283</v>
      </c>
      <c r="J308" s="91" t="n">
        <v>46289</v>
      </c>
      <c r="K308" s="90" t="n"/>
      <c r="L308" s="90" t="n"/>
      <c r="M308" s="90" t="n"/>
      <c r="N308" s="90" t="n"/>
      <c r="O308" s="90" t="inlineStr">
        <is>
          <t>20 申請受付</t>
        </is>
      </c>
      <c r="P308" s="90" t="n"/>
      <c r="Q308" s="90" t="n"/>
      <c r="R308" s="90" t="n"/>
      <c r="S308" s="90" t="n"/>
      <c r="T308" s="90" t="n"/>
      <c r="U308" s="90" t="n"/>
      <c r="V308" s="90" t="n"/>
      <c r="W308" s="90" t="n"/>
      <c r="X308" s="90" t="n"/>
      <c r="Y308" s="90" t="n"/>
      <c r="Z308" s="90" t="n"/>
      <c r="AA308" s="90" t="n"/>
      <c r="AB308" s="90" t="n">
        <v>23</v>
      </c>
      <c r="AC308" s="90" t="n">
        <v>1</v>
      </c>
      <c r="AD308" s="93" t="inlineStr">
        <is>
          <t>増</t>
        </is>
      </c>
      <c r="AE308" s="90" t="inlineStr">
        <is>
          <t>23 結婚</t>
        </is>
      </c>
      <c r="AF308" s="90" t="n"/>
      <c r="AG308" s="90" t="n"/>
      <c r="AH308" s="90" t="n"/>
      <c r="AI308" s="90" t="n"/>
      <c r="AJ308" s="90" t="n"/>
      <c r="AK308" s="90" t="n"/>
      <c r="AL308" s="94">
        <f>IF(A308="","",IF(COUNTIF(A308:A$2001,A308)=1,1,0))</f>
        <v/>
      </c>
      <c r="AM308" s="94">
        <f>IF(I308="","",TODAY()-I308)</f>
        <v/>
      </c>
      <c r="AN308" s="94">
        <f>IF(A308="","",IF(AND(E308&lt;&gt;"33 確認済",E308&lt;&gt;"36 送付中"),1,0))</f>
        <v/>
      </c>
      <c r="AO308" s="94">
        <f>IF(A308="","",IF(AG308&lt;&gt;"",1,0))</f>
        <v/>
      </c>
      <c r="AP308" s="220">
        <f>IF(P308&lt;&gt;"","・添待ち","")&amp;IF(Q308&lt;&gt;"","・住民票","")&amp;IF(R308&lt;&gt;"","・発信","")&amp;IF(S308&lt;&gt;"","・確認事項","")&amp;IF(T308&lt;&gt;"","・管","")&amp;IF(U308&lt;&gt;"","・SV","")&amp;IF(V308&lt;&gt;"","・データ送付待ち","")&amp;IF(W308&lt;&gt;"","・削除","")</f>
        <v/>
      </c>
    </row>
    <row r="309" ht="15" customHeight="1" s="87">
      <c r="A309" s="90" t="n">
        <v>202660001469</v>
      </c>
      <c r="B309" s="90" t="n"/>
      <c r="C309" s="90" t="n"/>
      <c r="D309" s="90" t="n">
        <v>20</v>
      </c>
      <c r="E309" s="90" t="inlineStr">
        <is>
          <t>20 確認待ち</t>
        </is>
      </c>
      <c r="F309" s="90" t="n"/>
      <c r="G309" s="90" t="n"/>
      <c r="H309" s="91" t="n">
        <v>46088</v>
      </c>
      <c r="I309" s="92" t="n">
        <v>46288</v>
      </c>
      <c r="J309" s="90" t="n"/>
      <c r="K309" s="90" t="n"/>
      <c r="L309" s="90" t="n"/>
      <c r="M309" s="90" t="n"/>
      <c r="N309" s="90" t="n"/>
      <c r="O309" s="90" t="inlineStr">
        <is>
          <t>10 申請</t>
        </is>
      </c>
      <c r="P309" s="93" t="inlineStr">
        <is>
          <t>添</t>
        </is>
      </c>
      <c r="Q309" s="90" t="n"/>
      <c r="R309" s="90" t="n"/>
      <c r="S309" s="90" t="n"/>
      <c r="T309" s="90" t="n"/>
      <c r="U309" s="90" t="n"/>
      <c r="V309" s="90" t="n"/>
      <c r="W309" s="90" t="n"/>
      <c r="X309" s="90" t="n"/>
      <c r="Y309" s="90" t="n"/>
      <c r="Z309" s="90" t="n"/>
      <c r="AA309" s="90" t="n"/>
      <c r="AB309" s="90" t="n">
        <v>22</v>
      </c>
      <c r="AC309" s="90" t="n">
        <v>1</v>
      </c>
      <c r="AD309" s="93" t="inlineStr">
        <is>
          <t>増</t>
        </is>
      </c>
      <c r="AE309" s="90" t="inlineStr">
        <is>
          <t>22 扶養親族の退職</t>
        </is>
      </c>
      <c r="AF309" s="90" t="n"/>
      <c r="AG309" s="90" t="n"/>
      <c r="AH309" s="93" t="inlineStr">
        <is>
          <t>増</t>
        </is>
      </c>
      <c r="AI309" s="90" t="n"/>
      <c r="AJ309" s="90" t="n"/>
      <c r="AK309" s="90" t="n"/>
      <c r="AL309" s="94">
        <f>IF(A309="","",IF(COUNTIF(A309:A$2001,A309)=1,1,0))</f>
        <v/>
      </c>
      <c r="AM309" s="94">
        <f>IF(I309="","",TODAY()-I309)</f>
        <v/>
      </c>
      <c r="AN309" s="94">
        <f>IF(A309="","",IF(AND(E309&lt;&gt;"33 確認済",E309&lt;&gt;"36 送付中"),1,0))</f>
        <v/>
      </c>
      <c r="AO309" s="94">
        <f>IF(A309="","",IF(AG309&lt;&gt;"",1,0))</f>
        <v/>
      </c>
      <c r="AP309" s="220">
        <f>IF(P309&lt;&gt;"","・添待ち","")&amp;IF(Q309&lt;&gt;"","・住民票","")&amp;IF(R309&lt;&gt;"","・発信","")&amp;IF(S309&lt;&gt;"","・確認事項","")&amp;IF(T309&lt;&gt;"","・管","")&amp;IF(U309&lt;&gt;"","・SV","")&amp;IF(V309&lt;&gt;"","・データ送付待ち","")&amp;IF(W309&lt;&gt;"","・削除","")</f>
        <v/>
      </c>
    </row>
    <row r="310" ht="15" customHeight="1" s="87">
      <c r="A310" s="90" t="n">
        <v>202660001470</v>
      </c>
      <c r="B310" s="90" t="n"/>
      <c r="C310" s="90" t="n"/>
      <c r="D310" s="90" t="n">
        <v>30</v>
      </c>
      <c r="E310" s="90" t="inlineStr">
        <is>
          <t>30 申請受付</t>
        </is>
      </c>
      <c r="F310" s="90" t="n"/>
      <c r="G310" s="90" t="n"/>
      <c r="H310" s="91" t="n">
        <v>46283</v>
      </c>
      <c r="I310" s="92" t="n">
        <v>46283</v>
      </c>
      <c r="J310" s="91" t="n">
        <v>46289</v>
      </c>
      <c r="K310" s="90" t="n"/>
      <c r="L310" s="90" t="n"/>
      <c r="M310" s="90" t="n"/>
      <c r="N310" s="90" t="n"/>
      <c r="O310" s="90" t="inlineStr">
        <is>
          <t>20 申請受付</t>
        </is>
      </c>
      <c r="P310" s="90" t="n"/>
      <c r="Q310" s="90" t="n"/>
      <c r="R310" s="90" t="n"/>
      <c r="S310" s="90" t="n"/>
      <c r="T310" s="90" t="n"/>
      <c r="U310" s="90" t="n"/>
      <c r="V310" s="90" t="n"/>
      <c r="W310" s="90" t="n"/>
      <c r="X310" s="90" t="n"/>
      <c r="Y310" s="90" t="n"/>
      <c r="Z310" s="90" t="n"/>
      <c r="AA310" s="90" t="n"/>
      <c r="AB310" s="90" t="n">
        <v>51</v>
      </c>
      <c r="AC310" s="90" t="n">
        <v>0</v>
      </c>
      <c r="AD310" s="93" t="inlineStr">
        <is>
          <t>減</t>
        </is>
      </c>
      <c r="AE310" s="90" t="inlineStr">
        <is>
          <t>51 収入限度額以上</t>
        </is>
      </c>
      <c r="AF310" s="93" t="inlineStr">
        <is>
          <t>減</t>
        </is>
      </c>
      <c r="AG310" s="90" t="n"/>
      <c r="AH310" s="90" t="n"/>
      <c r="AI310" s="90" t="n"/>
      <c r="AJ310" s="90" t="n"/>
      <c r="AK310" s="90" t="n"/>
      <c r="AL310" s="94">
        <f>IF(A310="","",IF(COUNTIF(A310:A$2001,A310)=1,1,0))</f>
        <v/>
      </c>
      <c r="AM310" s="94">
        <f>IF(I310="","",TODAY()-I310)</f>
        <v/>
      </c>
      <c r="AN310" s="94">
        <f>IF(A310="","",IF(AND(E310&lt;&gt;"33 確認済",E310&lt;&gt;"36 送付中"),1,0))</f>
        <v/>
      </c>
      <c r="AO310" s="94">
        <f>IF(A310="","",IF(AG310&lt;&gt;"",1,0))</f>
        <v/>
      </c>
      <c r="AP310" s="220">
        <f>IF(P310&lt;&gt;"","・添待ち","")&amp;IF(Q310&lt;&gt;"","・住民票","")&amp;IF(R310&lt;&gt;"","・発信","")&amp;IF(S310&lt;&gt;"","・確認事項","")&amp;IF(T310&lt;&gt;"","・管","")&amp;IF(U310&lt;&gt;"","・SV","")&amp;IF(V310&lt;&gt;"","・データ送付待ち","")&amp;IF(W310&lt;&gt;"","・削除","")</f>
        <v/>
      </c>
    </row>
    <row r="311" ht="15" customHeight="1" s="87">
      <c r="A311" s="90" t="n">
        <v>202660001471</v>
      </c>
      <c r="B311" s="90" t="n"/>
      <c r="C311" s="90" t="n"/>
      <c r="D311" s="90" t="n">
        <v>30</v>
      </c>
      <c r="E311" s="90" t="inlineStr">
        <is>
          <t>30 申請受付</t>
        </is>
      </c>
      <c r="F311" s="90" t="n"/>
      <c r="G311" s="90" t="n"/>
      <c r="H311" s="91" t="n">
        <v>46143</v>
      </c>
      <c r="I311" s="92" t="n">
        <v>46283</v>
      </c>
      <c r="J311" s="91" t="n">
        <v>46289</v>
      </c>
      <c r="K311" s="90" t="n"/>
      <c r="L311" s="90" t="n"/>
      <c r="M311" s="90" t="n"/>
      <c r="N311" s="90" t="n"/>
      <c r="O311" s="90" t="inlineStr">
        <is>
          <t>20 申請受付</t>
        </is>
      </c>
      <c r="P311" s="90" t="n"/>
      <c r="Q311" s="90" t="n"/>
      <c r="R311" s="90" t="n"/>
      <c r="S311" s="90" t="n"/>
      <c r="T311" s="90" t="n"/>
      <c r="U311" s="90" t="n"/>
      <c r="V311" s="90" t="n"/>
      <c r="W311" s="90" t="n"/>
      <c r="X311" s="90" t="n"/>
      <c r="Y311" s="90" t="n"/>
      <c r="Z311" s="90" t="n"/>
      <c r="AA311" s="90" t="n"/>
      <c r="AB311" s="90" t="n">
        <v>49</v>
      </c>
      <c r="AC311" s="90" t="n">
        <v>0</v>
      </c>
      <c r="AD311" s="93" t="inlineStr">
        <is>
          <t>減</t>
        </is>
      </c>
      <c r="AE311" s="90" t="inlineStr">
        <is>
          <t>49 復職</t>
        </is>
      </c>
      <c r="AF311" s="93" t="inlineStr">
        <is>
          <t>減</t>
        </is>
      </c>
      <c r="AG311" s="93" t="inlineStr">
        <is>
          <t>減</t>
        </is>
      </c>
      <c r="AH311" s="93" t="inlineStr">
        <is>
          <t>減</t>
        </is>
      </c>
      <c r="AI311" s="90" t="n"/>
      <c r="AJ311" s="90" t="n"/>
      <c r="AK311" s="90" t="n"/>
      <c r="AL311" s="94">
        <f>IF(A311="","",IF(COUNTIF(A311:A$2001,A311)=1,1,0))</f>
        <v/>
      </c>
      <c r="AM311" s="94">
        <f>IF(I311="","",TODAY()-I311)</f>
        <v/>
      </c>
      <c r="AN311" s="94">
        <f>IF(A311="","",IF(AND(E311&lt;&gt;"33 確認済",E311&lt;&gt;"36 送付中"),1,0))</f>
        <v/>
      </c>
      <c r="AO311" s="94">
        <f>IF(A311="","",IF(AG311&lt;&gt;"",1,0))</f>
        <v/>
      </c>
      <c r="AP311" s="220">
        <f>IF(P311&lt;&gt;"","・添待ち","")&amp;IF(Q311&lt;&gt;"","・住民票","")&amp;IF(R311&lt;&gt;"","・発信","")&amp;IF(S311&lt;&gt;"","・確認事項","")&amp;IF(T311&lt;&gt;"","・管","")&amp;IF(U311&lt;&gt;"","・SV","")&amp;IF(V311&lt;&gt;"","・データ送付待ち","")&amp;IF(W311&lt;&gt;"","・削除","")</f>
        <v/>
      </c>
    </row>
    <row r="312" ht="15" customHeight="1" s="87">
      <c r="A312" s="90" t="n">
        <v>202660001472</v>
      </c>
      <c r="B312" s="90" t="n"/>
      <c r="C312" s="90" t="n"/>
      <c r="D312" s="90" t="n">
        <v>20</v>
      </c>
      <c r="E312" s="90" t="inlineStr">
        <is>
          <t>20 確認待ち</t>
        </is>
      </c>
      <c r="F312" s="90" t="n"/>
      <c r="G312" s="90" t="n"/>
      <c r="H312" s="91" t="n">
        <v>46108</v>
      </c>
      <c r="I312" s="92" t="n">
        <v>46283</v>
      </c>
      <c r="J312" s="90" t="n"/>
      <c r="K312" s="90" t="n"/>
      <c r="L312" s="90" t="n"/>
      <c r="M312" s="90" t="n"/>
      <c r="N312" s="90" t="n"/>
      <c r="O312" s="90" t="inlineStr">
        <is>
          <t>10 申請</t>
        </is>
      </c>
      <c r="P312" s="90" t="n"/>
      <c r="Q312" s="90" t="n"/>
      <c r="R312" s="90" t="n"/>
      <c r="S312" s="90" t="n"/>
      <c r="T312" s="90" t="n"/>
      <c r="U312" s="90" t="n"/>
      <c r="V312" s="90" t="n"/>
      <c r="W312" s="90" t="n"/>
      <c r="X312" s="90" t="n"/>
      <c r="Y312" s="90" t="n"/>
      <c r="Z312" s="90" t="n"/>
      <c r="AA312" s="90" t="n"/>
      <c r="AB312" s="90" t="n">
        <v>28</v>
      </c>
      <c r="AC312" s="90" t="n">
        <v>3</v>
      </c>
      <c r="AD312" s="93" t="inlineStr">
        <is>
          <t>減</t>
        </is>
      </c>
      <c r="AE312" s="90" t="n"/>
      <c r="AF312" s="90" t="n"/>
      <c r="AG312" s="90" t="n"/>
      <c r="AH312" s="90" t="n"/>
      <c r="AI312" s="90" t="n"/>
      <c r="AJ312" s="90" t="n"/>
      <c r="AK312" s="90" t="n"/>
      <c r="AL312" s="94">
        <f>IF(A312="","",IF(COUNTIF(A312:A$2001,A312)=1,1,0))</f>
        <v/>
      </c>
      <c r="AM312" s="94">
        <f>IF(I312="","",TODAY()-I312)</f>
        <v/>
      </c>
      <c r="AN312" s="94">
        <f>IF(A312="","",IF(AND(E312&lt;&gt;"33 確認済",E312&lt;&gt;"36 送付中"),1,0))</f>
        <v/>
      </c>
      <c r="AO312" s="94">
        <f>IF(A312="","",IF(AG312&lt;&gt;"",1,0))</f>
        <v/>
      </c>
      <c r="AP312" s="220">
        <f>IF(P312&lt;&gt;"","・添待ち","")&amp;IF(Q312&lt;&gt;"","・住民票","")&amp;IF(R312&lt;&gt;"","・発信","")&amp;IF(S312&lt;&gt;"","・確認事項","")&amp;IF(T312&lt;&gt;"","・管","")&amp;IF(U312&lt;&gt;"","・SV","")&amp;IF(V312&lt;&gt;"","・データ送付待ち","")&amp;IF(W312&lt;&gt;"","・削除","")</f>
        <v/>
      </c>
    </row>
    <row r="313" ht="15" customHeight="1" s="87">
      <c r="A313" s="90" t="n">
        <v>202660001473</v>
      </c>
      <c r="B313" s="90" t="n"/>
      <c r="C313" s="90" t="n"/>
      <c r="D313" s="90" t="n">
        <v>20</v>
      </c>
      <c r="E313" s="90" t="inlineStr">
        <is>
          <t>20 確認待ち</t>
        </is>
      </c>
      <c r="F313" s="90" t="n"/>
      <c r="G313" s="90" t="n"/>
      <c r="H313" s="91" t="n">
        <v>46289</v>
      </c>
      <c r="I313" s="92" t="n">
        <v>46289</v>
      </c>
      <c r="J313" s="90" t="n"/>
      <c r="K313" s="90" t="n"/>
      <c r="L313" s="90" t="n"/>
      <c r="M313" s="90" t="n"/>
      <c r="N313" s="90" t="n"/>
      <c r="O313" s="90" t="inlineStr">
        <is>
          <t>55 添付書類待ち登録</t>
        </is>
      </c>
      <c r="P313" s="93" t="inlineStr">
        <is>
          <t>添</t>
        </is>
      </c>
      <c r="Q313" s="90" t="n"/>
      <c r="R313" s="90" t="n"/>
      <c r="S313" s="90" t="n"/>
      <c r="T313" s="90" t="n"/>
      <c r="U313" s="90" t="n"/>
      <c r="V313" s="90" t="n"/>
      <c r="W313" s="90" t="n"/>
      <c r="X313" s="90" t="n"/>
      <c r="Y313" s="90" t="n"/>
      <c r="Z313" s="90" t="n"/>
      <c r="AA313" s="90" t="n"/>
      <c r="AB313" s="90" t="n">
        <v>27</v>
      </c>
      <c r="AC313" s="90" t="n">
        <v>1</v>
      </c>
      <c r="AD313" s="93" t="inlineStr">
        <is>
          <t>増</t>
        </is>
      </c>
      <c r="AE313" s="90" t="inlineStr">
        <is>
          <t>27 収入限度額以下</t>
        </is>
      </c>
      <c r="AF313" s="90" t="n"/>
      <c r="AG313" s="90" t="n"/>
      <c r="AH313" s="93" t="inlineStr">
        <is>
          <t>増</t>
        </is>
      </c>
      <c r="AI313" s="90" t="n"/>
      <c r="AJ313" s="90" t="n"/>
      <c r="AK313" s="90" t="n"/>
      <c r="AL313" s="94">
        <f>IF(A313="","",IF(COUNTIF(A313:A$2001,A313)=1,1,0))</f>
        <v/>
      </c>
      <c r="AM313" s="94">
        <f>IF(I313="","",TODAY()-I313)</f>
        <v/>
      </c>
      <c r="AN313" s="94">
        <f>IF(A313="","",IF(AND(E313&lt;&gt;"33 確認済",E313&lt;&gt;"36 送付中"),1,0))</f>
        <v/>
      </c>
      <c r="AO313" s="94">
        <f>IF(A313="","",IF(AG313&lt;&gt;"",1,0))</f>
        <v/>
      </c>
      <c r="AP313" s="220">
        <f>IF(P313&lt;&gt;"","・添待ち","")&amp;IF(Q313&lt;&gt;"","・住民票","")&amp;IF(R313&lt;&gt;"","・発信","")&amp;IF(S313&lt;&gt;"","・確認事項","")&amp;IF(T313&lt;&gt;"","・管","")&amp;IF(U313&lt;&gt;"","・SV","")&amp;IF(V313&lt;&gt;"","・データ送付待ち","")&amp;IF(W313&lt;&gt;"","・削除","")</f>
        <v/>
      </c>
    </row>
    <row r="314" ht="15" customHeight="1" s="87">
      <c r="A314" s="90" t="n">
        <v>202660001474</v>
      </c>
      <c r="B314" s="90" t="n"/>
      <c r="C314" s="90" t="n"/>
      <c r="D314" s="90" t="n">
        <v>30</v>
      </c>
      <c r="E314" s="90" t="inlineStr">
        <is>
          <t>30 申請受付</t>
        </is>
      </c>
      <c r="F314" s="90" t="n"/>
      <c r="G314" s="90" t="n"/>
      <c r="H314" s="91" t="n">
        <v>46186</v>
      </c>
      <c r="I314" s="92" t="n">
        <v>46283</v>
      </c>
      <c r="J314" s="91" t="n">
        <v>46289</v>
      </c>
      <c r="K314" s="90" t="n"/>
      <c r="L314" s="90" t="n"/>
      <c r="M314" s="90" t="n"/>
      <c r="N314" s="90" t="n"/>
      <c r="O314" s="90" t="inlineStr">
        <is>
          <t>20 申請受付</t>
        </is>
      </c>
      <c r="P314" s="90" t="n"/>
      <c r="Q314" s="90" t="n"/>
      <c r="R314" s="90" t="n"/>
      <c r="S314" s="90" t="n"/>
      <c r="T314" s="90" t="n"/>
      <c r="U314" s="90" t="n"/>
      <c r="V314" s="90" t="n"/>
      <c r="W314" s="90" t="n"/>
      <c r="X314" s="90" t="n"/>
      <c r="Y314" s="90" t="n"/>
      <c r="Z314" s="90" t="n"/>
      <c r="AA314" s="90" t="n"/>
      <c r="AB314" s="90" t="n">
        <v>23</v>
      </c>
      <c r="AC314" s="90" t="n">
        <v>1</v>
      </c>
      <c r="AD314" s="93" t="inlineStr">
        <is>
          <t>増</t>
        </is>
      </c>
      <c r="AE314" s="90" t="inlineStr">
        <is>
          <t>23 本人の結婚</t>
        </is>
      </c>
      <c r="AF314" s="90" t="n"/>
      <c r="AG314" s="90" t="n"/>
      <c r="AH314" s="90" t="n"/>
      <c r="AI314" s="90" t="n"/>
      <c r="AJ314" s="90" t="n"/>
      <c r="AK314" s="90" t="n"/>
      <c r="AL314" s="94">
        <f>IF(A314="","",IF(COUNTIF(A314:A$2001,A314)=1,1,0))</f>
        <v/>
      </c>
      <c r="AM314" s="94">
        <f>IF(I314="","",TODAY()-I314)</f>
        <v/>
      </c>
      <c r="AN314" s="94">
        <f>IF(A314="","",IF(AND(E314&lt;&gt;"33 確認済",E314&lt;&gt;"36 送付中"),1,0))</f>
        <v/>
      </c>
      <c r="AO314" s="94">
        <f>IF(A314="","",IF(AG314&lt;&gt;"",1,0))</f>
        <v/>
      </c>
      <c r="AP314" s="220">
        <f>IF(P314&lt;&gt;"","・添待ち","")&amp;IF(Q314&lt;&gt;"","・住民票","")&amp;IF(R314&lt;&gt;"","・発信","")&amp;IF(S314&lt;&gt;"","・確認事項","")&amp;IF(T314&lt;&gt;"","・管","")&amp;IF(U314&lt;&gt;"","・SV","")&amp;IF(V314&lt;&gt;"","・データ送付待ち","")&amp;IF(W314&lt;&gt;"","・削除","")</f>
        <v/>
      </c>
    </row>
    <row r="315" ht="15" customHeight="1" s="87">
      <c r="A315" s="90" t="n">
        <v>202660001474</v>
      </c>
      <c r="B315" s="90" t="n"/>
      <c r="C315" s="90" t="n"/>
      <c r="D315" s="90" t="n">
        <v>30</v>
      </c>
      <c r="E315" s="90" t="inlineStr">
        <is>
          <t>30 申請受付</t>
        </is>
      </c>
      <c r="F315" s="90" t="n"/>
      <c r="G315" s="90" t="n"/>
      <c r="H315" s="91" t="n">
        <v>46186</v>
      </c>
      <c r="I315" s="92" t="n">
        <v>46283</v>
      </c>
      <c r="J315" s="91" t="n">
        <v>46289</v>
      </c>
      <c r="K315" s="90" t="n"/>
      <c r="L315" s="90" t="n"/>
      <c r="M315" s="90" t="n"/>
      <c r="N315" s="90" t="n"/>
      <c r="O315" s="90" t="inlineStr">
        <is>
          <t>20 申請受付</t>
        </is>
      </c>
      <c r="P315" s="90" t="n"/>
      <c r="Q315" s="90" t="n"/>
      <c r="R315" s="90" t="n"/>
      <c r="S315" s="90" t="n"/>
      <c r="T315" s="90" t="n"/>
      <c r="U315" s="90" t="n"/>
      <c r="V315" s="90" t="n"/>
      <c r="W315" s="90" t="n"/>
      <c r="X315" s="90" t="n"/>
      <c r="Y315" s="90" t="n"/>
      <c r="Z315" s="90" t="n"/>
      <c r="AA315" s="90" t="n"/>
      <c r="AB315" s="90" t="n">
        <v>23</v>
      </c>
      <c r="AC315" s="90" t="n">
        <v>1</v>
      </c>
      <c r="AD315" s="93" t="inlineStr">
        <is>
          <t>増</t>
        </is>
      </c>
      <c r="AE315" s="90" t="inlineStr">
        <is>
          <t>23 結婚</t>
        </is>
      </c>
      <c r="AF315" s="90" t="n"/>
      <c r="AG315" s="90" t="n"/>
      <c r="AH315" s="90" t="n"/>
      <c r="AI315" s="90" t="n"/>
      <c r="AJ315" s="90" t="n"/>
      <c r="AK315" s="90" t="n"/>
      <c r="AL315" s="94">
        <f>IF(A315="","",IF(COUNTIF(A315:A$2001,A315)=1,1,0))</f>
        <v/>
      </c>
      <c r="AM315" s="94">
        <f>IF(I315="","",TODAY()-I315)</f>
        <v/>
      </c>
      <c r="AN315" s="94">
        <f>IF(A315="","",IF(AND(E315&lt;&gt;"33 確認済",E315&lt;&gt;"36 送付中"),1,0))</f>
        <v/>
      </c>
      <c r="AO315" s="94">
        <f>IF(A315="","",IF(AG315&lt;&gt;"",1,0))</f>
        <v/>
      </c>
      <c r="AP315" s="220">
        <f>IF(P315&lt;&gt;"","・添待ち","")&amp;IF(Q315&lt;&gt;"","・住民票","")&amp;IF(R315&lt;&gt;"","・発信","")&amp;IF(S315&lt;&gt;"","・確認事項","")&amp;IF(T315&lt;&gt;"","・管","")&amp;IF(U315&lt;&gt;"","・SV","")&amp;IF(V315&lt;&gt;"","・データ送付待ち","")&amp;IF(W315&lt;&gt;"","・削除","")</f>
        <v/>
      </c>
    </row>
    <row r="316" ht="15" customHeight="1" s="87">
      <c r="A316" s="90" t="n">
        <v>202660001475</v>
      </c>
      <c r="B316" s="90" t="n"/>
      <c r="C316" s="90" t="n"/>
      <c r="D316" s="90" t="n">
        <v>30</v>
      </c>
      <c r="E316" s="90" t="inlineStr">
        <is>
          <t>30 申請受付</t>
        </is>
      </c>
      <c r="F316" s="90" t="n"/>
      <c r="G316" s="90" t="n"/>
      <c r="H316" s="91" t="n">
        <v>46113</v>
      </c>
      <c r="I316" s="92" t="n">
        <v>46283</v>
      </c>
      <c r="J316" s="91" t="n">
        <v>46289</v>
      </c>
      <c r="K316" s="90" t="n"/>
      <c r="L316" s="90" t="n"/>
      <c r="M316" s="90" t="n"/>
      <c r="N316" s="90" t="n"/>
      <c r="O316" s="90" t="inlineStr">
        <is>
          <t>20 申請受付</t>
        </is>
      </c>
      <c r="P316" s="90" t="n"/>
      <c r="Q316" s="90" t="n"/>
      <c r="R316" s="90" t="n"/>
      <c r="S316" s="90" t="n"/>
      <c r="T316" s="90" t="n"/>
      <c r="U316" s="90" t="n"/>
      <c r="V316" s="90" t="n"/>
      <c r="W316" s="90" t="n"/>
      <c r="X316" s="90" t="n"/>
      <c r="Y316" s="90" t="n"/>
      <c r="Z316" s="90" t="n"/>
      <c r="AA316" s="90" t="n"/>
      <c r="AB316" s="90" t="n">
        <v>47</v>
      </c>
      <c r="AC316" s="90" t="n">
        <v>0</v>
      </c>
      <c r="AD316" s="93" t="inlineStr">
        <is>
          <t>減</t>
        </is>
      </c>
      <c r="AE316" s="90" t="inlineStr">
        <is>
          <t>47 扶養親族の就職</t>
        </is>
      </c>
      <c r="AF316" s="93" t="inlineStr">
        <is>
          <t>減</t>
        </is>
      </c>
      <c r="AG316" s="93" t="inlineStr">
        <is>
          <t>減</t>
        </is>
      </c>
      <c r="AH316" s="93" t="inlineStr">
        <is>
          <t>減</t>
        </is>
      </c>
      <c r="AI316" s="90" t="n"/>
      <c r="AJ316" s="90" t="n"/>
      <c r="AK316" s="90" t="n"/>
      <c r="AL316" s="94">
        <f>IF(A316="","",IF(COUNTIF(A316:A$2001,A316)=1,1,0))</f>
        <v/>
      </c>
      <c r="AM316" s="94">
        <f>IF(I316="","",TODAY()-I316)</f>
        <v/>
      </c>
      <c r="AN316" s="94">
        <f>IF(A316="","",IF(AND(E316&lt;&gt;"33 確認済",E316&lt;&gt;"36 送付中"),1,0))</f>
        <v/>
      </c>
      <c r="AO316" s="94">
        <f>IF(A316="","",IF(AG316&lt;&gt;"",1,0))</f>
        <v/>
      </c>
      <c r="AP316" s="220">
        <f>IF(P316&lt;&gt;"","・添待ち","")&amp;IF(Q316&lt;&gt;"","・住民票","")&amp;IF(R316&lt;&gt;"","・発信","")&amp;IF(S316&lt;&gt;"","・確認事項","")&amp;IF(T316&lt;&gt;"","・管","")&amp;IF(U316&lt;&gt;"","・SV","")&amp;IF(V316&lt;&gt;"","・データ送付待ち","")&amp;IF(W316&lt;&gt;"","・削除","")</f>
        <v/>
      </c>
    </row>
    <row r="317" ht="15" customHeight="1" s="87">
      <c r="A317" s="90" t="n">
        <v>202660001476</v>
      </c>
      <c r="B317" s="90" t="n"/>
      <c r="C317" s="90" t="n"/>
      <c r="D317" s="90" t="n">
        <v>30</v>
      </c>
      <c r="E317" s="90" t="inlineStr">
        <is>
          <t>30 申請受付</t>
        </is>
      </c>
      <c r="F317" s="90" t="n"/>
      <c r="G317" s="90" t="n"/>
      <c r="H317" s="91" t="n">
        <v>46113</v>
      </c>
      <c r="I317" s="92" t="n">
        <v>46283</v>
      </c>
      <c r="J317" s="91" t="n">
        <v>46289</v>
      </c>
      <c r="K317" s="90" t="n"/>
      <c r="L317" s="90" t="n"/>
      <c r="M317" s="90" t="n"/>
      <c r="N317" s="90" t="n"/>
      <c r="O317" s="90" t="inlineStr">
        <is>
          <t>20 申請受付</t>
        </is>
      </c>
      <c r="P317" s="90" t="n"/>
      <c r="Q317" s="90" t="n"/>
      <c r="R317" s="90" t="n"/>
      <c r="S317" s="90" t="n"/>
      <c r="T317" s="90" t="n"/>
      <c r="U317" s="90" t="n"/>
      <c r="V317" s="90" t="n"/>
      <c r="W317" s="90" t="n"/>
      <c r="X317" s="90" t="n"/>
      <c r="Y317" s="90" t="n"/>
      <c r="Z317" s="90" t="n"/>
      <c r="AA317" s="90" t="n"/>
      <c r="AB317" s="90" t="n">
        <v>47</v>
      </c>
      <c r="AC317" s="90" t="n">
        <v>0</v>
      </c>
      <c r="AD317" s="93" t="inlineStr">
        <is>
          <t>減</t>
        </is>
      </c>
      <c r="AE317" s="90" t="inlineStr">
        <is>
          <t>47 扶養親族の就職</t>
        </is>
      </c>
      <c r="AF317" s="90" t="n"/>
      <c r="AG317" s="90" t="n"/>
      <c r="AH317" s="93" t="inlineStr">
        <is>
          <t>減</t>
        </is>
      </c>
      <c r="AI317" s="90" t="n"/>
      <c r="AJ317" s="90" t="n"/>
      <c r="AK317" s="90" t="n"/>
      <c r="AL317" s="94">
        <f>IF(A317="","",IF(COUNTIF(A317:A$2001,A317)=1,1,0))</f>
        <v/>
      </c>
      <c r="AM317" s="94">
        <f>IF(I317="","",TODAY()-I317)</f>
        <v/>
      </c>
      <c r="AN317" s="94">
        <f>IF(A317="","",IF(AND(E317&lt;&gt;"33 確認済",E317&lt;&gt;"36 送付中"),1,0))</f>
        <v/>
      </c>
      <c r="AO317" s="94">
        <f>IF(A317="","",IF(AG317&lt;&gt;"",1,0))</f>
        <v/>
      </c>
      <c r="AP317" s="220">
        <f>IF(P317&lt;&gt;"","・添待ち","")&amp;IF(Q317&lt;&gt;"","・住民票","")&amp;IF(R317&lt;&gt;"","・発信","")&amp;IF(S317&lt;&gt;"","・確認事項","")&amp;IF(T317&lt;&gt;"","・管","")&amp;IF(U317&lt;&gt;"","・SV","")&amp;IF(V317&lt;&gt;"","・データ送付待ち","")&amp;IF(W317&lt;&gt;"","・削除","")</f>
        <v/>
      </c>
    </row>
    <row r="318" ht="15" customHeight="1" s="87">
      <c r="A318" s="90" t="n">
        <v>202660001477</v>
      </c>
      <c r="B318" s="90" t="n"/>
      <c r="C318" s="90" t="n"/>
      <c r="D318" s="90" t="n">
        <v>30</v>
      </c>
      <c r="E318" s="90" t="inlineStr">
        <is>
          <t>30 申請受付</t>
        </is>
      </c>
      <c r="F318" s="90" t="n"/>
      <c r="G318" s="90" t="n"/>
      <c r="H318" s="91" t="n">
        <v>46279</v>
      </c>
      <c r="I318" s="92" t="n">
        <v>46283</v>
      </c>
      <c r="J318" s="91" t="n">
        <v>46289</v>
      </c>
      <c r="K318" s="90" t="n"/>
      <c r="L318" s="90" t="n"/>
      <c r="M318" s="90" t="n"/>
      <c r="N318" s="90" t="n"/>
      <c r="O318" s="90" t="inlineStr">
        <is>
          <t>20 申請受付</t>
        </is>
      </c>
      <c r="P318" s="90" t="n"/>
      <c r="Q318" s="90" t="n"/>
      <c r="R318" s="90" t="n"/>
      <c r="S318" s="90" t="n"/>
      <c r="T318" s="90" t="n"/>
      <c r="U318" s="90" t="n"/>
      <c r="V318" s="90" t="n"/>
      <c r="W318" s="90" t="n"/>
      <c r="X318" s="90" t="n"/>
      <c r="Y318" s="90" t="n"/>
      <c r="Z318" s="90" t="n"/>
      <c r="AA318" s="90" t="n"/>
      <c r="AB318" s="90" t="n">
        <v>23</v>
      </c>
      <c r="AC318" s="90" t="n">
        <v>1</v>
      </c>
      <c r="AD318" s="93" t="inlineStr">
        <is>
          <t>増</t>
        </is>
      </c>
      <c r="AE318" s="90" t="inlineStr">
        <is>
          <t>23 本人の結婚</t>
        </is>
      </c>
      <c r="AF318" s="90" t="n"/>
      <c r="AG318" s="90" t="n"/>
      <c r="AH318" s="90" t="n"/>
      <c r="AI318" s="90" t="n"/>
      <c r="AJ318" s="90" t="n"/>
      <c r="AK318" s="90" t="n"/>
      <c r="AL318" s="94">
        <f>IF(A318="","",IF(COUNTIF(A318:A$2001,A318)=1,1,0))</f>
        <v/>
      </c>
      <c r="AM318" s="94">
        <f>IF(I318="","",TODAY()-I318)</f>
        <v/>
      </c>
      <c r="AN318" s="94">
        <f>IF(A318="","",IF(AND(E318&lt;&gt;"33 確認済",E318&lt;&gt;"36 送付中"),1,0))</f>
        <v/>
      </c>
      <c r="AO318" s="94">
        <f>IF(A318="","",IF(AG318&lt;&gt;"",1,0))</f>
        <v/>
      </c>
      <c r="AP318" s="220">
        <f>IF(P318&lt;&gt;"","・添待ち","")&amp;IF(Q318&lt;&gt;"","・住民票","")&amp;IF(R318&lt;&gt;"","・発信","")&amp;IF(S318&lt;&gt;"","・確認事項","")&amp;IF(T318&lt;&gt;"","・管","")&amp;IF(U318&lt;&gt;"","・SV","")&amp;IF(V318&lt;&gt;"","・データ送付待ち","")&amp;IF(W318&lt;&gt;"","・削除","")</f>
        <v/>
      </c>
    </row>
    <row r="319" ht="15" customHeight="1" s="87">
      <c r="A319" s="90" t="n">
        <v>202660001477</v>
      </c>
      <c r="B319" s="90" t="n"/>
      <c r="C319" s="90" t="n"/>
      <c r="D319" s="90" t="n">
        <v>30</v>
      </c>
      <c r="E319" s="90" t="inlineStr">
        <is>
          <t>30 申請受付</t>
        </is>
      </c>
      <c r="F319" s="90" t="n"/>
      <c r="G319" s="90" t="n"/>
      <c r="H319" s="91" t="n">
        <v>46279</v>
      </c>
      <c r="I319" s="92" t="n">
        <v>46283</v>
      </c>
      <c r="J319" s="91" t="n">
        <v>46289</v>
      </c>
      <c r="K319" s="90" t="n"/>
      <c r="L319" s="90" t="n"/>
      <c r="M319" s="90" t="n"/>
      <c r="N319" s="90" t="n"/>
      <c r="O319" s="90" t="inlineStr">
        <is>
          <t>20 申請受付</t>
        </is>
      </c>
      <c r="P319" s="90" t="n"/>
      <c r="Q319" s="90" t="n"/>
      <c r="R319" s="90" t="n"/>
      <c r="S319" s="90" t="n"/>
      <c r="T319" s="90" t="n"/>
      <c r="U319" s="90" t="n"/>
      <c r="V319" s="90" t="n"/>
      <c r="W319" s="90" t="n"/>
      <c r="X319" s="90" t="n"/>
      <c r="Y319" s="90" t="n"/>
      <c r="Z319" s="90" t="n"/>
      <c r="AA319" s="90" t="n"/>
      <c r="AB319" s="90" t="n">
        <v>23</v>
      </c>
      <c r="AC319" s="90" t="n">
        <v>1</v>
      </c>
      <c r="AD319" s="93" t="inlineStr">
        <is>
          <t>増</t>
        </is>
      </c>
      <c r="AE319" s="90" t="inlineStr">
        <is>
          <t>23 結婚</t>
        </is>
      </c>
      <c r="AF319" s="90" t="n"/>
      <c r="AG319" s="90" t="n"/>
      <c r="AH319" s="90" t="n"/>
      <c r="AI319" s="90" t="n"/>
      <c r="AJ319" s="90" t="n"/>
      <c r="AK319" s="90" t="n"/>
      <c r="AL319" s="94">
        <f>IF(A319="","",IF(COUNTIF(A319:A$2001,A319)=1,1,0))</f>
        <v/>
      </c>
      <c r="AM319" s="94">
        <f>IF(I319="","",TODAY()-I319)</f>
        <v/>
      </c>
      <c r="AN319" s="94">
        <f>IF(A319="","",IF(AND(E319&lt;&gt;"33 確認済",E319&lt;&gt;"36 送付中"),1,0))</f>
        <v/>
      </c>
      <c r="AO319" s="94">
        <f>IF(A319="","",IF(AG319&lt;&gt;"",1,0))</f>
        <v/>
      </c>
      <c r="AP319" s="220">
        <f>IF(P319&lt;&gt;"","・添待ち","")&amp;IF(Q319&lt;&gt;"","・住民票","")&amp;IF(R319&lt;&gt;"","・発信","")&amp;IF(S319&lt;&gt;"","・確認事項","")&amp;IF(T319&lt;&gt;"","・管","")&amp;IF(U319&lt;&gt;"","・SV","")&amp;IF(V319&lt;&gt;"","・データ送付待ち","")&amp;IF(W319&lt;&gt;"","・削除","")</f>
        <v/>
      </c>
    </row>
    <row r="320" ht="15" customHeight="1" s="87">
      <c r="A320" s="90" t="n">
        <v>202660001478</v>
      </c>
      <c r="B320" s="90" t="n"/>
      <c r="C320" s="90" t="n"/>
      <c r="D320" s="90" t="n">
        <v>30</v>
      </c>
      <c r="E320" s="90" t="inlineStr">
        <is>
          <t>30 申請受付</t>
        </is>
      </c>
      <c r="F320" s="90" t="n"/>
      <c r="G320" s="90" t="n"/>
      <c r="H320" s="91" t="n">
        <v>46112</v>
      </c>
      <c r="I320" s="92" t="n">
        <v>46283</v>
      </c>
      <c r="J320" s="91" t="n">
        <v>46289</v>
      </c>
      <c r="K320" s="90" t="n"/>
      <c r="L320" s="90" t="n"/>
      <c r="M320" s="90" t="n"/>
      <c r="N320" s="90" t="n"/>
      <c r="O320" s="90" t="inlineStr">
        <is>
          <t>20 申請受付</t>
        </is>
      </c>
      <c r="P320" s="90" t="n"/>
      <c r="Q320" s="90" t="n"/>
      <c r="R320" s="90" t="n"/>
      <c r="S320" s="90" t="n"/>
      <c r="T320" s="90" t="n"/>
      <c r="U320" s="90" t="n"/>
      <c r="V320" s="90" t="n"/>
      <c r="W320" s="90" t="n"/>
      <c r="X320" s="90" t="n"/>
      <c r="Y320" s="90" t="n"/>
      <c r="Z320" s="90" t="n"/>
      <c r="AA320" s="90" t="n"/>
      <c r="AB320" s="90" t="n">
        <v>3</v>
      </c>
      <c r="AC320" s="90" t="n">
        <v>0</v>
      </c>
      <c r="AD320" s="93" t="inlineStr">
        <is>
          <t>減</t>
        </is>
      </c>
      <c r="AE320" s="90" t="inlineStr">
        <is>
          <t>03 離婚</t>
        </is>
      </c>
      <c r="AF320" s="90" t="n"/>
      <c r="AG320" s="90" t="n"/>
      <c r="AH320" s="90" t="n"/>
      <c r="AI320" s="90" t="n"/>
      <c r="AJ320" s="90" t="n"/>
      <c r="AK320" s="90" t="n"/>
      <c r="AL320" s="94">
        <f>IF(A320="","",IF(COUNTIF(A320:A$2001,A320)=1,1,0))</f>
        <v/>
      </c>
      <c r="AM320" s="94">
        <f>IF(I320="","",TODAY()-I320)</f>
        <v/>
      </c>
      <c r="AN320" s="94">
        <f>IF(A320="","",IF(AND(E320&lt;&gt;"33 確認済",E320&lt;&gt;"36 送付中"),1,0))</f>
        <v/>
      </c>
      <c r="AO320" s="94">
        <f>IF(A320="","",IF(AG320&lt;&gt;"",1,0))</f>
        <v/>
      </c>
      <c r="AP320" s="220">
        <f>IF(P320&lt;&gt;"","・添待ち","")&amp;IF(Q320&lt;&gt;"","・住民票","")&amp;IF(R320&lt;&gt;"","・発信","")&amp;IF(S320&lt;&gt;"","・確認事項","")&amp;IF(T320&lt;&gt;"","・管","")&amp;IF(U320&lt;&gt;"","・SV","")&amp;IF(V320&lt;&gt;"","・データ送付待ち","")&amp;IF(W320&lt;&gt;"","・削除","")</f>
        <v/>
      </c>
    </row>
    <row r="321" ht="15" customHeight="1" s="87">
      <c r="A321" s="90" t="n">
        <v>202660001479</v>
      </c>
      <c r="B321" s="90" t="n"/>
      <c r="C321" s="90" t="n"/>
      <c r="D321" s="90" t="n">
        <v>30</v>
      </c>
      <c r="E321" s="90" t="inlineStr">
        <is>
          <t>30 申請受付</t>
        </is>
      </c>
      <c r="F321" s="90" t="n"/>
      <c r="G321" s="90" t="n"/>
      <c r="H321" s="91" t="n">
        <v>46266</v>
      </c>
      <c r="I321" s="92" t="n">
        <v>46283</v>
      </c>
      <c r="J321" s="91" t="n">
        <v>46289</v>
      </c>
      <c r="K321" s="90" t="n"/>
      <c r="L321" s="90" t="n"/>
      <c r="M321" s="90" t="n"/>
      <c r="N321" s="90" t="n"/>
      <c r="O321" s="90" t="inlineStr">
        <is>
          <t>20 申請受付</t>
        </is>
      </c>
      <c r="P321" s="90" t="n"/>
      <c r="Q321" s="90" t="n"/>
      <c r="R321" s="90" t="n"/>
      <c r="S321" s="90" t="n"/>
      <c r="T321" s="90" t="n"/>
      <c r="U321" s="90" t="n"/>
      <c r="V321" s="90" t="n"/>
      <c r="W321" s="90" t="n"/>
      <c r="X321" s="90" t="n"/>
      <c r="Y321" s="90" t="n"/>
      <c r="Z321" s="90" t="n"/>
      <c r="AA321" s="90" t="n"/>
      <c r="AB321" s="90" t="n">
        <v>51</v>
      </c>
      <c r="AC321" s="90" t="n">
        <v>0</v>
      </c>
      <c r="AD321" s="93" t="inlineStr">
        <is>
          <t>減</t>
        </is>
      </c>
      <c r="AE321" s="90" t="inlineStr">
        <is>
          <t>51 収入限度額以上</t>
        </is>
      </c>
      <c r="AF321" s="90" t="n"/>
      <c r="AG321" s="90" t="n"/>
      <c r="AH321" s="93" t="inlineStr">
        <is>
          <t>減</t>
        </is>
      </c>
      <c r="AI321" s="90" t="n"/>
      <c r="AJ321" s="90" t="n"/>
      <c r="AK321" s="90" t="n"/>
      <c r="AL321" s="94">
        <f>IF(A321="","",IF(COUNTIF(A321:A$2001,A321)=1,1,0))</f>
        <v/>
      </c>
      <c r="AM321" s="94">
        <f>IF(I321="","",TODAY()-I321)</f>
        <v/>
      </c>
      <c r="AN321" s="94">
        <f>IF(A321="","",IF(AND(E321&lt;&gt;"33 確認済",E321&lt;&gt;"36 送付中"),1,0))</f>
        <v/>
      </c>
      <c r="AO321" s="94">
        <f>IF(A321="","",IF(AG321&lt;&gt;"",1,0))</f>
        <v/>
      </c>
      <c r="AP321" s="220">
        <f>IF(P321&lt;&gt;"","・添待ち","")&amp;IF(Q321&lt;&gt;"","・住民票","")&amp;IF(R321&lt;&gt;"","・発信","")&amp;IF(S321&lt;&gt;"","・確認事項","")&amp;IF(T321&lt;&gt;"","・管","")&amp;IF(U321&lt;&gt;"","・SV","")&amp;IF(V321&lt;&gt;"","・データ送付待ち","")&amp;IF(W321&lt;&gt;"","・削除","")</f>
        <v/>
      </c>
    </row>
    <row r="322" ht="15" customHeight="1" s="87">
      <c r="A322" s="90" t="n">
        <v>202660001483</v>
      </c>
      <c r="B322" s="90" t="n"/>
      <c r="C322" s="90" t="n"/>
      <c r="D322" s="90" t="n">
        <v>20</v>
      </c>
      <c r="E322" s="90" t="inlineStr">
        <is>
          <t>20 確認待ち</t>
        </is>
      </c>
      <c r="F322" s="90" t="n"/>
      <c r="G322" s="90" t="n"/>
      <c r="H322" s="91" t="n">
        <v>46023</v>
      </c>
      <c r="I322" s="92" t="n">
        <v>46283</v>
      </c>
      <c r="J322" s="90" t="n"/>
      <c r="K322" s="90" t="n"/>
      <c r="L322" s="90" t="n"/>
      <c r="M322" s="90" t="n"/>
      <c r="N322" s="90" t="n"/>
      <c r="O322" s="90" t="inlineStr">
        <is>
          <t>55 添付書類待ち登録</t>
        </is>
      </c>
      <c r="P322" s="93" t="inlineStr">
        <is>
          <t>添</t>
        </is>
      </c>
      <c r="Q322" s="90" t="n"/>
      <c r="R322" s="90" t="n"/>
      <c r="S322" s="90" t="n"/>
      <c r="T322" s="90" t="n"/>
      <c r="U322" s="90" t="n"/>
      <c r="V322" s="90" t="n"/>
      <c r="W322" s="90" t="n"/>
      <c r="X322" s="90" t="n"/>
      <c r="Y322" s="90" t="n"/>
      <c r="Z322" s="90" t="n"/>
      <c r="AA322" s="90" t="n"/>
      <c r="AB322" s="90" t="n">
        <v>27</v>
      </c>
      <c r="AC322" s="90" t="n">
        <v>1</v>
      </c>
      <c r="AD322" s="93" t="inlineStr">
        <is>
          <t>増</t>
        </is>
      </c>
      <c r="AE322" s="90" t="inlineStr">
        <is>
          <t>27 収入限度額以下</t>
        </is>
      </c>
      <c r="AF322" s="90" t="n"/>
      <c r="AG322" s="90" t="n"/>
      <c r="AH322" s="93" t="inlineStr">
        <is>
          <t>増</t>
        </is>
      </c>
      <c r="AI322" s="90" t="n"/>
      <c r="AJ322" s="90" t="n"/>
      <c r="AK322" s="90" t="n"/>
      <c r="AL322" s="94">
        <f>IF(A322="","",IF(COUNTIF(A322:A$2001,A322)=1,1,0))</f>
        <v/>
      </c>
      <c r="AM322" s="94">
        <f>IF(I322="","",TODAY()-I322)</f>
        <v/>
      </c>
      <c r="AN322" s="94">
        <f>IF(A322="","",IF(AND(E322&lt;&gt;"33 確認済",E322&lt;&gt;"36 送付中"),1,0))</f>
        <v/>
      </c>
      <c r="AO322" s="94">
        <f>IF(A322="","",IF(AG322&lt;&gt;"",1,0))</f>
        <v/>
      </c>
      <c r="AP322" s="220">
        <f>IF(P322&lt;&gt;"","・添待ち","")&amp;IF(Q322&lt;&gt;"","・住民票","")&amp;IF(R322&lt;&gt;"","・発信","")&amp;IF(S322&lt;&gt;"","・確認事項","")&amp;IF(T322&lt;&gt;"","・管","")&amp;IF(U322&lt;&gt;"","・SV","")&amp;IF(V322&lt;&gt;"","・データ送付待ち","")&amp;IF(W322&lt;&gt;"","・削除","")</f>
        <v/>
      </c>
    </row>
    <row r="323" ht="15" customHeight="1" s="87">
      <c r="A323" s="90" t="n">
        <v>202660001484</v>
      </c>
      <c r="B323" s="90" t="n"/>
      <c r="C323" s="90" t="n"/>
      <c r="D323" s="90" t="n">
        <v>20</v>
      </c>
      <c r="E323" s="90" t="inlineStr">
        <is>
          <t>20 確認待ち</t>
        </is>
      </c>
      <c r="F323" s="90" t="n"/>
      <c r="G323" s="90" t="n"/>
      <c r="H323" s="91" t="n">
        <v>46185</v>
      </c>
      <c r="I323" s="92" t="n">
        <v>46283</v>
      </c>
      <c r="J323" s="90" t="n"/>
      <c r="K323" s="90" t="n"/>
      <c r="L323" s="90" t="n"/>
      <c r="M323" s="90" t="n"/>
      <c r="N323" s="90" t="n"/>
      <c r="O323" s="90" t="inlineStr">
        <is>
          <t>55 添付書類待ち登録</t>
        </is>
      </c>
      <c r="P323" s="93" t="inlineStr">
        <is>
          <t>添</t>
        </is>
      </c>
      <c r="Q323" s="90" t="n"/>
      <c r="R323" s="90" t="n"/>
      <c r="S323" s="90" t="n"/>
      <c r="T323" s="90" t="n"/>
      <c r="U323" s="90" t="n"/>
      <c r="V323" s="90" t="n"/>
      <c r="W323" s="90" t="n"/>
      <c r="X323" s="90" t="n"/>
      <c r="Y323" s="90" t="n"/>
      <c r="Z323" s="90" t="n"/>
      <c r="AA323" s="90" t="n"/>
      <c r="AB323" s="90" t="n">
        <v>26</v>
      </c>
      <c r="AC323" s="90" t="n">
        <v>1</v>
      </c>
      <c r="AD323" s="93" t="inlineStr">
        <is>
          <t>増</t>
        </is>
      </c>
      <c r="AE323" s="90" t="inlineStr">
        <is>
          <t>26 扶養者の変更</t>
        </is>
      </c>
      <c r="AF323" s="93" t="inlineStr">
        <is>
          <t>増</t>
        </is>
      </c>
      <c r="AG323" s="93" t="inlineStr">
        <is>
          <t>増</t>
        </is>
      </c>
      <c r="AH323" s="93" t="inlineStr">
        <is>
          <t>増</t>
        </is>
      </c>
      <c r="AI323" s="90" t="n"/>
      <c r="AJ323" s="90" t="n"/>
      <c r="AK323" s="90" t="n"/>
      <c r="AL323" s="94">
        <f>IF(A323="","",IF(COUNTIF(A323:A$2001,A323)=1,1,0))</f>
        <v/>
      </c>
      <c r="AM323" s="94">
        <f>IF(I323="","",TODAY()-I323)</f>
        <v/>
      </c>
      <c r="AN323" s="94">
        <f>IF(A323="","",IF(AND(E323&lt;&gt;"33 確認済",E323&lt;&gt;"36 送付中"),1,0))</f>
        <v/>
      </c>
      <c r="AO323" s="94">
        <f>IF(A323="","",IF(AG323&lt;&gt;"",1,0))</f>
        <v/>
      </c>
      <c r="AP323" s="220">
        <f>IF(P323&lt;&gt;"","・添待ち","")&amp;IF(Q323&lt;&gt;"","・住民票","")&amp;IF(R323&lt;&gt;"","・発信","")&amp;IF(S323&lt;&gt;"","・確認事項","")&amp;IF(T323&lt;&gt;"","・管","")&amp;IF(U323&lt;&gt;"","・SV","")&amp;IF(V323&lt;&gt;"","・データ送付待ち","")&amp;IF(W323&lt;&gt;"","・削除","")</f>
        <v/>
      </c>
    </row>
    <row r="324" ht="15" customHeight="1" s="87">
      <c r="A324" s="90" t="n">
        <v>202660001485</v>
      </c>
      <c r="B324" s="90" t="n"/>
      <c r="C324" s="90" t="n"/>
      <c r="D324" s="90" t="n">
        <v>20</v>
      </c>
      <c r="E324" s="90" t="inlineStr">
        <is>
          <t>20 確認待ち</t>
        </is>
      </c>
      <c r="F324" s="90" t="n"/>
      <c r="G324" s="90" t="n"/>
      <c r="H324" s="91" t="n">
        <v>46271</v>
      </c>
      <c r="I324" s="92" t="n">
        <v>46283</v>
      </c>
      <c r="J324" s="90" t="n"/>
      <c r="K324" s="90" t="n"/>
      <c r="L324" s="90" t="n"/>
      <c r="M324" s="90" t="n"/>
      <c r="N324" s="90" t="n"/>
      <c r="O324" s="90" t="inlineStr">
        <is>
          <t>55 添付書類待ち登録</t>
        </is>
      </c>
      <c r="P324" s="93" t="inlineStr">
        <is>
          <t>添</t>
        </is>
      </c>
      <c r="Q324" s="90" t="n"/>
      <c r="R324" s="90" t="n"/>
      <c r="S324" s="90" t="n"/>
      <c r="T324" s="90" t="n"/>
      <c r="U324" s="90" t="n"/>
      <c r="V324" s="90" t="n"/>
      <c r="W324" s="90" t="n"/>
      <c r="X324" s="90" t="n"/>
      <c r="Y324" s="90" t="n"/>
      <c r="Z324" s="90" t="n"/>
      <c r="AA324" s="90" t="n"/>
      <c r="AB324" s="90" t="n">
        <v>21</v>
      </c>
      <c r="AC324" s="90" t="n">
        <v>1</v>
      </c>
      <c r="AD324" s="93" t="inlineStr">
        <is>
          <t>増</t>
        </is>
      </c>
      <c r="AE324" s="90" t="inlineStr">
        <is>
          <t>21 出生</t>
        </is>
      </c>
      <c r="AF324" s="93" t="inlineStr">
        <is>
          <t>増</t>
        </is>
      </c>
      <c r="AG324" s="93" t="inlineStr">
        <is>
          <t>増</t>
        </is>
      </c>
      <c r="AH324" s="93" t="inlineStr">
        <is>
          <t>増</t>
        </is>
      </c>
      <c r="AI324" s="90" t="n"/>
      <c r="AJ324" s="90" t="n"/>
      <c r="AK324" s="90" t="n"/>
      <c r="AL324" s="94">
        <f>IF(A324="","",IF(COUNTIF(A324:A$2001,A324)=1,1,0))</f>
        <v/>
      </c>
      <c r="AM324" s="94">
        <f>IF(I324="","",TODAY()-I324)</f>
        <v/>
      </c>
      <c r="AN324" s="94">
        <f>IF(A324="","",IF(AND(E324&lt;&gt;"33 確認済",E324&lt;&gt;"36 送付中"),1,0))</f>
        <v/>
      </c>
      <c r="AO324" s="94">
        <f>IF(A324="","",IF(AG324&lt;&gt;"",1,0))</f>
        <v/>
      </c>
      <c r="AP324" s="220">
        <f>IF(P324&lt;&gt;"","・添待ち","")&amp;IF(Q324&lt;&gt;"","・住民票","")&amp;IF(R324&lt;&gt;"","・発信","")&amp;IF(S324&lt;&gt;"","・確認事項","")&amp;IF(T324&lt;&gt;"","・管","")&amp;IF(U324&lt;&gt;"","・SV","")&amp;IF(V324&lt;&gt;"","・データ送付待ち","")&amp;IF(W324&lt;&gt;"","・削除","")</f>
        <v/>
      </c>
    </row>
    <row r="325" ht="15" customHeight="1" s="87">
      <c r="A325" s="90" t="n">
        <v>202660001486</v>
      </c>
      <c r="B325" s="90" t="n"/>
      <c r="C325" s="90" t="n"/>
      <c r="D325" s="90" t="n">
        <v>20</v>
      </c>
      <c r="E325" s="90" t="inlineStr">
        <is>
          <t>20 確認待ち</t>
        </is>
      </c>
      <c r="F325" s="90" t="n"/>
      <c r="G325" s="90" t="n"/>
      <c r="H325" s="91" t="n">
        <v>46169</v>
      </c>
      <c r="I325" s="92" t="n">
        <v>46283</v>
      </c>
      <c r="J325" s="90" t="n"/>
      <c r="K325" s="90" t="n"/>
      <c r="L325" s="90" t="n"/>
      <c r="M325" s="90" t="n"/>
      <c r="N325" s="90" t="n"/>
      <c r="O325" s="90" t="inlineStr">
        <is>
          <t>10 申請</t>
        </is>
      </c>
      <c r="P325" s="90" t="n"/>
      <c r="Q325" s="90" t="n"/>
      <c r="R325" s="90" t="n"/>
      <c r="S325" s="90" t="n"/>
      <c r="T325" s="90" t="n"/>
      <c r="U325" s="90" t="n"/>
      <c r="V325" s="90" t="n"/>
      <c r="W325" s="90" t="n"/>
      <c r="X325" s="90" t="n"/>
      <c r="Y325" s="90" t="n"/>
      <c r="Z325" s="90" t="n"/>
      <c r="AA325" s="90" t="n"/>
      <c r="AB325" s="90" t="n">
        <v>28</v>
      </c>
      <c r="AC325" s="90" t="n">
        <v>3</v>
      </c>
      <c r="AD325" s="93" t="inlineStr">
        <is>
          <t>減</t>
        </is>
      </c>
      <c r="AE325" s="90" t="n"/>
      <c r="AF325" s="90" t="n"/>
      <c r="AG325" s="90" t="n"/>
      <c r="AH325" s="93" t="inlineStr">
        <is>
          <t>増</t>
        </is>
      </c>
      <c r="AI325" s="90" t="n"/>
      <c r="AJ325" s="90" t="n"/>
      <c r="AK325" s="90" t="n"/>
      <c r="AL325" s="94">
        <f>IF(A325="","",IF(COUNTIF(A325:A$2001,A325)=1,1,0))</f>
        <v/>
      </c>
      <c r="AM325" s="94">
        <f>IF(I325="","",TODAY()-I325)</f>
        <v/>
      </c>
      <c r="AN325" s="94">
        <f>IF(A325="","",IF(AND(E325&lt;&gt;"33 確認済",E325&lt;&gt;"36 送付中"),1,0))</f>
        <v/>
      </c>
      <c r="AO325" s="94">
        <f>IF(A325="","",IF(AG325&lt;&gt;"",1,0))</f>
        <v/>
      </c>
      <c r="AP325" s="220">
        <f>IF(P325&lt;&gt;"","・添待ち","")&amp;IF(Q325&lt;&gt;"","・住民票","")&amp;IF(R325&lt;&gt;"","・発信","")&amp;IF(S325&lt;&gt;"","・確認事項","")&amp;IF(T325&lt;&gt;"","・管","")&amp;IF(U325&lt;&gt;"","・SV","")&amp;IF(V325&lt;&gt;"","・データ送付待ち","")&amp;IF(W325&lt;&gt;"","・削除","")</f>
        <v/>
      </c>
    </row>
    <row r="326" ht="15" customHeight="1" s="87">
      <c r="A326" s="90" t="n">
        <v>202660001487</v>
      </c>
      <c r="B326" s="90" t="n"/>
      <c r="C326" s="90" t="n"/>
      <c r="D326" s="90" t="n">
        <v>30</v>
      </c>
      <c r="E326" s="90" t="inlineStr">
        <is>
          <t>30 申請受付</t>
        </is>
      </c>
      <c r="F326" s="90" t="n"/>
      <c r="G326" s="90" t="n"/>
      <c r="H326" s="91" t="n">
        <v>46161</v>
      </c>
      <c r="I326" s="92" t="n">
        <v>46283</v>
      </c>
      <c r="J326" s="91" t="n">
        <v>46289</v>
      </c>
      <c r="K326" s="90" t="n"/>
      <c r="L326" s="90" t="n"/>
      <c r="M326" s="90" t="n"/>
      <c r="N326" s="90" t="n"/>
      <c r="O326" s="90" t="inlineStr">
        <is>
          <t>20 申請受付</t>
        </is>
      </c>
      <c r="P326" s="90" t="n"/>
      <c r="Q326" s="90" t="n"/>
      <c r="R326" s="90" t="n"/>
      <c r="S326" s="90" t="n"/>
      <c r="T326" s="90" t="n"/>
      <c r="U326" s="90" t="n"/>
      <c r="V326" s="90" t="n"/>
      <c r="W326" s="90" t="n"/>
      <c r="X326" s="90" t="n"/>
      <c r="Y326" s="90" t="n"/>
      <c r="Z326" s="90" t="n"/>
      <c r="AA326" s="90" t="n"/>
      <c r="AB326" s="90" t="n">
        <v>3</v>
      </c>
      <c r="AC326" s="90" t="n">
        <v>0</v>
      </c>
      <c r="AD326" s="93" t="inlineStr">
        <is>
          <t>減</t>
        </is>
      </c>
      <c r="AE326" s="90" t="inlineStr">
        <is>
          <t>03 離婚</t>
        </is>
      </c>
      <c r="AF326" s="90" t="n"/>
      <c r="AG326" s="90" t="n"/>
      <c r="AH326" s="90" t="n"/>
      <c r="AI326" s="90" t="n"/>
      <c r="AJ326" s="90" t="n"/>
      <c r="AK326" s="90" t="n"/>
      <c r="AL326" s="94">
        <f>IF(A326="","",IF(COUNTIF(A326:A$2001,A326)=1,1,0))</f>
        <v/>
      </c>
      <c r="AM326" s="94">
        <f>IF(I326="","",TODAY()-I326)</f>
        <v/>
      </c>
      <c r="AN326" s="94">
        <f>IF(A326="","",IF(AND(E326&lt;&gt;"33 確認済",E326&lt;&gt;"36 送付中"),1,0))</f>
        <v/>
      </c>
      <c r="AO326" s="94">
        <f>IF(A326="","",IF(AG326&lt;&gt;"",1,0))</f>
        <v/>
      </c>
      <c r="AP326" s="220">
        <f>IF(P326&lt;&gt;"","・添待ち","")&amp;IF(Q326&lt;&gt;"","・住民票","")&amp;IF(R326&lt;&gt;"","・発信","")&amp;IF(S326&lt;&gt;"","・確認事項","")&amp;IF(T326&lt;&gt;"","・管","")&amp;IF(U326&lt;&gt;"","・SV","")&amp;IF(V326&lt;&gt;"","・データ送付待ち","")&amp;IF(W326&lt;&gt;"","・削除","")</f>
        <v/>
      </c>
    </row>
    <row r="327" ht="15" customHeight="1" s="87">
      <c r="A327" s="90" t="n">
        <v>202660001488</v>
      </c>
      <c r="B327" s="90" t="n"/>
      <c r="C327" s="90" t="n"/>
      <c r="D327" s="90" t="n">
        <v>20</v>
      </c>
      <c r="E327" s="90" t="inlineStr">
        <is>
          <t>20 確認待ち</t>
        </is>
      </c>
      <c r="F327" s="90" t="n"/>
      <c r="G327" s="90" t="n"/>
      <c r="H327" s="91" t="n">
        <v>46273</v>
      </c>
      <c r="I327" s="92" t="n">
        <v>46289</v>
      </c>
      <c r="J327" s="90" t="n"/>
      <c r="K327" s="90" t="n"/>
      <c r="L327" s="90" t="n"/>
      <c r="M327" s="90" t="n"/>
      <c r="N327" s="90" t="n"/>
      <c r="O327" s="90" t="inlineStr">
        <is>
          <t>10 申請</t>
        </is>
      </c>
      <c r="P327" s="93" t="inlineStr">
        <is>
          <t>添</t>
        </is>
      </c>
      <c r="Q327" s="90" t="n"/>
      <c r="R327" s="90" t="n"/>
      <c r="S327" s="90" t="n"/>
      <c r="T327" s="90" t="n"/>
      <c r="U327" s="90" t="n"/>
      <c r="V327" s="90" t="n"/>
      <c r="W327" s="90" t="n"/>
      <c r="X327" s="90" t="n"/>
      <c r="Y327" s="90" t="n"/>
      <c r="Z327" s="90" t="n"/>
      <c r="AA327" s="90" t="n"/>
      <c r="AB327" s="90" t="n">
        <v>24</v>
      </c>
      <c r="AC327" s="90" t="n">
        <v>1</v>
      </c>
      <c r="AD327" s="93" t="inlineStr">
        <is>
          <t>増</t>
        </is>
      </c>
      <c r="AE327" s="90" t="inlineStr">
        <is>
          <t>24 雇用保険受給終了</t>
        </is>
      </c>
      <c r="AF327" s="93" t="inlineStr">
        <is>
          <t>増</t>
        </is>
      </c>
      <c r="AG327" s="93" t="inlineStr">
        <is>
          <t>増</t>
        </is>
      </c>
      <c r="AH327" s="90" t="n"/>
      <c r="AI327" s="90" t="n"/>
      <c r="AJ327" s="90" t="n"/>
      <c r="AK327" s="90" t="n"/>
      <c r="AL327" s="94">
        <f>IF(A327="","",IF(COUNTIF(A327:A$2001,A327)=1,1,0))</f>
        <v/>
      </c>
      <c r="AM327" s="94">
        <f>IF(I327="","",TODAY()-I327)</f>
        <v/>
      </c>
      <c r="AN327" s="94">
        <f>IF(A327="","",IF(AND(E327&lt;&gt;"33 確認済",E327&lt;&gt;"36 送付中"),1,0))</f>
        <v/>
      </c>
      <c r="AO327" s="94">
        <f>IF(A327="","",IF(AG327&lt;&gt;"",1,0))</f>
        <v/>
      </c>
      <c r="AP327" s="220">
        <f>IF(P327&lt;&gt;"","・添待ち","")&amp;IF(Q327&lt;&gt;"","・住民票","")&amp;IF(R327&lt;&gt;"","・発信","")&amp;IF(S327&lt;&gt;"","・確認事項","")&amp;IF(T327&lt;&gt;"","・管","")&amp;IF(U327&lt;&gt;"","・SV","")&amp;IF(V327&lt;&gt;"","・データ送付待ち","")&amp;IF(W327&lt;&gt;"","・削除","")</f>
        <v/>
      </c>
    </row>
    <row r="328" ht="15" customHeight="1" s="87">
      <c r="A328" s="90" t="n">
        <v>202660001489</v>
      </c>
      <c r="B328" s="90" t="n"/>
      <c r="C328" s="90" t="n"/>
      <c r="D328" s="90" t="n">
        <v>20</v>
      </c>
      <c r="E328" s="90" t="inlineStr">
        <is>
          <t>20 確認待ち</t>
        </is>
      </c>
      <c r="F328" s="90" t="n"/>
      <c r="G328" s="90" t="n"/>
      <c r="H328" s="91" t="n">
        <v>46276</v>
      </c>
      <c r="I328" s="92" t="n">
        <v>46283</v>
      </c>
      <c r="J328" s="90" t="n"/>
      <c r="K328" s="90" t="n"/>
      <c r="L328" s="90" t="n"/>
      <c r="M328" s="90" t="n"/>
      <c r="N328" s="90" t="n"/>
      <c r="O328" s="90" t="inlineStr">
        <is>
          <t>10 申請</t>
        </is>
      </c>
      <c r="P328" s="93" t="inlineStr">
        <is>
          <t>添</t>
        </is>
      </c>
      <c r="Q328" s="90" t="n"/>
      <c r="R328" s="90" t="n"/>
      <c r="S328" s="90" t="n"/>
      <c r="T328" s="90" t="n"/>
      <c r="U328" s="90" t="n"/>
      <c r="V328" s="90" t="n"/>
      <c r="W328" s="90" t="n"/>
      <c r="X328" s="90" t="n"/>
      <c r="Y328" s="90" t="n"/>
      <c r="Z328" s="90" t="n"/>
      <c r="AA328" s="90" t="n"/>
      <c r="AB328" s="90" t="n">
        <v>21</v>
      </c>
      <c r="AC328" s="90" t="n">
        <v>1</v>
      </c>
      <c r="AD328" s="93" t="inlineStr">
        <is>
          <t>増</t>
        </is>
      </c>
      <c r="AE328" s="90" t="inlineStr">
        <is>
          <t>21 出生</t>
        </is>
      </c>
      <c r="AF328" s="93" t="inlineStr">
        <is>
          <t>増</t>
        </is>
      </c>
      <c r="AG328" s="93" t="inlineStr">
        <is>
          <t>増</t>
        </is>
      </c>
      <c r="AH328" s="93" t="inlineStr">
        <is>
          <t>増</t>
        </is>
      </c>
      <c r="AI328" s="90" t="n"/>
      <c r="AJ328" s="90" t="n"/>
      <c r="AK328" s="90" t="n"/>
      <c r="AL328" s="94">
        <f>IF(A328="","",IF(COUNTIF(A328:A$2001,A328)=1,1,0))</f>
        <v/>
      </c>
      <c r="AM328" s="94">
        <f>IF(I328="","",TODAY()-I328)</f>
        <v/>
      </c>
      <c r="AN328" s="94">
        <f>IF(A328="","",IF(AND(E328&lt;&gt;"33 確認済",E328&lt;&gt;"36 送付中"),1,0))</f>
        <v/>
      </c>
      <c r="AO328" s="94">
        <f>IF(A328="","",IF(AG328&lt;&gt;"",1,0))</f>
        <v/>
      </c>
      <c r="AP328" s="220">
        <f>IF(P328&lt;&gt;"","・添待ち","")&amp;IF(Q328&lt;&gt;"","・住民票","")&amp;IF(R328&lt;&gt;"","・発信","")&amp;IF(S328&lt;&gt;"","・確認事項","")&amp;IF(T328&lt;&gt;"","・管","")&amp;IF(U328&lt;&gt;"","・SV","")&amp;IF(V328&lt;&gt;"","・データ送付待ち","")&amp;IF(W328&lt;&gt;"","・削除","")</f>
        <v/>
      </c>
    </row>
    <row r="329" ht="15" customHeight="1" s="87">
      <c r="A329" s="90" t="n">
        <v>202660001491</v>
      </c>
      <c r="B329" s="90" t="n"/>
      <c r="C329" s="90" t="n"/>
      <c r="D329" s="90" t="n">
        <v>20</v>
      </c>
      <c r="E329" s="90" t="inlineStr">
        <is>
          <t>20 確認待ち</t>
        </is>
      </c>
      <c r="F329" s="90" t="n"/>
      <c r="G329" s="90" t="n"/>
      <c r="H329" s="91" t="n">
        <v>46283</v>
      </c>
      <c r="I329" s="92" t="n">
        <v>46283</v>
      </c>
      <c r="J329" s="90" t="n"/>
      <c r="K329" s="90" t="n"/>
      <c r="L329" s="90" t="n"/>
      <c r="M329" s="90" t="n"/>
      <c r="N329" s="90" t="n"/>
      <c r="O329" s="90" t="inlineStr">
        <is>
          <t>55 添付書類待ち登録</t>
        </is>
      </c>
      <c r="P329" s="93" t="inlineStr">
        <is>
          <t>添</t>
        </is>
      </c>
      <c r="Q329" s="90" t="n"/>
      <c r="R329" s="90" t="n"/>
      <c r="S329" s="90" t="n"/>
      <c r="T329" s="90" t="n"/>
      <c r="U329" s="90" t="n"/>
      <c r="V329" s="90" t="n"/>
      <c r="W329" s="90" t="n"/>
      <c r="X329" s="90" t="n"/>
      <c r="Y329" s="90" t="n"/>
      <c r="Z329" s="90" t="n"/>
      <c r="AA329" s="90" t="n"/>
      <c r="AB329" s="90" t="n">
        <v>25</v>
      </c>
      <c r="AC329" s="90" t="n">
        <v>1</v>
      </c>
      <c r="AD329" s="93" t="inlineStr">
        <is>
          <t>増</t>
        </is>
      </c>
      <c r="AE329" s="90" t="inlineStr">
        <is>
          <t>25 育休</t>
        </is>
      </c>
      <c r="AF329" s="90" t="n"/>
      <c r="AG329" s="90" t="n"/>
      <c r="AH329" s="93" t="inlineStr">
        <is>
          <t>増</t>
        </is>
      </c>
      <c r="AI329" s="90" t="n"/>
      <c r="AJ329" s="90" t="n"/>
      <c r="AK329" s="90" t="n"/>
      <c r="AL329" s="94">
        <f>IF(A329="","",IF(COUNTIF(A329:A$2001,A329)=1,1,0))</f>
        <v/>
      </c>
      <c r="AM329" s="94">
        <f>IF(I329="","",TODAY()-I329)</f>
        <v/>
      </c>
      <c r="AN329" s="94">
        <f>IF(A329="","",IF(AND(E329&lt;&gt;"33 確認済",E329&lt;&gt;"36 送付中"),1,0))</f>
        <v/>
      </c>
      <c r="AO329" s="94">
        <f>IF(A329="","",IF(AG329&lt;&gt;"",1,0))</f>
        <v/>
      </c>
      <c r="AP329" s="220">
        <f>IF(P329&lt;&gt;"","・添待ち","")&amp;IF(Q329&lt;&gt;"","・住民票","")&amp;IF(R329&lt;&gt;"","・発信","")&amp;IF(S329&lt;&gt;"","・確認事項","")&amp;IF(T329&lt;&gt;"","・管","")&amp;IF(U329&lt;&gt;"","・SV","")&amp;IF(V329&lt;&gt;"","・データ送付待ち","")&amp;IF(W329&lt;&gt;"","・削除","")</f>
        <v/>
      </c>
    </row>
    <row r="330" ht="15" customHeight="1" s="87">
      <c r="A330" s="90" t="n">
        <v>202660001492</v>
      </c>
      <c r="B330" s="90" t="n"/>
      <c r="C330" s="90" t="n"/>
      <c r="D330" s="90" t="n">
        <v>20</v>
      </c>
      <c r="E330" s="90" t="inlineStr">
        <is>
          <t>20 確認待ち</t>
        </is>
      </c>
      <c r="F330" s="90" t="n"/>
      <c r="G330" s="90" t="n"/>
      <c r="H330" s="91" t="n">
        <v>46279</v>
      </c>
      <c r="I330" s="92" t="n">
        <v>46285</v>
      </c>
      <c r="J330" s="90" t="n"/>
      <c r="K330" s="90" t="n"/>
      <c r="L330" s="90" t="n"/>
      <c r="M330" s="90" t="n"/>
      <c r="N330" s="90" t="n"/>
      <c r="O330" s="90" t="inlineStr">
        <is>
          <t>55 添付書類待ち登録</t>
        </is>
      </c>
      <c r="P330" s="93" t="inlineStr">
        <is>
          <t>添</t>
        </is>
      </c>
      <c r="Q330" s="90" t="n"/>
      <c r="R330" s="90" t="n"/>
      <c r="S330" s="90" t="n"/>
      <c r="T330" s="90" t="n"/>
      <c r="U330" s="90" t="n"/>
      <c r="V330" s="90" t="n"/>
      <c r="W330" s="90" t="n"/>
      <c r="X330" s="90" t="n"/>
      <c r="Y330" s="90" t="n"/>
      <c r="Z330" s="90" t="n"/>
      <c r="AA330" s="90" t="n"/>
      <c r="AB330" s="90" t="n">
        <v>30</v>
      </c>
      <c r="AC330" s="90" t="n">
        <v>1</v>
      </c>
      <c r="AD330" s="93" t="inlineStr">
        <is>
          <t>増</t>
        </is>
      </c>
      <c r="AE330" s="90" t="inlineStr">
        <is>
          <t>30 養子縁組</t>
        </is>
      </c>
      <c r="AF330" s="93" t="inlineStr">
        <is>
          <t>増</t>
        </is>
      </c>
      <c r="AG330" s="93" t="inlineStr">
        <is>
          <t>増</t>
        </is>
      </c>
      <c r="AH330" s="93" t="inlineStr">
        <is>
          <t>増</t>
        </is>
      </c>
      <c r="AI330" s="90" t="n"/>
      <c r="AJ330" s="90" t="n"/>
      <c r="AK330" s="90" t="n"/>
      <c r="AL330" s="94">
        <f>IF(A330="","",IF(COUNTIF(A330:A$2001,A330)=1,1,0))</f>
        <v/>
      </c>
      <c r="AM330" s="94">
        <f>IF(I330="","",TODAY()-I330)</f>
        <v/>
      </c>
      <c r="AN330" s="94">
        <f>IF(A330="","",IF(AND(E330&lt;&gt;"33 確認済",E330&lt;&gt;"36 送付中"),1,0))</f>
        <v/>
      </c>
      <c r="AO330" s="94">
        <f>IF(A330="","",IF(AG330&lt;&gt;"",1,0))</f>
        <v/>
      </c>
      <c r="AP330" s="220">
        <f>IF(P330&lt;&gt;"","・添待ち","")&amp;IF(Q330&lt;&gt;"","・住民票","")&amp;IF(R330&lt;&gt;"","・発信","")&amp;IF(S330&lt;&gt;"","・確認事項","")&amp;IF(T330&lt;&gt;"","・管","")&amp;IF(U330&lt;&gt;"","・SV","")&amp;IF(V330&lt;&gt;"","・データ送付待ち","")&amp;IF(W330&lt;&gt;"","・削除","")</f>
        <v/>
      </c>
    </row>
    <row r="331" ht="15" customHeight="1" s="87">
      <c r="A331" s="90" t="n">
        <v>202660001494</v>
      </c>
      <c r="B331" s="90" t="n"/>
      <c r="C331" s="90" t="n"/>
      <c r="D331" s="90" t="n">
        <v>30</v>
      </c>
      <c r="E331" s="90" t="inlineStr">
        <is>
          <t>30 申請受付</t>
        </is>
      </c>
      <c r="F331" s="90" t="n"/>
      <c r="G331" s="90" t="n"/>
      <c r="H331" s="91" t="n">
        <v>46023</v>
      </c>
      <c r="I331" s="92" t="n">
        <v>46286</v>
      </c>
      <c r="J331" s="91" t="n">
        <v>46289</v>
      </c>
      <c r="K331" s="90" t="n"/>
      <c r="L331" s="90" t="n"/>
      <c r="M331" s="90" t="n"/>
      <c r="N331" s="90" t="n"/>
      <c r="O331" s="90" t="inlineStr">
        <is>
          <t>20 申請受付</t>
        </is>
      </c>
      <c r="P331" s="90" t="n"/>
      <c r="Q331" s="90" t="n"/>
      <c r="R331" s="90" t="n"/>
      <c r="S331" s="90" t="n"/>
      <c r="T331" s="90" t="n"/>
      <c r="U331" s="90" t="n"/>
      <c r="V331" s="90" t="n"/>
      <c r="W331" s="90" t="n"/>
      <c r="X331" s="90" t="n"/>
      <c r="Y331" s="90" t="n"/>
      <c r="Z331" s="90" t="n"/>
      <c r="AA331" s="90" t="n"/>
      <c r="AB331" s="90" t="n">
        <v>51</v>
      </c>
      <c r="AC331" s="90" t="n">
        <v>0</v>
      </c>
      <c r="AD331" s="93" t="inlineStr">
        <is>
          <t>減</t>
        </is>
      </c>
      <c r="AE331" s="90" t="inlineStr">
        <is>
          <t>51 収入限度額以上</t>
        </is>
      </c>
      <c r="AF331" s="90" t="n"/>
      <c r="AG331" s="90" t="n"/>
      <c r="AH331" s="93" t="inlineStr">
        <is>
          <t>減</t>
        </is>
      </c>
      <c r="AI331" s="90" t="n"/>
      <c r="AJ331" s="90" t="n"/>
      <c r="AK331" s="90" t="n"/>
      <c r="AL331" s="94">
        <f>IF(A331="","",IF(COUNTIF(A331:A$2001,A331)=1,1,0))</f>
        <v/>
      </c>
      <c r="AM331" s="94">
        <f>IF(I331="","",TODAY()-I331)</f>
        <v/>
      </c>
      <c r="AN331" s="94">
        <f>IF(A331="","",IF(AND(E331&lt;&gt;"33 確認済",E331&lt;&gt;"36 送付中"),1,0))</f>
        <v/>
      </c>
      <c r="AO331" s="94">
        <f>IF(A331="","",IF(AG331&lt;&gt;"",1,0))</f>
        <v/>
      </c>
      <c r="AP331" s="220">
        <f>IF(P331&lt;&gt;"","・添待ち","")&amp;IF(Q331&lt;&gt;"","・住民票","")&amp;IF(R331&lt;&gt;"","・発信","")&amp;IF(S331&lt;&gt;"","・確認事項","")&amp;IF(T331&lt;&gt;"","・管","")&amp;IF(U331&lt;&gt;"","・SV","")&amp;IF(V331&lt;&gt;"","・データ送付待ち","")&amp;IF(W331&lt;&gt;"","・削除","")</f>
        <v/>
      </c>
    </row>
    <row r="332" ht="15" customHeight="1" s="87">
      <c r="A332" s="90" t="n">
        <v>202660001495</v>
      </c>
      <c r="B332" s="90" t="n"/>
      <c r="C332" s="90" t="n"/>
      <c r="D332" s="90" t="n">
        <v>20</v>
      </c>
      <c r="E332" s="90" t="inlineStr">
        <is>
          <t>20 確認待ち</t>
        </is>
      </c>
      <c r="F332" s="90" t="n"/>
      <c r="G332" s="90" t="n"/>
      <c r="H332" s="91" t="n">
        <v>46073</v>
      </c>
      <c r="I332" s="92" t="n">
        <v>46287</v>
      </c>
      <c r="J332" s="90" t="n"/>
      <c r="K332" s="90" t="n"/>
      <c r="L332" s="90" t="n"/>
      <c r="M332" s="90" t="n"/>
      <c r="N332" s="90" t="n"/>
      <c r="O332" s="90" t="inlineStr">
        <is>
          <t>10 申請</t>
        </is>
      </c>
      <c r="P332" s="90" t="n"/>
      <c r="Q332" s="90" t="n"/>
      <c r="R332" s="90" t="n"/>
      <c r="S332" s="90" t="n"/>
      <c r="T332" s="90" t="n"/>
      <c r="U332" s="90" t="n"/>
      <c r="V332" s="90" t="n"/>
      <c r="W332" s="90" t="n"/>
      <c r="X332" s="90" t="n"/>
      <c r="Y332" s="90" t="n"/>
      <c r="Z332" s="90" t="n"/>
      <c r="AA332" s="90" t="n"/>
      <c r="AB332" s="90" t="n">
        <v>28</v>
      </c>
      <c r="AC332" s="90" t="n">
        <v>1</v>
      </c>
      <c r="AD332" s="93" t="inlineStr">
        <is>
          <t>増</t>
        </is>
      </c>
      <c r="AE332" s="90" t="inlineStr">
        <is>
          <t>28 障害程度の変更</t>
        </is>
      </c>
      <c r="AF332" s="90" t="n"/>
      <c r="AG332" s="90" t="n"/>
      <c r="AH332" s="93" t="inlineStr">
        <is>
          <t>増</t>
        </is>
      </c>
      <c r="AI332" s="90" t="n"/>
      <c r="AJ332" s="90" t="n"/>
      <c r="AK332" s="90" t="n"/>
      <c r="AL332" s="94">
        <f>IF(A332="","",IF(COUNTIF(A332:A$2001,A332)=1,1,0))</f>
        <v/>
      </c>
      <c r="AM332" s="94">
        <f>IF(I332="","",TODAY()-I332)</f>
        <v/>
      </c>
      <c r="AN332" s="94">
        <f>IF(A332="","",IF(AND(E332&lt;&gt;"33 確認済",E332&lt;&gt;"36 送付中"),1,0))</f>
        <v/>
      </c>
      <c r="AO332" s="94">
        <f>IF(A332="","",IF(AG332&lt;&gt;"",1,0))</f>
        <v/>
      </c>
      <c r="AP332" s="220">
        <f>IF(P332&lt;&gt;"","・添待ち","")&amp;IF(Q332&lt;&gt;"","・住民票","")&amp;IF(R332&lt;&gt;"","・発信","")&amp;IF(S332&lt;&gt;"","・確認事項","")&amp;IF(T332&lt;&gt;"","・管","")&amp;IF(U332&lt;&gt;"","・SV","")&amp;IF(V332&lt;&gt;"","・データ送付待ち","")&amp;IF(W332&lt;&gt;"","・削除","")</f>
        <v/>
      </c>
    </row>
    <row r="333" ht="15" customHeight="1" s="87">
      <c r="A333" s="90" t="n">
        <v>202660001496</v>
      </c>
      <c r="B333" s="90" t="n"/>
      <c r="C333" s="90" t="n"/>
      <c r="D333" s="90" t="n">
        <v>30</v>
      </c>
      <c r="E333" s="90" t="inlineStr">
        <is>
          <t>30 申請受付</t>
        </is>
      </c>
      <c r="F333" s="90" t="n"/>
      <c r="G333" s="90" t="n"/>
      <c r="H333" s="91" t="n">
        <v>46064</v>
      </c>
      <c r="I333" s="92" t="n">
        <v>46287</v>
      </c>
      <c r="J333" s="91" t="n">
        <v>46289</v>
      </c>
      <c r="K333" s="90" t="n"/>
      <c r="L333" s="90" t="n"/>
      <c r="M333" s="90" t="n"/>
      <c r="N333" s="90" t="n"/>
      <c r="O333" s="90" t="inlineStr">
        <is>
          <t>20 申請受付</t>
        </is>
      </c>
      <c r="P333" s="90" t="n"/>
      <c r="Q333" s="90" t="n"/>
      <c r="R333" s="90" t="n"/>
      <c r="S333" s="90" t="n"/>
      <c r="T333" s="90" t="n"/>
      <c r="U333" s="90" t="n"/>
      <c r="V333" s="90" t="n"/>
      <c r="W333" s="90" t="n"/>
      <c r="X333" s="90" t="n"/>
      <c r="Y333" s="90" t="n"/>
      <c r="Z333" s="90" t="n"/>
      <c r="AA333" s="90" t="n"/>
      <c r="AB333" s="90" t="n">
        <v>23</v>
      </c>
      <c r="AC333" s="90" t="n">
        <v>1</v>
      </c>
      <c r="AD333" s="93" t="inlineStr">
        <is>
          <t>増</t>
        </is>
      </c>
      <c r="AE333" s="90" t="inlineStr">
        <is>
          <t>23 本人の結婚</t>
        </is>
      </c>
      <c r="AF333" s="90" t="n"/>
      <c r="AG333" s="90" t="n"/>
      <c r="AH333" s="90" t="n"/>
      <c r="AI333" s="90" t="n"/>
      <c r="AJ333" s="90" t="n"/>
      <c r="AK333" s="90" t="n"/>
      <c r="AL333" s="94">
        <f>IF(A333="","",IF(COUNTIF(A333:A$2001,A333)=1,1,0))</f>
        <v/>
      </c>
      <c r="AM333" s="94">
        <f>IF(I333="","",TODAY()-I333)</f>
        <v/>
      </c>
      <c r="AN333" s="94">
        <f>IF(A333="","",IF(AND(E333&lt;&gt;"33 確認済",E333&lt;&gt;"36 送付中"),1,0))</f>
        <v/>
      </c>
      <c r="AO333" s="94">
        <f>IF(A333="","",IF(AG333&lt;&gt;"",1,0))</f>
        <v/>
      </c>
      <c r="AP333" s="220">
        <f>IF(P333&lt;&gt;"","・添待ち","")&amp;IF(Q333&lt;&gt;"","・住民票","")&amp;IF(R333&lt;&gt;"","・発信","")&amp;IF(S333&lt;&gt;"","・確認事項","")&amp;IF(T333&lt;&gt;"","・管","")&amp;IF(U333&lt;&gt;"","・SV","")&amp;IF(V333&lt;&gt;"","・データ送付待ち","")&amp;IF(W333&lt;&gt;"","・削除","")</f>
        <v/>
      </c>
    </row>
    <row r="334" ht="15" customHeight="1" s="87">
      <c r="A334" s="90" t="n">
        <v>202660001496</v>
      </c>
      <c r="B334" s="90" t="n"/>
      <c r="C334" s="90" t="n"/>
      <c r="D334" s="90" t="n">
        <v>30</v>
      </c>
      <c r="E334" s="90" t="inlineStr">
        <is>
          <t>30 申請受付</t>
        </is>
      </c>
      <c r="F334" s="90" t="n"/>
      <c r="G334" s="90" t="n"/>
      <c r="H334" s="91" t="n">
        <v>46064</v>
      </c>
      <c r="I334" s="92" t="n">
        <v>46287</v>
      </c>
      <c r="J334" s="91" t="n">
        <v>46289</v>
      </c>
      <c r="K334" s="90" t="n"/>
      <c r="L334" s="90" t="n"/>
      <c r="M334" s="90" t="n"/>
      <c r="N334" s="90" t="n"/>
      <c r="O334" s="90" t="inlineStr">
        <is>
          <t>20 申請受付</t>
        </is>
      </c>
      <c r="P334" s="90" t="n"/>
      <c r="Q334" s="90" t="n"/>
      <c r="R334" s="90" t="n"/>
      <c r="S334" s="90" t="n"/>
      <c r="T334" s="90" t="n"/>
      <c r="U334" s="90" t="n"/>
      <c r="V334" s="90" t="n"/>
      <c r="W334" s="90" t="n"/>
      <c r="X334" s="90" t="n"/>
      <c r="Y334" s="90" t="n"/>
      <c r="Z334" s="90" t="n"/>
      <c r="AA334" s="90" t="n"/>
      <c r="AB334" s="90" t="n">
        <v>23</v>
      </c>
      <c r="AC334" s="90" t="n">
        <v>1</v>
      </c>
      <c r="AD334" s="93" t="inlineStr">
        <is>
          <t>増</t>
        </is>
      </c>
      <c r="AE334" s="90" t="inlineStr">
        <is>
          <t>23 結婚</t>
        </is>
      </c>
      <c r="AF334" s="90" t="n"/>
      <c r="AG334" s="90" t="n"/>
      <c r="AH334" s="90" t="n"/>
      <c r="AI334" s="90" t="n"/>
      <c r="AJ334" s="90" t="n"/>
      <c r="AK334" s="90" t="n"/>
      <c r="AL334" s="94">
        <f>IF(A334="","",IF(COUNTIF(A334:A$2001,A334)=1,1,0))</f>
        <v/>
      </c>
      <c r="AM334" s="94">
        <f>IF(I334="","",TODAY()-I334)</f>
        <v/>
      </c>
      <c r="AN334" s="94">
        <f>IF(A334="","",IF(AND(E334&lt;&gt;"33 確認済",E334&lt;&gt;"36 送付中"),1,0))</f>
        <v/>
      </c>
      <c r="AO334" s="94">
        <f>IF(A334="","",IF(AG334&lt;&gt;"",1,0))</f>
        <v/>
      </c>
      <c r="AP334" s="220">
        <f>IF(P334&lt;&gt;"","・添待ち","")&amp;IF(Q334&lt;&gt;"","・住民票","")&amp;IF(R334&lt;&gt;"","・発信","")&amp;IF(S334&lt;&gt;"","・確認事項","")&amp;IF(T334&lt;&gt;"","・管","")&amp;IF(U334&lt;&gt;"","・SV","")&amp;IF(V334&lt;&gt;"","・データ送付待ち","")&amp;IF(W334&lt;&gt;"","・削除","")</f>
        <v/>
      </c>
    </row>
    <row r="335" ht="15" customHeight="1" s="87">
      <c r="A335" s="90" t="n">
        <v>202660001497</v>
      </c>
      <c r="B335" s="90" t="n"/>
      <c r="C335" s="90" t="n"/>
      <c r="D335" s="90" t="n">
        <v>20</v>
      </c>
      <c r="E335" s="90" t="inlineStr">
        <is>
          <t>20 確認待ち</t>
        </is>
      </c>
      <c r="F335" s="90" t="n"/>
      <c r="G335" s="90" t="n"/>
      <c r="H335" s="90" t="n"/>
      <c r="I335" s="92" t="n">
        <v>46287</v>
      </c>
      <c r="J335" s="90" t="n"/>
      <c r="K335" s="90" t="n"/>
      <c r="L335" s="90" t="n"/>
      <c r="M335" s="90" t="n"/>
      <c r="N335" s="90" t="n"/>
      <c r="O335" s="90" t="inlineStr">
        <is>
          <t>10 申請</t>
        </is>
      </c>
      <c r="P335" s="90" t="n"/>
      <c r="Q335" s="90" t="n"/>
      <c r="R335" s="90" t="n"/>
      <c r="S335" s="90" t="n"/>
      <c r="T335" s="90" t="n"/>
      <c r="U335" s="90" t="n"/>
      <c r="V335" s="90" t="n"/>
      <c r="W335" s="90" t="n"/>
      <c r="X335" s="90" t="n"/>
      <c r="Y335" s="90" t="n"/>
      <c r="Z335" s="90" t="n"/>
      <c r="AA335" s="90" t="n"/>
      <c r="AB335" s="90" t="n"/>
      <c r="AC335" s="90" t="n"/>
      <c r="AD335" s="93" t="inlineStr">
        <is>
          <t>減</t>
        </is>
      </c>
      <c r="AE335" s="90" t="n"/>
      <c r="AF335" s="90" t="n"/>
      <c r="AG335" s="90" t="n"/>
      <c r="AH335" s="90" t="n"/>
      <c r="AI335" s="90" t="n"/>
      <c r="AJ335" s="93" t="inlineStr">
        <is>
          <t>一時保存</t>
        </is>
      </c>
      <c r="AK335" s="90" t="n"/>
      <c r="AL335" s="94">
        <f>IF(A335="","",IF(COUNTIF(A335:A$2001,A335)=1,1,0))</f>
        <v/>
      </c>
      <c r="AM335" s="94">
        <f>IF(I335="","",TODAY()-I335)</f>
        <v/>
      </c>
      <c r="AN335" s="94">
        <f>IF(A335="","",IF(AND(E335&lt;&gt;"33 確認済",E335&lt;&gt;"36 送付中"),1,0))</f>
        <v/>
      </c>
      <c r="AO335" s="94">
        <f>IF(A335="","",IF(AG335&lt;&gt;"",1,0))</f>
        <v/>
      </c>
      <c r="AP335" s="220">
        <f>IF(P335&lt;&gt;"","・添待ち","")&amp;IF(Q335&lt;&gt;"","・住民票","")&amp;IF(R335&lt;&gt;"","・発信","")&amp;IF(S335&lt;&gt;"","・確認事項","")&amp;IF(T335&lt;&gt;"","・管","")&amp;IF(U335&lt;&gt;"","・SV","")&amp;IF(V335&lt;&gt;"","・データ送付待ち","")&amp;IF(W335&lt;&gt;"","・削除","")</f>
        <v/>
      </c>
    </row>
    <row r="336" ht="15" customHeight="1" s="87">
      <c r="A336" s="90" t="n">
        <v>202660001499</v>
      </c>
      <c r="B336" s="90" t="n"/>
      <c r="C336" s="90" t="n"/>
      <c r="D336" s="90" t="n">
        <v>30</v>
      </c>
      <c r="E336" s="90" t="inlineStr">
        <is>
          <t>30 申請受付</t>
        </is>
      </c>
      <c r="F336" s="90" t="n"/>
      <c r="G336" s="90" t="n"/>
      <c r="H336" s="91" t="n">
        <v>46113</v>
      </c>
      <c r="I336" s="92" t="n">
        <v>46288</v>
      </c>
      <c r="J336" s="91" t="n">
        <v>46289</v>
      </c>
      <c r="K336" s="90" t="n"/>
      <c r="L336" s="90" t="n"/>
      <c r="M336" s="90" t="n"/>
      <c r="N336" s="90" t="n"/>
      <c r="O336" s="90" t="inlineStr">
        <is>
          <t>20 申請受付</t>
        </is>
      </c>
      <c r="P336" s="90" t="n"/>
      <c r="Q336" s="90" t="n"/>
      <c r="R336" s="90" t="n"/>
      <c r="S336" s="90" t="n"/>
      <c r="T336" s="90" t="n"/>
      <c r="U336" s="90" t="n"/>
      <c r="V336" s="90" t="n"/>
      <c r="W336" s="90" t="n"/>
      <c r="X336" s="90" t="n"/>
      <c r="Y336" s="90" t="n"/>
      <c r="Z336" s="90" t="n"/>
      <c r="AA336" s="90" t="n"/>
      <c r="AB336" s="90" t="n">
        <v>3</v>
      </c>
      <c r="AC336" s="90" t="n">
        <v>0</v>
      </c>
      <c r="AD336" s="93" t="inlineStr">
        <is>
          <t>減</t>
        </is>
      </c>
      <c r="AE336" s="90" t="inlineStr">
        <is>
          <t>03 離婚</t>
        </is>
      </c>
      <c r="AF336" s="90" t="n"/>
      <c r="AG336" s="90" t="n"/>
      <c r="AH336" s="90" t="n"/>
      <c r="AI336" s="90" t="n"/>
      <c r="AJ336" s="90" t="n"/>
      <c r="AK336" s="90" t="n"/>
      <c r="AL336" s="94">
        <f>IF(A336="","",IF(COUNTIF(A336:A$2001,A336)=1,1,0))</f>
        <v/>
      </c>
      <c r="AM336" s="94">
        <f>IF(I336="","",TODAY()-I336)</f>
        <v/>
      </c>
      <c r="AN336" s="94">
        <f>IF(A336="","",IF(AND(E336&lt;&gt;"33 確認済",E336&lt;&gt;"36 送付中"),1,0))</f>
        <v/>
      </c>
      <c r="AO336" s="94">
        <f>IF(A336="","",IF(AG336&lt;&gt;"",1,0))</f>
        <v/>
      </c>
      <c r="AP336" s="220">
        <f>IF(P336&lt;&gt;"","・添待ち","")&amp;IF(Q336&lt;&gt;"","・住民票","")&amp;IF(R336&lt;&gt;"","・発信","")&amp;IF(S336&lt;&gt;"","・確認事項","")&amp;IF(T336&lt;&gt;"","・管","")&amp;IF(U336&lt;&gt;"","・SV","")&amp;IF(V336&lt;&gt;"","・データ送付待ち","")&amp;IF(W336&lt;&gt;"","・削除","")</f>
        <v/>
      </c>
    </row>
    <row r="337" ht="15" customHeight="1" s="87">
      <c r="A337" s="90" t="n">
        <v>202660001502</v>
      </c>
      <c r="B337" s="90" t="n"/>
      <c r="C337" s="90" t="n"/>
      <c r="D337" s="90" t="n">
        <v>30</v>
      </c>
      <c r="E337" s="90" t="inlineStr">
        <is>
          <t>30 申請受付</t>
        </is>
      </c>
      <c r="F337" s="90" t="n"/>
      <c r="G337" s="90" t="n"/>
      <c r="H337" s="91" t="n">
        <v>46143</v>
      </c>
      <c r="I337" s="92" t="n">
        <v>46289</v>
      </c>
      <c r="J337" s="91" t="n">
        <v>46289</v>
      </c>
      <c r="K337" s="90" t="n"/>
      <c r="L337" s="90" t="n"/>
      <c r="M337" s="90" t="n"/>
      <c r="N337" s="90" t="n"/>
      <c r="O337" s="90" t="inlineStr">
        <is>
          <t>20 申請受付</t>
        </is>
      </c>
      <c r="P337" s="90" t="n"/>
      <c r="Q337" s="90" t="n"/>
      <c r="R337" s="90" t="n"/>
      <c r="S337" s="90" t="n"/>
      <c r="T337" s="90" t="n"/>
      <c r="U337" s="90" t="n"/>
      <c r="V337" s="90" t="n"/>
      <c r="W337" s="90" t="n"/>
      <c r="X337" s="90" t="n"/>
      <c r="Y337" s="90" t="n"/>
      <c r="Z337" s="90" t="n"/>
      <c r="AA337" s="90" t="n"/>
      <c r="AB337" s="90" t="n">
        <v>49</v>
      </c>
      <c r="AC337" s="90" t="n">
        <v>0</v>
      </c>
      <c r="AD337" s="93" t="inlineStr">
        <is>
          <t>減</t>
        </is>
      </c>
      <c r="AE337" s="90" t="inlineStr">
        <is>
          <t>49 復職</t>
        </is>
      </c>
      <c r="AF337" s="90" t="n"/>
      <c r="AG337" s="90" t="n"/>
      <c r="AH337" s="90" t="n"/>
      <c r="AI337" s="90" t="n"/>
      <c r="AJ337" s="90" t="n"/>
      <c r="AK337" s="90" t="n"/>
      <c r="AL337" s="94">
        <f>IF(A337="","",IF(COUNTIF(A337:A$2001,A337)=1,1,0))</f>
        <v/>
      </c>
      <c r="AM337" s="94">
        <f>IF(I337="","",TODAY()-I337)</f>
        <v/>
      </c>
      <c r="AN337" s="94">
        <f>IF(A337="","",IF(AND(E337&lt;&gt;"33 確認済",E337&lt;&gt;"36 送付中"),1,0))</f>
        <v/>
      </c>
      <c r="AO337" s="94">
        <f>IF(A337="","",IF(AG337&lt;&gt;"",1,0))</f>
        <v/>
      </c>
      <c r="AP337" s="220">
        <f>IF(P337&lt;&gt;"","・添待ち","")&amp;IF(Q337&lt;&gt;"","・住民票","")&amp;IF(R337&lt;&gt;"","・発信","")&amp;IF(S337&lt;&gt;"","・確認事項","")&amp;IF(T337&lt;&gt;"","・管","")&amp;IF(U337&lt;&gt;"","・SV","")&amp;IF(V337&lt;&gt;"","・データ送付待ち","")&amp;IF(W337&lt;&gt;"","・削除","")</f>
        <v/>
      </c>
    </row>
    <row r="338" ht="15" customHeight="1" s="87">
      <c r="A338" s="90" t="n">
        <v>202660001503</v>
      </c>
      <c r="B338" s="90" t="n"/>
      <c r="C338" s="90" t="n"/>
      <c r="D338" s="90" t="n">
        <v>20</v>
      </c>
      <c r="E338" s="90" t="inlineStr">
        <is>
          <t>20 確認待ち</t>
        </is>
      </c>
      <c r="F338" s="90" t="n"/>
      <c r="G338" s="90" t="n"/>
      <c r="H338" s="91" t="n">
        <v>46023</v>
      </c>
      <c r="I338" s="92" t="n">
        <v>46289</v>
      </c>
      <c r="J338" s="90" t="n"/>
      <c r="K338" s="90" t="n"/>
      <c r="L338" s="90" t="n"/>
      <c r="M338" s="90" t="n"/>
      <c r="N338" s="90" t="n"/>
      <c r="O338" s="90" t="inlineStr">
        <is>
          <t>10 申請</t>
        </is>
      </c>
      <c r="P338" s="90" t="n"/>
      <c r="Q338" s="90" t="n"/>
      <c r="R338" s="90" t="n"/>
      <c r="S338" s="90" t="n"/>
      <c r="T338" s="90" t="n"/>
      <c r="U338" s="90" t="n"/>
      <c r="V338" s="90" t="n"/>
      <c r="W338" s="90" t="n"/>
      <c r="X338" s="90" t="n"/>
      <c r="Y338" s="90" t="n"/>
      <c r="Z338" s="90" t="n"/>
      <c r="AA338" s="90" t="n"/>
      <c r="AB338" s="90" t="n">
        <v>28</v>
      </c>
      <c r="AC338" s="90" t="n">
        <v>3</v>
      </c>
      <c r="AD338" s="93" t="inlineStr">
        <is>
          <t>減</t>
        </is>
      </c>
      <c r="AE338" s="90" t="n"/>
      <c r="AF338" s="90" t="n"/>
      <c r="AG338" s="90" t="n"/>
      <c r="AH338" s="90" t="n"/>
      <c r="AI338" s="90" t="n"/>
      <c r="AJ338" s="90" t="n"/>
      <c r="AK338" s="90" t="n"/>
      <c r="AL338" s="94">
        <f>IF(A338="","",IF(COUNTIF(A338:A$2001,A338)=1,1,0))</f>
        <v/>
      </c>
      <c r="AM338" s="94">
        <f>IF(I338="","",TODAY()-I338)</f>
        <v/>
      </c>
      <c r="AN338" s="94">
        <f>IF(A338="","",IF(AND(E338&lt;&gt;"33 確認済",E338&lt;&gt;"36 送付中"),1,0))</f>
        <v/>
      </c>
      <c r="AO338" s="94">
        <f>IF(A338="","",IF(AG338&lt;&gt;"",1,0))</f>
        <v/>
      </c>
      <c r="AP338" s="220">
        <f>IF(P338&lt;&gt;"","・添待ち","")&amp;IF(Q338&lt;&gt;"","・住民票","")&amp;IF(R338&lt;&gt;"","・発信","")&amp;IF(S338&lt;&gt;"","・確認事項","")&amp;IF(T338&lt;&gt;"","・管","")&amp;IF(U338&lt;&gt;"","・SV","")&amp;IF(V338&lt;&gt;"","・データ送付待ち","")&amp;IF(W338&lt;&gt;"","・削除","")</f>
        <v/>
      </c>
    </row>
    <row r="339" ht="15" customHeight="1" s="87">
      <c r="A339" s="90" t="n">
        <v>202660001504</v>
      </c>
      <c r="B339" s="90" t="n"/>
      <c r="C339" s="90" t="n"/>
      <c r="D339" s="90" t="n">
        <v>30</v>
      </c>
      <c r="E339" s="90" t="inlineStr">
        <is>
          <t>30 申請受付</t>
        </is>
      </c>
      <c r="F339" s="90" t="n"/>
      <c r="G339" s="90" t="n"/>
      <c r="H339" s="91" t="n">
        <v>46113</v>
      </c>
      <c r="I339" s="92" t="n">
        <v>46289</v>
      </c>
      <c r="J339" s="91" t="n">
        <v>46289</v>
      </c>
      <c r="K339" s="90" t="n"/>
      <c r="L339" s="90" t="n"/>
      <c r="M339" s="90" t="n"/>
      <c r="N339" s="90" t="n"/>
      <c r="O339" s="90" t="inlineStr">
        <is>
          <t>20 申請受付</t>
        </is>
      </c>
      <c r="P339" s="90" t="n"/>
      <c r="Q339" s="90" t="n"/>
      <c r="R339" s="90" t="n"/>
      <c r="S339" s="90" t="n"/>
      <c r="T339" s="90" t="n"/>
      <c r="U339" s="90" t="n"/>
      <c r="V339" s="90" t="n"/>
      <c r="W339" s="90" t="n"/>
      <c r="X339" s="90" t="n"/>
      <c r="Y339" s="90" t="n"/>
      <c r="Z339" s="90" t="n"/>
      <c r="AA339" s="90" t="n"/>
      <c r="AB339" s="90" t="n">
        <v>47</v>
      </c>
      <c r="AC339" s="90" t="n">
        <v>0</v>
      </c>
      <c r="AD339" s="93" t="inlineStr">
        <is>
          <t>減</t>
        </is>
      </c>
      <c r="AE339" s="90" t="inlineStr">
        <is>
          <t>47 扶養親族の就職</t>
        </is>
      </c>
      <c r="AF339" s="90" t="n"/>
      <c r="AG339" s="90" t="n"/>
      <c r="AH339" s="93" t="inlineStr">
        <is>
          <t>減</t>
        </is>
      </c>
      <c r="AI339" s="90" t="n"/>
      <c r="AJ339" s="90" t="n"/>
      <c r="AK339" s="90" t="n"/>
      <c r="AL339" s="94">
        <f>IF(A339="","",IF(COUNTIF(A339:A$2001,A339)=1,1,0))</f>
        <v/>
      </c>
      <c r="AM339" s="94">
        <f>IF(I339="","",TODAY()-I339)</f>
        <v/>
      </c>
      <c r="AN339" s="94">
        <f>IF(A339="","",IF(AND(E339&lt;&gt;"33 確認済",E339&lt;&gt;"36 送付中"),1,0))</f>
        <v/>
      </c>
      <c r="AO339" s="94">
        <f>IF(A339="","",IF(AG339&lt;&gt;"",1,0))</f>
        <v/>
      </c>
      <c r="AP339" s="220">
        <f>IF(P339&lt;&gt;"","・添待ち","")&amp;IF(Q339&lt;&gt;"","・住民票","")&amp;IF(R339&lt;&gt;"","・発信","")&amp;IF(S339&lt;&gt;"","・確認事項","")&amp;IF(T339&lt;&gt;"","・管","")&amp;IF(U339&lt;&gt;"","・SV","")&amp;IF(V339&lt;&gt;"","・データ送付待ち","")&amp;IF(W339&lt;&gt;"","・削除","")</f>
        <v/>
      </c>
    </row>
    <row r="340" ht="15" customHeight="1" s="87">
      <c r="A340" s="90" t="n">
        <v>202660001505</v>
      </c>
      <c r="B340" s="90" t="n"/>
      <c r="C340" s="90" t="n"/>
      <c r="D340" s="90" t="n">
        <v>30</v>
      </c>
      <c r="E340" s="90" t="inlineStr">
        <is>
          <t>30 申請受付</t>
        </is>
      </c>
      <c r="F340" s="90" t="n"/>
      <c r="G340" s="90" t="n"/>
      <c r="H340" s="91" t="n">
        <v>46179</v>
      </c>
      <c r="I340" s="92" t="n">
        <v>46289</v>
      </c>
      <c r="J340" s="91" t="n">
        <v>46289</v>
      </c>
      <c r="K340" s="90" t="n"/>
      <c r="L340" s="90" t="n"/>
      <c r="M340" s="90" t="n"/>
      <c r="N340" s="90" t="n"/>
      <c r="O340" s="90" t="inlineStr">
        <is>
          <t>20 申請受付</t>
        </is>
      </c>
      <c r="P340" s="90" t="n"/>
      <c r="Q340" s="90" t="n"/>
      <c r="R340" s="90" t="n"/>
      <c r="S340" s="90" t="n"/>
      <c r="T340" s="90" t="n"/>
      <c r="U340" s="90" t="n"/>
      <c r="V340" s="90" t="n"/>
      <c r="W340" s="90" t="n"/>
      <c r="X340" s="90" t="n"/>
      <c r="Y340" s="90" t="n"/>
      <c r="Z340" s="90" t="n"/>
      <c r="AA340" s="90" t="n"/>
      <c r="AB340" s="90" t="n">
        <v>23</v>
      </c>
      <c r="AC340" s="90" t="n">
        <v>1</v>
      </c>
      <c r="AD340" s="93" t="inlineStr">
        <is>
          <t>増</t>
        </is>
      </c>
      <c r="AE340" s="90" t="inlineStr">
        <is>
          <t>23 本人の結婚</t>
        </is>
      </c>
      <c r="AF340" s="90" t="n"/>
      <c r="AG340" s="90" t="n"/>
      <c r="AH340" s="90" t="n"/>
      <c r="AI340" s="90" t="n"/>
      <c r="AJ340" s="90" t="n"/>
      <c r="AK340" s="90" t="n"/>
      <c r="AL340" s="94">
        <f>IF(A340="","",IF(COUNTIF(A340:A$2001,A340)=1,1,0))</f>
        <v/>
      </c>
      <c r="AM340" s="94">
        <f>IF(I340="","",TODAY()-I340)</f>
        <v/>
      </c>
      <c r="AN340" s="94">
        <f>IF(A340="","",IF(AND(E340&lt;&gt;"33 確認済",E340&lt;&gt;"36 送付中"),1,0))</f>
        <v/>
      </c>
      <c r="AO340" s="94">
        <f>IF(A340="","",IF(AG340&lt;&gt;"",1,0))</f>
        <v/>
      </c>
      <c r="AP340" s="220">
        <f>IF(P340&lt;&gt;"","・添待ち","")&amp;IF(Q340&lt;&gt;"","・住民票","")&amp;IF(R340&lt;&gt;"","・発信","")&amp;IF(S340&lt;&gt;"","・確認事項","")&amp;IF(T340&lt;&gt;"","・管","")&amp;IF(U340&lt;&gt;"","・SV","")&amp;IF(V340&lt;&gt;"","・データ送付待ち","")&amp;IF(W340&lt;&gt;"","・削除","")</f>
        <v/>
      </c>
    </row>
    <row r="341" ht="15" customHeight="1" s="87">
      <c r="A341" s="90" t="n">
        <v>202660001505</v>
      </c>
      <c r="B341" s="90" t="n"/>
      <c r="C341" s="90" t="n"/>
      <c r="D341" s="90" t="n">
        <v>30</v>
      </c>
      <c r="E341" s="90" t="inlineStr">
        <is>
          <t>30 申請受付</t>
        </is>
      </c>
      <c r="F341" s="90" t="n"/>
      <c r="G341" s="90" t="n"/>
      <c r="H341" s="91" t="n">
        <v>46179</v>
      </c>
      <c r="I341" s="92" t="n">
        <v>46289</v>
      </c>
      <c r="J341" s="91" t="n">
        <v>46289</v>
      </c>
      <c r="K341" s="90" t="n"/>
      <c r="L341" s="90" t="n"/>
      <c r="M341" s="90" t="n"/>
      <c r="N341" s="90" t="n"/>
      <c r="O341" s="90" t="inlineStr">
        <is>
          <t>20 申請受付</t>
        </is>
      </c>
      <c r="P341" s="90" t="n"/>
      <c r="Q341" s="90" t="n"/>
      <c r="R341" s="90" t="n"/>
      <c r="S341" s="90" t="n"/>
      <c r="T341" s="90" t="n"/>
      <c r="U341" s="90" t="n"/>
      <c r="V341" s="90" t="n"/>
      <c r="W341" s="90" t="n"/>
      <c r="X341" s="90" t="n"/>
      <c r="Y341" s="90" t="n"/>
      <c r="Z341" s="90" t="n"/>
      <c r="AA341" s="90" t="n"/>
      <c r="AB341" s="90" t="n">
        <v>23</v>
      </c>
      <c r="AC341" s="90" t="n">
        <v>1</v>
      </c>
      <c r="AD341" s="93" t="inlineStr">
        <is>
          <t>増</t>
        </is>
      </c>
      <c r="AE341" s="90" t="inlineStr">
        <is>
          <t>23 結婚</t>
        </is>
      </c>
      <c r="AF341" s="90" t="n"/>
      <c r="AG341" s="90" t="n"/>
      <c r="AH341" s="90" t="n"/>
      <c r="AI341" s="90" t="n"/>
      <c r="AJ341" s="90" t="n"/>
      <c r="AK341" s="90" t="n"/>
      <c r="AL341" s="94">
        <f>IF(A341="","",IF(COUNTIF(A341:A$2001,A341)=1,1,0))</f>
        <v/>
      </c>
      <c r="AM341" s="94">
        <f>IF(I341="","",TODAY()-I341)</f>
        <v/>
      </c>
      <c r="AN341" s="94">
        <f>IF(A341="","",IF(AND(E341&lt;&gt;"33 確認済",E341&lt;&gt;"36 送付中"),1,0))</f>
        <v/>
      </c>
      <c r="AO341" s="94">
        <f>IF(A341="","",IF(AG341&lt;&gt;"",1,0))</f>
        <v/>
      </c>
      <c r="AP341" s="220">
        <f>IF(P341&lt;&gt;"","・添待ち","")&amp;IF(Q341&lt;&gt;"","・住民票","")&amp;IF(R341&lt;&gt;"","・発信","")&amp;IF(S341&lt;&gt;"","・確認事項","")&amp;IF(T341&lt;&gt;"","・管","")&amp;IF(U341&lt;&gt;"","・SV","")&amp;IF(V341&lt;&gt;"","・データ送付待ち","")&amp;IF(W341&lt;&gt;"","・削除","")</f>
        <v/>
      </c>
    </row>
    <row r="342" ht="15" customHeight="1" s="87">
      <c r="A342" s="90" t="n">
        <v>202660001507</v>
      </c>
      <c r="B342" s="90" t="n"/>
      <c r="C342" s="90" t="n"/>
      <c r="D342" s="90" t="n">
        <v>30</v>
      </c>
      <c r="E342" s="90" t="inlineStr">
        <is>
          <t>30 申請受付</t>
        </is>
      </c>
      <c r="F342" s="90" t="n"/>
      <c r="G342" s="90" t="n"/>
      <c r="H342" s="91" t="n">
        <v>46289</v>
      </c>
      <c r="I342" s="92" t="n">
        <v>46289</v>
      </c>
      <c r="J342" s="91" t="n">
        <v>46289</v>
      </c>
      <c r="K342" s="90" t="n"/>
      <c r="L342" s="90" t="n"/>
      <c r="M342" s="90" t="n"/>
      <c r="N342" s="90" t="n"/>
      <c r="O342" s="90" t="inlineStr">
        <is>
          <t>20 申請受付</t>
        </is>
      </c>
      <c r="P342" s="90" t="n"/>
      <c r="Q342" s="90" t="n"/>
      <c r="R342" s="90" t="n"/>
      <c r="S342" s="90" t="n"/>
      <c r="T342" s="90" t="n"/>
      <c r="U342" s="90" t="n"/>
      <c r="V342" s="90" t="n"/>
      <c r="W342" s="90" t="n"/>
      <c r="X342" s="90" t="n"/>
      <c r="Y342" s="90" t="n"/>
      <c r="Z342" s="90" t="n"/>
      <c r="AA342" s="90" t="n"/>
      <c r="AB342" s="90" t="n">
        <v>51</v>
      </c>
      <c r="AC342" s="90" t="n">
        <v>0</v>
      </c>
      <c r="AD342" s="93" t="inlineStr">
        <is>
          <t>減</t>
        </is>
      </c>
      <c r="AE342" s="90" t="inlineStr">
        <is>
          <t>51 収入限度額以上</t>
        </is>
      </c>
      <c r="AF342" s="90" t="n"/>
      <c r="AG342" s="90" t="n"/>
      <c r="AH342" s="93" t="inlineStr">
        <is>
          <t>減</t>
        </is>
      </c>
      <c r="AI342" s="90" t="n"/>
      <c r="AJ342" s="90" t="n"/>
      <c r="AK342" s="90" t="n"/>
      <c r="AL342" s="94">
        <f>IF(A342="","",IF(COUNTIF(A342:A$2001,A342)=1,1,0))</f>
        <v/>
      </c>
      <c r="AM342" s="94">
        <f>IF(I342="","",TODAY()-I342)</f>
        <v/>
      </c>
      <c r="AN342" s="94">
        <f>IF(A342="","",IF(AND(E342&lt;&gt;"33 確認済",E342&lt;&gt;"36 送付中"),1,0))</f>
        <v/>
      </c>
      <c r="AO342" s="94">
        <f>IF(A342="","",IF(AG342&lt;&gt;"",1,0))</f>
        <v/>
      </c>
      <c r="AP342" s="220">
        <f>IF(P342&lt;&gt;"","・添待ち","")&amp;IF(Q342&lt;&gt;"","・住民票","")&amp;IF(R342&lt;&gt;"","・発信","")&amp;IF(S342&lt;&gt;"","・確認事項","")&amp;IF(T342&lt;&gt;"","・管","")&amp;IF(U342&lt;&gt;"","・SV","")&amp;IF(V342&lt;&gt;"","・データ送付待ち","")&amp;IF(W342&lt;&gt;"","・削除","")</f>
        <v/>
      </c>
    </row>
    <row r="343" ht="15" customHeight="1" s="87">
      <c r="A343" s="90" t="n">
        <v>202660001508</v>
      </c>
      <c r="B343" s="90" t="n"/>
      <c r="C343" s="90" t="n"/>
      <c r="D343" s="90" t="n">
        <v>20</v>
      </c>
      <c r="E343" s="90" t="inlineStr">
        <is>
          <t>20 確認待ち</t>
        </is>
      </c>
      <c r="F343" s="90" t="n"/>
      <c r="G343" s="90" t="n"/>
      <c r="H343" s="91" t="n">
        <v>46254</v>
      </c>
      <c r="I343" s="92" t="n">
        <v>46289</v>
      </c>
      <c r="J343" s="90" t="n"/>
      <c r="K343" s="90" t="n"/>
      <c r="L343" s="90" t="n"/>
      <c r="M343" s="90" t="n"/>
      <c r="N343" s="90" t="n"/>
      <c r="O343" s="90" t="inlineStr">
        <is>
          <t>10 申請</t>
        </is>
      </c>
      <c r="P343" s="90" t="n"/>
      <c r="Q343" s="90" t="n"/>
      <c r="R343" s="90" t="n"/>
      <c r="S343" s="90" t="n"/>
      <c r="T343" s="90" t="n"/>
      <c r="U343" s="90" t="n"/>
      <c r="V343" s="90" t="n"/>
      <c r="W343" s="90" t="n"/>
      <c r="X343" s="90" t="n"/>
      <c r="Y343" s="90" t="n"/>
      <c r="Z343" s="90" t="n"/>
      <c r="AA343" s="90" t="n"/>
      <c r="AB343" s="90" t="n">
        <v>28</v>
      </c>
      <c r="AC343" s="90" t="n">
        <v>3</v>
      </c>
      <c r="AD343" s="93" t="inlineStr">
        <is>
          <t>減</t>
        </is>
      </c>
      <c r="AE343" s="90" t="n"/>
      <c r="AF343" s="90" t="n"/>
      <c r="AG343" s="90" t="n"/>
      <c r="AH343" s="93" t="inlineStr">
        <is>
          <t>増</t>
        </is>
      </c>
      <c r="AI343" s="90" t="n"/>
      <c r="AJ343" s="90" t="n"/>
      <c r="AK343" s="90" t="n"/>
      <c r="AL343" s="94">
        <f>IF(A343="","",IF(COUNTIF(A343:A$2001,A343)=1,1,0))</f>
        <v/>
      </c>
      <c r="AM343" s="94">
        <f>IF(I343="","",TODAY()-I343)</f>
        <v/>
      </c>
      <c r="AN343" s="94">
        <f>IF(A343="","",IF(AND(E343&lt;&gt;"33 確認済",E343&lt;&gt;"36 送付中"),1,0))</f>
        <v/>
      </c>
      <c r="AO343" s="94">
        <f>IF(A343="","",IF(AG343&lt;&gt;"",1,0))</f>
        <v/>
      </c>
      <c r="AP343" s="220">
        <f>IF(P343&lt;&gt;"","・添待ち","")&amp;IF(Q343&lt;&gt;"","・住民票","")&amp;IF(R343&lt;&gt;"","・発信","")&amp;IF(S343&lt;&gt;"","・確認事項","")&amp;IF(T343&lt;&gt;"","・管","")&amp;IF(U343&lt;&gt;"","・SV","")&amp;IF(V343&lt;&gt;"","・データ送付待ち","")&amp;IF(W343&lt;&gt;"","・削除","")</f>
        <v/>
      </c>
    </row>
    <row r="344" ht="15" customHeight="1" s="87">
      <c r="A344" s="90" t="n">
        <v>202660001512</v>
      </c>
      <c r="B344" s="90" t="n"/>
      <c r="C344" s="90" t="n"/>
      <c r="D344" s="90" t="n">
        <v>30</v>
      </c>
      <c r="E344" s="90" t="inlineStr">
        <is>
          <t>30 申請受付</t>
        </is>
      </c>
      <c r="F344" s="90" t="n"/>
      <c r="G344" s="90" t="n"/>
      <c r="H344" s="91" t="n">
        <v>46289</v>
      </c>
      <c r="I344" s="92" t="n">
        <v>46289</v>
      </c>
      <c r="J344" s="91" t="n">
        <v>46289</v>
      </c>
      <c r="K344" s="90" t="n"/>
      <c r="L344" s="90" t="n"/>
      <c r="M344" s="90" t="n"/>
      <c r="N344" s="90" t="n"/>
      <c r="O344" s="90" t="inlineStr">
        <is>
          <t>20 申請受付</t>
        </is>
      </c>
      <c r="P344" s="90" t="n"/>
      <c r="Q344" s="90" t="n"/>
      <c r="R344" s="90" t="n"/>
      <c r="S344" s="90" t="n"/>
      <c r="T344" s="90" t="n"/>
      <c r="U344" s="90" t="n"/>
      <c r="V344" s="90" t="n"/>
      <c r="W344" s="90" t="n"/>
      <c r="X344" s="90" t="n"/>
      <c r="Y344" s="90" t="n"/>
      <c r="Z344" s="90" t="n"/>
      <c r="AA344" s="90" t="n"/>
      <c r="AB344" s="90" t="n">
        <v>49</v>
      </c>
      <c r="AC344" s="90" t="n">
        <v>0</v>
      </c>
      <c r="AD344" s="93" t="inlineStr">
        <is>
          <t>減</t>
        </is>
      </c>
      <c r="AE344" s="90" t="inlineStr">
        <is>
          <t>49 復職</t>
        </is>
      </c>
      <c r="AF344" s="90" t="n"/>
      <c r="AG344" s="90" t="n"/>
      <c r="AH344" s="93" t="inlineStr">
        <is>
          <t>減</t>
        </is>
      </c>
      <c r="AI344" s="90" t="n"/>
      <c r="AJ344" s="90" t="n"/>
      <c r="AK344" s="90" t="n"/>
      <c r="AL344" s="94">
        <f>IF(A344="","",IF(COUNTIF(A344:A$2001,A344)=1,1,0))</f>
        <v/>
      </c>
      <c r="AM344" s="94">
        <f>IF(I344="","",TODAY()-I344)</f>
        <v/>
      </c>
      <c r="AN344" s="94">
        <f>IF(A344="","",IF(AND(E344&lt;&gt;"33 確認済",E344&lt;&gt;"36 送付中"),1,0))</f>
        <v/>
      </c>
      <c r="AO344" s="94">
        <f>IF(A344="","",IF(AG344&lt;&gt;"",1,0))</f>
        <v/>
      </c>
      <c r="AP344" s="220">
        <f>IF(P344&lt;&gt;"","・添待ち","")&amp;IF(Q344&lt;&gt;"","・住民票","")&amp;IF(R344&lt;&gt;"","・発信","")&amp;IF(S344&lt;&gt;"","・確認事項","")&amp;IF(T344&lt;&gt;"","・管","")&amp;IF(U344&lt;&gt;"","・SV","")&amp;IF(V344&lt;&gt;"","・データ送付待ち","")&amp;IF(W344&lt;&gt;"","・削除","")</f>
        <v/>
      </c>
    </row>
    <row r="345" ht="15" customHeight="1" s="87">
      <c r="A345" s="90" t="n">
        <v>202660001514</v>
      </c>
      <c r="B345" s="90" t="n"/>
      <c r="C345" s="90" t="n"/>
      <c r="D345" s="90" t="n">
        <v>30</v>
      </c>
      <c r="E345" s="90" t="inlineStr">
        <is>
          <t>30 申請受付</t>
        </is>
      </c>
      <c r="F345" s="90" t="n"/>
      <c r="G345" s="90" t="n"/>
      <c r="H345" s="91" t="n">
        <v>46265</v>
      </c>
      <c r="I345" s="92" t="n">
        <v>46289</v>
      </c>
      <c r="J345" s="91" t="n">
        <v>46289</v>
      </c>
      <c r="K345" s="90" t="n"/>
      <c r="L345" s="90" t="n"/>
      <c r="M345" s="90" t="n"/>
      <c r="N345" s="90" t="n"/>
      <c r="O345" s="90" t="inlineStr">
        <is>
          <t>20 申請受付</t>
        </is>
      </c>
      <c r="P345" s="90" t="n"/>
      <c r="Q345" s="90" t="n"/>
      <c r="R345" s="90" t="n"/>
      <c r="S345" s="90" t="n"/>
      <c r="T345" s="90" t="n"/>
      <c r="U345" s="90" t="n"/>
      <c r="V345" s="90" t="n"/>
      <c r="W345" s="90" t="n"/>
      <c r="X345" s="90" t="n"/>
      <c r="Y345" s="90" t="n"/>
      <c r="Z345" s="90" t="n"/>
      <c r="AA345" s="90" t="n"/>
      <c r="AB345" s="90" t="n">
        <v>23</v>
      </c>
      <c r="AC345" s="90" t="n">
        <v>1</v>
      </c>
      <c r="AD345" s="93" t="inlineStr">
        <is>
          <t>増</t>
        </is>
      </c>
      <c r="AE345" s="90" t="inlineStr">
        <is>
          <t>23 本人の結婚</t>
        </is>
      </c>
      <c r="AF345" s="90" t="n"/>
      <c r="AG345" s="90" t="n"/>
      <c r="AH345" s="90" t="n"/>
      <c r="AI345" s="90" t="n"/>
      <c r="AJ345" s="90" t="n"/>
      <c r="AK345" s="90" t="n"/>
      <c r="AL345" s="94">
        <f>IF(A345="","",IF(COUNTIF(A345:A$2001,A345)=1,1,0))</f>
        <v/>
      </c>
      <c r="AM345" s="94">
        <f>IF(I345="","",TODAY()-I345)</f>
        <v/>
      </c>
      <c r="AN345" s="94">
        <f>IF(A345="","",IF(AND(E345&lt;&gt;"33 確認済",E345&lt;&gt;"36 送付中"),1,0))</f>
        <v/>
      </c>
      <c r="AO345" s="94">
        <f>IF(A345="","",IF(AG345&lt;&gt;"",1,0))</f>
        <v/>
      </c>
      <c r="AP345" s="220">
        <f>IF(P345&lt;&gt;"","・添待ち","")&amp;IF(Q345&lt;&gt;"","・住民票","")&amp;IF(R345&lt;&gt;"","・発信","")&amp;IF(S345&lt;&gt;"","・確認事項","")&amp;IF(T345&lt;&gt;"","・管","")&amp;IF(U345&lt;&gt;"","・SV","")&amp;IF(V345&lt;&gt;"","・データ送付待ち","")&amp;IF(W345&lt;&gt;"","・削除","")</f>
        <v/>
      </c>
    </row>
    <row r="346" ht="15" customHeight="1" s="87">
      <c r="A346" s="90" t="n">
        <v>202660001514</v>
      </c>
      <c r="B346" s="90" t="n"/>
      <c r="C346" s="90" t="n"/>
      <c r="D346" s="90" t="n">
        <v>30</v>
      </c>
      <c r="E346" s="90" t="inlineStr">
        <is>
          <t>30 申請受付</t>
        </is>
      </c>
      <c r="F346" s="90" t="n"/>
      <c r="G346" s="90" t="n"/>
      <c r="H346" s="91" t="n">
        <v>46265</v>
      </c>
      <c r="I346" s="92" t="n">
        <v>46289</v>
      </c>
      <c r="J346" s="91" t="n">
        <v>46289</v>
      </c>
      <c r="K346" s="90" t="n"/>
      <c r="L346" s="90" t="n"/>
      <c r="M346" s="90" t="n"/>
      <c r="N346" s="90" t="n"/>
      <c r="O346" s="90" t="inlineStr">
        <is>
          <t>20 申請受付</t>
        </is>
      </c>
      <c r="P346" s="90" t="n"/>
      <c r="Q346" s="90" t="n"/>
      <c r="R346" s="90" t="n"/>
      <c r="S346" s="90" t="n"/>
      <c r="T346" s="90" t="n"/>
      <c r="U346" s="90" t="n"/>
      <c r="V346" s="90" t="n"/>
      <c r="W346" s="90" t="n"/>
      <c r="X346" s="90" t="n"/>
      <c r="Y346" s="90" t="n"/>
      <c r="Z346" s="90" t="n"/>
      <c r="AA346" s="90" t="n"/>
      <c r="AB346" s="90" t="n">
        <v>23</v>
      </c>
      <c r="AC346" s="90" t="n">
        <v>1</v>
      </c>
      <c r="AD346" s="93" t="inlineStr">
        <is>
          <t>増</t>
        </is>
      </c>
      <c r="AE346" s="90" t="inlineStr">
        <is>
          <t>23 結婚</t>
        </is>
      </c>
      <c r="AF346" s="90" t="n"/>
      <c r="AG346" s="90" t="n"/>
      <c r="AH346" s="90" t="n"/>
      <c r="AI346" s="90" t="n"/>
      <c r="AJ346" s="90" t="n"/>
      <c r="AK346" s="90" t="n"/>
      <c r="AL346" s="94">
        <f>IF(A346="","",IF(COUNTIF(A346:A$2001,A346)=1,1,0))</f>
        <v/>
      </c>
      <c r="AM346" s="94">
        <f>IF(I346="","",TODAY()-I346)</f>
        <v/>
      </c>
      <c r="AN346" s="94">
        <f>IF(A346="","",IF(AND(E346&lt;&gt;"33 確認済",E346&lt;&gt;"36 送付中"),1,0))</f>
        <v/>
      </c>
      <c r="AO346" s="94">
        <f>IF(A346="","",IF(AG346&lt;&gt;"",1,0))</f>
        <v/>
      </c>
      <c r="AP346" s="220">
        <f>IF(P346&lt;&gt;"","・添待ち","")&amp;IF(Q346&lt;&gt;"","・住民票","")&amp;IF(R346&lt;&gt;"","・発信","")&amp;IF(S346&lt;&gt;"","・確認事項","")&amp;IF(T346&lt;&gt;"","・管","")&amp;IF(U346&lt;&gt;"","・SV","")&amp;IF(V346&lt;&gt;"","・データ送付待ち","")&amp;IF(W346&lt;&gt;"","・削除","")</f>
        <v/>
      </c>
    </row>
    <row r="347" ht="15" customHeight="1" s="87">
      <c r="A347" s="90" t="n">
        <v>202660001515</v>
      </c>
      <c r="B347" s="90" t="n"/>
      <c r="C347" s="90" t="n"/>
      <c r="D347" s="90" t="n">
        <v>30</v>
      </c>
      <c r="E347" s="90" t="inlineStr">
        <is>
          <t>30 申請受付</t>
        </is>
      </c>
      <c r="F347" s="90" t="n"/>
      <c r="G347" s="90" t="n"/>
      <c r="H347" s="91" t="n">
        <v>46023</v>
      </c>
      <c r="I347" s="92" t="n">
        <v>46289</v>
      </c>
      <c r="J347" s="91" t="n">
        <v>46289</v>
      </c>
      <c r="K347" s="90" t="n"/>
      <c r="L347" s="90" t="n"/>
      <c r="M347" s="90" t="n"/>
      <c r="N347" s="90" t="n"/>
      <c r="O347" s="90" t="inlineStr">
        <is>
          <t>20 申請受付</t>
        </is>
      </c>
      <c r="P347" s="90" t="n"/>
      <c r="Q347" s="90" t="n"/>
      <c r="R347" s="90" t="n"/>
      <c r="S347" s="90" t="n"/>
      <c r="T347" s="90" t="n"/>
      <c r="U347" s="90" t="n"/>
      <c r="V347" s="90" t="n"/>
      <c r="W347" s="90" t="n"/>
      <c r="X347" s="90" t="n"/>
      <c r="Y347" s="90" t="n"/>
      <c r="Z347" s="90" t="n"/>
      <c r="AA347" s="90" t="n"/>
      <c r="AB347" s="90" t="n">
        <v>51</v>
      </c>
      <c r="AC347" s="90" t="n">
        <v>0</v>
      </c>
      <c r="AD347" s="93" t="inlineStr">
        <is>
          <t>減</t>
        </is>
      </c>
      <c r="AE347" s="90" t="inlineStr">
        <is>
          <t>51 収入限度額以上</t>
        </is>
      </c>
      <c r="AF347" s="90" t="n"/>
      <c r="AG347" s="90" t="n"/>
      <c r="AH347" s="93" t="inlineStr">
        <is>
          <t>減</t>
        </is>
      </c>
      <c r="AI347" s="90" t="n"/>
      <c r="AJ347" s="90" t="n"/>
      <c r="AK347" s="90" t="n"/>
      <c r="AL347" s="94">
        <f>IF(A347="","",IF(COUNTIF(A347:A$2001,A347)=1,1,0))</f>
        <v/>
      </c>
      <c r="AM347" s="94">
        <f>IF(I347="","",TODAY()-I347)</f>
        <v/>
      </c>
      <c r="AN347" s="94">
        <f>IF(A347="","",IF(AND(E347&lt;&gt;"33 確認済",E347&lt;&gt;"36 送付中"),1,0))</f>
        <v/>
      </c>
      <c r="AO347" s="94">
        <f>IF(A347="","",IF(AG347&lt;&gt;"",1,0))</f>
        <v/>
      </c>
      <c r="AP347" s="220">
        <f>IF(P347&lt;&gt;"","・添待ち","")&amp;IF(Q347&lt;&gt;"","・住民票","")&amp;IF(R347&lt;&gt;"","・発信","")&amp;IF(S347&lt;&gt;"","・確認事項","")&amp;IF(T347&lt;&gt;"","・管","")&amp;IF(U347&lt;&gt;"","・SV","")&amp;IF(V347&lt;&gt;"","・データ送付待ち","")&amp;IF(W347&lt;&gt;"","・削除","")</f>
        <v/>
      </c>
    </row>
    <row r="348" ht="15" customHeight="1" s="87">
      <c r="A348" s="90" t="n">
        <v>202660001516</v>
      </c>
      <c r="B348" s="90" t="n"/>
      <c r="C348" s="90" t="n"/>
      <c r="D348" s="90" t="n">
        <v>30</v>
      </c>
      <c r="E348" s="90" t="inlineStr">
        <is>
          <t>30 申請受付</t>
        </is>
      </c>
      <c r="F348" s="90" t="n"/>
      <c r="G348" s="90" t="n"/>
      <c r="H348" s="91" t="n">
        <v>46023</v>
      </c>
      <c r="I348" s="92" t="n">
        <v>46289</v>
      </c>
      <c r="J348" s="91" t="n">
        <v>46289</v>
      </c>
      <c r="K348" s="90" t="n"/>
      <c r="L348" s="90" t="n"/>
      <c r="M348" s="90" t="n"/>
      <c r="N348" s="90" t="n"/>
      <c r="O348" s="90" t="inlineStr">
        <is>
          <t>20 申請受付</t>
        </is>
      </c>
      <c r="P348" s="90" t="n"/>
      <c r="Q348" s="90" t="n"/>
      <c r="R348" s="90" t="n"/>
      <c r="S348" s="90" t="n"/>
      <c r="T348" s="90" t="n"/>
      <c r="U348" s="90" t="n"/>
      <c r="V348" s="90" t="n"/>
      <c r="W348" s="90" t="n"/>
      <c r="X348" s="90" t="n"/>
      <c r="Y348" s="90" t="n"/>
      <c r="Z348" s="90" t="n"/>
      <c r="AA348" s="90" t="n"/>
      <c r="AB348" s="90" t="n">
        <v>23</v>
      </c>
      <c r="AC348" s="90" t="n">
        <v>1</v>
      </c>
      <c r="AD348" s="93" t="inlineStr">
        <is>
          <t>増</t>
        </is>
      </c>
      <c r="AE348" s="90" t="inlineStr">
        <is>
          <t>23 本人の結婚</t>
        </is>
      </c>
      <c r="AF348" s="90" t="n"/>
      <c r="AG348" s="90" t="n"/>
      <c r="AH348" s="90" t="n"/>
      <c r="AI348" s="90" t="n"/>
      <c r="AJ348" s="90" t="n"/>
      <c r="AK348" s="90" t="n"/>
      <c r="AL348" s="94">
        <f>IF(A348="","",IF(COUNTIF(A348:A$2001,A348)=1,1,0))</f>
        <v/>
      </c>
      <c r="AM348" s="94">
        <f>IF(I348="","",TODAY()-I348)</f>
        <v/>
      </c>
      <c r="AN348" s="94">
        <f>IF(A348="","",IF(AND(E348&lt;&gt;"33 確認済",E348&lt;&gt;"36 送付中"),1,0))</f>
        <v/>
      </c>
      <c r="AO348" s="94">
        <f>IF(A348="","",IF(AG348&lt;&gt;"",1,0))</f>
        <v/>
      </c>
      <c r="AP348" s="220">
        <f>IF(P348&lt;&gt;"","・添待ち","")&amp;IF(Q348&lt;&gt;"","・住民票","")&amp;IF(R348&lt;&gt;"","・発信","")&amp;IF(S348&lt;&gt;"","・確認事項","")&amp;IF(T348&lt;&gt;"","・管","")&amp;IF(U348&lt;&gt;"","・SV","")&amp;IF(V348&lt;&gt;"","・データ送付待ち","")&amp;IF(W348&lt;&gt;"","・削除","")</f>
        <v/>
      </c>
    </row>
    <row r="349" ht="15" customHeight="1" s="87">
      <c r="A349" s="90" t="n">
        <v>202660001516</v>
      </c>
      <c r="B349" s="90" t="n"/>
      <c r="C349" s="90" t="n"/>
      <c r="D349" s="90" t="n">
        <v>30</v>
      </c>
      <c r="E349" s="90" t="inlineStr">
        <is>
          <t>30 申請受付</t>
        </is>
      </c>
      <c r="F349" s="90" t="n"/>
      <c r="G349" s="90" t="n"/>
      <c r="H349" s="91" t="n">
        <v>46023</v>
      </c>
      <c r="I349" s="92" t="n">
        <v>46289</v>
      </c>
      <c r="J349" s="91" t="n">
        <v>46289</v>
      </c>
      <c r="K349" s="90" t="n"/>
      <c r="L349" s="90" t="n"/>
      <c r="M349" s="90" t="n"/>
      <c r="N349" s="90" t="n"/>
      <c r="O349" s="90" t="inlineStr">
        <is>
          <t>20 申請受付</t>
        </is>
      </c>
      <c r="P349" s="90" t="n"/>
      <c r="Q349" s="90" t="n"/>
      <c r="R349" s="90" t="n"/>
      <c r="S349" s="90" t="n"/>
      <c r="T349" s="90" t="n"/>
      <c r="U349" s="90" t="n"/>
      <c r="V349" s="90" t="n"/>
      <c r="W349" s="90" t="n"/>
      <c r="X349" s="90" t="n"/>
      <c r="Y349" s="90" t="n"/>
      <c r="Z349" s="90" t="n"/>
      <c r="AA349" s="90" t="n"/>
      <c r="AB349" s="90" t="n">
        <v>23</v>
      </c>
      <c r="AC349" s="90" t="n">
        <v>1</v>
      </c>
      <c r="AD349" s="93" t="inlineStr">
        <is>
          <t>増</t>
        </is>
      </c>
      <c r="AE349" s="90" t="inlineStr">
        <is>
          <t>23 結婚</t>
        </is>
      </c>
      <c r="AF349" s="90" t="n"/>
      <c r="AG349" s="90" t="n"/>
      <c r="AH349" s="90" t="n"/>
      <c r="AI349" s="90" t="n"/>
      <c r="AJ349" s="90" t="n"/>
      <c r="AK349" s="90" t="n"/>
      <c r="AL349" s="94">
        <f>IF(A349="","",IF(COUNTIF(A349:A$2001,A349)=1,1,0))</f>
        <v/>
      </c>
      <c r="AM349" s="94">
        <f>IF(I349="","",TODAY()-I349)</f>
        <v/>
      </c>
      <c r="AN349" s="94">
        <f>IF(A349="","",IF(AND(E349&lt;&gt;"33 確認済",E349&lt;&gt;"36 送付中"),1,0))</f>
        <v/>
      </c>
      <c r="AO349" s="94">
        <f>IF(A349="","",IF(AG349&lt;&gt;"",1,0))</f>
        <v/>
      </c>
      <c r="AP349" s="220">
        <f>IF(P349&lt;&gt;"","・添待ち","")&amp;IF(Q349&lt;&gt;"","・住民票","")&amp;IF(R349&lt;&gt;"","・発信","")&amp;IF(S349&lt;&gt;"","・確認事項","")&amp;IF(T349&lt;&gt;"","・管","")&amp;IF(U349&lt;&gt;"","・SV","")&amp;IF(V349&lt;&gt;"","・データ送付待ち","")&amp;IF(W349&lt;&gt;"","・削除","")</f>
        <v/>
      </c>
    </row>
    <row r="350" ht="15" customHeight="1" s="87">
      <c r="A350" s="90" t="n">
        <v>202660001517</v>
      </c>
      <c r="B350" s="90" t="n"/>
      <c r="C350" s="90" t="n"/>
      <c r="D350" s="90" t="n">
        <v>30</v>
      </c>
      <c r="E350" s="90" t="inlineStr">
        <is>
          <t>30 申請受付</t>
        </is>
      </c>
      <c r="F350" s="90" t="n"/>
      <c r="G350" s="90" t="n"/>
      <c r="H350" s="91" t="n">
        <v>46174</v>
      </c>
      <c r="I350" s="92" t="n">
        <v>46289</v>
      </c>
      <c r="J350" s="91" t="n">
        <v>46289</v>
      </c>
      <c r="K350" s="90" t="n"/>
      <c r="L350" s="90" t="n"/>
      <c r="M350" s="90" t="n"/>
      <c r="N350" s="90" t="n"/>
      <c r="O350" s="90" t="inlineStr">
        <is>
          <t>20 申請受付</t>
        </is>
      </c>
      <c r="P350" s="90" t="n"/>
      <c r="Q350" s="90" t="n"/>
      <c r="R350" s="90" t="n"/>
      <c r="S350" s="90" t="n"/>
      <c r="T350" s="90" t="n"/>
      <c r="U350" s="90" t="n"/>
      <c r="V350" s="90" t="n"/>
      <c r="W350" s="90" t="n"/>
      <c r="X350" s="90" t="n"/>
      <c r="Y350" s="90" t="n"/>
      <c r="Z350" s="90" t="n"/>
      <c r="AA350" s="90" t="n"/>
      <c r="AB350" s="90" t="n">
        <v>49</v>
      </c>
      <c r="AC350" s="90" t="n">
        <v>0</v>
      </c>
      <c r="AD350" s="93" t="inlineStr">
        <is>
          <t>減</t>
        </is>
      </c>
      <c r="AE350" s="90" t="inlineStr">
        <is>
          <t>49 復職</t>
        </is>
      </c>
      <c r="AF350" s="90" t="n"/>
      <c r="AG350" s="90" t="n"/>
      <c r="AH350" s="93" t="inlineStr">
        <is>
          <t>減</t>
        </is>
      </c>
      <c r="AI350" s="90" t="n"/>
      <c r="AJ350" s="90" t="n"/>
      <c r="AK350" s="90" t="n"/>
      <c r="AL350" s="94">
        <f>IF(A350="","",IF(COUNTIF(A350:A$2001,A350)=1,1,0))</f>
        <v/>
      </c>
      <c r="AM350" s="94">
        <f>IF(I350="","",TODAY()-I350)</f>
        <v/>
      </c>
      <c r="AN350" s="94">
        <f>IF(A350="","",IF(AND(E350&lt;&gt;"33 確認済",E350&lt;&gt;"36 送付中"),1,0))</f>
        <v/>
      </c>
      <c r="AO350" s="94">
        <f>IF(A350="","",IF(AG350&lt;&gt;"",1,0))</f>
        <v/>
      </c>
      <c r="AP350" s="220">
        <f>IF(P350&lt;&gt;"","・添待ち","")&amp;IF(Q350&lt;&gt;"","・住民票","")&amp;IF(R350&lt;&gt;"","・発信","")&amp;IF(S350&lt;&gt;"","・確認事項","")&amp;IF(T350&lt;&gt;"","・管","")&amp;IF(U350&lt;&gt;"","・SV","")&amp;IF(V350&lt;&gt;"","・データ送付待ち","")&amp;IF(W350&lt;&gt;"","・削除","")</f>
        <v/>
      </c>
    </row>
    <row r="351" ht="15" customHeight="1" s="87">
      <c r="A351" s="90" t="n">
        <v>202660001518</v>
      </c>
      <c r="B351" s="90" t="n"/>
      <c r="C351" s="90" t="n"/>
      <c r="D351" s="90" t="n">
        <v>20</v>
      </c>
      <c r="E351" s="90" t="inlineStr">
        <is>
          <t>20 確認待ち</t>
        </is>
      </c>
      <c r="F351" s="90" t="n"/>
      <c r="G351" s="90" t="n"/>
      <c r="H351" s="91" t="n">
        <v>46023</v>
      </c>
      <c r="I351" s="92" t="n">
        <v>46289</v>
      </c>
      <c r="J351" s="90" t="n"/>
      <c r="K351" s="90" t="n"/>
      <c r="L351" s="90" t="n"/>
      <c r="M351" s="90" t="n"/>
      <c r="N351" s="90" t="n"/>
      <c r="O351" s="90" t="inlineStr">
        <is>
          <t>10 申請</t>
        </is>
      </c>
      <c r="P351" s="90" t="n"/>
      <c r="Q351" s="90" t="n"/>
      <c r="R351" s="90" t="n"/>
      <c r="S351" s="90" t="n"/>
      <c r="T351" s="90" t="n"/>
      <c r="U351" s="90" t="n"/>
      <c r="V351" s="90" t="n"/>
      <c r="W351" s="90" t="n"/>
      <c r="X351" s="90" t="n"/>
      <c r="Y351" s="90" t="n"/>
      <c r="Z351" s="90" t="n"/>
      <c r="AA351" s="90" t="n"/>
      <c r="AB351" s="90" t="n">
        <v>28</v>
      </c>
      <c r="AC351" s="90" t="n">
        <v>3</v>
      </c>
      <c r="AD351" s="93" t="inlineStr">
        <is>
          <t>減</t>
        </is>
      </c>
      <c r="AE351" s="90" t="n"/>
      <c r="AF351" s="90" t="n"/>
      <c r="AG351" s="90" t="n"/>
      <c r="AH351" s="90" t="n"/>
      <c r="AI351" s="90" t="n"/>
      <c r="AJ351" s="90" t="n"/>
      <c r="AK351" s="90" t="n"/>
      <c r="AL351" s="94">
        <f>IF(A351="","",IF(COUNTIF(A351:A$2001,A351)=1,1,0))</f>
        <v/>
      </c>
      <c r="AM351" s="94">
        <f>IF(I351="","",TODAY()-I351)</f>
        <v/>
      </c>
      <c r="AN351" s="94">
        <f>IF(A351="","",IF(AND(E351&lt;&gt;"33 確認済",E351&lt;&gt;"36 送付中"),1,0))</f>
        <v/>
      </c>
      <c r="AO351" s="94">
        <f>IF(A351="","",IF(AG351&lt;&gt;"",1,0))</f>
        <v/>
      </c>
      <c r="AP351" s="220">
        <f>IF(P351&lt;&gt;"","・添待ち","")&amp;IF(Q351&lt;&gt;"","・住民票","")&amp;IF(R351&lt;&gt;"","・発信","")&amp;IF(S351&lt;&gt;"","・確認事項","")&amp;IF(T351&lt;&gt;"","・管","")&amp;IF(U351&lt;&gt;"","・SV","")&amp;IF(V351&lt;&gt;"","・データ送付待ち","")&amp;IF(W351&lt;&gt;"","・削除","")</f>
        <v/>
      </c>
    </row>
    <row r="352" ht="15" customHeight="1" s="87">
      <c r="A352" s="90" t="n">
        <v>202660001519</v>
      </c>
      <c r="B352" s="90" t="n"/>
      <c r="C352" s="90" t="n"/>
      <c r="D352" s="90" t="n">
        <v>30</v>
      </c>
      <c r="E352" s="90" t="inlineStr">
        <is>
          <t>30 申請受付</t>
        </is>
      </c>
      <c r="F352" s="90" t="n"/>
      <c r="G352" s="90" t="n"/>
      <c r="H352" s="91" t="n">
        <v>46107</v>
      </c>
      <c r="I352" s="92" t="n">
        <v>46289</v>
      </c>
      <c r="J352" s="91" t="n">
        <v>46289</v>
      </c>
      <c r="K352" s="90" t="n"/>
      <c r="L352" s="90" t="n"/>
      <c r="M352" s="90" t="n"/>
      <c r="N352" s="90" t="n"/>
      <c r="O352" s="90" t="inlineStr">
        <is>
          <t>20 申請受付</t>
        </is>
      </c>
      <c r="P352" s="90" t="n"/>
      <c r="Q352" s="90" t="n"/>
      <c r="R352" s="90" t="n"/>
      <c r="S352" s="90" t="n"/>
      <c r="T352" s="90" t="n"/>
      <c r="U352" s="90" t="n"/>
      <c r="V352" s="90" t="n"/>
      <c r="W352" s="90" t="n"/>
      <c r="X352" s="90" t="n"/>
      <c r="Y352" s="90" t="n"/>
      <c r="Z352" s="90" t="n"/>
      <c r="AA352" s="90" t="n"/>
      <c r="AB352" s="90" t="n">
        <v>47</v>
      </c>
      <c r="AC352" s="90" t="n">
        <v>0</v>
      </c>
      <c r="AD352" s="93" t="inlineStr">
        <is>
          <t>減</t>
        </is>
      </c>
      <c r="AE352" s="90" t="inlineStr">
        <is>
          <t>47 扶養親族の就職</t>
        </is>
      </c>
      <c r="AF352" s="90" t="n"/>
      <c r="AG352" s="90" t="n"/>
      <c r="AH352" s="93" t="inlineStr">
        <is>
          <t>減</t>
        </is>
      </c>
      <c r="AI352" s="90" t="n"/>
      <c r="AJ352" s="90" t="n"/>
      <c r="AK352" s="90" t="n"/>
      <c r="AL352" s="94">
        <f>IF(A352="","",IF(COUNTIF(A352:A$2001,A352)=1,1,0))</f>
        <v/>
      </c>
      <c r="AM352" s="94">
        <f>IF(I352="","",TODAY()-I352)</f>
        <v/>
      </c>
      <c r="AN352" s="94">
        <f>IF(A352="","",IF(AND(E352&lt;&gt;"33 確認済",E352&lt;&gt;"36 送付中"),1,0))</f>
        <v/>
      </c>
      <c r="AO352" s="94">
        <f>IF(A352="","",IF(AG352&lt;&gt;"",1,0))</f>
        <v/>
      </c>
      <c r="AP352" s="220">
        <f>IF(P352&lt;&gt;"","・添待ち","")&amp;IF(Q352&lt;&gt;"","・住民票","")&amp;IF(R352&lt;&gt;"","・発信","")&amp;IF(S352&lt;&gt;"","・確認事項","")&amp;IF(T352&lt;&gt;"","・管","")&amp;IF(U352&lt;&gt;"","・SV","")&amp;IF(V352&lt;&gt;"","・データ送付待ち","")&amp;IF(W352&lt;&gt;"","・削除","")</f>
        <v/>
      </c>
    </row>
    <row r="353" ht="15" customHeight="1" s="87">
      <c r="A353" s="90" t="n">
        <v>202660001521</v>
      </c>
      <c r="B353" s="90" t="n"/>
      <c r="C353" s="90" t="n"/>
      <c r="D353" s="90" t="n">
        <v>20</v>
      </c>
      <c r="E353" s="90" t="inlineStr">
        <is>
          <t>20 確認待ち</t>
        </is>
      </c>
      <c r="F353" s="90" t="n"/>
      <c r="G353" s="90" t="n"/>
      <c r="H353" s="91" t="n">
        <v>46275</v>
      </c>
      <c r="I353" s="92" t="n">
        <v>46289</v>
      </c>
      <c r="J353" s="90" t="n"/>
      <c r="K353" s="90" t="n"/>
      <c r="L353" s="90" t="n"/>
      <c r="M353" s="90" t="n"/>
      <c r="N353" s="90" t="n"/>
      <c r="O353" s="90" t="inlineStr">
        <is>
          <t>10 申請</t>
        </is>
      </c>
      <c r="P353" s="90" t="n"/>
      <c r="Q353" s="90" t="n"/>
      <c r="R353" s="90" t="n"/>
      <c r="S353" s="90" t="n"/>
      <c r="T353" s="90" t="n"/>
      <c r="U353" s="90" t="n"/>
      <c r="V353" s="90" t="n"/>
      <c r="W353" s="90" t="n"/>
      <c r="X353" s="90" t="n"/>
      <c r="Y353" s="90" t="n"/>
      <c r="Z353" s="90" t="n"/>
      <c r="AA353" s="90" t="n"/>
      <c r="AB353" s="90" t="n">
        <v>27</v>
      </c>
      <c r="AC353" s="90" t="n">
        <v>1</v>
      </c>
      <c r="AD353" s="93" t="inlineStr">
        <is>
          <t>増</t>
        </is>
      </c>
      <c r="AE353" s="90" t="inlineStr">
        <is>
          <t>27 収入限度額以下</t>
        </is>
      </c>
      <c r="AF353" s="93" t="inlineStr">
        <is>
          <t>増</t>
        </is>
      </c>
      <c r="AG353" s="93" t="inlineStr">
        <is>
          <t>増</t>
        </is>
      </c>
      <c r="AH353" s="93" t="inlineStr">
        <is>
          <t>増</t>
        </is>
      </c>
      <c r="AI353" s="90" t="n"/>
      <c r="AJ353" s="90" t="n"/>
      <c r="AK353" s="90" t="n"/>
      <c r="AL353" s="94">
        <f>IF(A353="","",IF(COUNTIF(A353:A$2001,A353)=1,1,0))</f>
        <v/>
      </c>
      <c r="AM353" s="94">
        <f>IF(I353="","",TODAY()-I353)</f>
        <v/>
      </c>
      <c r="AN353" s="94">
        <f>IF(A353="","",IF(AND(E353&lt;&gt;"33 確認済",E353&lt;&gt;"36 送付中"),1,0))</f>
        <v/>
      </c>
      <c r="AO353" s="94">
        <f>IF(A353="","",IF(AG353&lt;&gt;"",1,0))</f>
        <v/>
      </c>
      <c r="AP353" s="220">
        <f>IF(P353&lt;&gt;"","・添待ち","")&amp;IF(Q353&lt;&gt;"","・住民票","")&amp;IF(R353&lt;&gt;"","・発信","")&amp;IF(S353&lt;&gt;"","・確認事項","")&amp;IF(T353&lt;&gt;"","・管","")&amp;IF(U353&lt;&gt;"","・SV","")&amp;IF(V353&lt;&gt;"","・データ送付待ち","")&amp;IF(W353&lt;&gt;"","・削除","")</f>
        <v/>
      </c>
    </row>
    <row r="354" ht="15" customHeight="1" s="87">
      <c r="A354" s="90" t="n">
        <v>202660001524</v>
      </c>
      <c r="B354" s="90" t="n"/>
      <c r="C354" s="90" t="n"/>
      <c r="D354" s="90" t="n">
        <v>20</v>
      </c>
      <c r="E354" s="90" t="inlineStr">
        <is>
          <t>20 確認待ち</t>
        </is>
      </c>
      <c r="F354" s="90" t="n"/>
      <c r="G354" s="90" t="n"/>
      <c r="H354" s="91" t="n">
        <v>46006</v>
      </c>
      <c r="I354" s="92" t="n">
        <v>46289</v>
      </c>
      <c r="J354" s="90" t="n"/>
      <c r="K354" s="90" t="n"/>
      <c r="L354" s="90" t="n"/>
      <c r="M354" s="90" t="n"/>
      <c r="N354" s="90" t="n"/>
      <c r="O354" s="90" t="inlineStr">
        <is>
          <t>10 申請</t>
        </is>
      </c>
      <c r="P354" s="90" t="n"/>
      <c r="Q354" s="90" t="n"/>
      <c r="R354" s="90" t="n"/>
      <c r="S354" s="90" t="n"/>
      <c r="T354" s="90" t="n"/>
      <c r="U354" s="90" t="n"/>
      <c r="V354" s="90" t="n"/>
      <c r="W354" s="90" t="n"/>
      <c r="X354" s="90" t="n"/>
      <c r="Y354" s="90" t="n"/>
      <c r="Z354" s="90" t="n"/>
      <c r="AA354" s="90" t="n"/>
      <c r="AB354" s="90" t="n">
        <v>49</v>
      </c>
      <c r="AC354" s="90" t="n">
        <v>0</v>
      </c>
      <c r="AD354" s="93" t="inlineStr">
        <is>
          <t>減</t>
        </is>
      </c>
      <c r="AE354" s="90" t="inlineStr">
        <is>
          <t>49 復職</t>
        </is>
      </c>
      <c r="AF354" s="90" t="n"/>
      <c r="AG354" s="90" t="n"/>
      <c r="AH354" s="90" t="n"/>
      <c r="AI354" s="90" t="n"/>
      <c r="AJ354" s="90" t="n"/>
      <c r="AK354" s="90" t="n"/>
      <c r="AL354" s="94">
        <f>IF(A354="","",IF(COUNTIF(A354:A$2001,A354)=1,1,0))</f>
        <v/>
      </c>
      <c r="AM354" s="94">
        <f>IF(I354="","",TODAY()-I354)</f>
        <v/>
      </c>
      <c r="AN354" s="94">
        <f>IF(A354="","",IF(AND(E354&lt;&gt;"33 確認済",E354&lt;&gt;"36 送付中"),1,0))</f>
        <v/>
      </c>
      <c r="AO354" s="94">
        <f>IF(A354="","",IF(AG354&lt;&gt;"",1,0))</f>
        <v/>
      </c>
      <c r="AP354" s="220">
        <f>IF(P354&lt;&gt;"","・添待ち","")&amp;IF(Q354&lt;&gt;"","・住民票","")&amp;IF(R354&lt;&gt;"","・発信","")&amp;IF(S354&lt;&gt;"","・確認事項","")&amp;IF(T354&lt;&gt;"","・管","")&amp;IF(U354&lt;&gt;"","・SV","")&amp;IF(V354&lt;&gt;"","・データ送付待ち","")&amp;IF(W354&lt;&gt;"","・削除","")</f>
        <v/>
      </c>
    </row>
    <row r="355" ht="15" customHeight="1" s="87">
      <c r="A355" s="90" t="n">
        <v>202660001525</v>
      </c>
      <c r="B355" s="90" t="n"/>
      <c r="C355" s="90" t="n"/>
      <c r="D355" s="90" t="n">
        <v>20</v>
      </c>
      <c r="E355" s="90" t="inlineStr">
        <is>
          <t>20 確認待ち</t>
        </is>
      </c>
      <c r="F355" s="90" t="n"/>
      <c r="G355" s="90" t="n"/>
      <c r="H355" s="91" t="n">
        <v>46188</v>
      </c>
      <c r="I355" s="92" t="n">
        <v>46289</v>
      </c>
      <c r="J355" s="90" t="n"/>
      <c r="K355" s="90" t="n"/>
      <c r="L355" s="90" t="n"/>
      <c r="M355" s="90" t="n"/>
      <c r="N355" s="90" t="n"/>
      <c r="O355" s="90" t="inlineStr">
        <is>
          <t>10 申請</t>
        </is>
      </c>
      <c r="P355" s="90" t="n"/>
      <c r="Q355" s="90" t="n"/>
      <c r="R355" s="90" t="n"/>
      <c r="S355" s="90" t="n"/>
      <c r="T355" s="90" t="n"/>
      <c r="U355" s="90" t="n"/>
      <c r="V355" s="90" t="n"/>
      <c r="W355" s="90" t="n"/>
      <c r="X355" s="90" t="n"/>
      <c r="Y355" s="90" t="n"/>
      <c r="Z355" s="90" t="n"/>
      <c r="AA355" s="90" t="n"/>
      <c r="AB355" s="90" t="n">
        <v>23</v>
      </c>
      <c r="AC355" s="90" t="n">
        <v>1</v>
      </c>
      <c r="AD355" s="93" t="inlineStr">
        <is>
          <t>増</t>
        </is>
      </c>
      <c r="AE355" s="90" t="inlineStr">
        <is>
          <t>23 本人の結婚</t>
        </is>
      </c>
      <c r="AF355" s="90" t="n"/>
      <c r="AG355" s="90" t="n"/>
      <c r="AH355" s="90" t="n"/>
      <c r="AI355" s="90" t="n"/>
      <c r="AJ355" s="90" t="n"/>
      <c r="AK355" s="90" t="n"/>
      <c r="AL355" s="94">
        <f>IF(A355="","",IF(COUNTIF(A355:A$2001,A355)=1,1,0))</f>
        <v/>
      </c>
      <c r="AM355" s="94">
        <f>IF(I355="","",TODAY()-I355)</f>
        <v/>
      </c>
      <c r="AN355" s="94">
        <f>IF(A355="","",IF(AND(E355&lt;&gt;"33 確認済",E355&lt;&gt;"36 送付中"),1,0))</f>
        <v/>
      </c>
      <c r="AO355" s="94">
        <f>IF(A355="","",IF(AG355&lt;&gt;"",1,0))</f>
        <v/>
      </c>
      <c r="AP355" s="220">
        <f>IF(P355&lt;&gt;"","・添待ち","")&amp;IF(Q355&lt;&gt;"","・住民票","")&amp;IF(R355&lt;&gt;"","・発信","")&amp;IF(S355&lt;&gt;"","・確認事項","")&amp;IF(T355&lt;&gt;"","・管","")&amp;IF(U355&lt;&gt;"","・SV","")&amp;IF(V355&lt;&gt;"","・データ送付待ち","")&amp;IF(W355&lt;&gt;"","・削除","")</f>
        <v/>
      </c>
    </row>
    <row r="356" ht="15" customHeight="1" s="87">
      <c r="A356" s="90" t="n">
        <v>202660001525</v>
      </c>
      <c r="B356" s="90" t="n"/>
      <c r="C356" s="90" t="n"/>
      <c r="D356" s="90" t="n">
        <v>20</v>
      </c>
      <c r="E356" s="90" t="inlineStr">
        <is>
          <t>20 確認待ち</t>
        </is>
      </c>
      <c r="F356" s="90" t="n"/>
      <c r="G356" s="90" t="n"/>
      <c r="H356" s="91" t="n">
        <v>46188</v>
      </c>
      <c r="I356" s="92" t="n">
        <v>46289</v>
      </c>
      <c r="J356" s="90" t="n"/>
      <c r="K356" s="90" t="n"/>
      <c r="L356" s="90" t="n"/>
      <c r="M356" s="90" t="n"/>
      <c r="N356" s="90" t="n"/>
      <c r="O356" s="90" t="inlineStr">
        <is>
          <t>10 申請</t>
        </is>
      </c>
      <c r="P356" s="90" t="n"/>
      <c r="Q356" s="90" t="n"/>
      <c r="R356" s="90" t="n"/>
      <c r="S356" s="90" t="n"/>
      <c r="T356" s="90" t="n"/>
      <c r="U356" s="90" t="n"/>
      <c r="V356" s="90" t="n"/>
      <c r="W356" s="90" t="n"/>
      <c r="X356" s="90" t="n"/>
      <c r="Y356" s="90" t="n"/>
      <c r="Z356" s="90" t="n"/>
      <c r="AA356" s="90" t="n"/>
      <c r="AB356" s="90" t="n">
        <v>23</v>
      </c>
      <c r="AC356" s="90" t="n">
        <v>1</v>
      </c>
      <c r="AD356" s="93" t="inlineStr">
        <is>
          <t>増</t>
        </is>
      </c>
      <c r="AE356" s="90" t="inlineStr">
        <is>
          <t>23 結婚</t>
        </is>
      </c>
      <c r="AF356" s="90" t="n"/>
      <c r="AG356" s="90" t="n"/>
      <c r="AH356" s="90" t="n"/>
      <c r="AI356" s="90" t="n"/>
      <c r="AJ356" s="90" t="n"/>
      <c r="AK356" s="90" t="n"/>
      <c r="AL356" s="94">
        <f>IF(A356="","",IF(COUNTIF(A356:A$2001,A356)=1,1,0))</f>
        <v/>
      </c>
      <c r="AM356" s="94">
        <f>IF(I356="","",TODAY()-I356)</f>
        <v/>
      </c>
      <c r="AN356" s="94">
        <f>IF(A356="","",IF(AND(E356&lt;&gt;"33 確認済",E356&lt;&gt;"36 送付中"),1,0))</f>
        <v/>
      </c>
      <c r="AO356" s="94">
        <f>IF(A356="","",IF(AG356&lt;&gt;"",1,0))</f>
        <v/>
      </c>
      <c r="AP356" s="220">
        <f>IF(P356&lt;&gt;"","・添待ち","")&amp;IF(Q356&lt;&gt;"","・住民票","")&amp;IF(R356&lt;&gt;"","・発信","")&amp;IF(S356&lt;&gt;"","・確認事項","")&amp;IF(T356&lt;&gt;"","・管","")&amp;IF(U356&lt;&gt;"","・SV","")&amp;IF(V356&lt;&gt;"","・データ送付待ち","")&amp;IF(W356&lt;&gt;"","・削除","")</f>
        <v/>
      </c>
    </row>
    <row r="357" ht="15" customHeight="1" s="87">
      <c r="A357" s="90" t="n">
        <v>202660001529</v>
      </c>
      <c r="B357" s="90" t="n"/>
      <c r="C357" s="90" t="n"/>
      <c r="D357" s="90" t="n">
        <v>20</v>
      </c>
      <c r="E357" s="90" t="inlineStr">
        <is>
          <t>20 確認待ち</t>
        </is>
      </c>
      <c r="F357" s="90" t="n"/>
      <c r="G357" s="90" t="n"/>
      <c r="H357" s="91" t="n">
        <v>46143</v>
      </c>
      <c r="I357" s="92" t="n">
        <v>46289</v>
      </c>
      <c r="J357" s="90" t="n"/>
      <c r="K357" s="90" t="n"/>
      <c r="L357" s="90" t="n"/>
      <c r="M357" s="90" t="n"/>
      <c r="N357" s="90" t="n"/>
      <c r="O357" s="90" t="inlineStr">
        <is>
          <t>10 申請</t>
        </is>
      </c>
      <c r="P357" s="90" t="n"/>
      <c r="Q357" s="90" t="n"/>
      <c r="R357" s="90" t="n"/>
      <c r="S357" s="90" t="n"/>
      <c r="T357" s="90" t="n"/>
      <c r="U357" s="90" t="n"/>
      <c r="V357" s="90" t="n"/>
      <c r="W357" s="90" t="n"/>
      <c r="X357" s="90" t="n"/>
      <c r="Y357" s="90" t="n"/>
      <c r="Z357" s="90" t="n"/>
      <c r="AA357" s="90" t="n"/>
      <c r="AB357" s="90" t="n">
        <v>49</v>
      </c>
      <c r="AC357" s="90" t="n">
        <v>0</v>
      </c>
      <c r="AD357" s="93" t="inlineStr">
        <is>
          <t>減</t>
        </is>
      </c>
      <c r="AE357" s="90" t="inlineStr">
        <is>
          <t>49 復職</t>
        </is>
      </c>
      <c r="AF357" s="90" t="n"/>
      <c r="AG357" s="90" t="n"/>
      <c r="AH357" s="93" t="inlineStr">
        <is>
          <t>減</t>
        </is>
      </c>
      <c r="AI357" s="90" t="n"/>
      <c r="AJ357" s="90" t="n"/>
      <c r="AK357" s="90" t="n"/>
      <c r="AL357" s="94">
        <f>IF(A357="","",IF(COUNTIF(A357:A$2001,A357)=1,1,0))</f>
        <v/>
      </c>
      <c r="AM357" s="94">
        <f>IF(I357="","",TODAY()-I357)</f>
        <v/>
      </c>
      <c r="AN357" s="94">
        <f>IF(A357="","",IF(AND(E357&lt;&gt;"33 確認済",E357&lt;&gt;"36 送付中"),1,0))</f>
        <v/>
      </c>
      <c r="AO357" s="94">
        <f>IF(A357="","",IF(AG357&lt;&gt;"",1,0))</f>
        <v/>
      </c>
      <c r="AP357" s="220">
        <f>IF(P357&lt;&gt;"","・添待ち","")&amp;IF(Q357&lt;&gt;"","・住民票","")&amp;IF(R357&lt;&gt;"","・発信","")&amp;IF(S357&lt;&gt;"","・確認事項","")&amp;IF(T357&lt;&gt;"","・管","")&amp;IF(U357&lt;&gt;"","・SV","")&amp;IF(V357&lt;&gt;"","・データ送付待ち","")&amp;IF(W357&lt;&gt;"","・削除","")</f>
        <v/>
      </c>
    </row>
    <row r="358" ht="15" customHeight="1" s="87">
      <c r="A358" s="90" t="n">
        <v>202660001530</v>
      </c>
      <c r="B358" s="90" t="n"/>
      <c r="C358" s="90" t="n"/>
      <c r="D358" s="90" t="n">
        <v>20</v>
      </c>
      <c r="E358" s="90" t="inlineStr">
        <is>
          <t>20 確認待ち</t>
        </is>
      </c>
      <c r="F358" s="90" t="n"/>
      <c r="G358" s="90" t="n"/>
      <c r="H358" s="91" t="n">
        <v>46286</v>
      </c>
      <c r="I358" s="92" t="n">
        <v>46289</v>
      </c>
      <c r="J358" s="90" t="n"/>
      <c r="K358" s="90" t="n"/>
      <c r="L358" s="90" t="n"/>
      <c r="M358" s="90" t="n"/>
      <c r="N358" s="90" t="n"/>
      <c r="O358" s="90" t="inlineStr">
        <is>
          <t>10 申請</t>
        </is>
      </c>
      <c r="P358" s="90" t="n"/>
      <c r="Q358" s="90" t="n"/>
      <c r="R358" s="90" t="n"/>
      <c r="S358" s="90" t="n"/>
      <c r="T358" s="90" t="n"/>
      <c r="U358" s="90" t="n"/>
      <c r="V358" s="90" t="n"/>
      <c r="W358" s="90" t="n"/>
      <c r="X358" s="90" t="n"/>
      <c r="Y358" s="90" t="n"/>
      <c r="Z358" s="90" t="n"/>
      <c r="AA358" s="90" t="n"/>
      <c r="AB358" s="90" t="n">
        <v>23</v>
      </c>
      <c r="AC358" s="90" t="n">
        <v>1</v>
      </c>
      <c r="AD358" s="93" t="inlineStr">
        <is>
          <t>増</t>
        </is>
      </c>
      <c r="AE358" s="90" t="inlineStr">
        <is>
          <t>23 本人の結婚</t>
        </is>
      </c>
      <c r="AF358" s="90" t="n"/>
      <c r="AG358" s="90" t="n"/>
      <c r="AH358" s="90" t="n"/>
      <c r="AI358" s="90" t="n"/>
      <c r="AJ358" s="90" t="n"/>
      <c r="AK358" s="90" t="n"/>
      <c r="AL358" s="94">
        <f>IF(A358="","",IF(COUNTIF(A358:A$2001,A358)=1,1,0))</f>
        <v/>
      </c>
      <c r="AM358" s="94">
        <f>IF(I358="","",TODAY()-I358)</f>
        <v/>
      </c>
      <c r="AN358" s="94">
        <f>IF(A358="","",IF(AND(E358&lt;&gt;"33 確認済",E358&lt;&gt;"36 送付中"),1,0))</f>
        <v/>
      </c>
      <c r="AO358" s="94">
        <f>IF(A358="","",IF(AG358&lt;&gt;"",1,0))</f>
        <v/>
      </c>
      <c r="AP358" s="220">
        <f>IF(P358&lt;&gt;"","・添待ち","")&amp;IF(Q358&lt;&gt;"","・住民票","")&amp;IF(R358&lt;&gt;"","・発信","")&amp;IF(S358&lt;&gt;"","・確認事項","")&amp;IF(T358&lt;&gt;"","・管","")&amp;IF(U358&lt;&gt;"","・SV","")&amp;IF(V358&lt;&gt;"","・データ送付待ち","")&amp;IF(W358&lt;&gt;"","・削除","")</f>
        <v/>
      </c>
    </row>
    <row r="359" ht="15" customHeight="1" s="87">
      <c r="A359" s="90" t="n">
        <v>202660001530</v>
      </c>
      <c r="B359" s="90" t="n"/>
      <c r="C359" s="90" t="n"/>
      <c r="D359" s="90" t="n">
        <v>20</v>
      </c>
      <c r="E359" s="90" t="inlineStr">
        <is>
          <t>20 確認待ち</t>
        </is>
      </c>
      <c r="F359" s="90" t="n"/>
      <c r="G359" s="90" t="n"/>
      <c r="H359" s="91" t="n">
        <v>46286</v>
      </c>
      <c r="I359" s="92" t="n">
        <v>46289</v>
      </c>
      <c r="J359" s="90" t="n"/>
      <c r="K359" s="90" t="n"/>
      <c r="L359" s="90" t="n"/>
      <c r="M359" s="90" t="n"/>
      <c r="N359" s="90" t="n"/>
      <c r="O359" s="90" t="inlineStr">
        <is>
          <t>10 申請</t>
        </is>
      </c>
      <c r="P359" s="90" t="n"/>
      <c r="Q359" s="90" t="n"/>
      <c r="R359" s="90" t="n"/>
      <c r="S359" s="90" t="n"/>
      <c r="T359" s="90" t="n"/>
      <c r="U359" s="90" t="n"/>
      <c r="V359" s="90" t="n"/>
      <c r="W359" s="90" t="n"/>
      <c r="X359" s="90" t="n"/>
      <c r="Y359" s="90" t="n"/>
      <c r="Z359" s="90" t="n"/>
      <c r="AA359" s="90" t="n"/>
      <c r="AB359" s="90" t="n">
        <v>23</v>
      </c>
      <c r="AC359" s="90" t="n">
        <v>1</v>
      </c>
      <c r="AD359" s="93" t="inlineStr">
        <is>
          <t>増</t>
        </is>
      </c>
      <c r="AE359" s="90" t="inlineStr">
        <is>
          <t>23 結婚</t>
        </is>
      </c>
      <c r="AF359" s="90" t="n"/>
      <c r="AG359" s="90" t="n"/>
      <c r="AH359" s="90" t="n"/>
      <c r="AI359" s="90" t="n"/>
      <c r="AJ359" s="90" t="n"/>
      <c r="AK359" s="90" t="n"/>
      <c r="AL359" s="94">
        <f>IF(A359="","",IF(COUNTIF(A359:A$2001,A359)=1,1,0))</f>
        <v/>
      </c>
      <c r="AM359" s="94">
        <f>IF(I359="","",TODAY()-I359)</f>
        <v/>
      </c>
      <c r="AN359" s="94">
        <f>IF(A359="","",IF(AND(E359&lt;&gt;"33 確認済",E359&lt;&gt;"36 送付中"),1,0))</f>
        <v/>
      </c>
      <c r="AO359" s="94">
        <f>IF(A359="","",IF(AG359&lt;&gt;"",1,0))</f>
        <v/>
      </c>
      <c r="AP359" s="220">
        <f>IF(P359&lt;&gt;"","・添待ち","")&amp;IF(Q359&lt;&gt;"","・住民票","")&amp;IF(R359&lt;&gt;"","・発信","")&amp;IF(S359&lt;&gt;"","・確認事項","")&amp;IF(T359&lt;&gt;"","・管","")&amp;IF(U359&lt;&gt;"","・SV","")&amp;IF(V359&lt;&gt;"","・データ送付待ち","")&amp;IF(W359&lt;&gt;"","・削除","")</f>
        <v/>
      </c>
    </row>
    <row r="360" ht="15" customHeight="1" s="87">
      <c r="A360" s="90" t="n">
        <v>202660001531</v>
      </c>
      <c r="B360" s="90" t="n"/>
      <c r="C360" s="90" t="n"/>
      <c r="D360" s="90" t="n">
        <v>20</v>
      </c>
      <c r="E360" s="90" t="inlineStr">
        <is>
          <t>20 確認待ち</t>
        </is>
      </c>
      <c r="F360" s="90" t="n"/>
      <c r="G360" s="90" t="n"/>
      <c r="H360" s="91" t="n">
        <v>46266</v>
      </c>
      <c r="I360" s="92" t="n">
        <v>46289</v>
      </c>
      <c r="J360" s="90" t="n"/>
      <c r="K360" s="90" t="n"/>
      <c r="L360" s="90" t="n"/>
      <c r="M360" s="90" t="n"/>
      <c r="N360" s="90" t="n"/>
      <c r="O360" s="90" t="inlineStr">
        <is>
          <t>10 申請</t>
        </is>
      </c>
      <c r="P360" s="90" t="n"/>
      <c r="Q360" s="90" t="n"/>
      <c r="R360" s="90" t="n"/>
      <c r="S360" s="90" t="n"/>
      <c r="T360" s="90" t="n"/>
      <c r="U360" s="90" t="n"/>
      <c r="V360" s="90" t="n"/>
      <c r="W360" s="90" t="n"/>
      <c r="X360" s="90" t="n"/>
      <c r="Y360" s="90" t="n"/>
      <c r="Z360" s="90" t="n"/>
      <c r="AA360" s="90" t="n"/>
      <c r="AB360" s="90" t="n">
        <v>26</v>
      </c>
      <c r="AC360" s="90" t="n">
        <v>1</v>
      </c>
      <c r="AD360" s="93" t="inlineStr">
        <is>
          <t>増</t>
        </is>
      </c>
      <c r="AE360" s="90" t="inlineStr">
        <is>
          <t>26 扶養者の変更</t>
        </is>
      </c>
      <c r="AF360" s="93" t="inlineStr">
        <is>
          <t>増</t>
        </is>
      </c>
      <c r="AG360" s="93" t="inlineStr">
        <is>
          <t>増</t>
        </is>
      </c>
      <c r="AH360" s="93" t="inlineStr">
        <is>
          <t>増</t>
        </is>
      </c>
      <c r="AI360" s="90" t="n"/>
      <c r="AJ360" s="90" t="n"/>
      <c r="AK360" s="90" t="n"/>
      <c r="AL360" s="94">
        <f>IF(A360="","",IF(COUNTIF(A360:A$2001,A360)=1,1,0))</f>
        <v/>
      </c>
      <c r="AM360" s="94">
        <f>IF(I360="","",TODAY()-I360)</f>
        <v/>
      </c>
      <c r="AN360" s="94">
        <f>IF(A360="","",IF(AND(E360&lt;&gt;"33 確認済",E360&lt;&gt;"36 送付中"),1,0))</f>
        <v/>
      </c>
      <c r="AO360" s="94">
        <f>IF(A360="","",IF(AG360&lt;&gt;"",1,0))</f>
        <v/>
      </c>
      <c r="AP360" s="220">
        <f>IF(P360&lt;&gt;"","・添待ち","")&amp;IF(Q360&lt;&gt;"","・住民票","")&amp;IF(R360&lt;&gt;"","・発信","")&amp;IF(S360&lt;&gt;"","・確認事項","")&amp;IF(T360&lt;&gt;"","・管","")&amp;IF(U360&lt;&gt;"","・SV","")&amp;IF(V360&lt;&gt;"","・データ送付待ち","")&amp;IF(W360&lt;&gt;"","・削除","")</f>
        <v/>
      </c>
    </row>
    <row r="361" ht="15" customHeight="1" s="87">
      <c r="A361" s="90" t="n">
        <v>202660001532</v>
      </c>
      <c r="B361" s="90" t="n"/>
      <c r="C361" s="90" t="n"/>
      <c r="D361" s="90" t="n">
        <v>20</v>
      </c>
      <c r="E361" s="90" t="inlineStr">
        <is>
          <t>20 確認待ち</t>
        </is>
      </c>
      <c r="F361" s="90" t="n"/>
      <c r="G361" s="90" t="n"/>
      <c r="H361" s="91" t="n">
        <v>46284</v>
      </c>
      <c r="I361" s="92" t="n">
        <v>46289</v>
      </c>
      <c r="J361" s="90" t="n"/>
      <c r="K361" s="90" t="n"/>
      <c r="L361" s="90" t="n"/>
      <c r="M361" s="90" t="n"/>
      <c r="N361" s="90" t="n"/>
      <c r="O361" s="90" t="inlineStr">
        <is>
          <t>10 申請</t>
        </is>
      </c>
      <c r="P361" s="90" t="n"/>
      <c r="Q361" s="90" t="n"/>
      <c r="R361" s="90" t="n"/>
      <c r="S361" s="90" t="n"/>
      <c r="T361" s="90" t="n"/>
      <c r="U361" s="90" t="n"/>
      <c r="V361" s="90" t="n"/>
      <c r="W361" s="90" t="n"/>
      <c r="X361" s="90" t="n"/>
      <c r="Y361" s="90" t="n"/>
      <c r="Z361" s="90" t="n"/>
      <c r="AA361" s="90" t="n"/>
      <c r="AB361" s="90" t="n">
        <v>24</v>
      </c>
      <c r="AC361" s="90" t="n">
        <v>1</v>
      </c>
      <c r="AD361" s="93" t="inlineStr">
        <is>
          <t>増</t>
        </is>
      </c>
      <c r="AE361" s="90" t="inlineStr">
        <is>
          <t>24 雇用保険受給終了</t>
        </is>
      </c>
      <c r="AF361" s="93" t="inlineStr">
        <is>
          <t>増</t>
        </is>
      </c>
      <c r="AG361" s="93" t="inlineStr">
        <is>
          <t>増</t>
        </is>
      </c>
      <c r="AH361" s="93" t="inlineStr">
        <is>
          <t>増</t>
        </is>
      </c>
      <c r="AI361" s="90" t="n"/>
      <c r="AJ361" s="90" t="n"/>
      <c r="AK361" s="90" t="n"/>
      <c r="AL361" s="94">
        <f>IF(A361="","",IF(COUNTIF(A361:A$2001,A361)=1,1,0))</f>
        <v/>
      </c>
      <c r="AM361" s="94">
        <f>IF(I361="","",TODAY()-I361)</f>
        <v/>
      </c>
      <c r="AN361" s="94">
        <f>IF(A361="","",IF(AND(E361&lt;&gt;"33 確認済",E361&lt;&gt;"36 送付中"),1,0))</f>
        <v/>
      </c>
      <c r="AO361" s="94">
        <f>IF(A361="","",IF(AG361&lt;&gt;"",1,0))</f>
        <v/>
      </c>
      <c r="AP361" s="220">
        <f>IF(P361&lt;&gt;"","・添待ち","")&amp;IF(Q361&lt;&gt;"","・住民票","")&amp;IF(R361&lt;&gt;"","・発信","")&amp;IF(S361&lt;&gt;"","・確認事項","")&amp;IF(T361&lt;&gt;"","・管","")&amp;IF(U361&lt;&gt;"","・SV","")&amp;IF(V361&lt;&gt;"","・データ送付待ち","")&amp;IF(W361&lt;&gt;"","・削除","")</f>
        <v/>
      </c>
    </row>
    <row r="362" ht="15" customHeight="1" s="87">
      <c r="A362" s="90" t="n">
        <v>202660001533</v>
      </c>
      <c r="B362" s="90" t="n"/>
      <c r="C362" s="90" t="n"/>
      <c r="D362" s="90" t="n">
        <v>20</v>
      </c>
      <c r="E362" s="90" t="inlineStr">
        <is>
          <t>20 確認待ち</t>
        </is>
      </c>
      <c r="F362" s="90" t="n"/>
      <c r="G362" s="90" t="n"/>
      <c r="H362" s="91" t="n">
        <v>46120</v>
      </c>
      <c r="I362" s="92" t="n">
        <v>46289</v>
      </c>
      <c r="J362" s="90" t="n"/>
      <c r="K362" s="90" t="n"/>
      <c r="L362" s="90" t="n"/>
      <c r="M362" s="90" t="n"/>
      <c r="N362" s="90" t="n"/>
      <c r="O362" s="90" t="inlineStr">
        <is>
          <t>10 申請</t>
        </is>
      </c>
      <c r="P362" s="90" t="n"/>
      <c r="Q362" s="90" t="n"/>
      <c r="R362" s="90" t="n"/>
      <c r="S362" s="90" t="n"/>
      <c r="T362" s="90" t="n"/>
      <c r="U362" s="90" t="n"/>
      <c r="V362" s="90" t="n"/>
      <c r="W362" s="90" t="n"/>
      <c r="X362" s="90" t="n"/>
      <c r="Y362" s="90" t="n"/>
      <c r="Z362" s="90" t="n"/>
      <c r="AA362" s="90" t="n"/>
      <c r="AB362" s="90" t="n">
        <v>47</v>
      </c>
      <c r="AC362" s="90" t="n">
        <v>0</v>
      </c>
      <c r="AD362" s="93" t="inlineStr">
        <is>
          <t>減</t>
        </is>
      </c>
      <c r="AE362" s="90" t="inlineStr">
        <is>
          <t>47 扶養親族の就職</t>
        </is>
      </c>
      <c r="AF362" s="93" t="inlineStr">
        <is>
          <t>減</t>
        </is>
      </c>
      <c r="AG362" s="93" t="inlineStr">
        <is>
          <t>減</t>
        </is>
      </c>
      <c r="AH362" s="93" t="inlineStr">
        <is>
          <t>減</t>
        </is>
      </c>
      <c r="AI362" s="90" t="n"/>
      <c r="AJ362" s="90" t="n"/>
      <c r="AK362" s="90" t="n"/>
      <c r="AL362" s="94">
        <f>IF(A362="","",IF(COUNTIF(A362:A$2001,A362)=1,1,0))</f>
        <v/>
      </c>
      <c r="AM362" s="94">
        <f>IF(I362="","",TODAY()-I362)</f>
        <v/>
      </c>
      <c r="AN362" s="94">
        <f>IF(A362="","",IF(AND(E362&lt;&gt;"33 確認済",E362&lt;&gt;"36 送付中"),1,0))</f>
        <v/>
      </c>
      <c r="AO362" s="94">
        <f>IF(A362="","",IF(AG362&lt;&gt;"",1,0))</f>
        <v/>
      </c>
      <c r="AP362" s="220">
        <f>IF(P362&lt;&gt;"","・添待ち","")&amp;IF(Q362&lt;&gt;"","・住民票","")&amp;IF(R362&lt;&gt;"","・発信","")&amp;IF(S362&lt;&gt;"","・確認事項","")&amp;IF(T362&lt;&gt;"","・管","")&amp;IF(U362&lt;&gt;"","・SV","")&amp;IF(V362&lt;&gt;"","・データ送付待ち","")&amp;IF(W362&lt;&gt;"","・削除","")</f>
        <v/>
      </c>
    </row>
    <row r="363" ht="15" customHeight="1" s="87">
      <c r="A363" s="90" t="n">
        <v>202660001534</v>
      </c>
      <c r="B363" s="90" t="n"/>
      <c r="C363" s="90" t="n"/>
      <c r="D363" s="90" t="n">
        <v>20</v>
      </c>
      <c r="E363" s="90" t="inlineStr">
        <is>
          <t>20 確認待ち</t>
        </is>
      </c>
      <c r="F363" s="90" t="n"/>
      <c r="G363" s="90" t="n"/>
      <c r="H363" s="91" t="n">
        <v>46095</v>
      </c>
      <c r="I363" s="92" t="n">
        <v>46289</v>
      </c>
      <c r="J363" s="90" t="n"/>
      <c r="K363" s="90" t="n"/>
      <c r="L363" s="90" t="n"/>
      <c r="M363" s="90" t="n"/>
      <c r="N363" s="90" t="n"/>
      <c r="O363" s="90" t="inlineStr">
        <is>
          <t>10 申請</t>
        </is>
      </c>
      <c r="P363" s="90" t="n"/>
      <c r="Q363" s="90" t="n"/>
      <c r="R363" s="90" t="n"/>
      <c r="S363" s="90" t="n"/>
      <c r="T363" s="90" t="n"/>
      <c r="U363" s="90" t="n"/>
      <c r="V363" s="90" t="n"/>
      <c r="W363" s="90" t="n"/>
      <c r="X363" s="90" t="n"/>
      <c r="Y363" s="90" t="n"/>
      <c r="Z363" s="90" t="n"/>
      <c r="AA363" s="90" t="n"/>
      <c r="AB363" s="90" t="n">
        <v>9</v>
      </c>
      <c r="AC363" s="90" t="n">
        <v>0</v>
      </c>
      <c r="AD363" s="93" t="inlineStr">
        <is>
          <t>減</t>
        </is>
      </c>
      <c r="AE363" s="90" t="inlineStr">
        <is>
          <t>09 死亡</t>
        </is>
      </c>
      <c r="AF363" s="90" t="n"/>
      <c r="AG363" s="90" t="n"/>
      <c r="AH363" s="93" t="inlineStr">
        <is>
          <t>減</t>
        </is>
      </c>
      <c r="AI363" s="90" t="n"/>
      <c r="AJ363" s="90" t="n"/>
      <c r="AK363" s="90" t="n"/>
      <c r="AL363" s="94">
        <f>IF(A363="","",IF(COUNTIF(A363:A$2001,A363)=1,1,0))</f>
        <v/>
      </c>
      <c r="AM363" s="94">
        <f>IF(I363="","",TODAY()-I363)</f>
        <v/>
      </c>
      <c r="AN363" s="94">
        <f>IF(A363="","",IF(AND(E363&lt;&gt;"33 確認済",E363&lt;&gt;"36 送付中"),1,0))</f>
        <v/>
      </c>
      <c r="AO363" s="94">
        <f>IF(A363="","",IF(AG363&lt;&gt;"",1,0))</f>
        <v/>
      </c>
      <c r="AP363" s="220">
        <f>IF(P363&lt;&gt;"","・添待ち","")&amp;IF(Q363&lt;&gt;"","・住民票","")&amp;IF(R363&lt;&gt;"","・発信","")&amp;IF(S363&lt;&gt;"","・確認事項","")&amp;IF(T363&lt;&gt;"","・管","")&amp;IF(U363&lt;&gt;"","・SV","")&amp;IF(V363&lt;&gt;"","・データ送付待ち","")&amp;IF(W363&lt;&gt;"","・削除","")</f>
        <v/>
      </c>
    </row>
    <row r="364" ht="15" customHeight="1" s="87">
      <c r="A364" s="90" t="n">
        <v>202660001535</v>
      </c>
      <c r="B364" s="90" t="n"/>
      <c r="C364" s="90" t="n"/>
      <c r="D364" s="90" t="n">
        <v>20</v>
      </c>
      <c r="E364" s="90" t="inlineStr">
        <is>
          <t>20 確認待ち</t>
        </is>
      </c>
      <c r="F364" s="90" t="n"/>
      <c r="G364" s="90" t="n"/>
      <c r="H364" s="91" t="n">
        <v>46113</v>
      </c>
      <c r="I364" s="92" t="n">
        <v>46289</v>
      </c>
      <c r="J364" s="90" t="n"/>
      <c r="K364" s="90" t="n"/>
      <c r="L364" s="90" t="n"/>
      <c r="M364" s="90" t="n"/>
      <c r="N364" s="90" t="n"/>
      <c r="O364" s="90" t="inlineStr">
        <is>
          <t>10 申請</t>
        </is>
      </c>
      <c r="P364" s="90" t="n"/>
      <c r="Q364" s="90" t="n"/>
      <c r="R364" s="90" t="n"/>
      <c r="S364" s="90" t="n"/>
      <c r="T364" s="90" t="n"/>
      <c r="U364" s="90" t="n"/>
      <c r="V364" s="90" t="n"/>
      <c r="W364" s="90" t="n"/>
      <c r="X364" s="90" t="n"/>
      <c r="Y364" s="90" t="n"/>
      <c r="Z364" s="90" t="n"/>
      <c r="AA364" s="90" t="n"/>
      <c r="AB364" s="90" t="n">
        <v>99</v>
      </c>
      <c r="AC364" s="90" t="n">
        <v>0</v>
      </c>
      <c r="AD364" s="93" t="inlineStr">
        <is>
          <t>減</t>
        </is>
      </c>
      <c r="AE364" s="90" t="inlineStr">
        <is>
          <t>99 その他</t>
        </is>
      </c>
      <c r="AF364" s="90" t="n"/>
      <c r="AG364" s="90" t="n"/>
      <c r="AH364" s="93" t="inlineStr">
        <is>
          <t>減</t>
        </is>
      </c>
      <c r="AI364" s="90" t="n"/>
      <c r="AJ364" s="90" t="n"/>
      <c r="AK364" s="90" t="n"/>
      <c r="AL364" s="94">
        <f>IF(A364="","",IF(COUNTIF(A364:A$2001,A364)=1,1,0))</f>
        <v/>
      </c>
      <c r="AM364" s="94">
        <f>IF(I364="","",TODAY()-I364)</f>
        <v/>
      </c>
      <c r="AN364" s="94">
        <f>IF(A364="","",IF(AND(E364&lt;&gt;"33 確認済",E364&lt;&gt;"36 送付中"),1,0))</f>
        <v/>
      </c>
      <c r="AO364" s="94">
        <f>IF(A364="","",IF(AG364&lt;&gt;"",1,0))</f>
        <v/>
      </c>
      <c r="AP364" s="220">
        <f>IF(P364&lt;&gt;"","・添待ち","")&amp;IF(Q364&lt;&gt;"","・住民票","")&amp;IF(R364&lt;&gt;"","・発信","")&amp;IF(S364&lt;&gt;"","・確認事項","")&amp;IF(T364&lt;&gt;"","・管","")&amp;IF(U364&lt;&gt;"","・SV","")&amp;IF(V364&lt;&gt;"","・データ送付待ち","")&amp;IF(W364&lt;&gt;"","・削除","")</f>
        <v/>
      </c>
    </row>
    <row r="365" ht="15" customHeight="1" s="87">
      <c r="A365" s="90" t="n">
        <v>202660001537</v>
      </c>
      <c r="B365" s="90" t="n"/>
      <c r="C365" s="90" t="n"/>
      <c r="D365" s="90" t="n">
        <v>20</v>
      </c>
      <c r="E365" s="90" t="inlineStr">
        <is>
          <t>20 確認待ち</t>
        </is>
      </c>
      <c r="F365" s="90" t="n"/>
      <c r="G365" s="90" t="n"/>
      <c r="H365" s="91" t="n">
        <v>46289</v>
      </c>
      <c r="I365" s="92" t="n">
        <v>46289</v>
      </c>
      <c r="J365" s="90" t="n"/>
      <c r="K365" s="90" t="n"/>
      <c r="L365" s="90" t="n"/>
      <c r="M365" s="90" t="n"/>
      <c r="N365" s="90" t="n"/>
      <c r="O365" s="90" t="inlineStr">
        <is>
          <t>10 申請</t>
        </is>
      </c>
      <c r="P365" s="90" t="n"/>
      <c r="Q365" s="90" t="n"/>
      <c r="R365" s="90" t="n"/>
      <c r="S365" s="90" t="n"/>
      <c r="T365" s="90" t="n"/>
      <c r="U365" s="90" t="n"/>
      <c r="V365" s="90" t="n"/>
      <c r="W365" s="90" t="n"/>
      <c r="X365" s="90" t="n"/>
      <c r="Y365" s="90" t="n"/>
      <c r="Z365" s="90" t="n"/>
      <c r="AA365" s="90" t="n"/>
      <c r="AB365" s="90" t="n">
        <v>27</v>
      </c>
      <c r="AC365" s="90" t="n">
        <v>1</v>
      </c>
      <c r="AD365" s="93" t="inlineStr">
        <is>
          <t>増</t>
        </is>
      </c>
      <c r="AE365" s="90" t="inlineStr">
        <is>
          <t>27 収入限度額以下</t>
        </is>
      </c>
      <c r="AF365" s="90" t="n"/>
      <c r="AG365" s="90" t="n"/>
      <c r="AH365" s="93" t="inlineStr">
        <is>
          <t>増</t>
        </is>
      </c>
      <c r="AI365" s="90" t="n"/>
      <c r="AJ365" s="90" t="n"/>
      <c r="AK365" s="90" t="n"/>
      <c r="AL365" s="94">
        <f>IF(A365="","",IF(COUNTIF(A365:A$2001,A365)=1,1,0))</f>
        <v/>
      </c>
      <c r="AM365" s="94">
        <f>IF(I365="","",TODAY()-I365)</f>
        <v/>
      </c>
      <c r="AN365" s="94">
        <f>IF(A365="","",IF(AND(E365&lt;&gt;"33 確認済",E365&lt;&gt;"36 送付中"),1,0))</f>
        <v/>
      </c>
      <c r="AO365" s="94">
        <f>IF(A365="","",IF(AG365&lt;&gt;"",1,0))</f>
        <v/>
      </c>
      <c r="AP365" s="220">
        <f>IF(P365&lt;&gt;"","・添待ち","")&amp;IF(Q365&lt;&gt;"","・住民票","")&amp;IF(R365&lt;&gt;"","・発信","")&amp;IF(S365&lt;&gt;"","・確認事項","")&amp;IF(T365&lt;&gt;"","・管","")&amp;IF(U365&lt;&gt;"","・SV","")&amp;IF(V365&lt;&gt;"","・データ送付待ち","")&amp;IF(W365&lt;&gt;"","・削除","")</f>
        <v/>
      </c>
    </row>
    <row r="366" ht="15" customHeight="1" s="87">
      <c r="A366" s="90" t="n">
        <v>202660001538</v>
      </c>
      <c r="B366" s="90" t="n"/>
      <c r="C366" s="90" t="n"/>
      <c r="D366" s="90" t="n">
        <v>20</v>
      </c>
      <c r="E366" s="90" t="inlineStr">
        <is>
          <t>20 確認待ち</t>
        </is>
      </c>
      <c r="F366" s="90" t="n"/>
      <c r="G366" s="90" t="n"/>
      <c r="H366" s="91" t="n">
        <v>46191</v>
      </c>
      <c r="I366" s="92" t="n">
        <v>46289</v>
      </c>
      <c r="J366" s="90" t="n"/>
      <c r="K366" s="90" t="n"/>
      <c r="L366" s="90" t="n"/>
      <c r="M366" s="90" t="n"/>
      <c r="N366" s="90" t="n"/>
      <c r="O366" s="90" t="inlineStr">
        <is>
          <t>10 申請</t>
        </is>
      </c>
      <c r="P366" s="90" t="n"/>
      <c r="Q366" s="90" t="n"/>
      <c r="R366" s="90" t="n"/>
      <c r="S366" s="90" t="n"/>
      <c r="T366" s="90" t="n"/>
      <c r="U366" s="90" t="n"/>
      <c r="V366" s="90" t="n"/>
      <c r="W366" s="90" t="n"/>
      <c r="X366" s="90" t="n"/>
      <c r="Y366" s="90" t="n"/>
      <c r="Z366" s="90" t="n"/>
      <c r="AA366" s="90" t="n"/>
      <c r="AB366" s="90" t="n">
        <v>28</v>
      </c>
      <c r="AC366" s="90" t="n">
        <v>3</v>
      </c>
      <c r="AD366" s="93" t="inlineStr">
        <is>
          <t>減</t>
        </is>
      </c>
      <c r="AE366" s="90" t="n"/>
      <c r="AF366" s="90" t="n"/>
      <c r="AG366" s="90" t="n"/>
      <c r="AH366" s="93" t="inlineStr">
        <is>
          <t>増</t>
        </is>
      </c>
      <c r="AI366" s="90" t="n"/>
      <c r="AJ366" s="90" t="n"/>
      <c r="AK366" s="90" t="n"/>
      <c r="AL366" s="94">
        <f>IF(A366="","",IF(COUNTIF(A366:A$2001,A366)=1,1,0))</f>
        <v/>
      </c>
      <c r="AM366" s="94">
        <f>IF(I366="","",TODAY()-I366)</f>
        <v/>
      </c>
      <c r="AN366" s="94">
        <f>IF(A366="","",IF(AND(E366&lt;&gt;"33 確認済",E366&lt;&gt;"36 送付中"),1,0))</f>
        <v/>
      </c>
      <c r="AO366" s="94">
        <f>IF(A366="","",IF(AG366&lt;&gt;"",1,0))</f>
        <v/>
      </c>
      <c r="AP366" s="220">
        <f>IF(P366&lt;&gt;"","・添待ち","")&amp;IF(Q366&lt;&gt;"","・住民票","")&amp;IF(R366&lt;&gt;"","・発信","")&amp;IF(S366&lt;&gt;"","・確認事項","")&amp;IF(T366&lt;&gt;"","・管","")&amp;IF(U366&lt;&gt;"","・SV","")&amp;IF(V366&lt;&gt;"","・データ送付待ち","")&amp;IF(W366&lt;&gt;"","・削除","")</f>
        <v/>
      </c>
    </row>
    <row r="367" ht="15" customHeight="1" s="87">
      <c r="A367" s="90" t="n">
        <v>202660001539</v>
      </c>
      <c r="B367" s="90" t="n"/>
      <c r="C367" s="90" t="n"/>
      <c r="D367" s="90" t="n">
        <v>20</v>
      </c>
      <c r="E367" s="90" t="inlineStr">
        <is>
          <t>20 確認待ち</t>
        </is>
      </c>
      <c r="F367" s="90" t="n"/>
      <c r="G367" s="90" t="n"/>
      <c r="H367" s="91" t="n">
        <v>46113</v>
      </c>
      <c r="I367" s="92" t="n">
        <v>46289</v>
      </c>
      <c r="J367" s="90" t="n"/>
      <c r="K367" s="90" t="n"/>
      <c r="L367" s="90" t="n"/>
      <c r="M367" s="90" t="n"/>
      <c r="N367" s="90" t="n"/>
      <c r="O367" s="90" t="inlineStr">
        <is>
          <t>10 申請</t>
        </is>
      </c>
      <c r="P367" s="90" t="n"/>
      <c r="Q367" s="90" t="n"/>
      <c r="R367" s="90" t="n"/>
      <c r="S367" s="90" t="n"/>
      <c r="T367" s="90" t="n"/>
      <c r="U367" s="90" t="n"/>
      <c r="V367" s="90" t="n"/>
      <c r="W367" s="90" t="n"/>
      <c r="X367" s="90" t="n"/>
      <c r="Y367" s="90" t="n"/>
      <c r="Z367" s="90" t="n"/>
      <c r="AA367" s="90" t="n"/>
      <c r="AB367" s="90" t="n">
        <v>27</v>
      </c>
      <c r="AC367" s="90" t="n">
        <v>1</v>
      </c>
      <c r="AD367" s="93" t="inlineStr">
        <is>
          <t>増</t>
        </is>
      </c>
      <c r="AE367" s="90" t="inlineStr">
        <is>
          <t>27 収入限度額以下</t>
        </is>
      </c>
      <c r="AF367" s="93" t="inlineStr">
        <is>
          <t>増</t>
        </is>
      </c>
      <c r="AG367" s="90" t="n"/>
      <c r="AH367" s="93" t="inlineStr">
        <is>
          <t>増</t>
        </is>
      </c>
      <c r="AI367" s="90" t="n"/>
      <c r="AJ367" s="90" t="n"/>
      <c r="AK367" s="90" t="n"/>
      <c r="AL367" s="94">
        <f>IF(A367="","",IF(COUNTIF(A367:A$2001,A367)=1,1,0))</f>
        <v/>
      </c>
      <c r="AM367" s="94">
        <f>IF(I367="","",TODAY()-I367)</f>
        <v/>
      </c>
      <c r="AN367" s="94">
        <f>IF(A367="","",IF(AND(E367&lt;&gt;"33 確認済",E367&lt;&gt;"36 送付中"),1,0))</f>
        <v/>
      </c>
      <c r="AO367" s="94">
        <f>IF(A367="","",IF(AG367&lt;&gt;"",1,0))</f>
        <v/>
      </c>
      <c r="AP367" s="220">
        <f>IF(P367&lt;&gt;"","・添待ち","")&amp;IF(Q367&lt;&gt;"","・住民票","")&amp;IF(R367&lt;&gt;"","・発信","")&amp;IF(S367&lt;&gt;"","・確認事項","")&amp;IF(T367&lt;&gt;"","・管","")&amp;IF(U367&lt;&gt;"","・SV","")&amp;IF(V367&lt;&gt;"","・データ送付待ち","")&amp;IF(W367&lt;&gt;"","・削除","")</f>
        <v/>
      </c>
    </row>
    <row r="368" ht="15" customHeight="1" s="87">
      <c r="A368" s="90" t="n">
        <v>202660001540</v>
      </c>
      <c r="B368" s="90" t="n"/>
      <c r="C368" s="90" t="n"/>
      <c r="D368" s="90" t="n">
        <v>20</v>
      </c>
      <c r="E368" s="90" t="inlineStr">
        <is>
          <t>20 確認待ち</t>
        </is>
      </c>
      <c r="F368" s="90" t="n"/>
      <c r="G368" s="90" t="n"/>
      <c r="H368" s="91" t="n">
        <v>46242</v>
      </c>
      <c r="I368" s="92" t="n">
        <v>46289</v>
      </c>
      <c r="J368" s="90" t="n"/>
      <c r="K368" s="90" t="n"/>
      <c r="L368" s="90" t="n"/>
      <c r="M368" s="90" t="n"/>
      <c r="N368" s="90" t="n"/>
      <c r="O368" s="90" t="inlineStr">
        <is>
          <t>10 申請</t>
        </is>
      </c>
      <c r="P368" s="90" t="n"/>
      <c r="Q368" s="90" t="n"/>
      <c r="R368" s="90" t="n"/>
      <c r="S368" s="90" t="n"/>
      <c r="T368" s="90" t="n"/>
      <c r="U368" s="90" t="n"/>
      <c r="V368" s="90" t="n"/>
      <c r="W368" s="90" t="n"/>
      <c r="X368" s="90" t="n"/>
      <c r="Y368" s="90" t="n"/>
      <c r="Z368" s="90" t="n"/>
      <c r="AA368" s="90" t="n"/>
      <c r="AB368" s="90" t="n">
        <v>23</v>
      </c>
      <c r="AC368" s="90" t="n">
        <v>1</v>
      </c>
      <c r="AD368" s="93" t="inlineStr">
        <is>
          <t>増</t>
        </is>
      </c>
      <c r="AE368" s="90" t="inlineStr">
        <is>
          <t>23 本人の結婚</t>
        </is>
      </c>
      <c r="AF368" s="90" t="n"/>
      <c r="AG368" s="90" t="n"/>
      <c r="AH368" s="90" t="n"/>
      <c r="AI368" s="90" t="n"/>
      <c r="AJ368" s="90" t="n"/>
      <c r="AK368" s="90" t="n"/>
      <c r="AL368" s="94">
        <f>IF(A368="","",IF(COUNTIF(A368:A$2001,A368)=1,1,0))</f>
        <v/>
      </c>
      <c r="AM368" s="94">
        <f>IF(I368="","",TODAY()-I368)</f>
        <v/>
      </c>
      <c r="AN368" s="94">
        <f>IF(A368="","",IF(AND(E368&lt;&gt;"33 確認済",E368&lt;&gt;"36 送付中"),1,0))</f>
        <v/>
      </c>
      <c r="AO368" s="94">
        <f>IF(A368="","",IF(AG368&lt;&gt;"",1,0))</f>
        <v/>
      </c>
      <c r="AP368" s="220">
        <f>IF(P368&lt;&gt;"","・添待ち","")&amp;IF(Q368&lt;&gt;"","・住民票","")&amp;IF(R368&lt;&gt;"","・発信","")&amp;IF(S368&lt;&gt;"","・確認事項","")&amp;IF(T368&lt;&gt;"","・管","")&amp;IF(U368&lt;&gt;"","・SV","")&amp;IF(V368&lt;&gt;"","・データ送付待ち","")&amp;IF(W368&lt;&gt;"","・削除","")</f>
        <v/>
      </c>
    </row>
    <row r="369" ht="15" customHeight="1" s="87">
      <c r="A369" s="90" t="n">
        <v>202660001540</v>
      </c>
      <c r="B369" s="90" t="n"/>
      <c r="C369" s="90" t="n"/>
      <c r="D369" s="90" t="n">
        <v>20</v>
      </c>
      <c r="E369" s="90" t="inlineStr">
        <is>
          <t>20 確認待ち</t>
        </is>
      </c>
      <c r="F369" s="90" t="n"/>
      <c r="G369" s="90" t="n"/>
      <c r="H369" s="91" t="n">
        <v>46242</v>
      </c>
      <c r="I369" s="92" t="n">
        <v>46289</v>
      </c>
      <c r="J369" s="90" t="n"/>
      <c r="K369" s="90" t="n"/>
      <c r="L369" s="90" t="n"/>
      <c r="M369" s="90" t="n"/>
      <c r="N369" s="90" t="n"/>
      <c r="O369" s="90" t="inlineStr">
        <is>
          <t>10 申請</t>
        </is>
      </c>
      <c r="P369" s="90" t="n"/>
      <c r="Q369" s="90" t="n"/>
      <c r="R369" s="90" t="n"/>
      <c r="S369" s="90" t="n"/>
      <c r="T369" s="90" t="n"/>
      <c r="U369" s="90" t="n"/>
      <c r="V369" s="90" t="n"/>
      <c r="W369" s="90" t="n"/>
      <c r="X369" s="90" t="n"/>
      <c r="Y369" s="90" t="n"/>
      <c r="Z369" s="90" t="n"/>
      <c r="AA369" s="90" t="n"/>
      <c r="AB369" s="90" t="n">
        <v>23</v>
      </c>
      <c r="AC369" s="90" t="n">
        <v>1</v>
      </c>
      <c r="AD369" s="93" t="inlineStr">
        <is>
          <t>増</t>
        </is>
      </c>
      <c r="AE369" s="90" t="inlineStr">
        <is>
          <t>23 結婚</t>
        </is>
      </c>
      <c r="AF369" s="90" t="n"/>
      <c r="AG369" s="90" t="n"/>
      <c r="AH369" s="90" t="n"/>
      <c r="AI369" s="90" t="n"/>
      <c r="AJ369" s="90" t="n"/>
      <c r="AK369" s="90" t="n"/>
      <c r="AL369" s="94">
        <f>IF(A369="","",IF(COUNTIF(A369:A$2001,A369)=1,1,0))</f>
        <v/>
      </c>
      <c r="AM369" s="94">
        <f>IF(I369="","",TODAY()-I369)</f>
        <v/>
      </c>
      <c r="AN369" s="94">
        <f>IF(A369="","",IF(AND(E369&lt;&gt;"33 確認済",E369&lt;&gt;"36 送付中"),1,0))</f>
        <v/>
      </c>
      <c r="AO369" s="94">
        <f>IF(A369="","",IF(AG369&lt;&gt;"",1,0))</f>
        <v/>
      </c>
      <c r="AP369" s="220">
        <f>IF(P369&lt;&gt;"","・添待ち","")&amp;IF(Q369&lt;&gt;"","・住民票","")&amp;IF(R369&lt;&gt;"","・発信","")&amp;IF(S369&lt;&gt;"","・確認事項","")&amp;IF(T369&lt;&gt;"","・管","")&amp;IF(U369&lt;&gt;"","・SV","")&amp;IF(V369&lt;&gt;"","・データ送付待ち","")&amp;IF(W369&lt;&gt;"","・削除","")</f>
        <v/>
      </c>
    </row>
    <row r="370" ht="15" customHeight="1" s="87">
      <c r="A370" s="90" t="n">
        <v>202660001541</v>
      </c>
      <c r="B370" s="90" t="n"/>
      <c r="C370" s="90" t="n"/>
      <c r="D370" s="90" t="n">
        <v>20</v>
      </c>
      <c r="E370" s="90" t="inlineStr">
        <is>
          <t>20 確認待ち</t>
        </is>
      </c>
      <c r="F370" s="90" t="n"/>
      <c r="G370" s="90" t="n"/>
      <c r="H370" s="91" t="n">
        <v>46031</v>
      </c>
      <c r="I370" s="92" t="n">
        <v>46289</v>
      </c>
      <c r="J370" s="90" t="n"/>
      <c r="K370" s="90" t="n"/>
      <c r="L370" s="90" t="n"/>
      <c r="M370" s="90" t="n"/>
      <c r="N370" s="90" t="n"/>
      <c r="O370" s="90" t="inlineStr">
        <is>
          <t>10 申請</t>
        </is>
      </c>
      <c r="P370" s="90" t="n"/>
      <c r="Q370" s="90" t="n"/>
      <c r="R370" s="90" t="n"/>
      <c r="S370" s="90" t="n"/>
      <c r="T370" s="90" t="n"/>
      <c r="U370" s="90" t="n"/>
      <c r="V370" s="90" t="n"/>
      <c r="W370" s="90" t="n"/>
      <c r="X370" s="90" t="n"/>
      <c r="Y370" s="90" t="n"/>
      <c r="Z370" s="90" t="n"/>
      <c r="AA370" s="90" t="n"/>
      <c r="AB370" s="90" t="n">
        <v>25</v>
      </c>
      <c r="AC370" s="90" t="n">
        <v>1</v>
      </c>
      <c r="AD370" s="93" t="inlineStr">
        <is>
          <t>増</t>
        </is>
      </c>
      <c r="AE370" s="90" t="inlineStr">
        <is>
          <t>25 育休</t>
        </is>
      </c>
      <c r="AF370" s="90" t="n"/>
      <c r="AG370" s="90" t="n"/>
      <c r="AH370" s="93" t="inlineStr">
        <is>
          <t>増</t>
        </is>
      </c>
      <c r="AI370" s="90" t="n"/>
      <c r="AJ370" s="90" t="n"/>
      <c r="AK370" s="90" t="n"/>
      <c r="AL370" s="94">
        <f>IF(A370="","",IF(COUNTIF(A370:A$2001,A370)=1,1,0))</f>
        <v/>
      </c>
      <c r="AM370" s="94">
        <f>IF(I370="","",TODAY()-I370)</f>
        <v/>
      </c>
      <c r="AN370" s="94">
        <f>IF(A370="","",IF(AND(E370&lt;&gt;"33 確認済",E370&lt;&gt;"36 送付中"),1,0))</f>
        <v/>
      </c>
      <c r="AO370" s="94">
        <f>IF(A370="","",IF(AG370&lt;&gt;"",1,0))</f>
        <v/>
      </c>
      <c r="AP370" s="220">
        <f>IF(P370&lt;&gt;"","・添待ち","")&amp;IF(Q370&lt;&gt;"","・住民票","")&amp;IF(R370&lt;&gt;"","・発信","")&amp;IF(S370&lt;&gt;"","・確認事項","")&amp;IF(T370&lt;&gt;"","・管","")&amp;IF(U370&lt;&gt;"","・SV","")&amp;IF(V370&lt;&gt;"","・データ送付待ち","")&amp;IF(W370&lt;&gt;"","・削除","")</f>
        <v/>
      </c>
    </row>
    <row r="371" ht="15" customHeight="1" s="87">
      <c r="A371" s="90" t="n">
        <v>202660001542</v>
      </c>
      <c r="B371" s="90" t="n"/>
      <c r="C371" s="90" t="n"/>
      <c r="D371" s="90" t="n">
        <v>20</v>
      </c>
      <c r="E371" s="90" t="inlineStr">
        <is>
          <t>20 確認待ち</t>
        </is>
      </c>
      <c r="F371" s="90" t="n"/>
      <c r="G371" s="90" t="n"/>
      <c r="H371" s="91" t="n">
        <v>46289</v>
      </c>
      <c r="I371" s="92" t="n">
        <v>46289</v>
      </c>
      <c r="J371" s="90" t="n"/>
      <c r="K371" s="90" t="n"/>
      <c r="L371" s="90" t="n"/>
      <c r="M371" s="90" t="n"/>
      <c r="N371" s="90" t="n"/>
      <c r="O371" s="90" t="inlineStr">
        <is>
          <t>10 申請</t>
        </is>
      </c>
      <c r="P371" s="90" t="n"/>
      <c r="Q371" s="90" t="n"/>
      <c r="R371" s="90" t="n"/>
      <c r="S371" s="90" t="n"/>
      <c r="T371" s="90" t="n"/>
      <c r="U371" s="90" t="n"/>
      <c r="V371" s="90" t="n"/>
      <c r="W371" s="90" t="n"/>
      <c r="X371" s="90" t="n"/>
      <c r="Y371" s="90" t="n"/>
      <c r="Z371" s="90" t="n"/>
      <c r="AA371" s="90" t="n"/>
      <c r="AB371" s="90" t="n">
        <v>51</v>
      </c>
      <c r="AC371" s="90" t="n">
        <v>0</v>
      </c>
      <c r="AD371" s="93" t="inlineStr">
        <is>
          <t>減</t>
        </is>
      </c>
      <c r="AE371" s="90" t="inlineStr">
        <is>
          <t>51 収入限度額以上</t>
        </is>
      </c>
      <c r="AF371" s="93" t="inlineStr">
        <is>
          <t>減</t>
        </is>
      </c>
      <c r="AG371" s="93" t="inlineStr">
        <is>
          <t>減</t>
        </is>
      </c>
      <c r="AH371" s="93" t="inlineStr">
        <is>
          <t>減</t>
        </is>
      </c>
      <c r="AI371" s="90" t="n"/>
      <c r="AJ371" s="90" t="n"/>
      <c r="AK371" s="90" t="n"/>
      <c r="AL371" s="94">
        <f>IF(A371="","",IF(COUNTIF(A371:A$2001,A371)=1,1,0))</f>
        <v/>
      </c>
      <c r="AM371" s="94">
        <f>IF(I371="","",TODAY()-I371)</f>
        <v/>
      </c>
      <c r="AN371" s="94">
        <f>IF(A371="","",IF(AND(E371&lt;&gt;"33 確認済",E371&lt;&gt;"36 送付中"),1,0))</f>
        <v/>
      </c>
      <c r="AO371" s="94">
        <f>IF(A371="","",IF(AG371&lt;&gt;"",1,0))</f>
        <v/>
      </c>
      <c r="AP371" s="220">
        <f>IF(P371&lt;&gt;"","・添待ち","")&amp;IF(Q371&lt;&gt;"","・住民票","")&amp;IF(R371&lt;&gt;"","・発信","")&amp;IF(S371&lt;&gt;"","・確認事項","")&amp;IF(T371&lt;&gt;"","・管","")&amp;IF(U371&lt;&gt;"","・SV","")&amp;IF(V371&lt;&gt;"","・データ送付待ち","")&amp;IF(W371&lt;&gt;"","・削除","")</f>
        <v/>
      </c>
    </row>
    <row r="372" ht="15" customHeight="1" s="87">
      <c r="A372" s="90" t="n">
        <v>202660001543</v>
      </c>
      <c r="B372" s="90" t="n"/>
      <c r="C372" s="90" t="n"/>
      <c r="D372" s="90" t="n">
        <v>20</v>
      </c>
      <c r="E372" s="90" t="inlineStr">
        <is>
          <t>20 確認待ち</t>
        </is>
      </c>
      <c r="F372" s="90" t="n"/>
      <c r="G372" s="90" t="n"/>
      <c r="H372" s="91" t="n">
        <v>46055</v>
      </c>
      <c r="I372" s="92" t="n">
        <v>46290</v>
      </c>
      <c r="J372" s="90" t="n"/>
      <c r="K372" s="90" t="n"/>
      <c r="L372" s="90" t="n"/>
      <c r="M372" s="90" t="n"/>
      <c r="N372" s="90" t="n"/>
      <c r="O372" s="90" t="inlineStr">
        <is>
          <t>10 申請</t>
        </is>
      </c>
      <c r="P372" s="90" t="n"/>
      <c r="Q372" s="90" t="n"/>
      <c r="R372" s="90" t="n"/>
      <c r="S372" s="90" t="n"/>
      <c r="T372" s="90" t="n"/>
      <c r="U372" s="90" t="n"/>
      <c r="V372" s="90" t="n"/>
      <c r="W372" s="90" t="n"/>
      <c r="X372" s="90" t="n"/>
      <c r="Y372" s="90" t="n"/>
      <c r="Z372" s="90" t="n"/>
      <c r="AA372" s="90" t="n"/>
      <c r="AB372" s="90" t="n">
        <v>23</v>
      </c>
      <c r="AC372" s="90" t="n">
        <v>1</v>
      </c>
      <c r="AD372" s="93" t="inlineStr">
        <is>
          <t>増</t>
        </is>
      </c>
      <c r="AE372" s="90" t="inlineStr">
        <is>
          <t>23 本人の結婚</t>
        </is>
      </c>
      <c r="AF372" s="90" t="n"/>
      <c r="AG372" s="90" t="n"/>
      <c r="AH372" s="90" t="n"/>
      <c r="AI372" s="90" t="n"/>
      <c r="AJ372" s="90" t="n"/>
      <c r="AK372" s="90" t="n"/>
      <c r="AL372" s="94">
        <f>IF(A372="","",IF(COUNTIF(A372:A$2001,A372)=1,1,0))</f>
        <v/>
      </c>
      <c r="AM372" s="94">
        <f>IF(I372="","",TODAY()-I372)</f>
        <v/>
      </c>
      <c r="AN372" s="94">
        <f>IF(A372="","",IF(AND(E372&lt;&gt;"33 確認済",E372&lt;&gt;"36 送付中"),1,0))</f>
        <v/>
      </c>
      <c r="AO372" s="94">
        <f>IF(A372="","",IF(AG372&lt;&gt;"",1,0))</f>
        <v/>
      </c>
      <c r="AP372" s="220">
        <f>IF(P372&lt;&gt;"","・添待ち","")&amp;IF(Q372&lt;&gt;"","・住民票","")&amp;IF(R372&lt;&gt;"","・発信","")&amp;IF(S372&lt;&gt;"","・確認事項","")&amp;IF(T372&lt;&gt;"","・管","")&amp;IF(U372&lt;&gt;"","・SV","")&amp;IF(V372&lt;&gt;"","・データ送付待ち","")&amp;IF(W372&lt;&gt;"","・削除","")</f>
        <v/>
      </c>
    </row>
    <row r="373" ht="15" customHeight="1" s="87">
      <c r="A373" s="90" t="n">
        <v>202660001543</v>
      </c>
      <c r="B373" s="90" t="n"/>
      <c r="C373" s="90" t="n"/>
      <c r="D373" s="90" t="n">
        <v>20</v>
      </c>
      <c r="E373" s="90" t="inlineStr">
        <is>
          <t>20 確認待ち</t>
        </is>
      </c>
      <c r="F373" s="90" t="n"/>
      <c r="G373" s="90" t="n"/>
      <c r="H373" s="91" t="n">
        <v>46055</v>
      </c>
      <c r="I373" s="92" t="n">
        <v>46290</v>
      </c>
      <c r="J373" s="90" t="n"/>
      <c r="K373" s="90" t="n"/>
      <c r="L373" s="90" t="n"/>
      <c r="M373" s="90" t="n"/>
      <c r="N373" s="90" t="n"/>
      <c r="O373" s="90" t="inlineStr">
        <is>
          <t>10 申請</t>
        </is>
      </c>
      <c r="P373" s="90" t="n"/>
      <c r="Q373" s="90" t="n"/>
      <c r="R373" s="90" t="n"/>
      <c r="S373" s="90" t="n"/>
      <c r="T373" s="90" t="n"/>
      <c r="U373" s="90" t="n"/>
      <c r="V373" s="90" t="n"/>
      <c r="W373" s="90" t="n"/>
      <c r="X373" s="90" t="n"/>
      <c r="Y373" s="90" t="n"/>
      <c r="Z373" s="90" t="n"/>
      <c r="AA373" s="90" t="n"/>
      <c r="AB373" s="90" t="n">
        <v>23</v>
      </c>
      <c r="AC373" s="90" t="n">
        <v>1</v>
      </c>
      <c r="AD373" s="93" t="inlineStr">
        <is>
          <t>増</t>
        </is>
      </c>
      <c r="AE373" s="90" t="inlineStr">
        <is>
          <t>23 結婚</t>
        </is>
      </c>
      <c r="AF373" s="90" t="n"/>
      <c r="AG373" s="90" t="n"/>
      <c r="AH373" s="90" t="n"/>
      <c r="AI373" s="90" t="n"/>
      <c r="AJ373" s="90" t="n"/>
      <c r="AK373" s="90" t="n"/>
      <c r="AL373" s="94">
        <f>IF(A373="","",IF(COUNTIF(A373:A$2001,A373)=1,1,0))</f>
        <v/>
      </c>
      <c r="AM373" s="94">
        <f>IF(I373="","",TODAY()-I373)</f>
        <v/>
      </c>
      <c r="AN373" s="94">
        <f>IF(A373="","",IF(AND(E373&lt;&gt;"33 確認済",E373&lt;&gt;"36 送付中"),1,0))</f>
        <v/>
      </c>
      <c r="AO373" s="94">
        <f>IF(A373="","",IF(AG373&lt;&gt;"",1,0))</f>
        <v/>
      </c>
      <c r="AP373" s="220">
        <f>IF(P373&lt;&gt;"","・添待ち","")&amp;IF(Q373&lt;&gt;"","・住民票","")&amp;IF(R373&lt;&gt;"","・発信","")&amp;IF(S373&lt;&gt;"","・確認事項","")&amp;IF(T373&lt;&gt;"","・管","")&amp;IF(U373&lt;&gt;"","・SV","")&amp;IF(V373&lt;&gt;"","・データ送付待ち","")&amp;IF(W373&lt;&gt;"","・削除","")</f>
        <v/>
      </c>
    </row>
    <row r="374" ht="15" customHeight="1" s="87">
      <c r="A374" s="90" t="n">
        <v>202660001544</v>
      </c>
      <c r="B374" s="90" t="n"/>
      <c r="C374" s="90" t="n"/>
      <c r="D374" s="90" t="n">
        <v>20</v>
      </c>
      <c r="E374" s="90" t="inlineStr">
        <is>
          <t>20 確認待ち</t>
        </is>
      </c>
      <c r="F374" s="90" t="n"/>
      <c r="G374" s="90" t="n"/>
      <c r="H374" s="91" t="n">
        <v>46055</v>
      </c>
      <c r="I374" s="92" t="n">
        <v>46290</v>
      </c>
      <c r="J374" s="90" t="n"/>
      <c r="K374" s="90" t="n"/>
      <c r="L374" s="90" t="n"/>
      <c r="M374" s="90" t="n"/>
      <c r="N374" s="90" t="n"/>
      <c r="O374" s="90" t="inlineStr">
        <is>
          <t>10 申請</t>
        </is>
      </c>
      <c r="P374" s="90" t="n"/>
      <c r="Q374" s="90" t="n"/>
      <c r="R374" s="90" t="n"/>
      <c r="S374" s="90" t="n"/>
      <c r="T374" s="90" t="n"/>
      <c r="U374" s="90" t="n"/>
      <c r="V374" s="90" t="n"/>
      <c r="W374" s="90" t="n"/>
      <c r="X374" s="90" t="n"/>
      <c r="Y374" s="90" t="n"/>
      <c r="Z374" s="90" t="n"/>
      <c r="AA374" s="90" t="n"/>
      <c r="AB374" s="90" t="n">
        <v>23</v>
      </c>
      <c r="AC374" s="90" t="n">
        <v>1</v>
      </c>
      <c r="AD374" s="93" t="inlineStr">
        <is>
          <t>増</t>
        </is>
      </c>
      <c r="AE374" s="90" t="inlineStr">
        <is>
          <t>23 本人の結婚</t>
        </is>
      </c>
      <c r="AF374" s="90" t="n"/>
      <c r="AG374" s="90" t="n"/>
      <c r="AH374" s="90" t="n"/>
      <c r="AI374" s="90" t="n"/>
      <c r="AJ374" s="90" t="n"/>
      <c r="AK374" s="90" t="n"/>
      <c r="AL374" s="94">
        <f>IF(A374="","",IF(COUNTIF(A374:A$2001,A374)=1,1,0))</f>
        <v/>
      </c>
      <c r="AM374" s="94">
        <f>IF(I374="","",TODAY()-I374)</f>
        <v/>
      </c>
      <c r="AN374" s="94">
        <f>IF(A374="","",IF(AND(E374&lt;&gt;"33 確認済",E374&lt;&gt;"36 送付中"),1,0))</f>
        <v/>
      </c>
      <c r="AO374" s="94">
        <f>IF(A374="","",IF(AG374&lt;&gt;"",1,0))</f>
        <v/>
      </c>
      <c r="AP374" s="220">
        <f>IF(P374&lt;&gt;"","・添待ち","")&amp;IF(Q374&lt;&gt;"","・住民票","")&amp;IF(R374&lt;&gt;"","・発信","")&amp;IF(S374&lt;&gt;"","・確認事項","")&amp;IF(T374&lt;&gt;"","・管","")&amp;IF(U374&lt;&gt;"","・SV","")&amp;IF(V374&lt;&gt;"","・データ送付待ち","")&amp;IF(W374&lt;&gt;"","・削除","")</f>
        <v/>
      </c>
    </row>
    <row r="375" ht="15" customHeight="1" s="87">
      <c r="A375" s="90" t="n">
        <v>202660001544</v>
      </c>
      <c r="B375" s="90" t="n"/>
      <c r="C375" s="90" t="n"/>
      <c r="D375" s="90" t="n">
        <v>20</v>
      </c>
      <c r="E375" s="90" t="inlineStr">
        <is>
          <t>20 確認待ち</t>
        </is>
      </c>
      <c r="F375" s="90" t="n"/>
      <c r="G375" s="90" t="n"/>
      <c r="H375" s="91" t="n">
        <v>46055</v>
      </c>
      <c r="I375" s="92" t="n">
        <v>46290</v>
      </c>
      <c r="J375" s="90" t="n"/>
      <c r="K375" s="90" t="n"/>
      <c r="L375" s="90" t="n"/>
      <c r="M375" s="90" t="n"/>
      <c r="N375" s="90" t="n"/>
      <c r="O375" s="90" t="inlineStr">
        <is>
          <t>10 申請</t>
        </is>
      </c>
      <c r="P375" s="90" t="n"/>
      <c r="Q375" s="90" t="n"/>
      <c r="R375" s="90" t="n"/>
      <c r="S375" s="90" t="n"/>
      <c r="T375" s="90" t="n"/>
      <c r="U375" s="90" t="n"/>
      <c r="V375" s="90" t="n"/>
      <c r="W375" s="90" t="n"/>
      <c r="X375" s="90" t="n"/>
      <c r="Y375" s="90" t="n"/>
      <c r="Z375" s="90" t="n"/>
      <c r="AA375" s="90" t="n"/>
      <c r="AB375" s="90" t="n">
        <v>23</v>
      </c>
      <c r="AC375" s="90" t="n">
        <v>1</v>
      </c>
      <c r="AD375" s="93" t="inlineStr">
        <is>
          <t>増</t>
        </is>
      </c>
      <c r="AE375" s="90" t="inlineStr">
        <is>
          <t>23 結婚</t>
        </is>
      </c>
      <c r="AF375" s="90" t="n"/>
      <c r="AG375" s="90" t="n"/>
      <c r="AH375" s="90" t="n"/>
      <c r="AI375" s="90" t="n"/>
      <c r="AJ375" s="90" t="n"/>
      <c r="AK375" s="90" t="n"/>
      <c r="AL375" s="94">
        <f>IF(A375="","",IF(COUNTIF(A375:A$2001,A375)=1,1,0))</f>
        <v/>
      </c>
      <c r="AM375" s="94">
        <f>IF(I375="","",TODAY()-I375)</f>
        <v/>
      </c>
      <c r="AN375" s="94">
        <f>IF(A375="","",IF(AND(E375&lt;&gt;"33 確認済",E375&lt;&gt;"36 送付中"),1,0))</f>
        <v/>
      </c>
      <c r="AO375" s="94">
        <f>IF(A375="","",IF(AG375&lt;&gt;"",1,0))</f>
        <v/>
      </c>
      <c r="AP375" s="220">
        <f>IF(P375&lt;&gt;"","・添待ち","")&amp;IF(Q375&lt;&gt;"","・住民票","")&amp;IF(R375&lt;&gt;"","・発信","")&amp;IF(S375&lt;&gt;"","・確認事項","")&amp;IF(T375&lt;&gt;"","・管","")&amp;IF(U375&lt;&gt;"","・SV","")&amp;IF(V375&lt;&gt;"","・データ送付待ち","")&amp;IF(W375&lt;&gt;"","・削除","")</f>
        <v/>
      </c>
    </row>
    <row r="376" ht="15" customHeight="1" s="87">
      <c r="A376" s="90" t="n">
        <v>202660001546</v>
      </c>
      <c r="B376" s="90" t="n"/>
      <c r="C376" s="90" t="n"/>
      <c r="D376" s="90" t="n">
        <v>20</v>
      </c>
      <c r="E376" s="90" t="inlineStr">
        <is>
          <t>20 確認待ち</t>
        </is>
      </c>
      <c r="F376" s="90" t="n"/>
      <c r="G376" s="90" t="n"/>
      <c r="H376" s="91" t="n">
        <v>46143</v>
      </c>
      <c r="I376" s="92" t="n">
        <v>46290</v>
      </c>
      <c r="J376" s="90" t="n"/>
      <c r="K376" s="90" t="n"/>
      <c r="L376" s="90" t="n"/>
      <c r="M376" s="90" t="n"/>
      <c r="N376" s="90" t="n"/>
      <c r="O376" s="90" t="inlineStr">
        <is>
          <t>10 申請</t>
        </is>
      </c>
      <c r="P376" s="90" t="n"/>
      <c r="Q376" s="90" t="n"/>
      <c r="R376" s="90" t="n"/>
      <c r="S376" s="90" t="n"/>
      <c r="T376" s="90" t="n"/>
      <c r="U376" s="90" t="n"/>
      <c r="V376" s="90" t="n"/>
      <c r="W376" s="90" t="n"/>
      <c r="X376" s="90" t="n"/>
      <c r="Y376" s="90" t="n"/>
      <c r="Z376" s="90" t="n"/>
      <c r="AA376" s="90" t="n"/>
      <c r="AB376" s="90" t="n">
        <v>49</v>
      </c>
      <c r="AC376" s="90" t="n">
        <v>0</v>
      </c>
      <c r="AD376" s="93" t="inlineStr">
        <is>
          <t>減</t>
        </is>
      </c>
      <c r="AE376" s="90" t="inlineStr">
        <is>
          <t>49 復職</t>
        </is>
      </c>
      <c r="AF376" s="90" t="n"/>
      <c r="AG376" s="90" t="n"/>
      <c r="AH376" s="93" t="inlineStr">
        <is>
          <t>減</t>
        </is>
      </c>
      <c r="AI376" s="90" t="n"/>
      <c r="AJ376" s="90" t="n"/>
      <c r="AK376" s="90" t="n"/>
      <c r="AL376" s="94">
        <f>IF(A376="","",IF(COUNTIF(A376:A$2001,A376)=1,1,0))</f>
        <v/>
      </c>
      <c r="AM376" s="94">
        <f>IF(I376="","",TODAY()-I376)</f>
        <v/>
      </c>
      <c r="AN376" s="94">
        <f>IF(A376="","",IF(AND(E376&lt;&gt;"33 確認済",E376&lt;&gt;"36 送付中"),1,0))</f>
        <v/>
      </c>
      <c r="AO376" s="94">
        <f>IF(A376="","",IF(AG376&lt;&gt;"",1,0))</f>
        <v/>
      </c>
      <c r="AP376" s="220">
        <f>IF(P376&lt;&gt;"","・添待ち","")&amp;IF(Q376&lt;&gt;"","・住民票","")&amp;IF(R376&lt;&gt;"","・発信","")&amp;IF(S376&lt;&gt;"","・確認事項","")&amp;IF(T376&lt;&gt;"","・管","")&amp;IF(U376&lt;&gt;"","・SV","")&amp;IF(V376&lt;&gt;"","・データ送付待ち","")&amp;IF(W376&lt;&gt;"","・削除","")</f>
        <v/>
      </c>
    </row>
    <row r="377" ht="15" customHeight="1" s="87">
      <c r="AL377" s="94">
        <f>IF(A377="","",IF(COUNTIF(A377:A$2001,A377)=1,1,0))</f>
        <v/>
      </c>
      <c r="AM377" s="94">
        <f>IF(I377="","",TODAY()-I377)</f>
        <v/>
      </c>
      <c r="AN377" s="94">
        <f>IF(A377="","",IF(AND(E377&lt;&gt;"33 確認済",E377&lt;&gt;"36 送付中"),1,0))</f>
        <v/>
      </c>
      <c r="AO377" s="94">
        <f>IF(A377="","",IF(AG377&lt;&gt;"",1,0))</f>
        <v/>
      </c>
      <c r="AP377" s="220">
        <f>IF(P377&lt;&gt;"","・添待ち","")&amp;IF(Q377&lt;&gt;"","・住民票","")&amp;IF(R377&lt;&gt;"","・発信","")&amp;IF(S377&lt;&gt;"","・確認事項","")&amp;IF(T377&lt;&gt;"","・管","")&amp;IF(U377&lt;&gt;"","・SV","")&amp;IF(V377&lt;&gt;"","・データ送付待ち","")&amp;IF(W377&lt;&gt;"","・削除","")</f>
        <v/>
      </c>
    </row>
    <row r="378" ht="15" customHeight="1" s="87">
      <c r="AL378" s="94">
        <f>IF(A378="","",IF(COUNTIF(A378:A$2001,A378)=1,1,0))</f>
        <v/>
      </c>
      <c r="AM378" s="94">
        <f>IF(I378="","",TODAY()-I378)</f>
        <v/>
      </c>
      <c r="AN378" s="94">
        <f>IF(A378="","",IF(AND(E378&lt;&gt;"33 確認済",E378&lt;&gt;"36 送付中"),1,0))</f>
        <v/>
      </c>
      <c r="AO378" s="94">
        <f>IF(A378="","",IF(AG378&lt;&gt;"",1,0))</f>
        <v/>
      </c>
      <c r="AP378" s="220">
        <f>IF(P378&lt;&gt;"","・添待ち","")&amp;IF(Q378&lt;&gt;"","・住民票","")&amp;IF(R378&lt;&gt;"","・発信","")&amp;IF(S378&lt;&gt;"","・確認事項","")&amp;IF(T378&lt;&gt;"","・管","")&amp;IF(U378&lt;&gt;"","・SV","")&amp;IF(V378&lt;&gt;"","・データ送付待ち","")&amp;IF(W378&lt;&gt;"","・削除","")</f>
        <v/>
      </c>
    </row>
    <row r="379" ht="15" customHeight="1" s="87">
      <c r="AL379" s="94">
        <f>IF(A379="","",IF(COUNTIF(A379:A$2001,A379)=1,1,0))</f>
        <v/>
      </c>
      <c r="AM379" s="94">
        <f>IF(I379="","",TODAY()-I379)</f>
        <v/>
      </c>
      <c r="AN379" s="94">
        <f>IF(A379="","",IF(AND(E379&lt;&gt;"33 確認済",E379&lt;&gt;"36 送付中"),1,0))</f>
        <v/>
      </c>
      <c r="AO379" s="94">
        <f>IF(A379="","",IF(AG379&lt;&gt;"",1,0))</f>
        <v/>
      </c>
      <c r="AP379" s="220">
        <f>IF(P379&lt;&gt;"","・添待ち","")&amp;IF(Q379&lt;&gt;"","・住民票","")&amp;IF(R379&lt;&gt;"","・発信","")&amp;IF(S379&lt;&gt;"","・確認事項","")&amp;IF(T379&lt;&gt;"","・管","")&amp;IF(U379&lt;&gt;"","・SV","")&amp;IF(V379&lt;&gt;"","・データ送付待ち","")&amp;IF(W379&lt;&gt;"","・削除","")</f>
        <v/>
      </c>
    </row>
    <row r="380" ht="15" customHeight="1" s="87">
      <c r="AL380" s="94">
        <f>IF(A380="","",IF(COUNTIF(A380:A$2001,A380)=1,1,0))</f>
        <v/>
      </c>
      <c r="AM380" s="94">
        <f>IF(I380="","",TODAY()-I380)</f>
        <v/>
      </c>
      <c r="AN380" s="94">
        <f>IF(A380="","",IF(AND(E380&lt;&gt;"33 確認済",E380&lt;&gt;"36 送付中"),1,0))</f>
        <v/>
      </c>
      <c r="AO380" s="94">
        <f>IF(A380="","",IF(AG380&lt;&gt;"",1,0))</f>
        <v/>
      </c>
      <c r="AP380" s="220">
        <f>IF(P380&lt;&gt;"","・添待ち","")&amp;IF(Q380&lt;&gt;"","・住民票","")&amp;IF(R380&lt;&gt;"","・発信","")&amp;IF(S380&lt;&gt;"","・確認事項","")&amp;IF(T380&lt;&gt;"","・管","")&amp;IF(U380&lt;&gt;"","・SV","")&amp;IF(V380&lt;&gt;"","・データ送付待ち","")&amp;IF(W380&lt;&gt;"","・削除","")</f>
        <v/>
      </c>
    </row>
    <row r="381" ht="15" customHeight="1" s="87">
      <c r="AL381" s="94">
        <f>IF(A381="","",IF(COUNTIF(A381:A$2001,A381)=1,1,0))</f>
        <v/>
      </c>
      <c r="AM381" s="94">
        <f>IF(I381="","",TODAY()-I381)</f>
        <v/>
      </c>
      <c r="AN381" s="94">
        <f>IF(A381="","",IF(AND(E381&lt;&gt;"33 確認済",E381&lt;&gt;"36 送付中"),1,0))</f>
        <v/>
      </c>
      <c r="AO381" s="94">
        <f>IF(A381="","",IF(AG381&lt;&gt;"",1,0))</f>
        <v/>
      </c>
      <c r="AP381" s="220">
        <f>IF(P381&lt;&gt;"","・添待ち","")&amp;IF(Q381&lt;&gt;"","・住民票","")&amp;IF(R381&lt;&gt;"","・発信","")&amp;IF(S381&lt;&gt;"","・確認事項","")&amp;IF(T381&lt;&gt;"","・管","")&amp;IF(U381&lt;&gt;"","・SV","")&amp;IF(V381&lt;&gt;"","・データ送付待ち","")&amp;IF(W381&lt;&gt;"","・削除","")</f>
        <v/>
      </c>
    </row>
    <row r="382" ht="15" customHeight="1" s="87">
      <c r="AL382" s="94">
        <f>IF(A382="","",IF(COUNTIF(A382:A$2001,A382)=1,1,0))</f>
        <v/>
      </c>
      <c r="AM382" s="94">
        <f>IF(I382="","",TODAY()-I382)</f>
        <v/>
      </c>
      <c r="AN382" s="94">
        <f>IF(A382="","",IF(AND(E382&lt;&gt;"33 確認済",E382&lt;&gt;"36 送付中"),1,0))</f>
        <v/>
      </c>
      <c r="AO382" s="94">
        <f>IF(A382="","",IF(AG382&lt;&gt;"",1,0))</f>
        <v/>
      </c>
      <c r="AP382" s="220">
        <f>IF(P382&lt;&gt;"","・添待ち","")&amp;IF(Q382&lt;&gt;"","・住民票","")&amp;IF(R382&lt;&gt;"","・発信","")&amp;IF(S382&lt;&gt;"","・確認事項","")&amp;IF(T382&lt;&gt;"","・管","")&amp;IF(U382&lt;&gt;"","・SV","")&amp;IF(V382&lt;&gt;"","・データ送付待ち","")&amp;IF(W382&lt;&gt;"","・削除","")</f>
        <v/>
      </c>
    </row>
    <row r="383" ht="15" customHeight="1" s="87">
      <c r="AL383" s="94">
        <f>IF(A383="","",IF(COUNTIF(A383:A$2001,A383)=1,1,0))</f>
        <v/>
      </c>
      <c r="AM383" s="94">
        <f>IF(I383="","",TODAY()-I383)</f>
        <v/>
      </c>
      <c r="AN383" s="94">
        <f>IF(A383="","",IF(AND(E383&lt;&gt;"33 確認済",E383&lt;&gt;"36 送付中"),1,0))</f>
        <v/>
      </c>
      <c r="AO383" s="94">
        <f>IF(A383="","",IF(AG383&lt;&gt;"",1,0))</f>
        <v/>
      </c>
      <c r="AP383" s="220">
        <f>IF(P383&lt;&gt;"","・添待ち","")&amp;IF(Q383&lt;&gt;"","・住民票","")&amp;IF(R383&lt;&gt;"","・発信","")&amp;IF(S383&lt;&gt;"","・確認事項","")&amp;IF(T383&lt;&gt;"","・管","")&amp;IF(U383&lt;&gt;"","・SV","")&amp;IF(V383&lt;&gt;"","・データ送付待ち","")&amp;IF(W383&lt;&gt;"","・削除","")</f>
        <v/>
      </c>
    </row>
    <row r="384" ht="15" customHeight="1" s="87">
      <c r="AL384" s="94">
        <f>IF(A384="","",IF(COUNTIF(A384:A$2001,A384)=1,1,0))</f>
        <v/>
      </c>
      <c r="AM384" s="94">
        <f>IF(I384="","",TODAY()-I384)</f>
        <v/>
      </c>
      <c r="AN384" s="94">
        <f>IF(A384="","",IF(AND(E384&lt;&gt;"33 確認済",E384&lt;&gt;"36 送付中"),1,0))</f>
        <v/>
      </c>
      <c r="AO384" s="94">
        <f>IF(A384="","",IF(AG384&lt;&gt;"",1,0))</f>
        <v/>
      </c>
      <c r="AP384" s="220">
        <f>IF(P384&lt;&gt;"","・添待ち","")&amp;IF(Q384&lt;&gt;"","・住民票","")&amp;IF(R384&lt;&gt;"","・発信","")&amp;IF(S384&lt;&gt;"","・確認事項","")&amp;IF(T384&lt;&gt;"","・管","")&amp;IF(U384&lt;&gt;"","・SV","")&amp;IF(V384&lt;&gt;"","・データ送付待ち","")&amp;IF(W384&lt;&gt;"","・削除","")</f>
        <v/>
      </c>
    </row>
    <row r="385" ht="15" customHeight="1" s="87">
      <c r="AL385" s="94">
        <f>IF(A385="","",IF(COUNTIF(A385:A$2001,A385)=1,1,0))</f>
        <v/>
      </c>
      <c r="AM385" s="94">
        <f>IF(I385="","",TODAY()-I385)</f>
        <v/>
      </c>
      <c r="AN385" s="94">
        <f>IF(A385="","",IF(AND(E385&lt;&gt;"33 確認済",E385&lt;&gt;"36 送付中"),1,0))</f>
        <v/>
      </c>
      <c r="AO385" s="94">
        <f>IF(A385="","",IF(AG385&lt;&gt;"",1,0))</f>
        <v/>
      </c>
      <c r="AP385" s="220">
        <f>IF(P385&lt;&gt;"","・添待ち","")&amp;IF(Q385&lt;&gt;"","・住民票","")&amp;IF(R385&lt;&gt;"","・発信","")&amp;IF(S385&lt;&gt;"","・確認事項","")&amp;IF(T385&lt;&gt;"","・管","")&amp;IF(U385&lt;&gt;"","・SV","")&amp;IF(V385&lt;&gt;"","・データ送付待ち","")&amp;IF(W385&lt;&gt;"","・削除","")</f>
        <v/>
      </c>
    </row>
    <row r="386" ht="15" customHeight="1" s="87">
      <c r="AL386" s="94">
        <f>IF(A386="","",IF(COUNTIF(A386:A$2001,A386)=1,1,0))</f>
        <v/>
      </c>
      <c r="AM386" s="94">
        <f>IF(I386="","",TODAY()-I386)</f>
        <v/>
      </c>
      <c r="AN386" s="94">
        <f>IF(A386="","",IF(AND(E386&lt;&gt;"33 確認済",E386&lt;&gt;"36 送付中"),1,0))</f>
        <v/>
      </c>
      <c r="AO386" s="94">
        <f>IF(A386="","",IF(AG386&lt;&gt;"",1,0))</f>
        <v/>
      </c>
      <c r="AP386" s="220">
        <f>IF(P386&lt;&gt;"","・添待ち","")&amp;IF(Q386&lt;&gt;"","・住民票","")&amp;IF(R386&lt;&gt;"","・発信","")&amp;IF(S386&lt;&gt;"","・確認事項","")&amp;IF(T386&lt;&gt;"","・管","")&amp;IF(U386&lt;&gt;"","・SV","")&amp;IF(V386&lt;&gt;"","・データ送付待ち","")&amp;IF(W386&lt;&gt;"","・削除","")</f>
        <v/>
      </c>
    </row>
    <row r="387" ht="15" customHeight="1" s="87">
      <c r="AL387" s="94">
        <f>IF(A387="","",IF(COUNTIF(A387:A$2001,A387)=1,1,0))</f>
        <v/>
      </c>
      <c r="AM387" s="94">
        <f>IF(I387="","",TODAY()-I387)</f>
        <v/>
      </c>
      <c r="AN387" s="94">
        <f>IF(A387="","",IF(AND(E387&lt;&gt;"33 確認済",E387&lt;&gt;"36 送付中"),1,0))</f>
        <v/>
      </c>
      <c r="AO387" s="94">
        <f>IF(A387="","",IF(AG387&lt;&gt;"",1,0))</f>
        <v/>
      </c>
      <c r="AP387" s="220">
        <f>IF(P387&lt;&gt;"","・添待ち","")&amp;IF(Q387&lt;&gt;"","・住民票","")&amp;IF(R387&lt;&gt;"","・発信","")&amp;IF(S387&lt;&gt;"","・確認事項","")&amp;IF(T387&lt;&gt;"","・管","")&amp;IF(U387&lt;&gt;"","・SV","")&amp;IF(V387&lt;&gt;"","・データ送付待ち","")&amp;IF(W387&lt;&gt;"","・削除","")</f>
        <v/>
      </c>
    </row>
    <row r="388" ht="15" customHeight="1" s="87">
      <c r="AL388" s="94">
        <f>IF(A388="","",IF(COUNTIF(A388:A$2001,A388)=1,1,0))</f>
        <v/>
      </c>
      <c r="AM388" s="94">
        <f>IF(I388="","",TODAY()-I388)</f>
        <v/>
      </c>
      <c r="AN388" s="94">
        <f>IF(A388="","",IF(AND(E388&lt;&gt;"33 確認済",E388&lt;&gt;"36 送付中"),1,0))</f>
        <v/>
      </c>
      <c r="AO388" s="94">
        <f>IF(A388="","",IF(AG388&lt;&gt;"",1,0))</f>
        <v/>
      </c>
      <c r="AP388" s="220">
        <f>IF(P388&lt;&gt;"","・添待ち","")&amp;IF(Q388&lt;&gt;"","・住民票","")&amp;IF(R388&lt;&gt;"","・発信","")&amp;IF(S388&lt;&gt;"","・確認事項","")&amp;IF(T388&lt;&gt;"","・管","")&amp;IF(U388&lt;&gt;"","・SV","")&amp;IF(V388&lt;&gt;"","・データ送付待ち","")&amp;IF(W388&lt;&gt;"","・削除","")</f>
        <v/>
      </c>
    </row>
    <row r="389" ht="15" customHeight="1" s="87">
      <c r="AL389" s="94">
        <f>IF(A389="","",IF(COUNTIF(A389:A$2001,A389)=1,1,0))</f>
        <v/>
      </c>
      <c r="AM389" s="94">
        <f>IF(I389="","",TODAY()-I389)</f>
        <v/>
      </c>
      <c r="AN389" s="94">
        <f>IF(A389="","",IF(AND(E389&lt;&gt;"33 確認済",E389&lt;&gt;"36 送付中"),1,0))</f>
        <v/>
      </c>
      <c r="AO389" s="94">
        <f>IF(A389="","",IF(AG389&lt;&gt;"",1,0))</f>
        <v/>
      </c>
      <c r="AP389" s="220">
        <f>IF(P389&lt;&gt;"","・添待ち","")&amp;IF(Q389&lt;&gt;"","・住民票","")&amp;IF(R389&lt;&gt;"","・発信","")&amp;IF(S389&lt;&gt;"","・確認事項","")&amp;IF(T389&lt;&gt;"","・管","")&amp;IF(U389&lt;&gt;"","・SV","")&amp;IF(V389&lt;&gt;"","・データ送付待ち","")&amp;IF(W389&lt;&gt;"","・削除","")</f>
        <v/>
      </c>
    </row>
    <row r="390" ht="15" customHeight="1" s="87">
      <c r="AL390" s="94">
        <f>IF(A390="","",IF(COUNTIF(A390:A$2001,A390)=1,1,0))</f>
        <v/>
      </c>
      <c r="AM390" s="94">
        <f>IF(I390="","",TODAY()-I390)</f>
        <v/>
      </c>
      <c r="AN390" s="94">
        <f>IF(A390="","",IF(AND(E390&lt;&gt;"33 確認済",E390&lt;&gt;"36 送付中"),1,0))</f>
        <v/>
      </c>
      <c r="AO390" s="94">
        <f>IF(A390="","",IF(AG390&lt;&gt;"",1,0))</f>
        <v/>
      </c>
      <c r="AP390" s="220">
        <f>IF(P390&lt;&gt;"","・添待ち","")&amp;IF(Q390&lt;&gt;"","・住民票","")&amp;IF(R390&lt;&gt;"","・発信","")&amp;IF(S390&lt;&gt;"","・確認事項","")&amp;IF(T390&lt;&gt;"","・管","")&amp;IF(U390&lt;&gt;"","・SV","")&amp;IF(V390&lt;&gt;"","・データ送付待ち","")&amp;IF(W390&lt;&gt;"","・削除","")</f>
        <v/>
      </c>
    </row>
    <row r="391" ht="15" customHeight="1" s="87">
      <c r="AL391" s="94">
        <f>IF(A391="","",IF(COUNTIF(A391:A$2001,A391)=1,1,0))</f>
        <v/>
      </c>
      <c r="AM391" s="94">
        <f>IF(I391="","",TODAY()-I391)</f>
        <v/>
      </c>
      <c r="AN391" s="94">
        <f>IF(A391="","",IF(AND(E391&lt;&gt;"33 確認済",E391&lt;&gt;"36 送付中"),1,0))</f>
        <v/>
      </c>
      <c r="AO391" s="94">
        <f>IF(A391="","",IF(AG391&lt;&gt;"",1,0))</f>
        <v/>
      </c>
      <c r="AP391" s="220">
        <f>IF(P391&lt;&gt;"","・添待ち","")&amp;IF(Q391&lt;&gt;"","・住民票","")&amp;IF(R391&lt;&gt;"","・発信","")&amp;IF(S391&lt;&gt;"","・確認事項","")&amp;IF(T391&lt;&gt;"","・管","")&amp;IF(U391&lt;&gt;"","・SV","")&amp;IF(V391&lt;&gt;"","・データ送付待ち","")&amp;IF(W391&lt;&gt;"","・削除","")</f>
        <v/>
      </c>
    </row>
    <row r="392" ht="15" customHeight="1" s="87">
      <c r="AL392" s="94">
        <f>IF(A392="","",IF(COUNTIF(A392:A$2001,A392)=1,1,0))</f>
        <v/>
      </c>
      <c r="AM392" s="94">
        <f>IF(I392="","",TODAY()-I392)</f>
        <v/>
      </c>
      <c r="AN392" s="94">
        <f>IF(A392="","",IF(AND(E392&lt;&gt;"33 確認済",E392&lt;&gt;"36 送付中"),1,0))</f>
        <v/>
      </c>
      <c r="AO392" s="94">
        <f>IF(A392="","",IF(AG392&lt;&gt;"",1,0))</f>
        <v/>
      </c>
      <c r="AP392" s="220">
        <f>IF(P392&lt;&gt;"","・添待ち","")&amp;IF(Q392&lt;&gt;"","・住民票","")&amp;IF(R392&lt;&gt;"","・発信","")&amp;IF(S392&lt;&gt;"","・確認事項","")&amp;IF(T392&lt;&gt;"","・管","")&amp;IF(U392&lt;&gt;"","・SV","")&amp;IF(V392&lt;&gt;"","・データ送付待ち","")&amp;IF(W392&lt;&gt;"","・削除","")</f>
        <v/>
      </c>
    </row>
    <row r="393" ht="15" customHeight="1" s="87">
      <c r="AL393" s="94">
        <f>IF(A393="","",IF(COUNTIF(A393:A$2001,A393)=1,1,0))</f>
        <v/>
      </c>
      <c r="AM393" s="94">
        <f>IF(I393="","",TODAY()-I393)</f>
        <v/>
      </c>
      <c r="AN393" s="94">
        <f>IF(A393="","",IF(AND(E393&lt;&gt;"33 確認済",E393&lt;&gt;"36 送付中"),1,0))</f>
        <v/>
      </c>
      <c r="AO393" s="94">
        <f>IF(A393="","",IF(AG393&lt;&gt;"",1,0))</f>
        <v/>
      </c>
      <c r="AP393" s="220">
        <f>IF(P393&lt;&gt;"","・添待ち","")&amp;IF(Q393&lt;&gt;"","・住民票","")&amp;IF(R393&lt;&gt;"","・発信","")&amp;IF(S393&lt;&gt;"","・確認事項","")&amp;IF(T393&lt;&gt;"","・管","")&amp;IF(U393&lt;&gt;"","・SV","")&amp;IF(V393&lt;&gt;"","・データ送付待ち","")&amp;IF(W393&lt;&gt;"","・削除","")</f>
        <v/>
      </c>
    </row>
    <row r="394" ht="15" customHeight="1" s="87">
      <c r="AL394" s="94">
        <f>IF(A394="","",IF(COUNTIF(A394:A$2001,A394)=1,1,0))</f>
        <v/>
      </c>
      <c r="AM394" s="94">
        <f>IF(I394="","",TODAY()-I394)</f>
        <v/>
      </c>
      <c r="AN394" s="94">
        <f>IF(A394="","",IF(AND(E394&lt;&gt;"33 確認済",E394&lt;&gt;"36 送付中"),1,0))</f>
        <v/>
      </c>
      <c r="AO394" s="94">
        <f>IF(A394="","",IF(AG394&lt;&gt;"",1,0))</f>
        <v/>
      </c>
      <c r="AP394" s="220">
        <f>IF(P394&lt;&gt;"","・添待ち","")&amp;IF(Q394&lt;&gt;"","・住民票","")&amp;IF(R394&lt;&gt;"","・発信","")&amp;IF(S394&lt;&gt;"","・確認事項","")&amp;IF(T394&lt;&gt;"","・管","")&amp;IF(U394&lt;&gt;"","・SV","")&amp;IF(V394&lt;&gt;"","・データ送付待ち","")&amp;IF(W394&lt;&gt;"","・削除","")</f>
        <v/>
      </c>
    </row>
    <row r="395" ht="15" customHeight="1" s="87">
      <c r="AL395" s="94">
        <f>IF(A395="","",IF(COUNTIF(A395:A$2001,A395)=1,1,0))</f>
        <v/>
      </c>
      <c r="AM395" s="94">
        <f>IF(I395="","",TODAY()-I395)</f>
        <v/>
      </c>
      <c r="AN395" s="94">
        <f>IF(A395="","",IF(AND(E395&lt;&gt;"33 確認済",E395&lt;&gt;"36 送付中"),1,0))</f>
        <v/>
      </c>
      <c r="AO395" s="94">
        <f>IF(A395="","",IF(AG395&lt;&gt;"",1,0))</f>
        <v/>
      </c>
      <c r="AP395" s="220">
        <f>IF(P395&lt;&gt;"","・添待ち","")&amp;IF(Q395&lt;&gt;"","・住民票","")&amp;IF(R395&lt;&gt;"","・発信","")&amp;IF(S395&lt;&gt;"","・確認事項","")&amp;IF(T395&lt;&gt;"","・管","")&amp;IF(U395&lt;&gt;"","・SV","")&amp;IF(V395&lt;&gt;"","・データ送付待ち","")&amp;IF(W395&lt;&gt;"","・削除","")</f>
        <v/>
      </c>
    </row>
    <row r="396" ht="15" customHeight="1" s="87">
      <c r="AL396" s="94">
        <f>IF(A396="","",IF(COUNTIF(A396:A$2001,A396)=1,1,0))</f>
        <v/>
      </c>
      <c r="AM396" s="94">
        <f>IF(I396="","",TODAY()-I396)</f>
        <v/>
      </c>
      <c r="AN396" s="94">
        <f>IF(A396="","",IF(AND(E396&lt;&gt;"33 確認済",E396&lt;&gt;"36 送付中"),1,0))</f>
        <v/>
      </c>
      <c r="AO396" s="94">
        <f>IF(A396="","",IF(AG396&lt;&gt;"",1,0))</f>
        <v/>
      </c>
      <c r="AP396" s="220">
        <f>IF(P396&lt;&gt;"","・添待ち","")&amp;IF(Q396&lt;&gt;"","・住民票","")&amp;IF(R396&lt;&gt;"","・発信","")&amp;IF(S396&lt;&gt;"","・確認事項","")&amp;IF(T396&lt;&gt;"","・管","")&amp;IF(U396&lt;&gt;"","・SV","")&amp;IF(V396&lt;&gt;"","・データ送付待ち","")&amp;IF(W396&lt;&gt;"","・削除","")</f>
        <v/>
      </c>
    </row>
    <row r="397" ht="15" customHeight="1" s="87">
      <c r="AL397" s="94">
        <f>IF(A397="","",IF(COUNTIF(A397:A$2001,A397)=1,1,0))</f>
        <v/>
      </c>
      <c r="AM397" s="94">
        <f>IF(I397="","",TODAY()-I397)</f>
        <v/>
      </c>
      <c r="AN397" s="94">
        <f>IF(A397="","",IF(AND(E397&lt;&gt;"33 確認済",E397&lt;&gt;"36 送付中"),1,0))</f>
        <v/>
      </c>
      <c r="AO397" s="94">
        <f>IF(A397="","",IF(AG397&lt;&gt;"",1,0))</f>
        <v/>
      </c>
      <c r="AP397" s="220">
        <f>IF(P397&lt;&gt;"","・添待ち","")&amp;IF(Q397&lt;&gt;"","・住民票","")&amp;IF(R397&lt;&gt;"","・発信","")&amp;IF(S397&lt;&gt;"","・確認事項","")&amp;IF(T397&lt;&gt;"","・管","")&amp;IF(U397&lt;&gt;"","・SV","")&amp;IF(V397&lt;&gt;"","・データ送付待ち","")&amp;IF(W397&lt;&gt;"","・削除","")</f>
        <v/>
      </c>
    </row>
    <row r="398" ht="15" customHeight="1" s="87">
      <c r="AL398" s="94">
        <f>IF(A398="","",IF(COUNTIF(A398:A$2001,A398)=1,1,0))</f>
        <v/>
      </c>
      <c r="AM398" s="94">
        <f>IF(I398="","",TODAY()-I398)</f>
        <v/>
      </c>
      <c r="AN398" s="94">
        <f>IF(A398="","",IF(AND(E398&lt;&gt;"33 確認済",E398&lt;&gt;"36 送付中"),1,0))</f>
        <v/>
      </c>
      <c r="AO398" s="94">
        <f>IF(A398="","",IF(AG398&lt;&gt;"",1,0))</f>
        <v/>
      </c>
      <c r="AP398" s="220">
        <f>IF(P398&lt;&gt;"","・添待ち","")&amp;IF(Q398&lt;&gt;"","・住民票","")&amp;IF(R398&lt;&gt;"","・発信","")&amp;IF(S398&lt;&gt;"","・確認事項","")&amp;IF(T398&lt;&gt;"","・管","")&amp;IF(U398&lt;&gt;"","・SV","")&amp;IF(V398&lt;&gt;"","・データ送付待ち","")&amp;IF(W398&lt;&gt;"","・削除","")</f>
        <v/>
      </c>
    </row>
    <row r="399" ht="15" customHeight="1" s="87">
      <c r="AL399" s="94">
        <f>IF(A399="","",IF(COUNTIF(A399:A$2001,A399)=1,1,0))</f>
        <v/>
      </c>
      <c r="AM399" s="94">
        <f>IF(I399="","",TODAY()-I399)</f>
        <v/>
      </c>
      <c r="AN399" s="94">
        <f>IF(A399="","",IF(AND(E399&lt;&gt;"33 確認済",E399&lt;&gt;"36 送付中"),1,0))</f>
        <v/>
      </c>
      <c r="AO399" s="94">
        <f>IF(A399="","",IF(AG399&lt;&gt;"",1,0))</f>
        <v/>
      </c>
      <c r="AP399" s="220">
        <f>IF(P399&lt;&gt;"","・添待ち","")&amp;IF(Q399&lt;&gt;"","・住民票","")&amp;IF(R399&lt;&gt;"","・発信","")&amp;IF(S399&lt;&gt;"","・確認事項","")&amp;IF(T399&lt;&gt;"","・管","")&amp;IF(U399&lt;&gt;"","・SV","")&amp;IF(V399&lt;&gt;"","・データ送付待ち","")&amp;IF(W399&lt;&gt;"","・削除","")</f>
        <v/>
      </c>
    </row>
    <row r="400" ht="15" customHeight="1" s="87">
      <c r="AL400" s="94">
        <f>IF(A400="","",IF(COUNTIF(A400:A$2001,A400)=1,1,0))</f>
        <v/>
      </c>
      <c r="AM400" s="94">
        <f>IF(I400="","",TODAY()-I400)</f>
        <v/>
      </c>
      <c r="AN400" s="94">
        <f>IF(A400="","",IF(AND(E400&lt;&gt;"33 確認済",E400&lt;&gt;"36 送付中"),1,0))</f>
        <v/>
      </c>
      <c r="AO400" s="94">
        <f>IF(A400="","",IF(AG400&lt;&gt;"",1,0))</f>
        <v/>
      </c>
      <c r="AP400" s="220">
        <f>IF(P400&lt;&gt;"","・添待ち","")&amp;IF(Q400&lt;&gt;"","・住民票","")&amp;IF(R400&lt;&gt;"","・発信","")&amp;IF(S400&lt;&gt;"","・確認事項","")&amp;IF(T400&lt;&gt;"","・管","")&amp;IF(U400&lt;&gt;"","・SV","")&amp;IF(V400&lt;&gt;"","・データ送付待ち","")&amp;IF(W400&lt;&gt;"","・削除","")</f>
        <v/>
      </c>
    </row>
    <row r="401" ht="15" customHeight="1" s="87">
      <c r="AL401" s="94">
        <f>IF(A401="","",IF(COUNTIF(A401:A$2001,A401)=1,1,0))</f>
        <v/>
      </c>
      <c r="AM401" s="94">
        <f>IF(I401="","",TODAY()-I401)</f>
        <v/>
      </c>
      <c r="AN401" s="94">
        <f>IF(A401="","",IF(AND(E401&lt;&gt;"33 確認済",E401&lt;&gt;"36 送付中"),1,0))</f>
        <v/>
      </c>
      <c r="AO401" s="94">
        <f>IF(A401="","",IF(AG401&lt;&gt;"",1,0))</f>
        <v/>
      </c>
      <c r="AP401" s="220">
        <f>IF(P401&lt;&gt;"","・添待ち","")&amp;IF(Q401&lt;&gt;"","・住民票","")&amp;IF(R401&lt;&gt;"","・発信","")&amp;IF(S401&lt;&gt;"","・確認事項","")&amp;IF(T401&lt;&gt;"","・管","")&amp;IF(U401&lt;&gt;"","・SV","")&amp;IF(V401&lt;&gt;"","・データ送付待ち","")&amp;IF(W401&lt;&gt;"","・削除","")</f>
        <v/>
      </c>
    </row>
    <row r="402" ht="15" customHeight="1" s="87">
      <c r="AL402" s="94">
        <f>IF(A402="","",IF(COUNTIF(A402:A$2001,A402)=1,1,0))</f>
        <v/>
      </c>
      <c r="AM402" s="94">
        <f>IF(I402="","",TODAY()-I402)</f>
        <v/>
      </c>
      <c r="AN402" s="94">
        <f>IF(A402="","",IF(AND(E402&lt;&gt;"33 確認済",E402&lt;&gt;"36 送付中"),1,0))</f>
        <v/>
      </c>
      <c r="AO402" s="94">
        <f>IF(A402="","",IF(AG402&lt;&gt;"",1,0))</f>
        <v/>
      </c>
      <c r="AP402" s="220">
        <f>IF(P402&lt;&gt;"","・添待ち","")&amp;IF(Q402&lt;&gt;"","・住民票","")&amp;IF(R402&lt;&gt;"","・発信","")&amp;IF(S402&lt;&gt;"","・確認事項","")&amp;IF(T402&lt;&gt;"","・管","")&amp;IF(U402&lt;&gt;"","・SV","")&amp;IF(V402&lt;&gt;"","・データ送付待ち","")&amp;IF(W402&lt;&gt;"","・削除","")</f>
        <v/>
      </c>
    </row>
    <row r="403" ht="15" customHeight="1" s="87">
      <c r="AL403" s="94">
        <f>IF(A403="","",IF(COUNTIF(A403:A$2001,A403)=1,1,0))</f>
        <v/>
      </c>
      <c r="AM403" s="94">
        <f>IF(I403="","",TODAY()-I403)</f>
        <v/>
      </c>
      <c r="AN403" s="94">
        <f>IF(A403="","",IF(AND(E403&lt;&gt;"33 確認済",E403&lt;&gt;"36 送付中"),1,0))</f>
        <v/>
      </c>
      <c r="AO403" s="94">
        <f>IF(A403="","",IF(AG403&lt;&gt;"",1,0))</f>
        <v/>
      </c>
      <c r="AP403" s="220">
        <f>IF(P403&lt;&gt;"","・添待ち","")&amp;IF(Q403&lt;&gt;"","・住民票","")&amp;IF(R403&lt;&gt;"","・発信","")&amp;IF(S403&lt;&gt;"","・確認事項","")&amp;IF(T403&lt;&gt;"","・管","")&amp;IF(U403&lt;&gt;"","・SV","")&amp;IF(V403&lt;&gt;"","・データ送付待ち","")&amp;IF(W403&lt;&gt;"","・削除","")</f>
        <v/>
      </c>
    </row>
    <row r="404" ht="15" customHeight="1" s="87">
      <c r="AL404" s="94">
        <f>IF(A404="","",IF(COUNTIF(A404:A$2001,A404)=1,1,0))</f>
        <v/>
      </c>
      <c r="AM404" s="94">
        <f>IF(I404="","",TODAY()-I404)</f>
        <v/>
      </c>
      <c r="AN404" s="94">
        <f>IF(A404="","",IF(AND(E404&lt;&gt;"33 確認済",E404&lt;&gt;"36 送付中"),1,0))</f>
        <v/>
      </c>
      <c r="AO404" s="94">
        <f>IF(A404="","",IF(AG404&lt;&gt;"",1,0))</f>
        <v/>
      </c>
      <c r="AP404" s="220">
        <f>IF(P404&lt;&gt;"","・添待ち","")&amp;IF(Q404&lt;&gt;"","・住民票","")&amp;IF(R404&lt;&gt;"","・発信","")&amp;IF(S404&lt;&gt;"","・確認事項","")&amp;IF(T404&lt;&gt;"","・管","")&amp;IF(U404&lt;&gt;"","・SV","")&amp;IF(V404&lt;&gt;"","・データ送付待ち","")&amp;IF(W404&lt;&gt;"","・削除","")</f>
        <v/>
      </c>
    </row>
    <row r="405" ht="15" customHeight="1" s="87">
      <c r="AL405" s="94">
        <f>IF(A405="","",IF(COUNTIF(A405:A$2001,A405)=1,1,0))</f>
        <v/>
      </c>
      <c r="AM405" s="94">
        <f>IF(I405="","",TODAY()-I405)</f>
        <v/>
      </c>
      <c r="AN405" s="94">
        <f>IF(A405="","",IF(AND(E405&lt;&gt;"33 確認済",E405&lt;&gt;"36 送付中"),1,0))</f>
        <v/>
      </c>
      <c r="AO405" s="94">
        <f>IF(A405="","",IF(AG405&lt;&gt;"",1,0))</f>
        <v/>
      </c>
      <c r="AP405" s="220">
        <f>IF(P405&lt;&gt;"","・添待ち","")&amp;IF(Q405&lt;&gt;"","・住民票","")&amp;IF(R405&lt;&gt;"","・発信","")&amp;IF(S405&lt;&gt;"","・確認事項","")&amp;IF(T405&lt;&gt;"","・管","")&amp;IF(U405&lt;&gt;"","・SV","")&amp;IF(V405&lt;&gt;"","・データ送付待ち","")&amp;IF(W405&lt;&gt;"","・削除","")</f>
        <v/>
      </c>
    </row>
    <row r="406" ht="15" customHeight="1" s="87">
      <c r="AL406" s="94">
        <f>IF(A406="","",IF(COUNTIF(A406:A$2001,A406)=1,1,0))</f>
        <v/>
      </c>
      <c r="AM406" s="94">
        <f>IF(I406="","",TODAY()-I406)</f>
        <v/>
      </c>
      <c r="AN406" s="94">
        <f>IF(A406="","",IF(AND(E406&lt;&gt;"33 確認済",E406&lt;&gt;"36 送付中"),1,0))</f>
        <v/>
      </c>
      <c r="AO406" s="94">
        <f>IF(A406="","",IF(AG406&lt;&gt;"",1,0))</f>
        <v/>
      </c>
      <c r="AP406" s="220">
        <f>IF(P406&lt;&gt;"","・添待ち","")&amp;IF(Q406&lt;&gt;"","・住民票","")&amp;IF(R406&lt;&gt;"","・発信","")&amp;IF(S406&lt;&gt;"","・確認事項","")&amp;IF(T406&lt;&gt;"","・管","")&amp;IF(U406&lt;&gt;"","・SV","")&amp;IF(V406&lt;&gt;"","・データ送付待ち","")&amp;IF(W406&lt;&gt;"","・削除","")</f>
        <v/>
      </c>
    </row>
    <row r="407" ht="15" customHeight="1" s="87">
      <c r="AL407" s="94">
        <f>IF(A407="","",IF(COUNTIF(A407:A$2001,A407)=1,1,0))</f>
        <v/>
      </c>
      <c r="AM407" s="94">
        <f>IF(I407="","",TODAY()-I407)</f>
        <v/>
      </c>
      <c r="AN407" s="94">
        <f>IF(A407="","",IF(AND(E407&lt;&gt;"33 確認済",E407&lt;&gt;"36 送付中"),1,0))</f>
        <v/>
      </c>
      <c r="AO407" s="94">
        <f>IF(A407="","",IF(AG407&lt;&gt;"",1,0))</f>
        <v/>
      </c>
      <c r="AP407" s="220">
        <f>IF(P407&lt;&gt;"","・添待ち","")&amp;IF(Q407&lt;&gt;"","・住民票","")&amp;IF(R407&lt;&gt;"","・発信","")&amp;IF(S407&lt;&gt;"","・確認事項","")&amp;IF(T407&lt;&gt;"","・管","")&amp;IF(U407&lt;&gt;"","・SV","")&amp;IF(V407&lt;&gt;"","・データ送付待ち","")&amp;IF(W407&lt;&gt;"","・削除","")</f>
        <v/>
      </c>
    </row>
    <row r="408" ht="15" customHeight="1" s="87">
      <c r="AL408" s="94">
        <f>IF(A408="","",IF(COUNTIF(A408:A$2001,A408)=1,1,0))</f>
        <v/>
      </c>
      <c r="AM408" s="94">
        <f>IF(I408="","",TODAY()-I408)</f>
        <v/>
      </c>
      <c r="AN408" s="94">
        <f>IF(A408="","",IF(AND(E408&lt;&gt;"33 確認済",E408&lt;&gt;"36 送付中"),1,0))</f>
        <v/>
      </c>
      <c r="AO408" s="94">
        <f>IF(A408="","",IF(AG408&lt;&gt;"",1,0))</f>
        <v/>
      </c>
      <c r="AP408" s="220">
        <f>IF(P408&lt;&gt;"","・添待ち","")&amp;IF(Q408&lt;&gt;"","・住民票","")&amp;IF(R408&lt;&gt;"","・発信","")&amp;IF(S408&lt;&gt;"","・確認事項","")&amp;IF(T408&lt;&gt;"","・管","")&amp;IF(U408&lt;&gt;"","・SV","")&amp;IF(V408&lt;&gt;"","・データ送付待ち","")&amp;IF(W408&lt;&gt;"","・削除","")</f>
        <v/>
      </c>
    </row>
    <row r="409" ht="15" customHeight="1" s="87">
      <c r="AL409" s="94">
        <f>IF(A409="","",IF(COUNTIF(A409:A$2001,A409)=1,1,0))</f>
        <v/>
      </c>
      <c r="AM409" s="94">
        <f>IF(I409="","",TODAY()-I409)</f>
        <v/>
      </c>
      <c r="AN409" s="94">
        <f>IF(A409="","",IF(AND(E409&lt;&gt;"33 確認済",E409&lt;&gt;"36 送付中"),1,0))</f>
        <v/>
      </c>
      <c r="AO409" s="94">
        <f>IF(A409="","",IF(AG409&lt;&gt;"",1,0))</f>
        <v/>
      </c>
      <c r="AP409" s="220">
        <f>IF(P409&lt;&gt;"","・添待ち","")&amp;IF(Q409&lt;&gt;"","・住民票","")&amp;IF(R409&lt;&gt;"","・発信","")&amp;IF(S409&lt;&gt;"","・確認事項","")&amp;IF(T409&lt;&gt;"","・管","")&amp;IF(U409&lt;&gt;"","・SV","")&amp;IF(V409&lt;&gt;"","・データ送付待ち","")&amp;IF(W409&lt;&gt;"","・削除","")</f>
        <v/>
      </c>
    </row>
    <row r="410" ht="15" customHeight="1" s="87">
      <c r="AL410" s="94">
        <f>IF(A410="","",IF(COUNTIF(A410:A$2001,A410)=1,1,0))</f>
        <v/>
      </c>
      <c r="AM410" s="94">
        <f>IF(I410="","",TODAY()-I410)</f>
        <v/>
      </c>
      <c r="AN410" s="94">
        <f>IF(A410="","",IF(AND(E410&lt;&gt;"33 確認済",E410&lt;&gt;"36 送付中"),1,0))</f>
        <v/>
      </c>
      <c r="AO410" s="94">
        <f>IF(A410="","",IF(AG410&lt;&gt;"",1,0))</f>
        <v/>
      </c>
      <c r="AP410" s="220">
        <f>IF(P410&lt;&gt;"","・添待ち","")&amp;IF(Q410&lt;&gt;"","・住民票","")&amp;IF(R410&lt;&gt;"","・発信","")&amp;IF(S410&lt;&gt;"","・確認事項","")&amp;IF(T410&lt;&gt;"","・管","")&amp;IF(U410&lt;&gt;"","・SV","")&amp;IF(V410&lt;&gt;"","・データ送付待ち","")&amp;IF(W410&lt;&gt;"","・削除","")</f>
        <v/>
      </c>
    </row>
    <row r="411" ht="15" customHeight="1" s="87">
      <c r="AL411" s="94">
        <f>IF(A411="","",IF(COUNTIF(A411:A$2001,A411)=1,1,0))</f>
        <v/>
      </c>
      <c r="AM411" s="94">
        <f>IF(I411="","",TODAY()-I411)</f>
        <v/>
      </c>
      <c r="AN411" s="94">
        <f>IF(A411="","",IF(AND(E411&lt;&gt;"33 確認済",E411&lt;&gt;"36 送付中"),1,0))</f>
        <v/>
      </c>
      <c r="AO411" s="94">
        <f>IF(A411="","",IF(AG411&lt;&gt;"",1,0))</f>
        <v/>
      </c>
      <c r="AP411" s="220">
        <f>IF(P411&lt;&gt;"","・添待ち","")&amp;IF(Q411&lt;&gt;"","・住民票","")&amp;IF(R411&lt;&gt;"","・発信","")&amp;IF(S411&lt;&gt;"","・確認事項","")&amp;IF(T411&lt;&gt;"","・管","")&amp;IF(U411&lt;&gt;"","・SV","")&amp;IF(V411&lt;&gt;"","・データ送付待ち","")&amp;IF(W411&lt;&gt;"","・削除","")</f>
        <v/>
      </c>
    </row>
    <row r="412" ht="15" customHeight="1" s="87">
      <c r="AL412" s="94">
        <f>IF(A412="","",IF(COUNTIF(A412:A$2001,A412)=1,1,0))</f>
        <v/>
      </c>
      <c r="AM412" s="94">
        <f>IF(I412="","",TODAY()-I412)</f>
        <v/>
      </c>
      <c r="AN412" s="94">
        <f>IF(A412="","",IF(AND(E412&lt;&gt;"33 確認済",E412&lt;&gt;"36 送付中"),1,0))</f>
        <v/>
      </c>
      <c r="AO412" s="94">
        <f>IF(A412="","",IF(AG412&lt;&gt;"",1,0))</f>
        <v/>
      </c>
      <c r="AP412" s="220">
        <f>IF(P412&lt;&gt;"","・添待ち","")&amp;IF(Q412&lt;&gt;"","・住民票","")&amp;IF(R412&lt;&gt;"","・発信","")&amp;IF(S412&lt;&gt;"","・確認事項","")&amp;IF(T412&lt;&gt;"","・管","")&amp;IF(U412&lt;&gt;"","・SV","")&amp;IF(V412&lt;&gt;"","・データ送付待ち","")&amp;IF(W412&lt;&gt;"","・削除","")</f>
        <v/>
      </c>
    </row>
    <row r="413" ht="15" customHeight="1" s="87">
      <c r="AL413" s="94">
        <f>IF(A413="","",IF(COUNTIF(A413:A$2001,A413)=1,1,0))</f>
        <v/>
      </c>
      <c r="AM413" s="94">
        <f>IF(I413="","",TODAY()-I413)</f>
        <v/>
      </c>
      <c r="AN413" s="94">
        <f>IF(A413="","",IF(AND(E413&lt;&gt;"33 確認済",E413&lt;&gt;"36 送付中"),1,0))</f>
        <v/>
      </c>
      <c r="AO413" s="94">
        <f>IF(A413="","",IF(AG413&lt;&gt;"",1,0))</f>
        <v/>
      </c>
      <c r="AP413" s="220">
        <f>IF(P413&lt;&gt;"","・添待ち","")&amp;IF(Q413&lt;&gt;"","・住民票","")&amp;IF(R413&lt;&gt;"","・発信","")&amp;IF(S413&lt;&gt;"","・確認事項","")&amp;IF(T413&lt;&gt;"","・管","")&amp;IF(U413&lt;&gt;"","・SV","")&amp;IF(V413&lt;&gt;"","・データ送付待ち","")&amp;IF(W413&lt;&gt;"","・削除","")</f>
        <v/>
      </c>
    </row>
    <row r="414" ht="15" customHeight="1" s="87">
      <c r="AL414" s="94">
        <f>IF(A414="","",IF(COUNTIF(A414:A$2001,A414)=1,1,0))</f>
        <v/>
      </c>
      <c r="AM414" s="94">
        <f>IF(I414="","",TODAY()-I414)</f>
        <v/>
      </c>
      <c r="AN414" s="94">
        <f>IF(A414="","",IF(AND(E414&lt;&gt;"33 確認済",E414&lt;&gt;"36 送付中"),1,0))</f>
        <v/>
      </c>
      <c r="AO414" s="94">
        <f>IF(A414="","",IF(AG414&lt;&gt;"",1,0))</f>
        <v/>
      </c>
      <c r="AP414" s="220">
        <f>IF(P414&lt;&gt;"","・添待ち","")&amp;IF(Q414&lt;&gt;"","・住民票","")&amp;IF(R414&lt;&gt;"","・発信","")&amp;IF(S414&lt;&gt;"","・確認事項","")&amp;IF(T414&lt;&gt;"","・管","")&amp;IF(U414&lt;&gt;"","・SV","")&amp;IF(V414&lt;&gt;"","・データ送付待ち","")&amp;IF(W414&lt;&gt;"","・削除","")</f>
        <v/>
      </c>
    </row>
    <row r="415" ht="15" customHeight="1" s="87">
      <c r="AL415" s="94">
        <f>IF(A415="","",IF(COUNTIF(A415:A$2001,A415)=1,1,0))</f>
        <v/>
      </c>
      <c r="AM415" s="94">
        <f>IF(I415="","",TODAY()-I415)</f>
        <v/>
      </c>
      <c r="AN415" s="94">
        <f>IF(A415="","",IF(AND(E415&lt;&gt;"33 確認済",E415&lt;&gt;"36 送付中"),1,0))</f>
        <v/>
      </c>
      <c r="AO415" s="94">
        <f>IF(A415="","",IF(AG415&lt;&gt;"",1,0))</f>
        <v/>
      </c>
      <c r="AP415" s="220">
        <f>IF(P415&lt;&gt;"","・添待ち","")&amp;IF(Q415&lt;&gt;"","・住民票","")&amp;IF(R415&lt;&gt;"","・発信","")&amp;IF(S415&lt;&gt;"","・確認事項","")&amp;IF(T415&lt;&gt;"","・管","")&amp;IF(U415&lt;&gt;"","・SV","")&amp;IF(V415&lt;&gt;"","・データ送付待ち","")&amp;IF(W415&lt;&gt;"","・削除","")</f>
        <v/>
      </c>
    </row>
    <row r="416" ht="15" customHeight="1" s="87">
      <c r="AL416" s="94">
        <f>IF(A416="","",IF(COUNTIF(A416:A$2001,A416)=1,1,0))</f>
        <v/>
      </c>
      <c r="AM416" s="94">
        <f>IF(I416="","",TODAY()-I416)</f>
        <v/>
      </c>
      <c r="AN416" s="94">
        <f>IF(A416="","",IF(AND(E416&lt;&gt;"33 確認済",E416&lt;&gt;"36 送付中"),1,0))</f>
        <v/>
      </c>
      <c r="AO416" s="94">
        <f>IF(A416="","",IF(AG416&lt;&gt;"",1,0))</f>
        <v/>
      </c>
      <c r="AP416" s="220">
        <f>IF(P416&lt;&gt;"","・添待ち","")&amp;IF(Q416&lt;&gt;"","・住民票","")&amp;IF(R416&lt;&gt;"","・発信","")&amp;IF(S416&lt;&gt;"","・確認事項","")&amp;IF(T416&lt;&gt;"","・管","")&amp;IF(U416&lt;&gt;"","・SV","")&amp;IF(V416&lt;&gt;"","・データ送付待ち","")&amp;IF(W416&lt;&gt;"","・削除","")</f>
        <v/>
      </c>
    </row>
    <row r="417" ht="15" customHeight="1" s="87">
      <c r="AL417" s="94">
        <f>IF(A417="","",IF(COUNTIF(A417:A$2001,A417)=1,1,0))</f>
        <v/>
      </c>
      <c r="AM417" s="94">
        <f>IF(I417="","",TODAY()-I417)</f>
        <v/>
      </c>
      <c r="AN417" s="94">
        <f>IF(A417="","",IF(AND(E417&lt;&gt;"33 確認済",E417&lt;&gt;"36 送付中"),1,0))</f>
        <v/>
      </c>
      <c r="AO417" s="94">
        <f>IF(A417="","",IF(AG417&lt;&gt;"",1,0))</f>
        <v/>
      </c>
      <c r="AP417" s="220">
        <f>IF(P417&lt;&gt;"","・添待ち","")&amp;IF(Q417&lt;&gt;"","・住民票","")&amp;IF(R417&lt;&gt;"","・発信","")&amp;IF(S417&lt;&gt;"","・確認事項","")&amp;IF(T417&lt;&gt;"","・管","")&amp;IF(U417&lt;&gt;"","・SV","")&amp;IF(V417&lt;&gt;"","・データ送付待ち","")&amp;IF(W417&lt;&gt;"","・削除","")</f>
        <v/>
      </c>
    </row>
    <row r="418" ht="15" customHeight="1" s="87">
      <c r="AL418" s="94">
        <f>IF(A418="","",IF(COUNTIF(A418:A$2001,A418)=1,1,0))</f>
        <v/>
      </c>
      <c r="AM418" s="94">
        <f>IF(I418="","",TODAY()-I418)</f>
        <v/>
      </c>
      <c r="AN418" s="94">
        <f>IF(A418="","",IF(AND(E418&lt;&gt;"33 確認済",E418&lt;&gt;"36 送付中"),1,0))</f>
        <v/>
      </c>
      <c r="AO418" s="94">
        <f>IF(A418="","",IF(AG418&lt;&gt;"",1,0))</f>
        <v/>
      </c>
      <c r="AP418" s="220">
        <f>IF(P418&lt;&gt;"","・添待ち","")&amp;IF(Q418&lt;&gt;"","・住民票","")&amp;IF(R418&lt;&gt;"","・発信","")&amp;IF(S418&lt;&gt;"","・確認事項","")&amp;IF(T418&lt;&gt;"","・管","")&amp;IF(U418&lt;&gt;"","・SV","")&amp;IF(V418&lt;&gt;"","・データ送付待ち","")&amp;IF(W418&lt;&gt;"","・削除","")</f>
        <v/>
      </c>
    </row>
    <row r="419" ht="15" customHeight="1" s="87">
      <c r="AL419" s="94">
        <f>IF(A419="","",IF(COUNTIF(A419:A$2001,A419)=1,1,0))</f>
        <v/>
      </c>
      <c r="AM419" s="94">
        <f>IF(I419="","",TODAY()-I419)</f>
        <v/>
      </c>
      <c r="AN419" s="94">
        <f>IF(A419="","",IF(AND(E419&lt;&gt;"33 確認済",E419&lt;&gt;"36 送付中"),1,0))</f>
        <v/>
      </c>
      <c r="AO419" s="94">
        <f>IF(A419="","",IF(AG419&lt;&gt;"",1,0))</f>
        <v/>
      </c>
      <c r="AP419" s="220">
        <f>IF(P419&lt;&gt;"","・添待ち","")&amp;IF(Q419&lt;&gt;"","・住民票","")&amp;IF(R419&lt;&gt;"","・発信","")&amp;IF(S419&lt;&gt;"","・確認事項","")&amp;IF(T419&lt;&gt;"","・管","")&amp;IF(U419&lt;&gt;"","・SV","")&amp;IF(V419&lt;&gt;"","・データ送付待ち","")&amp;IF(W419&lt;&gt;"","・削除","")</f>
        <v/>
      </c>
    </row>
    <row r="420" ht="15" customHeight="1" s="87">
      <c r="AL420" s="94">
        <f>IF(A420="","",IF(COUNTIF(A420:A$2001,A420)=1,1,0))</f>
        <v/>
      </c>
      <c r="AM420" s="94">
        <f>IF(I420="","",TODAY()-I420)</f>
        <v/>
      </c>
      <c r="AN420" s="94">
        <f>IF(A420="","",IF(AND(E420&lt;&gt;"33 確認済",E420&lt;&gt;"36 送付中"),1,0))</f>
        <v/>
      </c>
      <c r="AO420" s="94">
        <f>IF(A420="","",IF(AG420&lt;&gt;"",1,0))</f>
        <v/>
      </c>
      <c r="AP420" s="220">
        <f>IF(P420&lt;&gt;"","・添待ち","")&amp;IF(Q420&lt;&gt;"","・住民票","")&amp;IF(R420&lt;&gt;"","・発信","")&amp;IF(S420&lt;&gt;"","・確認事項","")&amp;IF(T420&lt;&gt;"","・管","")&amp;IF(U420&lt;&gt;"","・SV","")&amp;IF(V420&lt;&gt;"","・データ送付待ち","")&amp;IF(W420&lt;&gt;"","・削除","")</f>
        <v/>
      </c>
    </row>
    <row r="421" ht="15" customHeight="1" s="87">
      <c r="AL421" s="94">
        <f>IF(A421="","",IF(COUNTIF(A421:A$2001,A421)=1,1,0))</f>
        <v/>
      </c>
      <c r="AM421" s="94">
        <f>IF(I421="","",TODAY()-I421)</f>
        <v/>
      </c>
      <c r="AN421" s="94">
        <f>IF(A421="","",IF(AND(E421&lt;&gt;"33 確認済",E421&lt;&gt;"36 送付中"),1,0))</f>
        <v/>
      </c>
      <c r="AO421" s="94">
        <f>IF(A421="","",IF(AG421&lt;&gt;"",1,0))</f>
        <v/>
      </c>
      <c r="AP421" s="220">
        <f>IF(P421&lt;&gt;"","・添待ち","")&amp;IF(Q421&lt;&gt;"","・住民票","")&amp;IF(R421&lt;&gt;"","・発信","")&amp;IF(S421&lt;&gt;"","・確認事項","")&amp;IF(T421&lt;&gt;"","・管","")&amp;IF(U421&lt;&gt;"","・SV","")&amp;IF(V421&lt;&gt;"","・データ送付待ち","")&amp;IF(W421&lt;&gt;"","・削除","")</f>
        <v/>
      </c>
    </row>
    <row r="422" ht="15" customHeight="1" s="87">
      <c r="AL422" s="94">
        <f>IF(A422="","",IF(COUNTIF(A422:A$2001,A422)=1,1,0))</f>
        <v/>
      </c>
      <c r="AM422" s="94">
        <f>IF(I422="","",TODAY()-I422)</f>
        <v/>
      </c>
      <c r="AN422" s="94">
        <f>IF(A422="","",IF(AND(E422&lt;&gt;"33 確認済",E422&lt;&gt;"36 送付中"),1,0))</f>
        <v/>
      </c>
      <c r="AO422" s="94">
        <f>IF(A422="","",IF(AG422&lt;&gt;"",1,0))</f>
        <v/>
      </c>
      <c r="AP422" s="220">
        <f>IF(P422&lt;&gt;"","・添待ち","")&amp;IF(Q422&lt;&gt;"","・住民票","")&amp;IF(R422&lt;&gt;"","・発信","")&amp;IF(S422&lt;&gt;"","・確認事項","")&amp;IF(T422&lt;&gt;"","・管","")&amp;IF(U422&lt;&gt;"","・SV","")&amp;IF(V422&lt;&gt;"","・データ送付待ち","")&amp;IF(W422&lt;&gt;"","・削除","")</f>
        <v/>
      </c>
    </row>
    <row r="423" ht="15" customHeight="1" s="87">
      <c r="AL423" s="94">
        <f>IF(A423="","",IF(COUNTIF(A423:A$2001,A423)=1,1,0))</f>
        <v/>
      </c>
      <c r="AM423" s="94">
        <f>IF(I423="","",TODAY()-I423)</f>
        <v/>
      </c>
      <c r="AN423" s="94">
        <f>IF(A423="","",IF(AND(E423&lt;&gt;"33 確認済",E423&lt;&gt;"36 送付中"),1,0))</f>
        <v/>
      </c>
      <c r="AO423" s="94">
        <f>IF(A423="","",IF(AG423&lt;&gt;"",1,0))</f>
        <v/>
      </c>
      <c r="AP423" s="220">
        <f>IF(P423&lt;&gt;"","・添待ち","")&amp;IF(Q423&lt;&gt;"","・住民票","")&amp;IF(R423&lt;&gt;"","・発信","")&amp;IF(S423&lt;&gt;"","・確認事項","")&amp;IF(T423&lt;&gt;"","・管","")&amp;IF(U423&lt;&gt;"","・SV","")&amp;IF(V423&lt;&gt;"","・データ送付待ち","")&amp;IF(W423&lt;&gt;"","・削除","")</f>
        <v/>
      </c>
    </row>
    <row r="424" ht="15" customHeight="1" s="87">
      <c r="AL424" s="94">
        <f>IF(A424="","",IF(COUNTIF(A424:A$2001,A424)=1,1,0))</f>
        <v/>
      </c>
      <c r="AM424" s="94">
        <f>IF(I424="","",TODAY()-I424)</f>
        <v/>
      </c>
      <c r="AN424" s="94">
        <f>IF(A424="","",IF(AND(E424&lt;&gt;"33 確認済",E424&lt;&gt;"36 送付中"),1,0))</f>
        <v/>
      </c>
      <c r="AO424" s="94">
        <f>IF(A424="","",IF(AG424&lt;&gt;"",1,0))</f>
        <v/>
      </c>
      <c r="AP424" s="220">
        <f>IF(P424&lt;&gt;"","・添待ち","")&amp;IF(Q424&lt;&gt;"","・住民票","")&amp;IF(R424&lt;&gt;"","・発信","")&amp;IF(S424&lt;&gt;"","・確認事項","")&amp;IF(T424&lt;&gt;"","・管","")&amp;IF(U424&lt;&gt;"","・SV","")&amp;IF(V424&lt;&gt;"","・データ送付待ち","")&amp;IF(W424&lt;&gt;"","・削除","")</f>
        <v/>
      </c>
    </row>
    <row r="425" ht="15" customHeight="1" s="87">
      <c r="AL425" s="94">
        <f>IF(A425="","",IF(COUNTIF(A425:A$2001,A425)=1,1,0))</f>
        <v/>
      </c>
      <c r="AM425" s="94">
        <f>IF(I425="","",TODAY()-I425)</f>
        <v/>
      </c>
      <c r="AN425" s="94">
        <f>IF(A425="","",IF(AND(E425&lt;&gt;"33 確認済",E425&lt;&gt;"36 送付中"),1,0))</f>
        <v/>
      </c>
      <c r="AO425" s="94">
        <f>IF(A425="","",IF(AG425&lt;&gt;"",1,0))</f>
        <v/>
      </c>
      <c r="AP425" s="220">
        <f>IF(P425&lt;&gt;"","・添待ち","")&amp;IF(Q425&lt;&gt;"","・住民票","")&amp;IF(R425&lt;&gt;"","・発信","")&amp;IF(S425&lt;&gt;"","・確認事項","")&amp;IF(T425&lt;&gt;"","・管","")&amp;IF(U425&lt;&gt;"","・SV","")&amp;IF(V425&lt;&gt;"","・データ送付待ち","")&amp;IF(W425&lt;&gt;"","・削除","")</f>
        <v/>
      </c>
    </row>
    <row r="426" ht="15" customHeight="1" s="87">
      <c r="AL426" s="94">
        <f>IF(A426="","",IF(COUNTIF(A426:A$2001,A426)=1,1,0))</f>
        <v/>
      </c>
      <c r="AM426" s="94">
        <f>IF(I426="","",TODAY()-I426)</f>
        <v/>
      </c>
      <c r="AN426" s="94">
        <f>IF(A426="","",IF(AND(E426&lt;&gt;"33 確認済",E426&lt;&gt;"36 送付中"),1,0))</f>
        <v/>
      </c>
      <c r="AO426" s="94">
        <f>IF(A426="","",IF(AG426&lt;&gt;"",1,0))</f>
        <v/>
      </c>
      <c r="AP426" s="220">
        <f>IF(P426&lt;&gt;"","・添待ち","")&amp;IF(Q426&lt;&gt;"","・住民票","")&amp;IF(R426&lt;&gt;"","・発信","")&amp;IF(S426&lt;&gt;"","・確認事項","")&amp;IF(T426&lt;&gt;"","・管","")&amp;IF(U426&lt;&gt;"","・SV","")&amp;IF(V426&lt;&gt;"","・データ送付待ち","")&amp;IF(W426&lt;&gt;"","・削除","")</f>
        <v/>
      </c>
    </row>
    <row r="427" ht="15" customHeight="1" s="87">
      <c r="AL427" s="94">
        <f>IF(A427="","",IF(COUNTIF(A427:A$2001,A427)=1,1,0))</f>
        <v/>
      </c>
      <c r="AM427" s="94">
        <f>IF(I427="","",TODAY()-I427)</f>
        <v/>
      </c>
      <c r="AN427" s="94">
        <f>IF(A427="","",IF(AND(E427&lt;&gt;"33 確認済",E427&lt;&gt;"36 送付中"),1,0))</f>
        <v/>
      </c>
      <c r="AO427" s="94">
        <f>IF(A427="","",IF(AG427&lt;&gt;"",1,0))</f>
        <v/>
      </c>
      <c r="AP427" s="220">
        <f>IF(P427&lt;&gt;"","・添待ち","")&amp;IF(Q427&lt;&gt;"","・住民票","")&amp;IF(R427&lt;&gt;"","・発信","")&amp;IF(S427&lt;&gt;"","・確認事項","")&amp;IF(T427&lt;&gt;"","・管","")&amp;IF(U427&lt;&gt;"","・SV","")&amp;IF(V427&lt;&gt;"","・データ送付待ち","")&amp;IF(W427&lt;&gt;"","・削除","")</f>
        <v/>
      </c>
    </row>
    <row r="428" ht="15" customHeight="1" s="87">
      <c r="AL428" s="94">
        <f>IF(A428="","",IF(COUNTIF(A428:A$2001,A428)=1,1,0))</f>
        <v/>
      </c>
      <c r="AM428" s="94">
        <f>IF(I428="","",TODAY()-I428)</f>
        <v/>
      </c>
      <c r="AN428" s="94">
        <f>IF(A428="","",IF(AND(E428&lt;&gt;"33 確認済",E428&lt;&gt;"36 送付中"),1,0))</f>
        <v/>
      </c>
      <c r="AO428" s="94">
        <f>IF(A428="","",IF(AG428&lt;&gt;"",1,0))</f>
        <v/>
      </c>
      <c r="AP428" s="220">
        <f>IF(P428&lt;&gt;"","・添待ち","")&amp;IF(Q428&lt;&gt;"","・住民票","")&amp;IF(R428&lt;&gt;"","・発信","")&amp;IF(S428&lt;&gt;"","・確認事項","")&amp;IF(T428&lt;&gt;"","・管","")&amp;IF(U428&lt;&gt;"","・SV","")&amp;IF(V428&lt;&gt;"","・データ送付待ち","")&amp;IF(W428&lt;&gt;"","・削除","")</f>
        <v/>
      </c>
    </row>
    <row r="429" ht="15" customHeight="1" s="87">
      <c r="AL429" s="94">
        <f>IF(A429="","",IF(COUNTIF(A429:A$2001,A429)=1,1,0))</f>
        <v/>
      </c>
      <c r="AM429" s="94">
        <f>IF(I429="","",TODAY()-I429)</f>
        <v/>
      </c>
      <c r="AN429" s="94">
        <f>IF(A429="","",IF(AND(E429&lt;&gt;"33 確認済",E429&lt;&gt;"36 送付中"),1,0))</f>
        <v/>
      </c>
      <c r="AO429" s="94">
        <f>IF(A429="","",IF(AG429&lt;&gt;"",1,0))</f>
        <v/>
      </c>
      <c r="AP429" s="220">
        <f>IF(P429&lt;&gt;"","・添待ち","")&amp;IF(Q429&lt;&gt;"","・住民票","")&amp;IF(R429&lt;&gt;"","・発信","")&amp;IF(S429&lt;&gt;"","・確認事項","")&amp;IF(T429&lt;&gt;"","・管","")&amp;IF(U429&lt;&gt;"","・SV","")&amp;IF(V429&lt;&gt;"","・データ送付待ち","")&amp;IF(W429&lt;&gt;"","・削除","")</f>
        <v/>
      </c>
    </row>
    <row r="430" ht="15" customHeight="1" s="87">
      <c r="AL430" s="94">
        <f>IF(A430="","",IF(COUNTIF(A430:A$2001,A430)=1,1,0))</f>
        <v/>
      </c>
      <c r="AM430" s="94">
        <f>IF(I430="","",TODAY()-I430)</f>
        <v/>
      </c>
      <c r="AN430" s="94">
        <f>IF(A430="","",IF(AND(E430&lt;&gt;"33 確認済",E430&lt;&gt;"36 送付中"),1,0))</f>
        <v/>
      </c>
      <c r="AO430" s="94">
        <f>IF(A430="","",IF(AG430&lt;&gt;"",1,0))</f>
        <v/>
      </c>
      <c r="AP430" s="220">
        <f>IF(P430&lt;&gt;"","・添待ち","")&amp;IF(Q430&lt;&gt;"","・住民票","")&amp;IF(R430&lt;&gt;"","・発信","")&amp;IF(S430&lt;&gt;"","・確認事項","")&amp;IF(T430&lt;&gt;"","・管","")&amp;IF(U430&lt;&gt;"","・SV","")&amp;IF(V430&lt;&gt;"","・データ送付待ち","")&amp;IF(W430&lt;&gt;"","・削除","")</f>
        <v/>
      </c>
    </row>
    <row r="431" ht="15" customHeight="1" s="87">
      <c r="AL431" s="94">
        <f>IF(A431="","",IF(COUNTIF(A431:A$2001,A431)=1,1,0))</f>
        <v/>
      </c>
      <c r="AM431" s="94">
        <f>IF(I431="","",TODAY()-I431)</f>
        <v/>
      </c>
      <c r="AN431" s="94">
        <f>IF(A431="","",IF(AND(E431&lt;&gt;"33 確認済",E431&lt;&gt;"36 送付中"),1,0))</f>
        <v/>
      </c>
      <c r="AO431" s="94">
        <f>IF(A431="","",IF(AG431&lt;&gt;"",1,0))</f>
        <v/>
      </c>
      <c r="AP431" s="220">
        <f>IF(P431&lt;&gt;"","・添待ち","")&amp;IF(Q431&lt;&gt;"","・住民票","")&amp;IF(R431&lt;&gt;"","・発信","")&amp;IF(S431&lt;&gt;"","・確認事項","")&amp;IF(T431&lt;&gt;"","・管","")&amp;IF(U431&lt;&gt;"","・SV","")&amp;IF(V431&lt;&gt;"","・データ送付待ち","")&amp;IF(W431&lt;&gt;"","・削除","")</f>
        <v/>
      </c>
    </row>
    <row r="432" ht="15" customHeight="1" s="87">
      <c r="AL432" s="94">
        <f>IF(A432="","",IF(COUNTIF(A432:A$2001,A432)=1,1,0))</f>
        <v/>
      </c>
      <c r="AM432" s="94">
        <f>IF(I432="","",TODAY()-I432)</f>
        <v/>
      </c>
      <c r="AN432" s="94">
        <f>IF(A432="","",IF(AND(E432&lt;&gt;"33 確認済",E432&lt;&gt;"36 送付中"),1,0))</f>
        <v/>
      </c>
      <c r="AO432" s="94">
        <f>IF(A432="","",IF(AG432&lt;&gt;"",1,0))</f>
        <v/>
      </c>
      <c r="AP432" s="220">
        <f>IF(P432&lt;&gt;"","・添待ち","")&amp;IF(Q432&lt;&gt;"","・住民票","")&amp;IF(R432&lt;&gt;"","・発信","")&amp;IF(S432&lt;&gt;"","・確認事項","")&amp;IF(T432&lt;&gt;"","・管","")&amp;IF(U432&lt;&gt;"","・SV","")&amp;IF(V432&lt;&gt;"","・データ送付待ち","")&amp;IF(W432&lt;&gt;"","・削除","")</f>
        <v/>
      </c>
    </row>
    <row r="433" ht="15" customHeight="1" s="87">
      <c r="AL433" s="94">
        <f>IF(A433="","",IF(COUNTIF(A433:A$2001,A433)=1,1,0))</f>
        <v/>
      </c>
      <c r="AM433" s="94">
        <f>IF(I433="","",TODAY()-I433)</f>
        <v/>
      </c>
      <c r="AN433" s="94">
        <f>IF(A433="","",IF(AND(E433&lt;&gt;"33 確認済",E433&lt;&gt;"36 送付中"),1,0))</f>
        <v/>
      </c>
      <c r="AO433" s="94">
        <f>IF(A433="","",IF(AG433&lt;&gt;"",1,0))</f>
        <v/>
      </c>
      <c r="AP433" s="220">
        <f>IF(P433&lt;&gt;"","・添待ち","")&amp;IF(Q433&lt;&gt;"","・住民票","")&amp;IF(R433&lt;&gt;"","・発信","")&amp;IF(S433&lt;&gt;"","・確認事項","")&amp;IF(T433&lt;&gt;"","・管","")&amp;IF(U433&lt;&gt;"","・SV","")&amp;IF(V433&lt;&gt;"","・データ送付待ち","")&amp;IF(W433&lt;&gt;"","・削除","")</f>
        <v/>
      </c>
    </row>
    <row r="434" ht="15" customHeight="1" s="87">
      <c r="AL434" s="94">
        <f>IF(A434="","",IF(COUNTIF(A434:A$2001,A434)=1,1,0))</f>
        <v/>
      </c>
      <c r="AM434" s="94">
        <f>IF(I434="","",TODAY()-I434)</f>
        <v/>
      </c>
      <c r="AN434" s="94">
        <f>IF(A434="","",IF(AND(E434&lt;&gt;"33 確認済",E434&lt;&gt;"36 送付中"),1,0))</f>
        <v/>
      </c>
      <c r="AO434" s="94">
        <f>IF(A434="","",IF(AG434&lt;&gt;"",1,0))</f>
        <v/>
      </c>
      <c r="AP434" s="220">
        <f>IF(P434&lt;&gt;"","・添待ち","")&amp;IF(Q434&lt;&gt;"","・住民票","")&amp;IF(R434&lt;&gt;"","・発信","")&amp;IF(S434&lt;&gt;"","・確認事項","")&amp;IF(T434&lt;&gt;"","・管","")&amp;IF(U434&lt;&gt;"","・SV","")&amp;IF(V434&lt;&gt;"","・データ送付待ち","")&amp;IF(W434&lt;&gt;"","・削除","")</f>
        <v/>
      </c>
    </row>
    <row r="435" ht="15" customHeight="1" s="87">
      <c r="AL435" s="94">
        <f>IF(A435="","",IF(COUNTIF(A435:A$2001,A435)=1,1,0))</f>
        <v/>
      </c>
      <c r="AM435" s="94">
        <f>IF(I435="","",TODAY()-I435)</f>
        <v/>
      </c>
      <c r="AN435" s="94">
        <f>IF(A435="","",IF(AND(E435&lt;&gt;"33 確認済",E435&lt;&gt;"36 送付中"),1,0))</f>
        <v/>
      </c>
      <c r="AO435" s="94">
        <f>IF(A435="","",IF(AG435&lt;&gt;"",1,0))</f>
        <v/>
      </c>
      <c r="AP435" s="220">
        <f>IF(P435&lt;&gt;"","・添待ち","")&amp;IF(Q435&lt;&gt;"","・住民票","")&amp;IF(R435&lt;&gt;"","・発信","")&amp;IF(S435&lt;&gt;"","・確認事項","")&amp;IF(T435&lt;&gt;"","・管","")&amp;IF(U435&lt;&gt;"","・SV","")&amp;IF(V435&lt;&gt;"","・データ送付待ち","")&amp;IF(W435&lt;&gt;"","・削除","")</f>
        <v/>
      </c>
    </row>
    <row r="436" ht="15" customHeight="1" s="87">
      <c r="AL436" s="94">
        <f>IF(A436="","",IF(COUNTIF(A436:A$2001,A436)=1,1,0))</f>
        <v/>
      </c>
      <c r="AM436" s="94">
        <f>IF(I436="","",TODAY()-I436)</f>
        <v/>
      </c>
      <c r="AN436" s="94">
        <f>IF(A436="","",IF(AND(E436&lt;&gt;"33 確認済",E436&lt;&gt;"36 送付中"),1,0))</f>
        <v/>
      </c>
      <c r="AO436" s="94">
        <f>IF(A436="","",IF(AG436&lt;&gt;"",1,0))</f>
        <v/>
      </c>
      <c r="AP436" s="220">
        <f>IF(P436&lt;&gt;"","・添待ち","")&amp;IF(Q436&lt;&gt;"","・住民票","")&amp;IF(R436&lt;&gt;"","・発信","")&amp;IF(S436&lt;&gt;"","・確認事項","")&amp;IF(T436&lt;&gt;"","・管","")&amp;IF(U436&lt;&gt;"","・SV","")&amp;IF(V436&lt;&gt;"","・データ送付待ち","")&amp;IF(W436&lt;&gt;"","・削除","")</f>
        <v/>
      </c>
    </row>
    <row r="437" ht="15" customHeight="1" s="87">
      <c r="AL437" s="94">
        <f>IF(A437="","",IF(COUNTIF(A437:A$2001,A437)=1,1,0))</f>
        <v/>
      </c>
      <c r="AM437" s="94">
        <f>IF(I437="","",TODAY()-I437)</f>
        <v/>
      </c>
      <c r="AN437" s="94">
        <f>IF(A437="","",IF(AND(E437&lt;&gt;"33 確認済",E437&lt;&gt;"36 送付中"),1,0))</f>
        <v/>
      </c>
      <c r="AO437" s="94">
        <f>IF(A437="","",IF(AG437&lt;&gt;"",1,0))</f>
        <v/>
      </c>
      <c r="AP437" s="220">
        <f>IF(P437&lt;&gt;"","・添待ち","")&amp;IF(Q437&lt;&gt;"","・住民票","")&amp;IF(R437&lt;&gt;"","・発信","")&amp;IF(S437&lt;&gt;"","・確認事項","")&amp;IF(T437&lt;&gt;"","・管","")&amp;IF(U437&lt;&gt;"","・SV","")&amp;IF(V437&lt;&gt;"","・データ送付待ち","")&amp;IF(W437&lt;&gt;"","・削除","")</f>
        <v/>
      </c>
    </row>
    <row r="438" ht="15" customHeight="1" s="87">
      <c r="AL438" s="94">
        <f>IF(A438="","",IF(COUNTIF(A438:A$2001,A438)=1,1,0))</f>
        <v/>
      </c>
      <c r="AM438" s="94">
        <f>IF(I438="","",TODAY()-I438)</f>
        <v/>
      </c>
      <c r="AN438" s="94">
        <f>IF(A438="","",IF(AND(E438&lt;&gt;"33 確認済",E438&lt;&gt;"36 送付中"),1,0))</f>
        <v/>
      </c>
      <c r="AO438" s="94">
        <f>IF(A438="","",IF(AG438&lt;&gt;"",1,0))</f>
        <v/>
      </c>
      <c r="AP438" s="220">
        <f>IF(P438&lt;&gt;"","・添待ち","")&amp;IF(Q438&lt;&gt;"","・住民票","")&amp;IF(R438&lt;&gt;"","・発信","")&amp;IF(S438&lt;&gt;"","・確認事項","")&amp;IF(T438&lt;&gt;"","・管","")&amp;IF(U438&lt;&gt;"","・SV","")&amp;IF(V438&lt;&gt;"","・データ送付待ち","")&amp;IF(W438&lt;&gt;"","・削除","")</f>
        <v/>
      </c>
    </row>
    <row r="439" ht="15" customHeight="1" s="87">
      <c r="AL439" s="94">
        <f>IF(A439="","",IF(COUNTIF(A439:A$2001,A439)=1,1,0))</f>
        <v/>
      </c>
      <c r="AM439" s="94">
        <f>IF(I439="","",TODAY()-I439)</f>
        <v/>
      </c>
      <c r="AN439" s="94">
        <f>IF(A439="","",IF(AND(E439&lt;&gt;"33 確認済",E439&lt;&gt;"36 送付中"),1,0))</f>
        <v/>
      </c>
      <c r="AO439" s="94">
        <f>IF(A439="","",IF(AG439&lt;&gt;"",1,0))</f>
        <v/>
      </c>
      <c r="AP439" s="220">
        <f>IF(P439&lt;&gt;"","・添待ち","")&amp;IF(Q439&lt;&gt;"","・住民票","")&amp;IF(R439&lt;&gt;"","・発信","")&amp;IF(S439&lt;&gt;"","・確認事項","")&amp;IF(T439&lt;&gt;"","・管","")&amp;IF(U439&lt;&gt;"","・SV","")&amp;IF(V439&lt;&gt;"","・データ送付待ち","")&amp;IF(W439&lt;&gt;"","・削除","")</f>
        <v/>
      </c>
    </row>
    <row r="440" ht="15" customHeight="1" s="87">
      <c r="AL440" s="94">
        <f>IF(A440="","",IF(COUNTIF(A440:A$2001,A440)=1,1,0))</f>
        <v/>
      </c>
      <c r="AM440" s="94">
        <f>IF(I440="","",TODAY()-I440)</f>
        <v/>
      </c>
      <c r="AN440" s="94">
        <f>IF(A440="","",IF(AND(E440&lt;&gt;"33 確認済",E440&lt;&gt;"36 送付中"),1,0))</f>
        <v/>
      </c>
      <c r="AO440" s="94">
        <f>IF(A440="","",IF(AG440&lt;&gt;"",1,0))</f>
        <v/>
      </c>
      <c r="AP440" s="220">
        <f>IF(P440&lt;&gt;"","・添待ち","")&amp;IF(Q440&lt;&gt;"","・住民票","")&amp;IF(R440&lt;&gt;"","・発信","")&amp;IF(S440&lt;&gt;"","・確認事項","")&amp;IF(T440&lt;&gt;"","・管","")&amp;IF(U440&lt;&gt;"","・SV","")&amp;IF(V440&lt;&gt;"","・データ送付待ち","")&amp;IF(W440&lt;&gt;"","・削除","")</f>
        <v/>
      </c>
    </row>
    <row r="441" ht="15" customHeight="1" s="87">
      <c r="AL441" s="94">
        <f>IF(A441="","",IF(COUNTIF(A441:A$2001,A441)=1,1,0))</f>
        <v/>
      </c>
      <c r="AM441" s="94">
        <f>IF(I441="","",TODAY()-I441)</f>
        <v/>
      </c>
      <c r="AN441" s="94">
        <f>IF(A441="","",IF(AND(E441&lt;&gt;"33 確認済",E441&lt;&gt;"36 送付中"),1,0))</f>
        <v/>
      </c>
      <c r="AO441" s="94">
        <f>IF(A441="","",IF(AG441&lt;&gt;"",1,0))</f>
        <v/>
      </c>
      <c r="AP441" s="220">
        <f>IF(P441&lt;&gt;"","・添待ち","")&amp;IF(Q441&lt;&gt;"","・住民票","")&amp;IF(R441&lt;&gt;"","・発信","")&amp;IF(S441&lt;&gt;"","・確認事項","")&amp;IF(T441&lt;&gt;"","・管","")&amp;IF(U441&lt;&gt;"","・SV","")&amp;IF(V441&lt;&gt;"","・データ送付待ち","")&amp;IF(W441&lt;&gt;"","・削除","")</f>
        <v/>
      </c>
    </row>
    <row r="442" ht="15" customHeight="1" s="87">
      <c r="AL442" s="94">
        <f>IF(A442="","",IF(COUNTIF(A442:A$2001,A442)=1,1,0))</f>
        <v/>
      </c>
      <c r="AM442" s="94">
        <f>IF(I442="","",TODAY()-I442)</f>
        <v/>
      </c>
      <c r="AN442" s="94">
        <f>IF(A442="","",IF(AND(E442&lt;&gt;"33 確認済",E442&lt;&gt;"36 送付中"),1,0))</f>
        <v/>
      </c>
      <c r="AO442" s="94">
        <f>IF(A442="","",IF(AG442&lt;&gt;"",1,0))</f>
        <v/>
      </c>
      <c r="AP442" s="220">
        <f>IF(P442&lt;&gt;"","・添待ち","")&amp;IF(Q442&lt;&gt;"","・住民票","")&amp;IF(R442&lt;&gt;"","・発信","")&amp;IF(S442&lt;&gt;"","・確認事項","")&amp;IF(T442&lt;&gt;"","・管","")&amp;IF(U442&lt;&gt;"","・SV","")&amp;IF(V442&lt;&gt;"","・データ送付待ち","")&amp;IF(W442&lt;&gt;"","・削除","")</f>
        <v/>
      </c>
    </row>
    <row r="443" ht="15" customHeight="1" s="87">
      <c r="AL443" s="94">
        <f>IF(A443="","",IF(COUNTIF(A443:A$2001,A443)=1,1,0))</f>
        <v/>
      </c>
      <c r="AM443" s="94">
        <f>IF(I443="","",TODAY()-I443)</f>
        <v/>
      </c>
      <c r="AN443" s="94">
        <f>IF(A443="","",IF(AND(E443&lt;&gt;"33 確認済",E443&lt;&gt;"36 送付中"),1,0))</f>
        <v/>
      </c>
      <c r="AO443" s="94">
        <f>IF(A443="","",IF(AG443&lt;&gt;"",1,0))</f>
        <v/>
      </c>
      <c r="AP443" s="220">
        <f>IF(P443&lt;&gt;"","・添待ち","")&amp;IF(Q443&lt;&gt;"","・住民票","")&amp;IF(R443&lt;&gt;"","・発信","")&amp;IF(S443&lt;&gt;"","・確認事項","")&amp;IF(T443&lt;&gt;"","・管","")&amp;IF(U443&lt;&gt;"","・SV","")&amp;IF(V443&lt;&gt;"","・データ送付待ち","")&amp;IF(W443&lt;&gt;"","・削除","")</f>
        <v/>
      </c>
    </row>
    <row r="444" ht="15" customHeight="1" s="87">
      <c r="AL444" s="94">
        <f>IF(A444="","",IF(COUNTIF(A444:A$2001,A444)=1,1,0))</f>
        <v/>
      </c>
      <c r="AM444" s="94">
        <f>IF(I444="","",TODAY()-I444)</f>
        <v/>
      </c>
      <c r="AN444" s="94">
        <f>IF(A444="","",IF(AND(E444&lt;&gt;"33 確認済",E444&lt;&gt;"36 送付中"),1,0))</f>
        <v/>
      </c>
      <c r="AO444" s="94">
        <f>IF(A444="","",IF(AG444&lt;&gt;"",1,0))</f>
        <v/>
      </c>
      <c r="AP444" s="220">
        <f>IF(P444&lt;&gt;"","・添待ち","")&amp;IF(Q444&lt;&gt;"","・住民票","")&amp;IF(R444&lt;&gt;"","・発信","")&amp;IF(S444&lt;&gt;"","・確認事項","")&amp;IF(T444&lt;&gt;"","・管","")&amp;IF(U444&lt;&gt;"","・SV","")&amp;IF(V444&lt;&gt;"","・データ送付待ち","")&amp;IF(W444&lt;&gt;"","・削除","")</f>
        <v/>
      </c>
    </row>
    <row r="445" ht="15" customHeight="1" s="87">
      <c r="AL445" s="94">
        <f>IF(A445="","",IF(COUNTIF(A445:A$2001,A445)=1,1,0))</f>
        <v/>
      </c>
      <c r="AM445" s="94">
        <f>IF(I445="","",TODAY()-I445)</f>
        <v/>
      </c>
      <c r="AN445" s="94">
        <f>IF(A445="","",IF(AND(E445&lt;&gt;"33 確認済",E445&lt;&gt;"36 送付中"),1,0))</f>
        <v/>
      </c>
      <c r="AO445" s="94">
        <f>IF(A445="","",IF(AG445&lt;&gt;"",1,0))</f>
        <v/>
      </c>
      <c r="AP445" s="220">
        <f>IF(P445&lt;&gt;"","・添待ち","")&amp;IF(Q445&lt;&gt;"","・住民票","")&amp;IF(R445&lt;&gt;"","・発信","")&amp;IF(S445&lt;&gt;"","・確認事項","")&amp;IF(T445&lt;&gt;"","・管","")&amp;IF(U445&lt;&gt;"","・SV","")&amp;IF(V445&lt;&gt;"","・データ送付待ち","")&amp;IF(W445&lt;&gt;"","・削除","")</f>
        <v/>
      </c>
    </row>
    <row r="446" ht="15" customHeight="1" s="87">
      <c r="AL446" s="94">
        <f>IF(A446="","",IF(COUNTIF(A446:A$2001,A446)=1,1,0))</f>
        <v/>
      </c>
      <c r="AM446" s="94">
        <f>IF(I446="","",TODAY()-I446)</f>
        <v/>
      </c>
      <c r="AN446" s="94">
        <f>IF(A446="","",IF(AND(E446&lt;&gt;"33 確認済",E446&lt;&gt;"36 送付中"),1,0))</f>
        <v/>
      </c>
      <c r="AO446" s="94">
        <f>IF(A446="","",IF(AG446&lt;&gt;"",1,0))</f>
        <v/>
      </c>
      <c r="AP446" s="220">
        <f>IF(P446&lt;&gt;"","・添待ち","")&amp;IF(Q446&lt;&gt;"","・住民票","")&amp;IF(R446&lt;&gt;"","・発信","")&amp;IF(S446&lt;&gt;"","・確認事項","")&amp;IF(T446&lt;&gt;"","・管","")&amp;IF(U446&lt;&gt;"","・SV","")&amp;IF(V446&lt;&gt;"","・データ送付待ち","")&amp;IF(W446&lt;&gt;"","・削除","")</f>
        <v/>
      </c>
    </row>
    <row r="447" ht="15" customHeight="1" s="87">
      <c r="AL447" s="94">
        <f>IF(A447="","",IF(COUNTIF(A447:A$2001,A447)=1,1,0))</f>
        <v/>
      </c>
      <c r="AM447" s="94">
        <f>IF(I447="","",TODAY()-I447)</f>
        <v/>
      </c>
      <c r="AN447" s="94">
        <f>IF(A447="","",IF(AND(E447&lt;&gt;"33 確認済",E447&lt;&gt;"36 送付中"),1,0))</f>
        <v/>
      </c>
      <c r="AO447" s="94">
        <f>IF(A447="","",IF(AG447&lt;&gt;"",1,0))</f>
        <v/>
      </c>
      <c r="AP447" s="220">
        <f>IF(P447&lt;&gt;"","・添待ち","")&amp;IF(Q447&lt;&gt;"","・住民票","")&amp;IF(R447&lt;&gt;"","・発信","")&amp;IF(S447&lt;&gt;"","・確認事項","")&amp;IF(T447&lt;&gt;"","・管","")&amp;IF(U447&lt;&gt;"","・SV","")&amp;IF(V447&lt;&gt;"","・データ送付待ち","")&amp;IF(W447&lt;&gt;"","・削除","")</f>
        <v/>
      </c>
    </row>
    <row r="448" ht="15" customHeight="1" s="87">
      <c r="AL448" s="94">
        <f>IF(A448="","",IF(COUNTIF(A448:A$2001,A448)=1,1,0))</f>
        <v/>
      </c>
      <c r="AM448" s="94">
        <f>IF(I448="","",TODAY()-I448)</f>
        <v/>
      </c>
      <c r="AN448" s="94">
        <f>IF(A448="","",IF(AND(E448&lt;&gt;"33 確認済",E448&lt;&gt;"36 送付中"),1,0))</f>
        <v/>
      </c>
      <c r="AO448" s="94">
        <f>IF(A448="","",IF(AG448&lt;&gt;"",1,0))</f>
        <v/>
      </c>
      <c r="AP448" s="220">
        <f>IF(P448&lt;&gt;"","・添待ち","")&amp;IF(Q448&lt;&gt;"","・住民票","")&amp;IF(R448&lt;&gt;"","・発信","")&amp;IF(S448&lt;&gt;"","・確認事項","")&amp;IF(T448&lt;&gt;"","・管","")&amp;IF(U448&lt;&gt;"","・SV","")&amp;IF(V448&lt;&gt;"","・データ送付待ち","")&amp;IF(W448&lt;&gt;"","・削除","")</f>
        <v/>
      </c>
    </row>
    <row r="449" ht="15" customHeight="1" s="87">
      <c r="AL449" s="94">
        <f>IF(A449="","",IF(COUNTIF(A449:A$2001,A449)=1,1,0))</f>
        <v/>
      </c>
      <c r="AM449" s="94">
        <f>IF(I449="","",TODAY()-I449)</f>
        <v/>
      </c>
      <c r="AN449" s="94">
        <f>IF(A449="","",IF(AND(E449&lt;&gt;"33 確認済",E449&lt;&gt;"36 送付中"),1,0))</f>
        <v/>
      </c>
      <c r="AO449" s="94">
        <f>IF(A449="","",IF(AG449&lt;&gt;"",1,0))</f>
        <v/>
      </c>
      <c r="AP449" s="220">
        <f>IF(P449&lt;&gt;"","・添待ち","")&amp;IF(Q449&lt;&gt;"","・住民票","")&amp;IF(R449&lt;&gt;"","・発信","")&amp;IF(S449&lt;&gt;"","・確認事項","")&amp;IF(T449&lt;&gt;"","・管","")&amp;IF(U449&lt;&gt;"","・SV","")&amp;IF(V449&lt;&gt;"","・データ送付待ち","")&amp;IF(W449&lt;&gt;"","・削除","")</f>
        <v/>
      </c>
    </row>
    <row r="450" ht="15" customHeight="1" s="87">
      <c r="AL450" s="94">
        <f>IF(A450="","",IF(COUNTIF(A450:A$2001,A450)=1,1,0))</f>
        <v/>
      </c>
      <c r="AM450" s="94">
        <f>IF(I450="","",TODAY()-I450)</f>
        <v/>
      </c>
      <c r="AN450" s="94">
        <f>IF(A450="","",IF(AND(E450&lt;&gt;"33 確認済",E450&lt;&gt;"36 送付中"),1,0))</f>
        <v/>
      </c>
      <c r="AO450" s="94">
        <f>IF(A450="","",IF(AG450&lt;&gt;"",1,0))</f>
        <v/>
      </c>
      <c r="AP450" s="220">
        <f>IF(P450&lt;&gt;"","・添待ち","")&amp;IF(Q450&lt;&gt;"","・住民票","")&amp;IF(R450&lt;&gt;"","・発信","")&amp;IF(S450&lt;&gt;"","・確認事項","")&amp;IF(T450&lt;&gt;"","・管","")&amp;IF(U450&lt;&gt;"","・SV","")&amp;IF(V450&lt;&gt;"","・データ送付待ち","")&amp;IF(W450&lt;&gt;"","・削除","")</f>
        <v/>
      </c>
    </row>
    <row r="451" ht="15" customHeight="1" s="87">
      <c r="AL451" s="94">
        <f>IF(A451="","",IF(COUNTIF(A451:A$2001,A451)=1,1,0))</f>
        <v/>
      </c>
      <c r="AM451" s="94">
        <f>IF(I451="","",TODAY()-I451)</f>
        <v/>
      </c>
      <c r="AN451" s="94">
        <f>IF(A451="","",IF(AND(E451&lt;&gt;"33 確認済",E451&lt;&gt;"36 送付中"),1,0))</f>
        <v/>
      </c>
      <c r="AO451" s="94">
        <f>IF(A451="","",IF(AG451&lt;&gt;"",1,0))</f>
        <v/>
      </c>
      <c r="AP451" s="220">
        <f>IF(P451&lt;&gt;"","・添待ち","")&amp;IF(Q451&lt;&gt;"","・住民票","")&amp;IF(R451&lt;&gt;"","・発信","")&amp;IF(S451&lt;&gt;"","・確認事項","")&amp;IF(T451&lt;&gt;"","・管","")&amp;IF(U451&lt;&gt;"","・SV","")&amp;IF(V451&lt;&gt;"","・データ送付待ち","")&amp;IF(W451&lt;&gt;"","・削除","")</f>
        <v/>
      </c>
    </row>
    <row r="452" ht="15" customHeight="1" s="87">
      <c r="AL452" s="94">
        <f>IF(A452="","",IF(COUNTIF(A452:A$2001,A452)=1,1,0))</f>
        <v/>
      </c>
      <c r="AM452" s="94">
        <f>IF(I452="","",TODAY()-I452)</f>
        <v/>
      </c>
      <c r="AN452" s="94">
        <f>IF(A452="","",IF(AND(E452&lt;&gt;"33 確認済",E452&lt;&gt;"36 送付中"),1,0))</f>
        <v/>
      </c>
      <c r="AO452" s="94">
        <f>IF(A452="","",IF(AG452&lt;&gt;"",1,0))</f>
        <v/>
      </c>
      <c r="AP452" s="220">
        <f>IF(P452&lt;&gt;"","・添待ち","")&amp;IF(Q452&lt;&gt;"","・住民票","")&amp;IF(R452&lt;&gt;"","・発信","")&amp;IF(S452&lt;&gt;"","・確認事項","")&amp;IF(T452&lt;&gt;"","・管","")&amp;IF(U452&lt;&gt;"","・SV","")&amp;IF(V452&lt;&gt;"","・データ送付待ち","")&amp;IF(W452&lt;&gt;"","・削除","")</f>
        <v/>
      </c>
    </row>
    <row r="453" ht="15" customHeight="1" s="87">
      <c r="AL453" s="94">
        <f>IF(A453="","",IF(COUNTIF(A453:A$2001,A453)=1,1,0))</f>
        <v/>
      </c>
      <c r="AM453" s="94">
        <f>IF(I453="","",TODAY()-I453)</f>
        <v/>
      </c>
      <c r="AN453" s="94">
        <f>IF(A453="","",IF(AND(E453&lt;&gt;"33 確認済",E453&lt;&gt;"36 送付中"),1,0))</f>
        <v/>
      </c>
      <c r="AO453" s="94">
        <f>IF(A453="","",IF(AG453&lt;&gt;"",1,0))</f>
        <v/>
      </c>
      <c r="AP453" s="220">
        <f>IF(P453&lt;&gt;"","・添待ち","")&amp;IF(Q453&lt;&gt;"","・住民票","")&amp;IF(R453&lt;&gt;"","・発信","")&amp;IF(S453&lt;&gt;"","・確認事項","")&amp;IF(T453&lt;&gt;"","・管","")&amp;IF(U453&lt;&gt;"","・SV","")&amp;IF(V453&lt;&gt;"","・データ送付待ち","")&amp;IF(W453&lt;&gt;"","・削除","")</f>
        <v/>
      </c>
    </row>
    <row r="454" ht="15" customHeight="1" s="87">
      <c r="AL454" s="94">
        <f>IF(A454="","",IF(COUNTIF(A454:A$2001,A454)=1,1,0))</f>
        <v/>
      </c>
      <c r="AM454" s="94">
        <f>IF(I454="","",TODAY()-I454)</f>
        <v/>
      </c>
      <c r="AN454" s="94">
        <f>IF(A454="","",IF(AND(E454&lt;&gt;"33 確認済",E454&lt;&gt;"36 送付中"),1,0))</f>
        <v/>
      </c>
      <c r="AO454" s="94">
        <f>IF(A454="","",IF(AG454&lt;&gt;"",1,0))</f>
        <v/>
      </c>
      <c r="AP454" s="220">
        <f>IF(P454&lt;&gt;"","・添待ち","")&amp;IF(Q454&lt;&gt;"","・住民票","")&amp;IF(R454&lt;&gt;"","・発信","")&amp;IF(S454&lt;&gt;"","・確認事項","")&amp;IF(T454&lt;&gt;"","・管","")&amp;IF(U454&lt;&gt;"","・SV","")&amp;IF(V454&lt;&gt;"","・データ送付待ち","")&amp;IF(W454&lt;&gt;"","・削除","")</f>
        <v/>
      </c>
    </row>
    <row r="455" ht="15" customHeight="1" s="87">
      <c r="AL455" s="94">
        <f>IF(A455="","",IF(COUNTIF(A455:A$2001,A455)=1,1,0))</f>
        <v/>
      </c>
      <c r="AM455" s="94">
        <f>IF(I455="","",TODAY()-I455)</f>
        <v/>
      </c>
      <c r="AN455" s="94">
        <f>IF(A455="","",IF(AND(E455&lt;&gt;"33 確認済",E455&lt;&gt;"36 送付中"),1,0))</f>
        <v/>
      </c>
      <c r="AO455" s="94">
        <f>IF(A455="","",IF(AG455&lt;&gt;"",1,0))</f>
        <v/>
      </c>
      <c r="AP455" s="220">
        <f>IF(P455&lt;&gt;"","・添待ち","")&amp;IF(Q455&lt;&gt;"","・住民票","")&amp;IF(R455&lt;&gt;"","・発信","")&amp;IF(S455&lt;&gt;"","・確認事項","")&amp;IF(T455&lt;&gt;"","・管","")&amp;IF(U455&lt;&gt;"","・SV","")&amp;IF(V455&lt;&gt;"","・データ送付待ち","")&amp;IF(W455&lt;&gt;"","・削除","")</f>
        <v/>
      </c>
    </row>
    <row r="456" ht="15" customHeight="1" s="87">
      <c r="AL456" s="94">
        <f>IF(A456="","",IF(COUNTIF(A456:A$2001,A456)=1,1,0))</f>
        <v/>
      </c>
      <c r="AM456" s="94">
        <f>IF(I456="","",TODAY()-I456)</f>
        <v/>
      </c>
      <c r="AN456" s="94">
        <f>IF(A456="","",IF(AND(E456&lt;&gt;"33 確認済",E456&lt;&gt;"36 送付中"),1,0))</f>
        <v/>
      </c>
      <c r="AO456" s="94">
        <f>IF(A456="","",IF(AG456&lt;&gt;"",1,0))</f>
        <v/>
      </c>
      <c r="AP456" s="220">
        <f>IF(P456&lt;&gt;"","・添待ち","")&amp;IF(Q456&lt;&gt;"","・住民票","")&amp;IF(R456&lt;&gt;"","・発信","")&amp;IF(S456&lt;&gt;"","・確認事項","")&amp;IF(T456&lt;&gt;"","・管","")&amp;IF(U456&lt;&gt;"","・SV","")&amp;IF(V456&lt;&gt;"","・データ送付待ち","")&amp;IF(W456&lt;&gt;"","・削除","")</f>
        <v/>
      </c>
    </row>
    <row r="457" ht="15" customHeight="1" s="87">
      <c r="AL457" s="94">
        <f>IF(A457="","",IF(COUNTIF(A457:A$2001,A457)=1,1,0))</f>
        <v/>
      </c>
      <c r="AM457" s="94">
        <f>IF(I457="","",TODAY()-I457)</f>
        <v/>
      </c>
      <c r="AN457" s="94">
        <f>IF(A457="","",IF(AND(E457&lt;&gt;"33 確認済",E457&lt;&gt;"36 送付中"),1,0))</f>
        <v/>
      </c>
      <c r="AO457" s="94">
        <f>IF(A457="","",IF(AG457&lt;&gt;"",1,0))</f>
        <v/>
      </c>
      <c r="AP457" s="220">
        <f>IF(P457&lt;&gt;"","・添待ち","")&amp;IF(Q457&lt;&gt;"","・住民票","")&amp;IF(R457&lt;&gt;"","・発信","")&amp;IF(S457&lt;&gt;"","・確認事項","")&amp;IF(T457&lt;&gt;"","・管","")&amp;IF(U457&lt;&gt;"","・SV","")&amp;IF(V457&lt;&gt;"","・データ送付待ち","")&amp;IF(W457&lt;&gt;"","・削除","")</f>
        <v/>
      </c>
    </row>
    <row r="458" ht="15" customHeight="1" s="87">
      <c r="AL458" s="94">
        <f>IF(A458="","",IF(COUNTIF(A458:A$2001,A458)=1,1,0))</f>
        <v/>
      </c>
      <c r="AM458" s="94">
        <f>IF(I458="","",TODAY()-I458)</f>
        <v/>
      </c>
      <c r="AN458" s="94">
        <f>IF(A458="","",IF(AND(E458&lt;&gt;"33 確認済",E458&lt;&gt;"36 送付中"),1,0))</f>
        <v/>
      </c>
      <c r="AO458" s="94">
        <f>IF(A458="","",IF(AG458&lt;&gt;"",1,0))</f>
        <v/>
      </c>
      <c r="AP458" s="220">
        <f>IF(P458&lt;&gt;"","・添待ち","")&amp;IF(Q458&lt;&gt;"","・住民票","")&amp;IF(R458&lt;&gt;"","・発信","")&amp;IF(S458&lt;&gt;"","・確認事項","")&amp;IF(T458&lt;&gt;"","・管","")&amp;IF(U458&lt;&gt;"","・SV","")&amp;IF(V458&lt;&gt;"","・データ送付待ち","")&amp;IF(W458&lt;&gt;"","・削除","")</f>
        <v/>
      </c>
    </row>
    <row r="459" ht="15" customHeight="1" s="87">
      <c r="AL459" s="94">
        <f>IF(A459="","",IF(COUNTIF(A459:A$2001,A459)=1,1,0))</f>
        <v/>
      </c>
      <c r="AM459" s="94">
        <f>IF(I459="","",TODAY()-I459)</f>
        <v/>
      </c>
      <c r="AN459" s="94">
        <f>IF(A459="","",IF(AND(E459&lt;&gt;"33 確認済",E459&lt;&gt;"36 送付中"),1,0))</f>
        <v/>
      </c>
      <c r="AO459" s="94">
        <f>IF(A459="","",IF(AG459&lt;&gt;"",1,0))</f>
        <v/>
      </c>
      <c r="AP459" s="220">
        <f>IF(P459&lt;&gt;"","・添待ち","")&amp;IF(Q459&lt;&gt;"","・住民票","")&amp;IF(R459&lt;&gt;"","・発信","")&amp;IF(S459&lt;&gt;"","・確認事項","")&amp;IF(T459&lt;&gt;"","・管","")&amp;IF(U459&lt;&gt;"","・SV","")&amp;IF(V459&lt;&gt;"","・データ送付待ち","")&amp;IF(W459&lt;&gt;"","・削除","")</f>
        <v/>
      </c>
    </row>
    <row r="460" ht="15" customHeight="1" s="87">
      <c r="AL460" s="94">
        <f>IF(A460="","",IF(COUNTIF(A460:A$2001,A460)=1,1,0))</f>
        <v/>
      </c>
      <c r="AM460" s="94">
        <f>IF(I460="","",TODAY()-I460)</f>
        <v/>
      </c>
      <c r="AN460" s="94">
        <f>IF(A460="","",IF(AND(E460&lt;&gt;"33 確認済",E460&lt;&gt;"36 送付中"),1,0))</f>
        <v/>
      </c>
      <c r="AO460" s="94">
        <f>IF(A460="","",IF(AG460&lt;&gt;"",1,0))</f>
        <v/>
      </c>
      <c r="AP460" s="220">
        <f>IF(P460&lt;&gt;"","・添待ち","")&amp;IF(Q460&lt;&gt;"","・住民票","")&amp;IF(R460&lt;&gt;"","・発信","")&amp;IF(S460&lt;&gt;"","・確認事項","")&amp;IF(T460&lt;&gt;"","・管","")&amp;IF(U460&lt;&gt;"","・SV","")&amp;IF(V460&lt;&gt;"","・データ送付待ち","")&amp;IF(W460&lt;&gt;"","・削除","")</f>
        <v/>
      </c>
    </row>
    <row r="461" ht="15" customHeight="1" s="87">
      <c r="AL461" s="94">
        <f>IF(A461="","",IF(COUNTIF(A461:A$2001,A461)=1,1,0))</f>
        <v/>
      </c>
      <c r="AM461" s="94">
        <f>IF(I461="","",TODAY()-I461)</f>
        <v/>
      </c>
      <c r="AN461" s="94">
        <f>IF(A461="","",IF(AND(E461&lt;&gt;"33 確認済",E461&lt;&gt;"36 送付中"),1,0))</f>
        <v/>
      </c>
      <c r="AO461" s="94">
        <f>IF(A461="","",IF(AG461&lt;&gt;"",1,0))</f>
        <v/>
      </c>
      <c r="AP461" s="220">
        <f>IF(P461&lt;&gt;"","・添待ち","")&amp;IF(Q461&lt;&gt;"","・住民票","")&amp;IF(R461&lt;&gt;"","・発信","")&amp;IF(S461&lt;&gt;"","・確認事項","")&amp;IF(T461&lt;&gt;"","・管","")&amp;IF(U461&lt;&gt;"","・SV","")&amp;IF(V461&lt;&gt;"","・データ送付待ち","")&amp;IF(W461&lt;&gt;"","・削除","")</f>
        <v/>
      </c>
    </row>
    <row r="462" ht="15" customHeight="1" s="87">
      <c r="AL462" s="94">
        <f>IF(A462="","",IF(COUNTIF(A462:A$2001,A462)=1,1,0))</f>
        <v/>
      </c>
      <c r="AM462" s="94">
        <f>IF(I462="","",TODAY()-I462)</f>
        <v/>
      </c>
      <c r="AN462" s="94">
        <f>IF(A462="","",IF(AND(E462&lt;&gt;"33 確認済",E462&lt;&gt;"36 送付中"),1,0))</f>
        <v/>
      </c>
      <c r="AO462" s="94">
        <f>IF(A462="","",IF(AG462&lt;&gt;"",1,0))</f>
        <v/>
      </c>
      <c r="AP462" s="220">
        <f>IF(P462&lt;&gt;"","・添待ち","")&amp;IF(Q462&lt;&gt;"","・住民票","")&amp;IF(R462&lt;&gt;"","・発信","")&amp;IF(S462&lt;&gt;"","・確認事項","")&amp;IF(T462&lt;&gt;"","・管","")&amp;IF(U462&lt;&gt;"","・SV","")&amp;IF(V462&lt;&gt;"","・データ送付待ち","")&amp;IF(W462&lt;&gt;"","・削除","")</f>
        <v/>
      </c>
    </row>
    <row r="463" ht="15" customHeight="1" s="87">
      <c r="AL463" s="94">
        <f>IF(A463="","",IF(COUNTIF(A463:A$2001,A463)=1,1,0))</f>
        <v/>
      </c>
      <c r="AM463" s="94">
        <f>IF(I463="","",TODAY()-I463)</f>
        <v/>
      </c>
      <c r="AN463" s="94">
        <f>IF(A463="","",IF(AND(E463&lt;&gt;"33 確認済",E463&lt;&gt;"36 送付中"),1,0))</f>
        <v/>
      </c>
      <c r="AO463" s="94">
        <f>IF(A463="","",IF(AG463&lt;&gt;"",1,0))</f>
        <v/>
      </c>
      <c r="AP463" s="220">
        <f>IF(P463&lt;&gt;"","・添待ち","")&amp;IF(Q463&lt;&gt;"","・住民票","")&amp;IF(R463&lt;&gt;"","・発信","")&amp;IF(S463&lt;&gt;"","・確認事項","")&amp;IF(T463&lt;&gt;"","・管","")&amp;IF(U463&lt;&gt;"","・SV","")&amp;IF(V463&lt;&gt;"","・データ送付待ち","")&amp;IF(W463&lt;&gt;"","・削除","")</f>
        <v/>
      </c>
    </row>
    <row r="464" ht="15" customHeight="1" s="87">
      <c r="AL464" s="94">
        <f>IF(A464="","",IF(COUNTIF(A464:A$2001,A464)=1,1,0))</f>
        <v/>
      </c>
      <c r="AM464" s="94">
        <f>IF(I464="","",TODAY()-I464)</f>
        <v/>
      </c>
      <c r="AN464" s="94">
        <f>IF(A464="","",IF(AND(E464&lt;&gt;"33 確認済",E464&lt;&gt;"36 送付中"),1,0))</f>
        <v/>
      </c>
      <c r="AO464" s="94">
        <f>IF(A464="","",IF(AG464&lt;&gt;"",1,0))</f>
        <v/>
      </c>
      <c r="AP464" s="220">
        <f>IF(P464&lt;&gt;"","・添待ち","")&amp;IF(Q464&lt;&gt;"","・住民票","")&amp;IF(R464&lt;&gt;"","・発信","")&amp;IF(S464&lt;&gt;"","・確認事項","")&amp;IF(T464&lt;&gt;"","・管","")&amp;IF(U464&lt;&gt;"","・SV","")&amp;IF(V464&lt;&gt;"","・データ送付待ち","")&amp;IF(W464&lt;&gt;"","・削除","")</f>
        <v/>
      </c>
    </row>
    <row r="465" ht="15" customHeight="1" s="87">
      <c r="AL465" s="94">
        <f>IF(A465="","",IF(COUNTIF(A465:A$2001,A465)=1,1,0))</f>
        <v/>
      </c>
      <c r="AM465" s="94">
        <f>IF(I465="","",TODAY()-I465)</f>
        <v/>
      </c>
      <c r="AN465" s="94">
        <f>IF(A465="","",IF(AND(E465&lt;&gt;"33 確認済",E465&lt;&gt;"36 送付中"),1,0))</f>
        <v/>
      </c>
      <c r="AO465" s="94">
        <f>IF(A465="","",IF(AG465&lt;&gt;"",1,0))</f>
        <v/>
      </c>
      <c r="AP465" s="220">
        <f>IF(P465&lt;&gt;"","・添待ち","")&amp;IF(Q465&lt;&gt;"","・住民票","")&amp;IF(R465&lt;&gt;"","・発信","")&amp;IF(S465&lt;&gt;"","・確認事項","")&amp;IF(T465&lt;&gt;"","・管","")&amp;IF(U465&lt;&gt;"","・SV","")&amp;IF(V465&lt;&gt;"","・データ送付待ち","")&amp;IF(W465&lt;&gt;"","・削除","")</f>
        <v/>
      </c>
    </row>
    <row r="466" ht="15" customHeight="1" s="87">
      <c r="AL466" s="94">
        <f>IF(A466="","",IF(COUNTIF(A466:A$2001,A466)=1,1,0))</f>
        <v/>
      </c>
      <c r="AM466" s="94">
        <f>IF(I466="","",TODAY()-I466)</f>
        <v/>
      </c>
      <c r="AN466" s="94">
        <f>IF(A466="","",IF(AND(E466&lt;&gt;"33 確認済",E466&lt;&gt;"36 送付中"),1,0))</f>
        <v/>
      </c>
      <c r="AO466" s="94">
        <f>IF(A466="","",IF(AG466&lt;&gt;"",1,0))</f>
        <v/>
      </c>
      <c r="AP466" s="220">
        <f>IF(P466&lt;&gt;"","・添待ち","")&amp;IF(Q466&lt;&gt;"","・住民票","")&amp;IF(R466&lt;&gt;"","・発信","")&amp;IF(S466&lt;&gt;"","・確認事項","")&amp;IF(T466&lt;&gt;"","・管","")&amp;IF(U466&lt;&gt;"","・SV","")&amp;IF(V466&lt;&gt;"","・データ送付待ち","")&amp;IF(W466&lt;&gt;"","・削除","")</f>
        <v/>
      </c>
    </row>
    <row r="467" ht="15" customHeight="1" s="87">
      <c r="AL467" s="94">
        <f>IF(A467="","",IF(COUNTIF(A467:A$2001,A467)=1,1,0))</f>
        <v/>
      </c>
      <c r="AM467" s="94">
        <f>IF(I467="","",TODAY()-I467)</f>
        <v/>
      </c>
      <c r="AN467" s="94">
        <f>IF(A467="","",IF(AND(E467&lt;&gt;"33 確認済",E467&lt;&gt;"36 送付中"),1,0))</f>
        <v/>
      </c>
      <c r="AO467" s="94">
        <f>IF(A467="","",IF(AG467&lt;&gt;"",1,0))</f>
        <v/>
      </c>
      <c r="AP467" s="220">
        <f>IF(P467&lt;&gt;"","・添待ち","")&amp;IF(Q467&lt;&gt;"","・住民票","")&amp;IF(R467&lt;&gt;"","・発信","")&amp;IF(S467&lt;&gt;"","・確認事項","")&amp;IF(T467&lt;&gt;"","・管","")&amp;IF(U467&lt;&gt;"","・SV","")&amp;IF(V467&lt;&gt;"","・データ送付待ち","")&amp;IF(W467&lt;&gt;"","・削除","")</f>
        <v/>
      </c>
    </row>
    <row r="468" ht="15" customHeight="1" s="87">
      <c r="AL468" s="94">
        <f>IF(A468="","",IF(COUNTIF(A468:A$2001,A468)=1,1,0))</f>
        <v/>
      </c>
      <c r="AM468" s="94">
        <f>IF(I468="","",TODAY()-I468)</f>
        <v/>
      </c>
      <c r="AN468" s="94">
        <f>IF(A468="","",IF(AND(E468&lt;&gt;"33 確認済",E468&lt;&gt;"36 送付中"),1,0))</f>
        <v/>
      </c>
      <c r="AO468" s="94">
        <f>IF(A468="","",IF(AG468&lt;&gt;"",1,0))</f>
        <v/>
      </c>
      <c r="AP468" s="220">
        <f>IF(P468&lt;&gt;"","・添待ち","")&amp;IF(Q468&lt;&gt;"","・住民票","")&amp;IF(R468&lt;&gt;"","・発信","")&amp;IF(S468&lt;&gt;"","・確認事項","")&amp;IF(T468&lt;&gt;"","・管","")&amp;IF(U468&lt;&gt;"","・SV","")&amp;IF(V468&lt;&gt;"","・データ送付待ち","")&amp;IF(W468&lt;&gt;"","・削除","")</f>
        <v/>
      </c>
    </row>
    <row r="469" ht="15" customHeight="1" s="87">
      <c r="AL469" s="94">
        <f>IF(A469="","",IF(COUNTIF(A469:A$2001,A469)=1,1,0))</f>
        <v/>
      </c>
      <c r="AM469" s="94">
        <f>IF(I469="","",TODAY()-I469)</f>
        <v/>
      </c>
      <c r="AN469" s="94">
        <f>IF(A469="","",IF(AND(E469&lt;&gt;"33 確認済",E469&lt;&gt;"36 送付中"),1,0))</f>
        <v/>
      </c>
      <c r="AO469" s="94">
        <f>IF(A469="","",IF(AG469&lt;&gt;"",1,0))</f>
        <v/>
      </c>
      <c r="AP469" s="220">
        <f>IF(P469&lt;&gt;"","・添待ち","")&amp;IF(Q469&lt;&gt;"","・住民票","")&amp;IF(R469&lt;&gt;"","・発信","")&amp;IF(S469&lt;&gt;"","・確認事項","")&amp;IF(T469&lt;&gt;"","・管","")&amp;IF(U469&lt;&gt;"","・SV","")&amp;IF(V469&lt;&gt;"","・データ送付待ち","")&amp;IF(W469&lt;&gt;"","・削除","")</f>
        <v/>
      </c>
    </row>
    <row r="470" ht="15" customHeight="1" s="87">
      <c r="AL470" s="94">
        <f>IF(A470="","",IF(COUNTIF(A470:A$2001,A470)=1,1,0))</f>
        <v/>
      </c>
      <c r="AM470" s="94">
        <f>IF(I470="","",TODAY()-I470)</f>
        <v/>
      </c>
      <c r="AN470" s="94">
        <f>IF(A470="","",IF(AND(E470&lt;&gt;"33 確認済",E470&lt;&gt;"36 送付中"),1,0))</f>
        <v/>
      </c>
      <c r="AO470" s="94">
        <f>IF(A470="","",IF(AG470&lt;&gt;"",1,0))</f>
        <v/>
      </c>
      <c r="AP470" s="220">
        <f>IF(P470&lt;&gt;"","・添待ち","")&amp;IF(Q470&lt;&gt;"","・住民票","")&amp;IF(R470&lt;&gt;"","・発信","")&amp;IF(S470&lt;&gt;"","・確認事項","")&amp;IF(T470&lt;&gt;"","・管","")&amp;IF(U470&lt;&gt;"","・SV","")&amp;IF(V470&lt;&gt;"","・データ送付待ち","")&amp;IF(W470&lt;&gt;"","・削除","")</f>
        <v/>
      </c>
    </row>
    <row r="471" ht="15" customHeight="1" s="87">
      <c r="AL471" s="94">
        <f>IF(A471="","",IF(COUNTIF(A471:A$2001,A471)=1,1,0))</f>
        <v/>
      </c>
      <c r="AM471" s="94">
        <f>IF(I471="","",TODAY()-I471)</f>
        <v/>
      </c>
      <c r="AN471" s="94">
        <f>IF(A471="","",IF(AND(E471&lt;&gt;"33 確認済",E471&lt;&gt;"36 送付中"),1,0))</f>
        <v/>
      </c>
      <c r="AO471" s="94">
        <f>IF(A471="","",IF(AG471&lt;&gt;"",1,0))</f>
        <v/>
      </c>
      <c r="AP471" s="220">
        <f>IF(P471&lt;&gt;"","・添待ち","")&amp;IF(Q471&lt;&gt;"","・住民票","")&amp;IF(R471&lt;&gt;"","・発信","")&amp;IF(S471&lt;&gt;"","・確認事項","")&amp;IF(T471&lt;&gt;"","・管","")&amp;IF(U471&lt;&gt;"","・SV","")&amp;IF(V471&lt;&gt;"","・データ送付待ち","")&amp;IF(W471&lt;&gt;"","・削除","")</f>
        <v/>
      </c>
    </row>
    <row r="472" ht="15" customHeight="1" s="87">
      <c r="AL472" s="94">
        <f>IF(A472="","",IF(COUNTIF(A472:A$2001,A472)=1,1,0))</f>
        <v/>
      </c>
      <c r="AM472" s="94">
        <f>IF(I472="","",TODAY()-I472)</f>
        <v/>
      </c>
      <c r="AN472" s="94">
        <f>IF(A472="","",IF(AND(E472&lt;&gt;"33 確認済",E472&lt;&gt;"36 送付中"),1,0))</f>
        <v/>
      </c>
      <c r="AO472" s="94">
        <f>IF(A472="","",IF(AG472&lt;&gt;"",1,0))</f>
        <v/>
      </c>
      <c r="AP472" s="220">
        <f>IF(P472&lt;&gt;"","・添待ち","")&amp;IF(Q472&lt;&gt;"","・住民票","")&amp;IF(R472&lt;&gt;"","・発信","")&amp;IF(S472&lt;&gt;"","・確認事項","")&amp;IF(T472&lt;&gt;"","・管","")&amp;IF(U472&lt;&gt;"","・SV","")&amp;IF(V472&lt;&gt;"","・データ送付待ち","")&amp;IF(W472&lt;&gt;"","・削除","")</f>
        <v/>
      </c>
    </row>
    <row r="473" ht="15" customHeight="1" s="87">
      <c r="AL473" s="94">
        <f>IF(A473="","",IF(COUNTIF(A473:A$2001,A473)=1,1,0))</f>
        <v/>
      </c>
      <c r="AM473" s="94">
        <f>IF(I473="","",TODAY()-I473)</f>
        <v/>
      </c>
      <c r="AN473" s="94">
        <f>IF(A473="","",IF(AND(E473&lt;&gt;"33 確認済",E473&lt;&gt;"36 送付中"),1,0))</f>
        <v/>
      </c>
      <c r="AO473" s="94">
        <f>IF(A473="","",IF(AG473&lt;&gt;"",1,0))</f>
        <v/>
      </c>
      <c r="AP473" s="220">
        <f>IF(P473&lt;&gt;"","・添待ち","")&amp;IF(Q473&lt;&gt;"","・住民票","")&amp;IF(R473&lt;&gt;"","・発信","")&amp;IF(S473&lt;&gt;"","・確認事項","")&amp;IF(T473&lt;&gt;"","・管","")&amp;IF(U473&lt;&gt;"","・SV","")&amp;IF(V473&lt;&gt;"","・データ送付待ち","")&amp;IF(W473&lt;&gt;"","・削除","")</f>
        <v/>
      </c>
    </row>
    <row r="474" ht="15" customHeight="1" s="87">
      <c r="AL474" s="94">
        <f>IF(A474="","",IF(COUNTIF(A474:A$2001,A474)=1,1,0))</f>
        <v/>
      </c>
      <c r="AM474" s="94">
        <f>IF(I474="","",TODAY()-I474)</f>
        <v/>
      </c>
      <c r="AN474" s="94">
        <f>IF(A474="","",IF(AND(E474&lt;&gt;"33 確認済",E474&lt;&gt;"36 送付中"),1,0))</f>
        <v/>
      </c>
      <c r="AO474" s="94">
        <f>IF(A474="","",IF(AG474&lt;&gt;"",1,0))</f>
        <v/>
      </c>
      <c r="AP474" s="220">
        <f>IF(P474&lt;&gt;"","・添待ち","")&amp;IF(Q474&lt;&gt;"","・住民票","")&amp;IF(R474&lt;&gt;"","・発信","")&amp;IF(S474&lt;&gt;"","・確認事項","")&amp;IF(T474&lt;&gt;"","・管","")&amp;IF(U474&lt;&gt;"","・SV","")&amp;IF(V474&lt;&gt;"","・データ送付待ち","")&amp;IF(W474&lt;&gt;"","・削除","")</f>
        <v/>
      </c>
    </row>
    <row r="475" ht="15" customHeight="1" s="87">
      <c r="AL475" s="94">
        <f>IF(A475="","",IF(COUNTIF(A475:A$2001,A475)=1,1,0))</f>
        <v/>
      </c>
      <c r="AM475" s="94">
        <f>IF(I475="","",TODAY()-I475)</f>
        <v/>
      </c>
      <c r="AN475" s="94">
        <f>IF(A475="","",IF(AND(E475&lt;&gt;"33 確認済",E475&lt;&gt;"36 送付中"),1,0))</f>
        <v/>
      </c>
      <c r="AO475" s="94">
        <f>IF(A475="","",IF(AG475&lt;&gt;"",1,0))</f>
        <v/>
      </c>
      <c r="AP475" s="220">
        <f>IF(P475&lt;&gt;"","・添待ち","")&amp;IF(Q475&lt;&gt;"","・住民票","")&amp;IF(R475&lt;&gt;"","・発信","")&amp;IF(S475&lt;&gt;"","・確認事項","")&amp;IF(T475&lt;&gt;"","・管","")&amp;IF(U475&lt;&gt;"","・SV","")&amp;IF(V475&lt;&gt;"","・データ送付待ち","")&amp;IF(W475&lt;&gt;"","・削除","")</f>
        <v/>
      </c>
    </row>
    <row r="476" ht="15" customHeight="1" s="87">
      <c r="AL476" s="94">
        <f>IF(A476="","",IF(COUNTIF(A476:A$2001,A476)=1,1,0))</f>
        <v/>
      </c>
      <c r="AM476" s="94">
        <f>IF(I476="","",TODAY()-I476)</f>
        <v/>
      </c>
      <c r="AN476" s="94">
        <f>IF(A476="","",IF(AND(E476&lt;&gt;"33 確認済",E476&lt;&gt;"36 送付中"),1,0))</f>
        <v/>
      </c>
      <c r="AO476" s="94">
        <f>IF(A476="","",IF(AG476&lt;&gt;"",1,0))</f>
        <v/>
      </c>
      <c r="AP476" s="220">
        <f>IF(P476&lt;&gt;"","・添待ち","")&amp;IF(Q476&lt;&gt;"","・住民票","")&amp;IF(R476&lt;&gt;"","・発信","")&amp;IF(S476&lt;&gt;"","・確認事項","")&amp;IF(T476&lt;&gt;"","・管","")&amp;IF(U476&lt;&gt;"","・SV","")&amp;IF(V476&lt;&gt;"","・データ送付待ち","")&amp;IF(W476&lt;&gt;"","・削除","")</f>
        <v/>
      </c>
    </row>
    <row r="477" ht="15" customHeight="1" s="87">
      <c r="AL477" s="94">
        <f>IF(A477="","",IF(COUNTIF(A477:A$2001,A477)=1,1,0))</f>
        <v/>
      </c>
      <c r="AM477" s="94">
        <f>IF(I477="","",TODAY()-I477)</f>
        <v/>
      </c>
      <c r="AN477" s="94">
        <f>IF(A477="","",IF(AND(E477&lt;&gt;"33 確認済",E477&lt;&gt;"36 送付中"),1,0))</f>
        <v/>
      </c>
      <c r="AO477" s="94">
        <f>IF(A477="","",IF(AG477&lt;&gt;"",1,0))</f>
        <v/>
      </c>
      <c r="AP477" s="220">
        <f>IF(P477&lt;&gt;"","・添待ち","")&amp;IF(Q477&lt;&gt;"","・住民票","")&amp;IF(R477&lt;&gt;"","・発信","")&amp;IF(S477&lt;&gt;"","・確認事項","")&amp;IF(T477&lt;&gt;"","・管","")&amp;IF(U477&lt;&gt;"","・SV","")&amp;IF(V477&lt;&gt;"","・データ送付待ち","")&amp;IF(W477&lt;&gt;"","・削除","")</f>
        <v/>
      </c>
    </row>
    <row r="478" ht="15" customHeight="1" s="87">
      <c r="AL478" s="94">
        <f>IF(A478="","",IF(COUNTIF(A478:A$2001,A478)=1,1,0))</f>
        <v/>
      </c>
      <c r="AM478" s="94">
        <f>IF(I478="","",TODAY()-I478)</f>
        <v/>
      </c>
      <c r="AN478" s="94">
        <f>IF(A478="","",IF(AND(E478&lt;&gt;"33 確認済",E478&lt;&gt;"36 送付中"),1,0))</f>
        <v/>
      </c>
      <c r="AO478" s="94">
        <f>IF(A478="","",IF(AG478&lt;&gt;"",1,0))</f>
        <v/>
      </c>
      <c r="AP478" s="220">
        <f>IF(P478&lt;&gt;"","・添待ち","")&amp;IF(Q478&lt;&gt;"","・住民票","")&amp;IF(R478&lt;&gt;"","・発信","")&amp;IF(S478&lt;&gt;"","・確認事項","")&amp;IF(T478&lt;&gt;"","・管","")&amp;IF(U478&lt;&gt;"","・SV","")&amp;IF(V478&lt;&gt;"","・データ送付待ち","")&amp;IF(W478&lt;&gt;"","・削除","")</f>
        <v/>
      </c>
    </row>
    <row r="479" ht="15" customHeight="1" s="87">
      <c r="AL479" s="94">
        <f>IF(A479="","",IF(COUNTIF(A479:A$2001,A479)=1,1,0))</f>
        <v/>
      </c>
      <c r="AM479" s="94">
        <f>IF(I479="","",TODAY()-I479)</f>
        <v/>
      </c>
      <c r="AN479" s="94">
        <f>IF(A479="","",IF(AND(E479&lt;&gt;"33 確認済",E479&lt;&gt;"36 送付中"),1,0))</f>
        <v/>
      </c>
      <c r="AO479" s="94">
        <f>IF(A479="","",IF(AG479&lt;&gt;"",1,0))</f>
        <v/>
      </c>
      <c r="AP479" s="220">
        <f>IF(P479&lt;&gt;"","・添待ち","")&amp;IF(Q479&lt;&gt;"","・住民票","")&amp;IF(R479&lt;&gt;"","・発信","")&amp;IF(S479&lt;&gt;"","・確認事項","")&amp;IF(T479&lt;&gt;"","・管","")&amp;IF(U479&lt;&gt;"","・SV","")&amp;IF(V479&lt;&gt;"","・データ送付待ち","")&amp;IF(W479&lt;&gt;"","・削除","")</f>
        <v/>
      </c>
    </row>
    <row r="480" ht="15" customHeight="1" s="87">
      <c r="AL480" s="94">
        <f>IF(A480="","",IF(COUNTIF(A480:A$2001,A480)=1,1,0))</f>
        <v/>
      </c>
      <c r="AM480" s="94">
        <f>IF(I480="","",TODAY()-I480)</f>
        <v/>
      </c>
      <c r="AN480" s="94">
        <f>IF(A480="","",IF(AND(E480&lt;&gt;"33 確認済",E480&lt;&gt;"36 送付中"),1,0))</f>
        <v/>
      </c>
      <c r="AO480" s="94">
        <f>IF(A480="","",IF(AG480&lt;&gt;"",1,0))</f>
        <v/>
      </c>
      <c r="AP480" s="220">
        <f>IF(P480&lt;&gt;"","・添待ち","")&amp;IF(Q480&lt;&gt;"","・住民票","")&amp;IF(R480&lt;&gt;"","・発信","")&amp;IF(S480&lt;&gt;"","・確認事項","")&amp;IF(T480&lt;&gt;"","・管","")&amp;IF(U480&lt;&gt;"","・SV","")&amp;IF(V480&lt;&gt;"","・データ送付待ち","")&amp;IF(W480&lt;&gt;"","・削除","")</f>
        <v/>
      </c>
    </row>
    <row r="481" ht="15" customHeight="1" s="87">
      <c r="AL481" s="94">
        <f>IF(A481="","",IF(COUNTIF(A481:A$2001,A481)=1,1,0))</f>
        <v/>
      </c>
      <c r="AM481" s="94">
        <f>IF(I481="","",TODAY()-I481)</f>
        <v/>
      </c>
      <c r="AN481" s="94">
        <f>IF(A481="","",IF(AND(E481&lt;&gt;"33 確認済",E481&lt;&gt;"36 送付中"),1,0))</f>
        <v/>
      </c>
      <c r="AO481" s="94">
        <f>IF(A481="","",IF(AG481&lt;&gt;"",1,0))</f>
        <v/>
      </c>
      <c r="AP481" s="220">
        <f>IF(P481&lt;&gt;"","・添待ち","")&amp;IF(Q481&lt;&gt;"","・住民票","")&amp;IF(R481&lt;&gt;"","・発信","")&amp;IF(S481&lt;&gt;"","・確認事項","")&amp;IF(T481&lt;&gt;"","・管","")&amp;IF(U481&lt;&gt;"","・SV","")&amp;IF(V481&lt;&gt;"","・データ送付待ち","")&amp;IF(W481&lt;&gt;"","・削除","")</f>
        <v/>
      </c>
    </row>
    <row r="482" ht="15" customHeight="1" s="87">
      <c r="AL482" s="94">
        <f>IF(A482="","",IF(COUNTIF(A482:A$2001,A482)=1,1,0))</f>
        <v/>
      </c>
      <c r="AM482" s="94">
        <f>IF(I482="","",TODAY()-I482)</f>
        <v/>
      </c>
      <c r="AN482" s="94">
        <f>IF(A482="","",IF(AND(E482&lt;&gt;"33 確認済",E482&lt;&gt;"36 送付中"),1,0))</f>
        <v/>
      </c>
      <c r="AO482" s="94">
        <f>IF(A482="","",IF(AG482&lt;&gt;"",1,0))</f>
        <v/>
      </c>
      <c r="AP482" s="220">
        <f>IF(P482&lt;&gt;"","・添待ち","")&amp;IF(Q482&lt;&gt;"","・住民票","")&amp;IF(R482&lt;&gt;"","・発信","")&amp;IF(S482&lt;&gt;"","・確認事項","")&amp;IF(T482&lt;&gt;"","・管","")&amp;IF(U482&lt;&gt;"","・SV","")&amp;IF(V482&lt;&gt;"","・データ送付待ち","")&amp;IF(W482&lt;&gt;"","・削除","")</f>
        <v/>
      </c>
    </row>
    <row r="483" ht="15" customHeight="1" s="87">
      <c r="AL483" s="94">
        <f>IF(A483="","",IF(COUNTIF(A483:A$2001,A483)=1,1,0))</f>
        <v/>
      </c>
      <c r="AM483" s="94">
        <f>IF(I483="","",TODAY()-I483)</f>
        <v/>
      </c>
      <c r="AN483" s="94">
        <f>IF(A483="","",IF(AND(E483&lt;&gt;"33 確認済",E483&lt;&gt;"36 送付中"),1,0))</f>
        <v/>
      </c>
      <c r="AO483" s="94">
        <f>IF(A483="","",IF(AG483&lt;&gt;"",1,0))</f>
        <v/>
      </c>
      <c r="AP483" s="220">
        <f>IF(P483&lt;&gt;"","・添待ち","")&amp;IF(Q483&lt;&gt;"","・住民票","")&amp;IF(R483&lt;&gt;"","・発信","")&amp;IF(S483&lt;&gt;"","・確認事項","")&amp;IF(T483&lt;&gt;"","・管","")&amp;IF(U483&lt;&gt;"","・SV","")&amp;IF(V483&lt;&gt;"","・データ送付待ち","")&amp;IF(W483&lt;&gt;"","・削除","")</f>
        <v/>
      </c>
    </row>
    <row r="484" ht="15" customHeight="1" s="87">
      <c r="AL484" s="94">
        <f>IF(A484="","",IF(COUNTIF(A484:A$2001,A484)=1,1,0))</f>
        <v/>
      </c>
      <c r="AM484" s="94">
        <f>IF(I484="","",TODAY()-I484)</f>
        <v/>
      </c>
      <c r="AN484" s="94">
        <f>IF(A484="","",IF(AND(E484&lt;&gt;"33 確認済",E484&lt;&gt;"36 送付中"),1,0))</f>
        <v/>
      </c>
      <c r="AO484" s="94">
        <f>IF(A484="","",IF(AG484&lt;&gt;"",1,0))</f>
        <v/>
      </c>
      <c r="AP484" s="220">
        <f>IF(P484&lt;&gt;"","・添待ち","")&amp;IF(Q484&lt;&gt;"","・住民票","")&amp;IF(R484&lt;&gt;"","・発信","")&amp;IF(S484&lt;&gt;"","・確認事項","")&amp;IF(T484&lt;&gt;"","・管","")&amp;IF(U484&lt;&gt;"","・SV","")&amp;IF(V484&lt;&gt;"","・データ送付待ち","")&amp;IF(W484&lt;&gt;"","・削除","")</f>
        <v/>
      </c>
    </row>
    <row r="485" ht="15" customHeight="1" s="87">
      <c r="AL485" s="94">
        <f>IF(A485="","",IF(COUNTIF(A485:A$2001,A485)=1,1,0))</f>
        <v/>
      </c>
      <c r="AM485" s="94">
        <f>IF(I485="","",TODAY()-I485)</f>
        <v/>
      </c>
      <c r="AN485" s="94">
        <f>IF(A485="","",IF(AND(E485&lt;&gt;"33 確認済",E485&lt;&gt;"36 送付中"),1,0))</f>
        <v/>
      </c>
      <c r="AO485" s="94">
        <f>IF(A485="","",IF(AG485&lt;&gt;"",1,0))</f>
        <v/>
      </c>
      <c r="AP485" s="220">
        <f>IF(P485&lt;&gt;"","・添待ち","")&amp;IF(Q485&lt;&gt;"","・住民票","")&amp;IF(R485&lt;&gt;"","・発信","")&amp;IF(S485&lt;&gt;"","・確認事項","")&amp;IF(T485&lt;&gt;"","・管","")&amp;IF(U485&lt;&gt;"","・SV","")&amp;IF(V485&lt;&gt;"","・データ送付待ち","")&amp;IF(W485&lt;&gt;"","・削除","")</f>
        <v/>
      </c>
    </row>
    <row r="486" ht="15" customHeight="1" s="87">
      <c r="AL486" s="94">
        <f>IF(A486="","",IF(COUNTIF(A486:A$2001,A486)=1,1,0))</f>
        <v/>
      </c>
      <c r="AM486" s="94">
        <f>IF(I486="","",TODAY()-I486)</f>
        <v/>
      </c>
      <c r="AN486" s="94">
        <f>IF(A486="","",IF(AND(E486&lt;&gt;"33 確認済",E486&lt;&gt;"36 送付中"),1,0))</f>
        <v/>
      </c>
      <c r="AO486" s="94">
        <f>IF(A486="","",IF(AG486&lt;&gt;"",1,0))</f>
        <v/>
      </c>
      <c r="AP486" s="220">
        <f>IF(P486&lt;&gt;"","・添待ち","")&amp;IF(Q486&lt;&gt;"","・住民票","")&amp;IF(R486&lt;&gt;"","・発信","")&amp;IF(S486&lt;&gt;"","・確認事項","")&amp;IF(T486&lt;&gt;"","・管","")&amp;IF(U486&lt;&gt;"","・SV","")&amp;IF(V486&lt;&gt;"","・データ送付待ち","")&amp;IF(W486&lt;&gt;"","・削除","")</f>
        <v/>
      </c>
    </row>
    <row r="487" ht="15" customHeight="1" s="87">
      <c r="AL487" s="94">
        <f>IF(A487="","",IF(COUNTIF(A487:A$2001,A487)=1,1,0))</f>
        <v/>
      </c>
      <c r="AM487" s="94">
        <f>IF(I487="","",TODAY()-I487)</f>
        <v/>
      </c>
      <c r="AN487" s="94">
        <f>IF(A487="","",IF(AND(E487&lt;&gt;"33 確認済",E487&lt;&gt;"36 送付中"),1,0))</f>
        <v/>
      </c>
      <c r="AO487" s="94">
        <f>IF(A487="","",IF(AG487&lt;&gt;"",1,0))</f>
        <v/>
      </c>
      <c r="AP487" s="220">
        <f>IF(P487&lt;&gt;"","・添待ち","")&amp;IF(Q487&lt;&gt;"","・住民票","")&amp;IF(R487&lt;&gt;"","・発信","")&amp;IF(S487&lt;&gt;"","・確認事項","")&amp;IF(T487&lt;&gt;"","・管","")&amp;IF(U487&lt;&gt;"","・SV","")&amp;IF(V487&lt;&gt;"","・データ送付待ち","")&amp;IF(W487&lt;&gt;"","・削除","")</f>
        <v/>
      </c>
    </row>
    <row r="488" ht="15" customHeight="1" s="87">
      <c r="AL488" s="94">
        <f>IF(A488="","",IF(COUNTIF(A488:A$2001,A488)=1,1,0))</f>
        <v/>
      </c>
      <c r="AM488" s="94">
        <f>IF(I488="","",TODAY()-I488)</f>
        <v/>
      </c>
      <c r="AN488" s="94">
        <f>IF(A488="","",IF(AND(E488&lt;&gt;"33 確認済",E488&lt;&gt;"36 送付中"),1,0))</f>
        <v/>
      </c>
      <c r="AO488" s="94">
        <f>IF(A488="","",IF(AG488&lt;&gt;"",1,0))</f>
        <v/>
      </c>
      <c r="AP488" s="220">
        <f>IF(P488&lt;&gt;"","・添待ち","")&amp;IF(Q488&lt;&gt;"","・住民票","")&amp;IF(R488&lt;&gt;"","・発信","")&amp;IF(S488&lt;&gt;"","・確認事項","")&amp;IF(T488&lt;&gt;"","・管","")&amp;IF(U488&lt;&gt;"","・SV","")&amp;IF(V488&lt;&gt;"","・データ送付待ち","")&amp;IF(W488&lt;&gt;"","・削除","")</f>
        <v/>
      </c>
    </row>
    <row r="489" ht="15" customHeight="1" s="87">
      <c r="AL489" s="94">
        <f>IF(A489="","",IF(COUNTIF(A489:A$2001,A489)=1,1,0))</f>
        <v/>
      </c>
      <c r="AM489" s="94">
        <f>IF(I489="","",TODAY()-I489)</f>
        <v/>
      </c>
      <c r="AN489" s="94">
        <f>IF(A489="","",IF(AND(E489&lt;&gt;"33 確認済",E489&lt;&gt;"36 送付中"),1,0))</f>
        <v/>
      </c>
      <c r="AO489" s="94">
        <f>IF(A489="","",IF(AG489&lt;&gt;"",1,0))</f>
        <v/>
      </c>
      <c r="AP489" s="220">
        <f>IF(P489&lt;&gt;"","・添待ち","")&amp;IF(Q489&lt;&gt;"","・住民票","")&amp;IF(R489&lt;&gt;"","・発信","")&amp;IF(S489&lt;&gt;"","・確認事項","")&amp;IF(T489&lt;&gt;"","・管","")&amp;IF(U489&lt;&gt;"","・SV","")&amp;IF(V489&lt;&gt;"","・データ送付待ち","")&amp;IF(W489&lt;&gt;"","・削除","")</f>
        <v/>
      </c>
    </row>
    <row r="490" ht="15" customHeight="1" s="87">
      <c r="AL490" s="94">
        <f>IF(A490="","",IF(COUNTIF(A490:A$2001,A490)=1,1,0))</f>
        <v/>
      </c>
      <c r="AM490" s="94">
        <f>IF(I490="","",TODAY()-I490)</f>
        <v/>
      </c>
      <c r="AN490" s="94">
        <f>IF(A490="","",IF(AND(E490&lt;&gt;"33 確認済",E490&lt;&gt;"36 送付中"),1,0))</f>
        <v/>
      </c>
      <c r="AO490" s="94">
        <f>IF(A490="","",IF(AG490&lt;&gt;"",1,0))</f>
        <v/>
      </c>
      <c r="AP490" s="220">
        <f>IF(P490&lt;&gt;"","・添待ち","")&amp;IF(Q490&lt;&gt;"","・住民票","")&amp;IF(R490&lt;&gt;"","・発信","")&amp;IF(S490&lt;&gt;"","・確認事項","")&amp;IF(T490&lt;&gt;"","・管","")&amp;IF(U490&lt;&gt;"","・SV","")&amp;IF(V490&lt;&gt;"","・データ送付待ち","")&amp;IF(W490&lt;&gt;"","・削除","")</f>
        <v/>
      </c>
    </row>
    <row r="491" ht="15" customHeight="1" s="87">
      <c r="AL491" s="94">
        <f>IF(A491="","",IF(COUNTIF(A491:A$2001,A491)=1,1,0))</f>
        <v/>
      </c>
      <c r="AM491" s="94">
        <f>IF(I491="","",TODAY()-I491)</f>
        <v/>
      </c>
      <c r="AN491" s="94">
        <f>IF(A491="","",IF(AND(E491&lt;&gt;"33 確認済",E491&lt;&gt;"36 送付中"),1,0))</f>
        <v/>
      </c>
      <c r="AO491" s="94">
        <f>IF(A491="","",IF(AG491&lt;&gt;"",1,0))</f>
        <v/>
      </c>
      <c r="AP491" s="220">
        <f>IF(P491&lt;&gt;"","・添待ち","")&amp;IF(Q491&lt;&gt;"","・住民票","")&amp;IF(R491&lt;&gt;"","・発信","")&amp;IF(S491&lt;&gt;"","・確認事項","")&amp;IF(T491&lt;&gt;"","・管","")&amp;IF(U491&lt;&gt;"","・SV","")&amp;IF(V491&lt;&gt;"","・データ送付待ち","")&amp;IF(W491&lt;&gt;"","・削除","")</f>
        <v/>
      </c>
    </row>
    <row r="492" ht="15" customHeight="1" s="87">
      <c r="AL492" s="94">
        <f>IF(A492="","",IF(COUNTIF(A492:A$2001,A492)=1,1,0))</f>
        <v/>
      </c>
      <c r="AM492" s="94">
        <f>IF(I492="","",TODAY()-I492)</f>
        <v/>
      </c>
      <c r="AN492" s="94">
        <f>IF(A492="","",IF(AND(E492&lt;&gt;"33 確認済",E492&lt;&gt;"36 送付中"),1,0))</f>
        <v/>
      </c>
      <c r="AO492" s="94">
        <f>IF(A492="","",IF(AG492&lt;&gt;"",1,0))</f>
        <v/>
      </c>
      <c r="AP492" s="220">
        <f>IF(P492&lt;&gt;"","・添待ち","")&amp;IF(Q492&lt;&gt;"","・住民票","")&amp;IF(R492&lt;&gt;"","・発信","")&amp;IF(S492&lt;&gt;"","・確認事項","")&amp;IF(T492&lt;&gt;"","・管","")&amp;IF(U492&lt;&gt;"","・SV","")&amp;IF(V492&lt;&gt;"","・データ送付待ち","")&amp;IF(W492&lt;&gt;"","・削除","")</f>
        <v/>
      </c>
    </row>
    <row r="493" ht="15" customHeight="1" s="87">
      <c r="AL493" s="94">
        <f>IF(A493="","",IF(COUNTIF(A493:A$2001,A493)=1,1,0))</f>
        <v/>
      </c>
      <c r="AM493" s="94">
        <f>IF(I493="","",TODAY()-I493)</f>
        <v/>
      </c>
      <c r="AN493" s="94">
        <f>IF(A493="","",IF(AND(E493&lt;&gt;"33 確認済",E493&lt;&gt;"36 送付中"),1,0))</f>
        <v/>
      </c>
      <c r="AO493" s="94">
        <f>IF(A493="","",IF(AG493&lt;&gt;"",1,0))</f>
        <v/>
      </c>
      <c r="AP493" s="220">
        <f>IF(P493&lt;&gt;"","・添待ち","")&amp;IF(Q493&lt;&gt;"","・住民票","")&amp;IF(R493&lt;&gt;"","・発信","")&amp;IF(S493&lt;&gt;"","・確認事項","")&amp;IF(T493&lt;&gt;"","・管","")&amp;IF(U493&lt;&gt;"","・SV","")&amp;IF(V493&lt;&gt;"","・データ送付待ち","")&amp;IF(W493&lt;&gt;"","・削除","")</f>
        <v/>
      </c>
    </row>
    <row r="494" ht="15" customHeight="1" s="87">
      <c r="AL494" s="94">
        <f>IF(A494="","",IF(COUNTIF(A494:A$2001,A494)=1,1,0))</f>
        <v/>
      </c>
      <c r="AM494" s="94">
        <f>IF(I494="","",TODAY()-I494)</f>
        <v/>
      </c>
      <c r="AN494" s="94">
        <f>IF(A494="","",IF(AND(E494&lt;&gt;"33 確認済",E494&lt;&gt;"36 送付中"),1,0))</f>
        <v/>
      </c>
      <c r="AO494" s="94">
        <f>IF(A494="","",IF(AG494&lt;&gt;"",1,0))</f>
        <v/>
      </c>
      <c r="AP494" s="220">
        <f>IF(P494&lt;&gt;"","・添待ち","")&amp;IF(Q494&lt;&gt;"","・住民票","")&amp;IF(R494&lt;&gt;"","・発信","")&amp;IF(S494&lt;&gt;"","・確認事項","")&amp;IF(T494&lt;&gt;"","・管","")&amp;IF(U494&lt;&gt;"","・SV","")&amp;IF(V494&lt;&gt;"","・データ送付待ち","")&amp;IF(W494&lt;&gt;"","・削除","")</f>
        <v/>
      </c>
    </row>
    <row r="495" ht="15" customHeight="1" s="87">
      <c r="AL495" s="94">
        <f>IF(A495="","",IF(COUNTIF(A495:A$2001,A495)=1,1,0))</f>
        <v/>
      </c>
      <c r="AM495" s="94">
        <f>IF(I495="","",TODAY()-I495)</f>
        <v/>
      </c>
      <c r="AN495" s="94">
        <f>IF(A495="","",IF(AND(E495&lt;&gt;"33 確認済",E495&lt;&gt;"36 送付中"),1,0))</f>
        <v/>
      </c>
      <c r="AO495" s="94">
        <f>IF(A495="","",IF(AG495&lt;&gt;"",1,0))</f>
        <v/>
      </c>
      <c r="AP495" s="220">
        <f>IF(P495&lt;&gt;"","・添待ち","")&amp;IF(Q495&lt;&gt;"","・住民票","")&amp;IF(R495&lt;&gt;"","・発信","")&amp;IF(S495&lt;&gt;"","・確認事項","")&amp;IF(T495&lt;&gt;"","・管","")&amp;IF(U495&lt;&gt;"","・SV","")&amp;IF(V495&lt;&gt;"","・データ送付待ち","")&amp;IF(W495&lt;&gt;"","・削除","")</f>
        <v/>
      </c>
    </row>
    <row r="496" ht="15" customHeight="1" s="87">
      <c r="AL496" s="94">
        <f>IF(A496="","",IF(COUNTIF(A496:A$2001,A496)=1,1,0))</f>
        <v/>
      </c>
      <c r="AM496" s="94">
        <f>IF(I496="","",TODAY()-I496)</f>
        <v/>
      </c>
      <c r="AN496" s="94">
        <f>IF(A496="","",IF(AND(E496&lt;&gt;"33 確認済",E496&lt;&gt;"36 送付中"),1,0))</f>
        <v/>
      </c>
      <c r="AO496" s="94">
        <f>IF(A496="","",IF(AG496&lt;&gt;"",1,0))</f>
        <v/>
      </c>
      <c r="AP496" s="220">
        <f>IF(P496&lt;&gt;"","・添待ち","")&amp;IF(Q496&lt;&gt;"","・住民票","")&amp;IF(R496&lt;&gt;"","・発信","")&amp;IF(S496&lt;&gt;"","・確認事項","")&amp;IF(T496&lt;&gt;"","・管","")&amp;IF(U496&lt;&gt;"","・SV","")&amp;IF(V496&lt;&gt;"","・データ送付待ち","")&amp;IF(W496&lt;&gt;"","・削除","")</f>
        <v/>
      </c>
    </row>
    <row r="497" ht="15" customHeight="1" s="87">
      <c r="AL497" s="94">
        <f>IF(A497="","",IF(COUNTIF(A497:A$2001,A497)=1,1,0))</f>
        <v/>
      </c>
      <c r="AM497" s="94">
        <f>IF(I497="","",TODAY()-I497)</f>
        <v/>
      </c>
      <c r="AN497" s="94">
        <f>IF(A497="","",IF(AND(E497&lt;&gt;"33 確認済",E497&lt;&gt;"36 送付中"),1,0))</f>
        <v/>
      </c>
      <c r="AO497" s="94">
        <f>IF(A497="","",IF(AG497&lt;&gt;"",1,0))</f>
        <v/>
      </c>
      <c r="AP497" s="220">
        <f>IF(P497&lt;&gt;"","・添待ち","")&amp;IF(Q497&lt;&gt;"","・住民票","")&amp;IF(R497&lt;&gt;"","・発信","")&amp;IF(S497&lt;&gt;"","・確認事項","")&amp;IF(T497&lt;&gt;"","・管","")&amp;IF(U497&lt;&gt;"","・SV","")&amp;IF(V497&lt;&gt;"","・データ送付待ち","")&amp;IF(W497&lt;&gt;"","・削除","")</f>
        <v/>
      </c>
    </row>
    <row r="498" ht="15" customHeight="1" s="87">
      <c r="AL498" s="94">
        <f>IF(A498="","",IF(COUNTIF(A498:A$2001,A498)=1,1,0))</f>
        <v/>
      </c>
      <c r="AM498" s="94">
        <f>IF(I498="","",TODAY()-I498)</f>
        <v/>
      </c>
      <c r="AN498" s="94">
        <f>IF(A498="","",IF(AND(E498&lt;&gt;"33 確認済",E498&lt;&gt;"36 送付中"),1,0))</f>
        <v/>
      </c>
      <c r="AO498" s="94">
        <f>IF(A498="","",IF(AG498&lt;&gt;"",1,0))</f>
        <v/>
      </c>
      <c r="AP498" s="220">
        <f>IF(P498&lt;&gt;"","・添待ち","")&amp;IF(Q498&lt;&gt;"","・住民票","")&amp;IF(R498&lt;&gt;"","・発信","")&amp;IF(S498&lt;&gt;"","・確認事項","")&amp;IF(T498&lt;&gt;"","・管","")&amp;IF(U498&lt;&gt;"","・SV","")&amp;IF(V498&lt;&gt;"","・データ送付待ち","")&amp;IF(W498&lt;&gt;"","・削除","")</f>
        <v/>
      </c>
    </row>
    <row r="499" ht="15" customHeight="1" s="87">
      <c r="AL499" s="94">
        <f>IF(A499="","",IF(COUNTIF(A499:A$2001,A499)=1,1,0))</f>
        <v/>
      </c>
      <c r="AM499" s="94">
        <f>IF(I499="","",TODAY()-I499)</f>
        <v/>
      </c>
      <c r="AN499" s="94">
        <f>IF(A499="","",IF(AND(E499&lt;&gt;"33 確認済",E499&lt;&gt;"36 送付中"),1,0))</f>
        <v/>
      </c>
      <c r="AO499" s="94">
        <f>IF(A499="","",IF(AG499&lt;&gt;"",1,0))</f>
        <v/>
      </c>
      <c r="AP499" s="220">
        <f>IF(P499&lt;&gt;"","・添待ち","")&amp;IF(Q499&lt;&gt;"","・住民票","")&amp;IF(R499&lt;&gt;"","・発信","")&amp;IF(S499&lt;&gt;"","・確認事項","")&amp;IF(T499&lt;&gt;"","・管","")&amp;IF(U499&lt;&gt;"","・SV","")&amp;IF(V499&lt;&gt;"","・データ送付待ち","")&amp;IF(W499&lt;&gt;"","・削除","")</f>
        <v/>
      </c>
    </row>
    <row r="500" ht="15" customHeight="1" s="87">
      <c r="AL500" s="94">
        <f>IF(A500="","",IF(COUNTIF(A500:A$2001,A500)=1,1,0))</f>
        <v/>
      </c>
      <c r="AM500" s="94">
        <f>IF(I500="","",TODAY()-I500)</f>
        <v/>
      </c>
      <c r="AN500" s="94">
        <f>IF(A500="","",IF(AND(E500&lt;&gt;"33 確認済",E500&lt;&gt;"36 送付中"),1,0))</f>
        <v/>
      </c>
      <c r="AO500" s="94">
        <f>IF(A500="","",IF(AG500&lt;&gt;"",1,0))</f>
        <v/>
      </c>
      <c r="AP500" s="220">
        <f>IF(P500&lt;&gt;"","・添待ち","")&amp;IF(Q500&lt;&gt;"","・住民票","")&amp;IF(R500&lt;&gt;"","・発信","")&amp;IF(S500&lt;&gt;"","・確認事項","")&amp;IF(T500&lt;&gt;"","・管","")&amp;IF(U500&lt;&gt;"","・SV","")&amp;IF(V500&lt;&gt;"","・データ送付待ち","")&amp;IF(W500&lt;&gt;"","・削除","")</f>
        <v/>
      </c>
    </row>
    <row r="501" ht="15" customHeight="1" s="87">
      <c r="AL501" s="94">
        <f>IF(A501="","",IF(COUNTIF(A501:A$2001,A501)=1,1,0))</f>
        <v/>
      </c>
      <c r="AM501" s="94">
        <f>IF(I501="","",TODAY()-I501)</f>
        <v/>
      </c>
      <c r="AN501" s="94">
        <f>IF(A501="","",IF(AND(E501&lt;&gt;"33 確認済",E501&lt;&gt;"36 送付中"),1,0))</f>
        <v/>
      </c>
      <c r="AO501" s="94">
        <f>IF(A501="","",IF(AG501&lt;&gt;"",1,0))</f>
        <v/>
      </c>
      <c r="AP501" s="220">
        <f>IF(P501&lt;&gt;"","・添待ち","")&amp;IF(Q501&lt;&gt;"","・住民票","")&amp;IF(R501&lt;&gt;"","・発信","")&amp;IF(S501&lt;&gt;"","・確認事項","")&amp;IF(T501&lt;&gt;"","・管","")&amp;IF(U501&lt;&gt;"","・SV","")&amp;IF(V501&lt;&gt;"","・データ送付待ち","")&amp;IF(W501&lt;&gt;"","・削除","")</f>
        <v/>
      </c>
    </row>
    <row r="502" ht="15" customHeight="1" s="87">
      <c r="AL502" s="94">
        <f>IF(A502="","",IF(COUNTIF(A502:A$2001,A502)=1,1,0))</f>
        <v/>
      </c>
      <c r="AM502" s="94">
        <f>IF(I502="","",TODAY()-I502)</f>
        <v/>
      </c>
      <c r="AN502" s="94">
        <f>IF(A502="","",IF(AND(E502&lt;&gt;"33 確認済",E502&lt;&gt;"36 送付中"),1,0))</f>
        <v/>
      </c>
      <c r="AO502" s="94">
        <f>IF(A502="","",IF(AG502&lt;&gt;"",1,0))</f>
        <v/>
      </c>
      <c r="AP502" s="220">
        <f>IF(P502&lt;&gt;"","・添待ち","")&amp;IF(Q502&lt;&gt;"","・住民票","")&amp;IF(R502&lt;&gt;"","・発信","")&amp;IF(S502&lt;&gt;"","・確認事項","")&amp;IF(T502&lt;&gt;"","・管","")&amp;IF(U502&lt;&gt;"","・SV","")&amp;IF(V502&lt;&gt;"","・データ送付待ち","")&amp;IF(W502&lt;&gt;"","・削除","")</f>
        <v/>
      </c>
    </row>
    <row r="503" ht="15" customHeight="1" s="87">
      <c r="AL503" s="94">
        <f>IF(A503="","",IF(COUNTIF(A503:A$2001,A503)=1,1,0))</f>
        <v/>
      </c>
      <c r="AM503" s="94">
        <f>IF(I503="","",TODAY()-I503)</f>
        <v/>
      </c>
      <c r="AN503" s="94">
        <f>IF(A503="","",IF(AND(E503&lt;&gt;"33 確認済",E503&lt;&gt;"36 送付中"),1,0))</f>
        <v/>
      </c>
      <c r="AO503" s="94">
        <f>IF(A503="","",IF(AG503&lt;&gt;"",1,0))</f>
        <v/>
      </c>
      <c r="AP503" s="220">
        <f>IF(P503&lt;&gt;"","・添待ち","")&amp;IF(Q503&lt;&gt;"","・住民票","")&amp;IF(R503&lt;&gt;"","・発信","")&amp;IF(S503&lt;&gt;"","・確認事項","")&amp;IF(T503&lt;&gt;"","・管","")&amp;IF(U503&lt;&gt;"","・SV","")&amp;IF(V503&lt;&gt;"","・データ送付待ち","")&amp;IF(W503&lt;&gt;"","・削除","")</f>
        <v/>
      </c>
    </row>
    <row r="504" ht="15" customHeight="1" s="87">
      <c r="AL504" s="94">
        <f>IF(A504="","",IF(COUNTIF(A504:A$2001,A504)=1,1,0))</f>
        <v/>
      </c>
      <c r="AM504" s="94">
        <f>IF(I504="","",TODAY()-I504)</f>
        <v/>
      </c>
      <c r="AN504" s="94">
        <f>IF(A504="","",IF(AND(E504&lt;&gt;"33 確認済",E504&lt;&gt;"36 送付中"),1,0))</f>
        <v/>
      </c>
      <c r="AO504" s="94">
        <f>IF(A504="","",IF(AG504&lt;&gt;"",1,0))</f>
        <v/>
      </c>
      <c r="AP504" s="220">
        <f>IF(P504&lt;&gt;"","・添待ち","")&amp;IF(Q504&lt;&gt;"","・住民票","")&amp;IF(R504&lt;&gt;"","・発信","")&amp;IF(S504&lt;&gt;"","・確認事項","")&amp;IF(T504&lt;&gt;"","・管","")&amp;IF(U504&lt;&gt;"","・SV","")&amp;IF(V504&lt;&gt;"","・データ送付待ち","")&amp;IF(W504&lt;&gt;"","・削除","")</f>
        <v/>
      </c>
    </row>
    <row r="505" ht="15" customHeight="1" s="87">
      <c r="AL505" s="94">
        <f>IF(A505="","",IF(COUNTIF(A505:A$2001,A505)=1,1,0))</f>
        <v/>
      </c>
      <c r="AM505" s="94">
        <f>IF(I505="","",TODAY()-I505)</f>
        <v/>
      </c>
      <c r="AN505" s="94">
        <f>IF(A505="","",IF(AND(E505&lt;&gt;"33 確認済",E505&lt;&gt;"36 送付中"),1,0))</f>
        <v/>
      </c>
      <c r="AO505" s="94">
        <f>IF(A505="","",IF(AG505&lt;&gt;"",1,0))</f>
        <v/>
      </c>
      <c r="AP505" s="220">
        <f>IF(P505&lt;&gt;"","・添待ち","")&amp;IF(Q505&lt;&gt;"","・住民票","")&amp;IF(R505&lt;&gt;"","・発信","")&amp;IF(S505&lt;&gt;"","・確認事項","")&amp;IF(T505&lt;&gt;"","・管","")&amp;IF(U505&lt;&gt;"","・SV","")&amp;IF(V505&lt;&gt;"","・データ送付待ち","")&amp;IF(W505&lt;&gt;"","・削除","")</f>
        <v/>
      </c>
    </row>
    <row r="506" ht="15" customHeight="1" s="87">
      <c r="AL506" s="94">
        <f>IF(A506="","",IF(COUNTIF(A506:A$2001,A506)=1,1,0))</f>
        <v/>
      </c>
      <c r="AM506" s="94">
        <f>IF(I506="","",TODAY()-I506)</f>
        <v/>
      </c>
      <c r="AN506" s="94">
        <f>IF(A506="","",IF(AND(E506&lt;&gt;"33 確認済",E506&lt;&gt;"36 送付中"),1,0))</f>
        <v/>
      </c>
      <c r="AO506" s="94">
        <f>IF(A506="","",IF(AG506&lt;&gt;"",1,0))</f>
        <v/>
      </c>
      <c r="AP506" s="220">
        <f>IF(P506&lt;&gt;"","・添待ち","")&amp;IF(Q506&lt;&gt;"","・住民票","")&amp;IF(R506&lt;&gt;"","・発信","")&amp;IF(S506&lt;&gt;"","・確認事項","")&amp;IF(T506&lt;&gt;"","・管","")&amp;IF(U506&lt;&gt;"","・SV","")&amp;IF(V506&lt;&gt;"","・データ送付待ち","")&amp;IF(W506&lt;&gt;"","・削除","")</f>
        <v/>
      </c>
    </row>
    <row r="507" ht="15" customHeight="1" s="87">
      <c r="AL507" s="94">
        <f>IF(A507="","",IF(COUNTIF(A507:A$2001,A507)=1,1,0))</f>
        <v/>
      </c>
      <c r="AM507" s="94">
        <f>IF(I507="","",TODAY()-I507)</f>
        <v/>
      </c>
      <c r="AN507" s="94">
        <f>IF(A507="","",IF(AND(E507&lt;&gt;"33 確認済",E507&lt;&gt;"36 送付中"),1,0))</f>
        <v/>
      </c>
      <c r="AO507" s="94">
        <f>IF(A507="","",IF(AG507&lt;&gt;"",1,0))</f>
        <v/>
      </c>
      <c r="AP507" s="220">
        <f>IF(P507&lt;&gt;"","・添待ち","")&amp;IF(Q507&lt;&gt;"","・住民票","")&amp;IF(R507&lt;&gt;"","・発信","")&amp;IF(S507&lt;&gt;"","・確認事項","")&amp;IF(T507&lt;&gt;"","・管","")&amp;IF(U507&lt;&gt;"","・SV","")&amp;IF(V507&lt;&gt;"","・データ送付待ち","")&amp;IF(W507&lt;&gt;"","・削除","")</f>
        <v/>
      </c>
    </row>
    <row r="508" ht="15" customHeight="1" s="87">
      <c r="AL508" s="94">
        <f>IF(A508="","",IF(COUNTIF(A508:A$2001,A508)=1,1,0))</f>
        <v/>
      </c>
      <c r="AM508" s="94">
        <f>IF(I508="","",TODAY()-I508)</f>
        <v/>
      </c>
      <c r="AN508" s="94">
        <f>IF(A508="","",IF(AND(E508&lt;&gt;"33 確認済",E508&lt;&gt;"36 送付中"),1,0))</f>
        <v/>
      </c>
      <c r="AO508" s="94">
        <f>IF(A508="","",IF(AG508&lt;&gt;"",1,0))</f>
        <v/>
      </c>
      <c r="AP508" s="220">
        <f>IF(P508&lt;&gt;"","・添待ち","")&amp;IF(Q508&lt;&gt;"","・住民票","")&amp;IF(R508&lt;&gt;"","・発信","")&amp;IF(S508&lt;&gt;"","・確認事項","")&amp;IF(T508&lt;&gt;"","・管","")&amp;IF(U508&lt;&gt;"","・SV","")&amp;IF(V508&lt;&gt;"","・データ送付待ち","")&amp;IF(W508&lt;&gt;"","・削除","")</f>
        <v/>
      </c>
    </row>
    <row r="509" ht="15" customHeight="1" s="87">
      <c r="AL509" s="94">
        <f>IF(A509="","",IF(COUNTIF(A509:A$2001,A509)=1,1,0))</f>
        <v/>
      </c>
      <c r="AM509" s="94">
        <f>IF(I509="","",TODAY()-I509)</f>
        <v/>
      </c>
      <c r="AN509" s="94">
        <f>IF(A509="","",IF(AND(E509&lt;&gt;"33 確認済",E509&lt;&gt;"36 送付中"),1,0))</f>
        <v/>
      </c>
      <c r="AO509" s="94">
        <f>IF(A509="","",IF(AG509&lt;&gt;"",1,0))</f>
        <v/>
      </c>
      <c r="AP509" s="220">
        <f>IF(P509&lt;&gt;"","・添待ち","")&amp;IF(Q509&lt;&gt;"","・住民票","")&amp;IF(R509&lt;&gt;"","・発信","")&amp;IF(S509&lt;&gt;"","・確認事項","")&amp;IF(T509&lt;&gt;"","・管","")&amp;IF(U509&lt;&gt;"","・SV","")&amp;IF(V509&lt;&gt;"","・データ送付待ち","")&amp;IF(W509&lt;&gt;"","・削除","")</f>
        <v/>
      </c>
    </row>
    <row r="510" ht="15" customHeight="1" s="87">
      <c r="AL510" s="94">
        <f>IF(A510="","",IF(COUNTIF(A510:A$2001,A510)=1,1,0))</f>
        <v/>
      </c>
      <c r="AM510" s="94">
        <f>IF(I510="","",TODAY()-I510)</f>
        <v/>
      </c>
      <c r="AN510" s="94">
        <f>IF(A510="","",IF(AND(E510&lt;&gt;"33 確認済",E510&lt;&gt;"36 送付中"),1,0))</f>
        <v/>
      </c>
      <c r="AO510" s="94">
        <f>IF(A510="","",IF(AG510&lt;&gt;"",1,0))</f>
        <v/>
      </c>
      <c r="AP510" s="220">
        <f>IF(P510&lt;&gt;"","・添待ち","")&amp;IF(Q510&lt;&gt;"","・住民票","")&amp;IF(R510&lt;&gt;"","・発信","")&amp;IF(S510&lt;&gt;"","・確認事項","")&amp;IF(T510&lt;&gt;"","・管","")&amp;IF(U510&lt;&gt;"","・SV","")&amp;IF(V510&lt;&gt;"","・データ送付待ち","")&amp;IF(W510&lt;&gt;"","・削除","")</f>
        <v/>
      </c>
    </row>
    <row r="511" ht="15" customHeight="1" s="87">
      <c r="AL511" s="94">
        <f>IF(A511="","",IF(COUNTIF(A511:A$2001,A511)=1,1,0))</f>
        <v/>
      </c>
      <c r="AM511" s="94">
        <f>IF(I511="","",TODAY()-I511)</f>
        <v/>
      </c>
      <c r="AN511" s="94">
        <f>IF(A511="","",IF(AND(E511&lt;&gt;"33 確認済",E511&lt;&gt;"36 送付中"),1,0))</f>
        <v/>
      </c>
      <c r="AO511" s="94">
        <f>IF(A511="","",IF(AG511&lt;&gt;"",1,0))</f>
        <v/>
      </c>
      <c r="AP511" s="220">
        <f>IF(P511&lt;&gt;"","・添待ち","")&amp;IF(Q511&lt;&gt;"","・住民票","")&amp;IF(R511&lt;&gt;"","・発信","")&amp;IF(S511&lt;&gt;"","・確認事項","")&amp;IF(T511&lt;&gt;"","・管","")&amp;IF(U511&lt;&gt;"","・SV","")&amp;IF(V511&lt;&gt;"","・データ送付待ち","")&amp;IF(W511&lt;&gt;"","・削除","")</f>
        <v/>
      </c>
    </row>
    <row r="512" ht="15" customHeight="1" s="87">
      <c r="AL512" s="94">
        <f>IF(A512="","",IF(COUNTIF(A512:A$2001,A512)=1,1,0))</f>
        <v/>
      </c>
      <c r="AM512" s="94">
        <f>IF(I512="","",TODAY()-I512)</f>
        <v/>
      </c>
      <c r="AN512" s="94">
        <f>IF(A512="","",IF(AND(E512&lt;&gt;"33 確認済",E512&lt;&gt;"36 送付中"),1,0))</f>
        <v/>
      </c>
      <c r="AO512" s="94">
        <f>IF(A512="","",IF(AG512&lt;&gt;"",1,0))</f>
        <v/>
      </c>
      <c r="AP512" s="220">
        <f>IF(P512&lt;&gt;"","・添待ち","")&amp;IF(Q512&lt;&gt;"","・住民票","")&amp;IF(R512&lt;&gt;"","・発信","")&amp;IF(S512&lt;&gt;"","・確認事項","")&amp;IF(T512&lt;&gt;"","・管","")&amp;IF(U512&lt;&gt;"","・SV","")&amp;IF(V512&lt;&gt;"","・データ送付待ち","")&amp;IF(W512&lt;&gt;"","・削除","")</f>
        <v/>
      </c>
    </row>
    <row r="513" ht="15" customHeight="1" s="87">
      <c r="AL513" s="94">
        <f>IF(A513="","",IF(COUNTIF(A513:A$2001,A513)=1,1,0))</f>
        <v/>
      </c>
      <c r="AM513" s="94">
        <f>IF(I513="","",TODAY()-I513)</f>
        <v/>
      </c>
      <c r="AN513" s="94">
        <f>IF(A513="","",IF(AND(E513&lt;&gt;"33 確認済",E513&lt;&gt;"36 送付中"),1,0))</f>
        <v/>
      </c>
      <c r="AO513" s="94">
        <f>IF(A513="","",IF(AG513&lt;&gt;"",1,0))</f>
        <v/>
      </c>
      <c r="AP513" s="220">
        <f>IF(P513&lt;&gt;"","・添待ち","")&amp;IF(Q513&lt;&gt;"","・住民票","")&amp;IF(R513&lt;&gt;"","・発信","")&amp;IF(S513&lt;&gt;"","・確認事項","")&amp;IF(T513&lt;&gt;"","・管","")&amp;IF(U513&lt;&gt;"","・SV","")&amp;IF(V513&lt;&gt;"","・データ送付待ち","")&amp;IF(W513&lt;&gt;"","・削除","")</f>
        <v/>
      </c>
    </row>
    <row r="514" ht="15" customHeight="1" s="87">
      <c r="AL514" s="94">
        <f>IF(A514="","",IF(COUNTIF(A514:A$2001,A514)=1,1,0))</f>
        <v/>
      </c>
      <c r="AM514" s="94">
        <f>IF(I514="","",TODAY()-I514)</f>
        <v/>
      </c>
      <c r="AN514" s="94">
        <f>IF(A514="","",IF(AND(E514&lt;&gt;"33 確認済",E514&lt;&gt;"36 送付中"),1,0))</f>
        <v/>
      </c>
      <c r="AO514" s="94">
        <f>IF(A514="","",IF(AG514&lt;&gt;"",1,0))</f>
        <v/>
      </c>
      <c r="AP514" s="220">
        <f>IF(P514&lt;&gt;"","・添待ち","")&amp;IF(Q514&lt;&gt;"","・住民票","")&amp;IF(R514&lt;&gt;"","・発信","")&amp;IF(S514&lt;&gt;"","・確認事項","")&amp;IF(T514&lt;&gt;"","・管","")&amp;IF(U514&lt;&gt;"","・SV","")&amp;IF(V514&lt;&gt;"","・データ送付待ち","")&amp;IF(W514&lt;&gt;"","・削除","")</f>
        <v/>
      </c>
    </row>
    <row r="515" ht="15" customHeight="1" s="87">
      <c r="AL515" s="94">
        <f>IF(A515="","",IF(COUNTIF(A515:A$2001,A515)=1,1,0))</f>
        <v/>
      </c>
      <c r="AM515" s="94">
        <f>IF(I515="","",TODAY()-I515)</f>
        <v/>
      </c>
      <c r="AN515" s="94">
        <f>IF(A515="","",IF(AND(E515&lt;&gt;"33 確認済",E515&lt;&gt;"36 送付中"),1,0))</f>
        <v/>
      </c>
      <c r="AO515" s="94">
        <f>IF(A515="","",IF(AG515&lt;&gt;"",1,0))</f>
        <v/>
      </c>
      <c r="AP515" s="220">
        <f>IF(P515&lt;&gt;"","・添待ち","")&amp;IF(Q515&lt;&gt;"","・住民票","")&amp;IF(R515&lt;&gt;"","・発信","")&amp;IF(S515&lt;&gt;"","・確認事項","")&amp;IF(T515&lt;&gt;"","・管","")&amp;IF(U515&lt;&gt;"","・SV","")&amp;IF(V515&lt;&gt;"","・データ送付待ち","")&amp;IF(W515&lt;&gt;"","・削除","")</f>
        <v/>
      </c>
    </row>
    <row r="516" ht="15" customHeight="1" s="87">
      <c r="AL516" s="94">
        <f>IF(A516="","",IF(COUNTIF(A516:A$2001,A516)=1,1,0))</f>
        <v/>
      </c>
      <c r="AM516" s="94">
        <f>IF(I516="","",TODAY()-I516)</f>
        <v/>
      </c>
      <c r="AN516" s="94">
        <f>IF(A516="","",IF(AND(E516&lt;&gt;"33 確認済",E516&lt;&gt;"36 送付中"),1,0))</f>
        <v/>
      </c>
      <c r="AO516" s="94">
        <f>IF(A516="","",IF(AG516&lt;&gt;"",1,0))</f>
        <v/>
      </c>
      <c r="AP516" s="220">
        <f>IF(P516&lt;&gt;"","・添待ち","")&amp;IF(Q516&lt;&gt;"","・住民票","")&amp;IF(R516&lt;&gt;"","・発信","")&amp;IF(S516&lt;&gt;"","・確認事項","")&amp;IF(T516&lt;&gt;"","・管","")&amp;IF(U516&lt;&gt;"","・SV","")&amp;IF(V516&lt;&gt;"","・データ送付待ち","")&amp;IF(W516&lt;&gt;"","・削除","")</f>
        <v/>
      </c>
    </row>
    <row r="517" ht="15" customHeight="1" s="87">
      <c r="AL517" s="94">
        <f>IF(A517="","",IF(COUNTIF(A517:A$2001,A517)=1,1,0))</f>
        <v/>
      </c>
      <c r="AM517" s="94">
        <f>IF(I517="","",TODAY()-I517)</f>
        <v/>
      </c>
      <c r="AN517" s="94">
        <f>IF(A517="","",IF(AND(E517&lt;&gt;"33 確認済",E517&lt;&gt;"36 送付中"),1,0))</f>
        <v/>
      </c>
      <c r="AO517" s="94">
        <f>IF(A517="","",IF(AG517&lt;&gt;"",1,0))</f>
        <v/>
      </c>
      <c r="AP517" s="220">
        <f>IF(P517&lt;&gt;"","・添待ち","")&amp;IF(Q517&lt;&gt;"","・住民票","")&amp;IF(R517&lt;&gt;"","・発信","")&amp;IF(S517&lt;&gt;"","・確認事項","")&amp;IF(T517&lt;&gt;"","・管","")&amp;IF(U517&lt;&gt;"","・SV","")&amp;IF(V517&lt;&gt;"","・データ送付待ち","")&amp;IF(W517&lt;&gt;"","・削除","")</f>
        <v/>
      </c>
    </row>
    <row r="518" ht="15" customHeight="1" s="87">
      <c r="AL518" s="94">
        <f>IF(A518="","",IF(COUNTIF(A518:A$2001,A518)=1,1,0))</f>
        <v/>
      </c>
      <c r="AM518" s="94">
        <f>IF(I518="","",TODAY()-I518)</f>
        <v/>
      </c>
      <c r="AN518" s="94">
        <f>IF(A518="","",IF(AND(E518&lt;&gt;"33 確認済",E518&lt;&gt;"36 送付中"),1,0))</f>
        <v/>
      </c>
      <c r="AO518" s="94">
        <f>IF(A518="","",IF(AG518&lt;&gt;"",1,0))</f>
        <v/>
      </c>
      <c r="AP518" s="220">
        <f>IF(P518&lt;&gt;"","・添待ち","")&amp;IF(Q518&lt;&gt;"","・住民票","")&amp;IF(R518&lt;&gt;"","・発信","")&amp;IF(S518&lt;&gt;"","・確認事項","")&amp;IF(T518&lt;&gt;"","・管","")&amp;IF(U518&lt;&gt;"","・SV","")&amp;IF(V518&lt;&gt;"","・データ送付待ち","")&amp;IF(W518&lt;&gt;"","・削除","")</f>
        <v/>
      </c>
    </row>
    <row r="519" ht="15" customHeight="1" s="87">
      <c r="AL519" s="94">
        <f>IF(A519="","",IF(COUNTIF(A519:A$2001,A519)=1,1,0))</f>
        <v/>
      </c>
      <c r="AM519" s="94">
        <f>IF(I519="","",TODAY()-I519)</f>
        <v/>
      </c>
      <c r="AN519" s="94">
        <f>IF(A519="","",IF(AND(E519&lt;&gt;"33 確認済",E519&lt;&gt;"36 送付中"),1,0))</f>
        <v/>
      </c>
      <c r="AO519" s="94">
        <f>IF(A519="","",IF(AG519&lt;&gt;"",1,0))</f>
        <v/>
      </c>
      <c r="AP519" s="220">
        <f>IF(P519&lt;&gt;"","・添待ち","")&amp;IF(Q519&lt;&gt;"","・住民票","")&amp;IF(R519&lt;&gt;"","・発信","")&amp;IF(S519&lt;&gt;"","・確認事項","")&amp;IF(T519&lt;&gt;"","・管","")&amp;IF(U519&lt;&gt;"","・SV","")&amp;IF(V519&lt;&gt;"","・データ送付待ち","")&amp;IF(W519&lt;&gt;"","・削除","")</f>
        <v/>
      </c>
    </row>
    <row r="520" ht="15" customHeight="1" s="87">
      <c r="AL520" s="94">
        <f>IF(A520="","",IF(COUNTIF(A520:A$2001,A520)=1,1,0))</f>
        <v/>
      </c>
      <c r="AM520" s="94">
        <f>IF(I520="","",TODAY()-I520)</f>
        <v/>
      </c>
      <c r="AN520" s="94">
        <f>IF(A520="","",IF(AND(E520&lt;&gt;"33 確認済",E520&lt;&gt;"36 送付中"),1,0))</f>
        <v/>
      </c>
      <c r="AO520" s="94">
        <f>IF(A520="","",IF(AG520&lt;&gt;"",1,0))</f>
        <v/>
      </c>
      <c r="AP520" s="220">
        <f>IF(P520&lt;&gt;"","・添待ち","")&amp;IF(Q520&lt;&gt;"","・住民票","")&amp;IF(R520&lt;&gt;"","・発信","")&amp;IF(S520&lt;&gt;"","・確認事項","")&amp;IF(T520&lt;&gt;"","・管","")&amp;IF(U520&lt;&gt;"","・SV","")&amp;IF(V520&lt;&gt;"","・データ送付待ち","")&amp;IF(W520&lt;&gt;"","・削除","")</f>
        <v/>
      </c>
    </row>
    <row r="521" ht="15" customHeight="1" s="87">
      <c r="AL521" s="94">
        <f>IF(A521="","",IF(COUNTIF(A521:A$2001,A521)=1,1,0))</f>
        <v/>
      </c>
      <c r="AM521" s="94">
        <f>IF(I521="","",TODAY()-I521)</f>
        <v/>
      </c>
      <c r="AN521" s="94">
        <f>IF(A521="","",IF(AND(E521&lt;&gt;"33 確認済",E521&lt;&gt;"36 送付中"),1,0))</f>
        <v/>
      </c>
      <c r="AO521" s="94">
        <f>IF(A521="","",IF(AG521&lt;&gt;"",1,0))</f>
        <v/>
      </c>
      <c r="AP521" s="220">
        <f>IF(P521&lt;&gt;"","・添待ち","")&amp;IF(Q521&lt;&gt;"","・住民票","")&amp;IF(R521&lt;&gt;"","・発信","")&amp;IF(S521&lt;&gt;"","・確認事項","")&amp;IF(T521&lt;&gt;"","・管","")&amp;IF(U521&lt;&gt;"","・SV","")&amp;IF(V521&lt;&gt;"","・データ送付待ち","")&amp;IF(W521&lt;&gt;"","・削除","")</f>
        <v/>
      </c>
    </row>
    <row r="522" ht="15" customHeight="1" s="87">
      <c r="AL522" s="94">
        <f>IF(A522="","",IF(COUNTIF(A522:A$2001,A522)=1,1,0))</f>
        <v/>
      </c>
      <c r="AM522" s="94">
        <f>IF(I522="","",TODAY()-I522)</f>
        <v/>
      </c>
      <c r="AN522" s="94">
        <f>IF(A522="","",IF(AND(E522&lt;&gt;"33 確認済",E522&lt;&gt;"36 送付中"),1,0))</f>
        <v/>
      </c>
      <c r="AO522" s="94">
        <f>IF(A522="","",IF(AG522&lt;&gt;"",1,0))</f>
        <v/>
      </c>
      <c r="AP522" s="220">
        <f>IF(P522&lt;&gt;"","・添待ち","")&amp;IF(Q522&lt;&gt;"","・住民票","")&amp;IF(R522&lt;&gt;"","・発信","")&amp;IF(S522&lt;&gt;"","・確認事項","")&amp;IF(T522&lt;&gt;"","・管","")&amp;IF(U522&lt;&gt;"","・SV","")&amp;IF(V522&lt;&gt;"","・データ送付待ち","")&amp;IF(W522&lt;&gt;"","・削除","")</f>
        <v/>
      </c>
    </row>
    <row r="523" ht="15" customHeight="1" s="87">
      <c r="AL523" s="94">
        <f>IF(A523="","",IF(COUNTIF(A523:A$2001,A523)=1,1,0))</f>
        <v/>
      </c>
      <c r="AM523" s="94">
        <f>IF(I523="","",TODAY()-I523)</f>
        <v/>
      </c>
      <c r="AN523" s="94">
        <f>IF(A523="","",IF(AND(E523&lt;&gt;"33 確認済",E523&lt;&gt;"36 送付中"),1,0))</f>
        <v/>
      </c>
      <c r="AO523" s="94">
        <f>IF(A523="","",IF(AG523&lt;&gt;"",1,0))</f>
        <v/>
      </c>
      <c r="AP523" s="220">
        <f>IF(P523&lt;&gt;"","・添待ち","")&amp;IF(Q523&lt;&gt;"","・住民票","")&amp;IF(R523&lt;&gt;"","・発信","")&amp;IF(S523&lt;&gt;"","・確認事項","")&amp;IF(T523&lt;&gt;"","・管","")&amp;IF(U523&lt;&gt;"","・SV","")&amp;IF(V523&lt;&gt;"","・データ送付待ち","")&amp;IF(W523&lt;&gt;"","・削除","")</f>
        <v/>
      </c>
    </row>
    <row r="524" ht="15" customHeight="1" s="87">
      <c r="AL524" s="94">
        <f>IF(A524="","",IF(COUNTIF(A524:A$2001,A524)=1,1,0))</f>
        <v/>
      </c>
      <c r="AM524" s="94">
        <f>IF(I524="","",TODAY()-I524)</f>
        <v/>
      </c>
      <c r="AN524" s="94">
        <f>IF(A524="","",IF(AND(E524&lt;&gt;"33 確認済",E524&lt;&gt;"36 送付中"),1,0))</f>
        <v/>
      </c>
      <c r="AO524" s="94">
        <f>IF(A524="","",IF(AG524&lt;&gt;"",1,0))</f>
        <v/>
      </c>
      <c r="AP524" s="220">
        <f>IF(P524&lt;&gt;"","・添待ち","")&amp;IF(Q524&lt;&gt;"","・住民票","")&amp;IF(R524&lt;&gt;"","・発信","")&amp;IF(S524&lt;&gt;"","・確認事項","")&amp;IF(T524&lt;&gt;"","・管","")&amp;IF(U524&lt;&gt;"","・SV","")&amp;IF(V524&lt;&gt;"","・データ送付待ち","")&amp;IF(W524&lt;&gt;"","・削除","")</f>
        <v/>
      </c>
    </row>
    <row r="525" ht="15" customHeight="1" s="87">
      <c r="AL525" s="94">
        <f>IF(A525="","",IF(COUNTIF(A525:A$2001,A525)=1,1,0))</f>
        <v/>
      </c>
      <c r="AM525" s="94">
        <f>IF(I525="","",TODAY()-I525)</f>
        <v/>
      </c>
      <c r="AN525" s="94">
        <f>IF(A525="","",IF(AND(E525&lt;&gt;"33 確認済",E525&lt;&gt;"36 送付中"),1,0))</f>
        <v/>
      </c>
      <c r="AO525" s="94">
        <f>IF(A525="","",IF(AG525&lt;&gt;"",1,0))</f>
        <v/>
      </c>
      <c r="AP525" s="220">
        <f>IF(P525&lt;&gt;"","・添待ち","")&amp;IF(Q525&lt;&gt;"","・住民票","")&amp;IF(R525&lt;&gt;"","・発信","")&amp;IF(S525&lt;&gt;"","・確認事項","")&amp;IF(T525&lt;&gt;"","・管","")&amp;IF(U525&lt;&gt;"","・SV","")&amp;IF(V525&lt;&gt;"","・データ送付待ち","")&amp;IF(W525&lt;&gt;"","・削除","")</f>
        <v/>
      </c>
    </row>
    <row r="526" ht="15" customHeight="1" s="87">
      <c r="AL526" s="94">
        <f>IF(A526="","",IF(COUNTIF(A526:A$2001,A526)=1,1,0))</f>
        <v/>
      </c>
      <c r="AM526" s="94">
        <f>IF(I526="","",TODAY()-I526)</f>
        <v/>
      </c>
      <c r="AN526" s="94">
        <f>IF(A526="","",IF(AND(E526&lt;&gt;"33 確認済",E526&lt;&gt;"36 送付中"),1,0))</f>
        <v/>
      </c>
      <c r="AO526" s="94">
        <f>IF(A526="","",IF(AG526&lt;&gt;"",1,0))</f>
        <v/>
      </c>
      <c r="AP526" s="220">
        <f>IF(P526&lt;&gt;"","・添待ち","")&amp;IF(Q526&lt;&gt;"","・住民票","")&amp;IF(R526&lt;&gt;"","・発信","")&amp;IF(S526&lt;&gt;"","・確認事項","")&amp;IF(T526&lt;&gt;"","・管","")&amp;IF(U526&lt;&gt;"","・SV","")&amp;IF(V526&lt;&gt;"","・データ送付待ち","")&amp;IF(W526&lt;&gt;"","・削除","")</f>
        <v/>
      </c>
    </row>
    <row r="527" ht="15" customHeight="1" s="87">
      <c r="AL527" s="94">
        <f>IF(A527="","",IF(COUNTIF(A527:A$2001,A527)=1,1,0))</f>
        <v/>
      </c>
      <c r="AM527" s="94">
        <f>IF(I527="","",TODAY()-I527)</f>
        <v/>
      </c>
      <c r="AN527" s="94">
        <f>IF(A527="","",IF(AND(E527&lt;&gt;"33 確認済",E527&lt;&gt;"36 送付中"),1,0))</f>
        <v/>
      </c>
      <c r="AO527" s="94">
        <f>IF(A527="","",IF(AG527&lt;&gt;"",1,0))</f>
        <v/>
      </c>
      <c r="AP527" s="220">
        <f>IF(P527&lt;&gt;"","・添待ち","")&amp;IF(Q527&lt;&gt;"","・住民票","")&amp;IF(R527&lt;&gt;"","・発信","")&amp;IF(S527&lt;&gt;"","・確認事項","")&amp;IF(T527&lt;&gt;"","・管","")&amp;IF(U527&lt;&gt;"","・SV","")&amp;IF(V527&lt;&gt;"","・データ送付待ち","")&amp;IF(W527&lt;&gt;"","・削除","")</f>
        <v/>
      </c>
    </row>
    <row r="528" ht="15" customHeight="1" s="87">
      <c r="AL528" s="94">
        <f>IF(A528="","",IF(COUNTIF(A528:A$2001,A528)=1,1,0))</f>
        <v/>
      </c>
      <c r="AM528" s="94">
        <f>IF(I528="","",TODAY()-I528)</f>
        <v/>
      </c>
      <c r="AN528" s="94">
        <f>IF(A528="","",IF(AND(E528&lt;&gt;"33 確認済",E528&lt;&gt;"36 送付中"),1,0))</f>
        <v/>
      </c>
      <c r="AO528" s="94">
        <f>IF(A528="","",IF(AG528&lt;&gt;"",1,0))</f>
        <v/>
      </c>
      <c r="AP528" s="220">
        <f>IF(P528&lt;&gt;"","・添待ち","")&amp;IF(Q528&lt;&gt;"","・住民票","")&amp;IF(R528&lt;&gt;"","・発信","")&amp;IF(S528&lt;&gt;"","・確認事項","")&amp;IF(T528&lt;&gt;"","・管","")&amp;IF(U528&lt;&gt;"","・SV","")&amp;IF(V528&lt;&gt;"","・データ送付待ち","")&amp;IF(W528&lt;&gt;"","・削除","")</f>
        <v/>
      </c>
    </row>
    <row r="529" ht="15" customHeight="1" s="87">
      <c r="AL529" s="94">
        <f>IF(A529="","",IF(COUNTIF(A529:A$2001,A529)=1,1,0))</f>
        <v/>
      </c>
      <c r="AM529" s="94">
        <f>IF(I529="","",TODAY()-I529)</f>
        <v/>
      </c>
      <c r="AN529" s="94">
        <f>IF(A529="","",IF(AND(E529&lt;&gt;"33 確認済",E529&lt;&gt;"36 送付中"),1,0))</f>
        <v/>
      </c>
      <c r="AO529" s="94">
        <f>IF(A529="","",IF(AG529&lt;&gt;"",1,0))</f>
        <v/>
      </c>
      <c r="AP529" s="220">
        <f>IF(P529&lt;&gt;"","・添待ち","")&amp;IF(Q529&lt;&gt;"","・住民票","")&amp;IF(R529&lt;&gt;"","・発信","")&amp;IF(S529&lt;&gt;"","・確認事項","")&amp;IF(T529&lt;&gt;"","・管","")&amp;IF(U529&lt;&gt;"","・SV","")&amp;IF(V529&lt;&gt;"","・データ送付待ち","")&amp;IF(W529&lt;&gt;"","・削除","")</f>
        <v/>
      </c>
    </row>
    <row r="530" ht="15" customHeight="1" s="87">
      <c r="AL530" s="94">
        <f>IF(A530="","",IF(COUNTIF(A530:A$2001,A530)=1,1,0))</f>
        <v/>
      </c>
      <c r="AM530" s="94">
        <f>IF(I530="","",TODAY()-I530)</f>
        <v/>
      </c>
      <c r="AN530" s="94">
        <f>IF(A530="","",IF(AND(E530&lt;&gt;"33 確認済",E530&lt;&gt;"36 送付中"),1,0))</f>
        <v/>
      </c>
      <c r="AO530" s="94">
        <f>IF(A530="","",IF(AG530&lt;&gt;"",1,0))</f>
        <v/>
      </c>
      <c r="AP530" s="220">
        <f>IF(P530&lt;&gt;"","・添待ち","")&amp;IF(Q530&lt;&gt;"","・住民票","")&amp;IF(R530&lt;&gt;"","・発信","")&amp;IF(S530&lt;&gt;"","・確認事項","")&amp;IF(T530&lt;&gt;"","・管","")&amp;IF(U530&lt;&gt;"","・SV","")&amp;IF(V530&lt;&gt;"","・データ送付待ち","")&amp;IF(W530&lt;&gt;"","・削除","")</f>
        <v/>
      </c>
    </row>
    <row r="531" ht="15" customHeight="1" s="87">
      <c r="AL531" s="94">
        <f>IF(A531="","",IF(COUNTIF(A531:A$2001,A531)=1,1,0))</f>
        <v/>
      </c>
      <c r="AM531" s="94">
        <f>IF(I531="","",TODAY()-I531)</f>
        <v/>
      </c>
      <c r="AN531" s="94">
        <f>IF(A531="","",IF(AND(E531&lt;&gt;"33 確認済",E531&lt;&gt;"36 送付中"),1,0))</f>
        <v/>
      </c>
      <c r="AO531" s="94">
        <f>IF(A531="","",IF(AG531&lt;&gt;"",1,0))</f>
        <v/>
      </c>
      <c r="AP531" s="220">
        <f>IF(P531&lt;&gt;"","・添待ち","")&amp;IF(Q531&lt;&gt;"","・住民票","")&amp;IF(R531&lt;&gt;"","・発信","")&amp;IF(S531&lt;&gt;"","・確認事項","")&amp;IF(T531&lt;&gt;"","・管","")&amp;IF(U531&lt;&gt;"","・SV","")&amp;IF(V531&lt;&gt;"","・データ送付待ち","")&amp;IF(W531&lt;&gt;"","・削除","")</f>
        <v/>
      </c>
    </row>
    <row r="532" ht="15" customHeight="1" s="87">
      <c r="AL532" s="94">
        <f>IF(A532="","",IF(COUNTIF(A532:A$2001,A532)=1,1,0))</f>
        <v/>
      </c>
      <c r="AM532" s="94">
        <f>IF(I532="","",TODAY()-I532)</f>
        <v/>
      </c>
      <c r="AN532" s="94">
        <f>IF(A532="","",IF(AND(E532&lt;&gt;"33 確認済",E532&lt;&gt;"36 送付中"),1,0))</f>
        <v/>
      </c>
      <c r="AO532" s="94">
        <f>IF(A532="","",IF(AG532&lt;&gt;"",1,0))</f>
        <v/>
      </c>
      <c r="AP532" s="220">
        <f>IF(P532&lt;&gt;"","・添待ち","")&amp;IF(Q532&lt;&gt;"","・住民票","")&amp;IF(R532&lt;&gt;"","・発信","")&amp;IF(S532&lt;&gt;"","・確認事項","")&amp;IF(T532&lt;&gt;"","・管","")&amp;IF(U532&lt;&gt;"","・SV","")&amp;IF(V532&lt;&gt;"","・データ送付待ち","")&amp;IF(W532&lt;&gt;"","・削除","")</f>
        <v/>
      </c>
    </row>
    <row r="533" ht="15" customHeight="1" s="87">
      <c r="AL533" s="94">
        <f>IF(A533="","",IF(COUNTIF(A533:A$2001,A533)=1,1,0))</f>
        <v/>
      </c>
      <c r="AM533" s="94">
        <f>IF(I533="","",TODAY()-I533)</f>
        <v/>
      </c>
      <c r="AN533" s="94">
        <f>IF(A533="","",IF(AND(E533&lt;&gt;"33 確認済",E533&lt;&gt;"36 送付中"),1,0))</f>
        <v/>
      </c>
      <c r="AO533" s="94">
        <f>IF(A533="","",IF(AG533&lt;&gt;"",1,0))</f>
        <v/>
      </c>
      <c r="AP533" s="220">
        <f>IF(P533&lt;&gt;"","・添待ち","")&amp;IF(Q533&lt;&gt;"","・住民票","")&amp;IF(R533&lt;&gt;"","・発信","")&amp;IF(S533&lt;&gt;"","・確認事項","")&amp;IF(T533&lt;&gt;"","・管","")&amp;IF(U533&lt;&gt;"","・SV","")&amp;IF(V533&lt;&gt;"","・データ送付待ち","")&amp;IF(W533&lt;&gt;"","・削除","")</f>
        <v/>
      </c>
    </row>
    <row r="534" ht="15" customHeight="1" s="87">
      <c r="AL534" s="94">
        <f>IF(A534="","",IF(COUNTIF(A534:A$2001,A534)=1,1,0))</f>
        <v/>
      </c>
      <c r="AM534" s="94">
        <f>IF(I534="","",TODAY()-I534)</f>
        <v/>
      </c>
      <c r="AN534" s="94">
        <f>IF(A534="","",IF(AND(E534&lt;&gt;"33 確認済",E534&lt;&gt;"36 送付中"),1,0))</f>
        <v/>
      </c>
      <c r="AO534" s="94">
        <f>IF(A534="","",IF(AG534&lt;&gt;"",1,0))</f>
        <v/>
      </c>
      <c r="AP534" s="220">
        <f>IF(P534&lt;&gt;"","・添待ち","")&amp;IF(Q534&lt;&gt;"","・住民票","")&amp;IF(R534&lt;&gt;"","・発信","")&amp;IF(S534&lt;&gt;"","・確認事項","")&amp;IF(T534&lt;&gt;"","・管","")&amp;IF(U534&lt;&gt;"","・SV","")&amp;IF(V534&lt;&gt;"","・データ送付待ち","")&amp;IF(W534&lt;&gt;"","・削除","")</f>
        <v/>
      </c>
    </row>
    <row r="535" ht="15" customHeight="1" s="87">
      <c r="AL535" s="94">
        <f>IF(A535="","",IF(COUNTIF(A535:A$2001,A535)=1,1,0))</f>
        <v/>
      </c>
      <c r="AM535" s="94">
        <f>IF(I535="","",TODAY()-I535)</f>
        <v/>
      </c>
      <c r="AN535" s="94">
        <f>IF(A535="","",IF(AND(E535&lt;&gt;"33 確認済",E535&lt;&gt;"36 送付中"),1,0))</f>
        <v/>
      </c>
      <c r="AO535" s="94">
        <f>IF(A535="","",IF(AG535&lt;&gt;"",1,0))</f>
        <v/>
      </c>
      <c r="AP535" s="220">
        <f>IF(P535&lt;&gt;"","・添待ち","")&amp;IF(Q535&lt;&gt;"","・住民票","")&amp;IF(R535&lt;&gt;"","・発信","")&amp;IF(S535&lt;&gt;"","・確認事項","")&amp;IF(T535&lt;&gt;"","・管","")&amp;IF(U535&lt;&gt;"","・SV","")&amp;IF(V535&lt;&gt;"","・データ送付待ち","")&amp;IF(W535&lt;&gt;"","・削除","")</f>
        <v/>
      </c>
    </row>
    <row r="536" ht="15" customHeight="1" s="87">
      <c r="AL536" s="94">
        <f>IF(A536="","",IF(COUNTIF(A536:A$2001,A536)=1,1,0))</f>
        <v/>
      </c>
      <c r="AM536" s="94">
        <f>IF(I536="","",TODAY()-I536)</f>
        <v/>
      </c>
      <c r="AN536" s="94">
        <f>IF(A536="","",IF(AND(E536&lt;&gt;"33 確認済",E536&lt;&gt;"36 送付中"),1,0))</f>
        <v/>
      </c>
      <c r="AO536" s="94">
        <f>IF(A536="","",IF(AG536&lt;&gt;"",1,0))</f>
        <v/>
      </c>
      <c r="AP536" s="220">
        <f>IF(P536&lt;&gt;"","・添待ち","")&amp;IF(Q536&lt;&gt;"","・住民票","")&amp;IF(R536&lt;&gt;"","・発信","")&amp;IF(S536&lt;&gt;"","・確認事項","")&amp;IF(T536&lt;&gt;"","・管","")&amp;IF(U536&lt;&gt;"","・SV","")&amp;IF(V536&lt;&gt;"","・データ送付待ち","")&amp;IF(W536&lt;&gt;"","・削除","")</f>
        <v/>
      </c>
    </row>
    <row r="537" ht="15" customHeight="1" s="87">
      <c r="AL537" s="94">
        <f>IF(A537="","",IF(COUNTIF(A537:A$2001,A537)=1,1,0))</f>
        <v/>
      </c>
      <c r="AM537" s="94">
        <f>IF(I537="","",TODAY()-I537)</f>
        <v/>
      </c>
      <c r="AN537" s="94">
        <f>IF(A537="","",IF(AND(E537&lt;&gt;"33 確認済",E537&lt;&gt;"36 送付中"),1,0))</f>
        <v/>
      </c>
      <c r="AO537" s="94">
        <f>IF(A537="","",IF(AG537&lt;&gt;"",1,0))</f>
        <v/>
      </c>
      <c r="AP537" s="220">
        <f>IF(P537&lt;&gt;"","・添待ち","")&amp;IF(Q537&lt;&gt;"","・住民票","")&amp;IF(R537&lt;&gt;"","・発信","")&amp;IF(S537&lt;&gt;"","・確認事項","")&amp;IF(T537&lt;&gt;"","・管","")&amp;IF(U537&lt;&gt;"","・SV","")&amp;IF(V537&lt;&gt;"","・データ送付待ち","")&amp;IF(W537&lt;&gt;"","・削除","")</f>
        <v/>
      </c>
    </row>
    <row r="538" ht="15" customHeight="1" s="87">
      <c r="AL538" s="94">
        <f>IF(A538="","",IF(COUNTIF(A538:A$2001,A538)=1,1,0))</f>
        <v/>
      </c>
      <c r="AM538" s="94">
        <f>IF(I538="","",TODAY()-I538)</f>
        <v/>
      </c>
      <c r="AN538" s="94">
        <f>IF(A538="","",IF(AND(E538&lt;&gt;"33 確認済",E538&lt;&gt;"36 送付中"),1,0))</f>
        <v/>
      </c>
      <c r="AO538" s="94">
        <f>IF(A538="","",IF(AG538&lt;&gt;"",1,0))</f>
        <v/>
      </c>
      <c r="AP538" s="220">
        <f>IF(P538&lt;&gt;"","・添待ち","")&amp;IF(Q538&lt;&gt;"","・住民票","")&amp;IF(R538&lt;&gt;"","・発信","")&amp;IF(S538&lt;&gt;"","・確認事項","")&amp;IF(T538&lt;&gt;"","・管","")&amp;IF(U538&lt;&gt;"","・SV","")&amp;IF(V538&lt;&gt;"","・データ送付待ち","")&amp;IF(W538&lt;&gt;"","・削除","")</f>
        <v/>
      </c>
    </row>
    <row r="539" ht="15" customHeight="1" s="87">
      <c r="AL539" s="94">
        <f>IF(A539="","",IF(COUNTIF(A539:A$2001,A539)=1,1,0))</f>
        <v/>
      </c>
      <c r="AM539" s="94">
        <f>IF(I539="","",TODAY()-I539)</f>
        <v/>
      </c>
      <c r="AN539" s="94">
        <f>IF(A539="","",IF(AND(E539&lt;&gt;"33 確認済",E539&lt;&gt;"36 送付中"),1,0))</f>
        <v/>
      </c>
      <c r="AO539" s="94">
        <f>IF(A539="","",IF(AG539&lt;&gt;"",1,0))</f>
        <v/>
      </c>
      <c r="AP539" s="220">
        <f>IF(P539&lt;&gt;"","・添待ち","")&amp;IF(Q539&lt;&gt;"","・住民票","")&amp;IF(R539&lt;&gt;"","・発信","")&amp;IF(S539&lt;&gt;"","・確認事項","")&amp;IF(T539&lt;&gt;"","・管","")&amp;IF(U539&lt;&gt;"","・SV","")&amp;IF(V539&lt;&gt;"","・データ送付待ち","")&amp;IF(W539&lt;&gt;"","・削除","")</f>
        <v/>
      </c>
    </row>
    <row r="540" ht="15" customHeight="1" s="87">
      <c r="AL540" s="94">
        <f>IF(A540="","",IF(COUNTIF(A540:A$2001,A540)=1,1,0))</f>
        <v/>
      </c>
      <c r="AM540" s="94">
        <f>IF(I540="","",TODAY()-I540)</f>
        <v/>
      </c>
      <c r="AN540" s="94">
        <f>IF(A540="","",IF(AND(E540&lt;&gt;"33 確認済",E540&lt;&gt;"36 送付中"),1,0))</f>
        <v/>
      </c>
      <c r="AO540" s="94">
        <f>IF(A540="","",IF(AG540&lt;&gt;"",1,0))</f>
        <v/>
      </c>
      <c r="AP540" s="220">
        <f>IF(P540&lt;&gt;"","・添待ち","")&amp;IF(Q540&lt;&gt;"","・住民票","")&amp;IF(R540&lt;&gt;"","・発信","")&amp;IF(S540&lt;&gt;"","・確認事項","")&amp;IF(T540&lt;&gt;"","・管","")&amp;IF(U540&lt;&gt;"","・SV","")&amp;IF(V540&lt;&gt;"","・データ送付待ち","")&amp;IF(W540&lt;&gt;"","・削除","")</f>
        <v/>
      </c>
    </row>
    <row r="541" ht="15" customHeight="1" s="87">
      <c r="AL541" s="94">
        <f>IF(A541="","",IF(COUNTIF(A541:A$2001,A541)=1,1,0))</f>
        <v/>
      </c>
      <c r="AM541" s="94">
        <f>IF(I541="","",TODAY()-I541)</f>
        <v/>
      </c>
      <c r="AN541" s="94">
        <f>IF(A541="","",IF(AND(E541&lt;&gt;"33 確認済",E541&lt;&gt;"36 送付中"),1,0))</f>
        <v/>
      </c>
      <c r="AO541" s="94">
        <f>IF(A541="","",IF(AG541&lt;&gt;"",1,0))</f>
        <v/>
      </c>
      <c r="AP541" s="220">
        <f>IF(P541&lt;&gt;"","・添待ち","")&amp;IF(Q541&lt;&gt;"","・住民票","")&amp;IF(R541&lt;&gt;"","・発信","")&amp;IF(S541&lt;&gt;"","・確認事項","")&amp;IF(T541&lt;&gt;"","・管","")&amp;IF(U541&lt;&gt;"","・SV","")&amp;IF(V541&lt;&gt;"","・データ送付待ち","")&amp;IF(W541&lt;&gt;"","・削除","")</f>
        <v/>
      </c>
    </row>
    <row r="542" ht="15" customHeight="1" s="87">
      <c r="AL542" s="94">
        <f>IF(A542="","",IF(COUNTIF(A542:A$2001,A542)=1,1,0))</f>
        <v/>
      </c>
      <c r="AM542" s="94">
        <f>IF(I542="","",TODAY()-I542)</f>
        <v/>
      </c>
      <c r="AN542" s="94">
        <f>IF(A542="","",IF(AND(E542&lt;&gt;"33 確認済",E542&lt;&gt;"36 送付中"),1,0))</f>
        <v/>
      </c>
      <c r="AO542" s="94">
        <f>IF(A542="","",IF(AG542&lt;&gt;"",1,0))</f>
        <v/>
      </c>
      <c r="AP542" s="220">
        <f>IF(P542&lt;&gt;"","・添待ち","")&amp;IF(Q542&lt;&gt;"","・住民票","")&amp;IF(R542&lt;&gt;"","・発信","")&amp;IF(S542&lt;&gt;"","・確認事項","")&amp;IF(T542&lt;&gt;"","・管","")&amp;IF(U542&lt;&gt;"","・SV","")&amp;IF(V542&lt;&gt;"","・データ送付待ち","")&amp;IF(W542&lt;&gt;"","・削除","")</f>
        <v/>
      </c>
    </row>
    <row r="543" ht="15" customHeight="1" s="87">
      <c r="AL543" s="94">
        <f>IF(A543="","",IF(COUNTIF(A543:A$2001,A543)=1,1,0))</f>
        <v/>
      </c>
      <c r="AM543" s="94">
        <f>IF(I543="","",TODAY()-I543)</f>
        <v/>
      </c>
      <c r="AN543" s="94">
        <f>IF(A543="","",IF(AND(E543&lt;&gt;"33 確認済",E543&lt;&gt;"36 送付中"),1,0))</f>
        <v/>
      </c>
      <c r="AO543" s="94">
        <f>IF(A543="","",IF(AG543&lt;&gt;"",1,0))</f>
        <v/>
      </c>
      <c r="AP543" s="220">
        <f>IF(P543&lt;&gt;"","・添待ち","")&amp;IF(Q543&lt;&gt;"","・住民票","")&amp;IF(R543&lt;&gt;"","・発信","")&amp;IF(S543&lt;&gt;"","・確認事項","")&amp;IF(T543&lt;&gt;"","・管","")&amp;IF(U543&lt;&gt;"","・SV","")&amp;IF(V543&lt;&gt;"","・データ送付待ち","")&amp;IF(W543&lt;&gt;"","・削除","")</f>
        <v/>
      </c>
    </row>
    <row r="544" ht="15" customHeight="1" s="87">
      <c r="AL544" s="94">
        <f>IF(A544="","",IF(COUNTIF(A544:A$2001,A544)=1,1,0))</f>
        <v/>
      </c>
      <c r="AM544" s="94">
        <f>IF(I544="","",TODAY()-I544)</f>
        <v/>
      </c>
      <c r="AN544" s="94">
        <f>IF(A544="","",IF(AND(E544&lt;&gt;"33 確認済",E544&lt;&gt;"36 送付中"),1,0))</f>
        <v/>
      </c>
      <c r="AO544" s="94">
        <f>IF(A544="","",IF(AG544&lt;&gt;"",1,0))</f>
        <v/>
      </c>
      <c r="AP544" s="220">
        <f>IF(P544&lt;&gt;"","・添待ち","")&amp;IF(Q544&lt;&gt;"","・住民票","")&amp;IF(R544&lt;&gt;"","・発信","")&amp;IF(S544&lt;&gt;"","・確認事項","")&amp;IF(T544&lt;&gt;"","・管","")&amp;IF(U544&lt;&gt;"","・SV","")&amp;IF(V544&lt;&gt;"","・データ送付待ち","")&amp;IF(W544&lt;&gt;"","・削除","")</f>
        <v/>
      </c>
    </row>
    <row r="545" ht="15" customHeight="1" s="87">
      <c r="AL545" s="94">
        <f>IF(A545="","",IF(COUNTIF(A545:A$2001,A545)=1,1,0))</f>
        <v/>
      </c>
      <c r="AM545" s="94">
        <f>IF(I545="","",TODAY()-I545)</f>
        <v/>
      </c>
      <c r="AN545" s="94">
        <f>IF(A545="","",IF(AND(E545&lt;&gt;"33 確認済",E545&lt;&gt;"36 送付中"),1,0))</f>
        <v/>
      </c>
      <c r="AO545" s="94">
        <f>IF(A545="","",IF(AG545&lt;&gt;"",1,0))</f>
        <v/>
      </c>
      <c r="AP545" s="220">
        <f>IF(P545&lt;&gt;"","・添待ち","")&amp;IF(Q545&lt;&gt;"","・住民票","")&amp;IF(R545&lt;&gt;"","・発信","")&amp;IF(S545&lt;&gt;"","・確認事項","")&amp;IF(T545&lt;&gt;"","・管","")&amp;IF(U545&lt;&gt;"","・SV","")&amp;IF(V545&lt;&gt;"","・データ送付待ち","")&amp;IF(W545&lt;&gt;"","・削除","")</f>
        <v/>
      </c>
    </row>
    <row r="546" ht="15" customHeight="1" s="87">
      <c r="AL546" s="94">
        <f>IF(A546="","",IF(COUNTIF(A546:A$2001,A546)=1,1,0))</f>
        <v/>
      </c>
      <c r="AM546" s="94">
        <f>IF(I546="","",TODAY()-I546)</f>
        <v/>
      </c>
      <c r="AN546" s="94">
        <f>IF(A546="","",IF(AND(E546&lt;&gt;"33 確認済",E546&lt;&gt;"36 送付中"),1,0))</f>
        <v/>
      </c>
      <c r="AO546" s="94">
        <f>IF(A546="","",IF(AG546&lt;&gt;"",1,0))</f>
        <v/>
      </c>
      <c r="AP546" s="220">
        <f>IF(P546&lt;&gt;"","・添待ち","")&amp;IF(Q546&lt;&gt;"","・住民票","")&amp;IF(R546&lt;&gt;"","・発信","")&amp;IF(S546&lt;&gt;"","・確認事項","")&amp;IF(T546&lt;&gt;"","・管","")&amp;IF(U546&lt;&gt;"","・SV","")&amp;IF(V546&lt;&gt;"","・データ送付待ち","")&amp;IF(W546&lt;&gt;"","・削除","")</f>
        <v/>
      </c>
    </row>
    <row r="547" ht="15" customHeight="1" s="87">
      <c r="AL547" s="94">
        <f>IF(A547="","",IF(COUNTIF(A547:A$2001,A547)=1,1,0))</f>
        <v/>
      </c>
      <c r="AM547" s="94">
        <f>IF(I547="","",TODAY()-I547)</f>
        <v/>
      </c>
      <c r="AN547" s="94">
        <f>IF(A547="","",IF(AND(E547&lt;&gt;"33 確認済",E547&lt;&gt;"36 送付中"),1,0))</f>
        <v/>
      </c>
      <c r="AO547" s="94">
        <f>IF(A547="","",IF(AG547&lt;&gt;"",1,0))</f>
        <v/>
      </c>
      <c r="AP547" s="220">
        <f>IF(P547&lt;&gt;"","・添待ち","")&amp;IF(Q547&lt;&gt;"","・住民票","")&amp;IF(R547&lt;&gt;"","・発信","")&amp;IF(S547&lt;&gt;"","・確認事項","")&amp;IF(T547&lt;&gt;"","・管","")&amp;IF(U547&lt;&gt;"","・SV","")&amp;IF(V547&lt;&gt;"","・データ送付待ち","")&amp;IF(W547&lt;&gt;"","・削除","")</f>
        <v/>
      </c>
    </row>
    <row r="548" ht="15" customHeight="1" s="87">
      <c r="AL548" s="94">
        <f>IF(A548="","",IF(COUNTIF(A548:A$2001,A548)=1,1,0))</f>
        <v/>
      </c>
      <c r="AM548" s="94">
        <f>IF(I548="","",TODAY()-I548)</f>
        <v/>
      </c>
      <c r="AN548" s="94">
        <f>IF(A548="","",IF(AND(E548&lt;&gt;"33 確認済",E548&lt;&gt;"36 送付中"),1,0))</f>
        <v/>
      </c>
      <c r="AO548" s="94">
        <f>IF(A548="","",IF(AG548&lt;&gt;"",1,0))</f>
        <v/>
      </c>
      <c r="AP548" s="220">
        <f>IF(P548&lt;&gt;"","・添待ち","")&amp;IF(Q548&lt;&gt;"","・住民票","")&amp;IF(R548&lt;&gt;"","・発信","")&amp;IF(S548&lt;&gt;"","・確認事項","")&amp;IF(T548&lt;&gt;"","・管","")&amp;IF(U548&lt;&gt;"","・SV","")&amp;IF(V548&lt;&gt;"","・データ送付待ち","")&amp;IF(W548&lt;&gt;"","・削除","")</f>
        <v/>
      </c>
    </row>
    <row r="549" ht="15" customHeight="1" s="87">
      <c r="AL549" s="94">
        <f>IF(A549="","",IF(COUNTIF(A549:A$2001,A549)=1,1,0))</f>
        <v/>
      </c>
      <c r="AM549" s="94">
        <f>IF(I549="","",TODAY()-I549)</f>
        <v/>
      </c>
      <c r="AN549" s="94">
        <f>IF(A549="","",IF(AND(E549&lt;&gt;"33 確認済",E549&lt;&gt;"36 送付中"),1,0))</f>
        <v/>
      </c>
      <c r="AO549" s="94">
        <f>IF(A549="","",IF(AG549&lt;&gt;"",1,0))</f>
        <v/>
      </c>
      <c r="AP549" s="220">
        <f>IF(P549&lt;&gt;"","・添待ち","")&amp;IF(Q549&lt;&gt;"","・住民票","")&amp;IF(R549&lt;&gt;"","・発信","")&amp;IF(S549&lt;&gt;"","・確認事項","")&amp;IF(T549&lt;&gt;"","・管","")&amp;IF(U549&lt;&gt;"","・SV","")&amp;IF(V549&lt;&gt;"","・データ送付待ち","")&amp;IF(W549&lt;&gt;"","・削除","")</f>
        <v/>
      </c>
    </row>
    <row r="550" ht="15" customHeight="1" s="87">
      <c r="AL550" s="94">
        <f>IF(A550="","",IF(COUNTIF(A550:A$2001,A550)=1,1,0))</f>
        <v/>
      </c>
      <c r="AM550" s="94">
        <f>IF(I550="","",TODAY()-I550)</f>
        <v/>
      </c>
      <c r="AN550" s="94">
        <f>IF(A550="","",IF(AND(E550&lt;&gt;"33 確認済",E550&lt;&gt;"36 送付中"),1,0))</f>
        <v/>
      </c>
      <c r="AO550" s="94">
        <f>IF(A550="","",IF(AG550&lt;&gt;"",1,0))</f>
        <v/>
      </c>
      <c r="AP550" s="220">
        <f>IF(P550&lt;&gt;"","・添待ち","")&amp;IF(Q550&lt;&gt;"","・住民票","")&amp;IF(R550&lt;&gt;"","・発信","")&amp;IF(S550&lt;&gt;"","・確認事項","")&amp;IF(T550&lt;&gt;"","・管","")&amp;IF(U550&lt;&gt;"","・SV","")&amp;IF(V550&lt;&gt;"","・データ送付待ち","")&amp;IF(W550&lt;&gt;"","・削除","")</f>
        <v/>
      </c>
    </row>
    <row r="551" ht="15" customHeight="1" s="87">
      <c r="AL551" s="94">
        <f>IF(A551="","",IF(COUNTIF(A551:A$2001,A551)=1,1,0))</f>
        <v/>
      </c>
      <c r="AM551" s="94">
        <f>IF(I551="","",TODAY()-I551)</f>
        <v/>
      </c>
      <c r="AN551" s="94">
        <f>IF(A551="","",IF(AND(E551&lt;&gt;"33 確認済",E551&lt;&gt;"36 送付中"),1,0))</f>
        <v/>
      </c>
      <c r="AO551" s="94">
        <f>IF(A551="","",IF(AG551&lt;&gt;"",1,0))</f>
        <v/>
      </c>
      <c r="AP551" s="220">
        <f>IF(P551&lt;&gt;"","・添待ち","")&amp;IF(Q551&lt;&gt;"","・住民票","")&amp;IF(R551&lt;&gt;"","・発信","")&amp;IF(S551&lt;&gt;"","・確認事項","")&amp;IF(T551&lt;&gt;"","・管","")&amp;IF(U551&lt;&gt;"","・SV","")&amp;IF(V551&lt;&gt;"","・データ送付待ち","")&amp;IF(W551&lt;&gt;"","・削除","")</f>
        <v/>
      </c>
    </row>
    <row r="552" ht="15" customHeight="1" s="87">
      <c r="AL552" s="94">
        <f>IF(A552="","",IF(COUNTIF(A552:A$2001,A552)=1,1,0))</f>
        <v/>
      </c>
      <c r="AM552" s="94">
        <f>IF(I552="","",TODAY()-I552)</f>
        <v/>
      </c>
      <c r="AN552" s="94">
        <f>IF(A552="","",IF(AND(E552&lt;&gt;"33 確認済",E552&lt;&gt;"36 送付中"),1,0))</f>
        <v/>
      </c>
      <c r="AO552" s="94">
        <f>IF(A552="","",IF(AG552&lt;&gt;"",1,0))</f>
        <v/>
      </c>
      <c r="AP552" s="220">
        <f>IF(P552&lt;&gt;"","・添待ち","")&amp;IF(Q552&lt;&gt;"","・住民票","")&amp;IF(R552&lt;&gt;"","・発信","")&amp;IF(S552&lt;&gt;"","・確認事項","")&amp;IF(T552&lt;&gt;"","・管","")&amp;IF(U552&lt;&gt;"","・SV","")&amp;IF(V552&lt;&gt;"","・データ送付待ち","")&amp;IF(W552&lt;&gt;"","・削除","")</f>
        <v/>
      </c>
    </row>
    <row r="553" ht="15" customHeight="1" s="87">
      <c r="AL553" s="94">
        <f>IF(A553="","",IF(COUNTIF(A553:A$2001,A553)=1,1,0))</f>
        <v/>
      </c>
      <c r="AM553" s="94">
        <f>IF(I553="","",TODAY()-I553)</f>
        <v/>
      </c>
      <c r="AN553" s="94">
        <f>IF(A553="","",IF(AND(E553&lt;&gt;"33 確認済",E553&lt;&gt;"36 送付中"),1,0))</f>
        <v/>
      </c>
      <c r="AO553" s="94">
        <f>IF(A553="","",IF(AG553&lt;&gt;"",1,0))</f>
        <v/>
      </c>
      <c r="AP553" s="220">
        <f>IF(P553&lt;&gt;"","・添待ち","")&amp;IF(Q553&lt;&gt;"","・住民票","")&amp;IF(R553&lt;&gt;"","・発信","")&amp;IF(S553&lt;&gt;"","・確認事項","")&amp;IF(T553&lt;&gt;"","・管","")&amp;IF(U553&lt;&gt;"","・SV","")&amp;IF(V553&lt;&gt;"","・データ送付待ち","")&amp;IF(W553&lt;&gt;"","・削除","")</f>
        <v/>
      </c>
    </row>
    <row r="554" ht="15" customHeight="1" s="87">
      <c r="AL554" s="94">
        <f>IF(A554="","",IF(COUNTIF(A554:A$2001,A554)=1,1,0))</f>
        <v/>
      </c>
      <c r="AM554" s="94">
        <f>IF(I554="","",TODAY()-I554)</f>
        <v/>
      </c>
      <c r="AN554" s="94">
        <f>IF(A554="","",IF(AND(E554&lt;&gt;"33 確認済",E554&lt;&gt;"36 送付中"),1,0))</f>
        <v/>
      </c>
      <c r="AO554" s="94">
        <f>IF(A554="","",IF(AG554&lt;&gt;"",1,0))</f>
        <v/>
      </c>
      <c r="AP554" s="220">
        <f>IF(P554&lt;&gt;"","・添待ち","")&amp;IF(Q554&lt;&gt;"","・住民票","")&amp;IF(R554&lt;&gt;"","・発信","")&amp;IF(S554&lt;&gt;"","・確認事項","")&amp;IF(T554&lt;&gt;"","・管","")&amp;IF(U554&lt;&gt;"","・SV","")&amp;IF(V554&lt;&gt;"","・データ送付待ち","")&amp;IF(W554&lt;&gt;"","・削除","")</f>
        <v/>
      </c>
    </row>
    <row r="555" ht="15" customHeight="1" s="87">
      <c r="AL555" s="94">
        <f>IF(A555="","",IF(COUNTIF(A555:A$2001,A555)=1,1,0))</f>
        <v/>
      </c>
      <c r="AM555" s="94">
        <f>IF(I555="","",TODAY()-I555)</f>
        <v/>
      </c>
      <c r="AN555" s="94">
        <f>IF(A555="","",IF(AND(E555&lt;&gt;"33 確認済",E555&lt;&gt;"36 送付中"),1,0))</f>
        <v/>
      </c>
      <c r="AO555" s="94">
        <f>IF(A555="","",IF(AG555&lt;&gt;"",1,0))</f>
        <v/>
      </c>
      <c r="AP555" s="220">
        <f>IF(P555&lt;&gt;"","・添待ち","")&amp;IF(Q555&lt;&gt;"","・住民票","")&amp;IF(R555&lt;&gt;"","・発信","")&amp;IF(S555&lt;&gt;"","・確認事項","")&amp;IF(T555&lt;&gt;"","・管","")&amp;IF(U555&lt;&gt;"","・SV","")&amp;IF(V555&lt;&gt;"","・データ送付待ち","")&amp;IF(W555&lt;&gt;"","・削除","")</f>
        <v/>
      </c>
    </row>
    <row r="556" ht="15" customHeight="1" s="87">
      <c r="AL556" s="94">
        <f>IF(A556="","",IF(COUNTIF(A556:A$2001,A556)=1,1,0))</f>
        <v/>
      </c>
      <c r="AM556" s="94">
        <f>IF(I556="","",TODAY()-I556)</f>
        <v/>
      </c>
      <c r="AN556" s="94">
        <f>IF(A556="","",IF(AND(E556&lt;&gt;"33 確認済",E556&lt;&gt;"36 送付中"),1,0))</f>
        <v/>
      </c>
      <c r="AO556" s="94">
        <f>IF(A556="","",IF(AG556&lt;&gt;"",1,0))</f>
        <v/>
      </c>
      <c r="AP556" s="220">
        <f>IF(P556&lt;&gt;"","・添待ち","")&amp;IF(Q556&lt;&gt;"","・住民票","")&amp;IF(R556&lt;&gt;"","・発信","")&amp;IF(S556&lt;&gt;"","・確認事項","")&amp;IF(T556&lt;&gt;"","・管","")&amp;IF(U556&lt;&gt;"","・SV","")&amp;IF(V556&lt;&gt;"","・データ送付待ち","")&amp;IF(W556&lt;&gt;"","・削除","")</f>
        <v/>
      </c>
    </row>
    <row r="557" ht="15" customHeight="1" s="87">
      <c r="AL557" s="94">
        <f>IF(A557="","",IF(COUNTIF(A557:A$2001,A557)=1,1,0))</f>
        <v/>
      </c>
      <c r="AM557" s="94">
        <f>IF(I557="","",TODAY()-I557)</f>
        <v/>
      </c>
      <c r="AN557" s="94">
        <f>IF(A557="","",IF(AND(E557&lt;&gt;"33 確認済",E557&lt;&gt;"36 送付中"),1,0))</f>
        <v/>
      </c>
      <c r="AO557" s="94">
        <f>IF(A557="","",IF(AG557&lt;&gt;"",1,0))</f>
        <v/>
      </c>
      <c r="AP557" s="220">
        <f>IF(P557&lt;&gt;"","・添待ち","")&amp;IF(Q557&lt;&gt;"","・住民票","")&amp;IF(R557&lt;&gt;"","・発信","")&amp;IF(S557&lt;&gt;"","・確認事項","")&amp;IF(T557&lt;&gt;"","・管","")&amp;IF(U557&lt;&gt;"","・SV","")&amp;IF(V557&lt;&gt;"","・データ送付待ち","")&amp;IF(W557&lt;&gt;"","・削除","")</f>
        <v/>
      </c>
    </row>
    <row r="558" ht="15" customHeight="1" s="87">
      <c r="AL558" s="94">
        <f>IF(A558="","",IF(COUNTIF(A558:A$2001,A558)=1,1,0))</f>
        <v/>
      </c>
      <c r="AM558" s="94">
        <f>IF(I558="","",TODAY()-I558)</f>
        <v/>
      </c>
      <c r="AN558" s="94">
        <f>IF(A558="","",IF(AND(E558&lt;&gt;"33 確認済",E558&lt;&gt;"36 送付中"),1,0))</f>
        <v/>
      </c>
      <c r="AO558" s="94">
        <f>IF(A558="","",IF(AG558&lt;&gt;"",1,0))</f>
        <v/>
      </c>
      <c r="AP558" s="220">
        <f>IF(P558&lt;&gt;"","・添待ち","")&amp;IF(Q558&lt;&gt;"","・住民票","")&amp;IF(R558&lt;&gt;"","・発信","")&amp;IF(S558&lt;&gt;"","・確認事項","")&amp;IF(T558&lt;&gt;"","・管","")&amp;IF(U558&lt;&gt;"","・SV","")&amp;IF(V558&lt;&gt;"","・データ送付待ち","")&amp;IF(W558&lt;&gt;"","・削除","")</f>
        <v/>
      </c>
    </row>
    <row r="559" ht="15" customHeight="1" s="87">
      <c r="AL559" s="94">
        <f>IF(A559="","",IF(COUNTIF(A559:A$2001,A559)=1,1,0))</f>
        <v/>
      </c>
      <c r="AM559" s="94">
        <f>IF(I559="","",TODAY()-I559)</f>
        <v/>
      </c>
      <c r="AN559" s="94">
        <f>IF(A559="","",IF(AND(E559&lt;&gt;"33 確認済",E559&lt;&gt;"36 送付中"),1,0))</f>
        <v/>
      </c>
      <c r="AO559" s="94">
        <f>IF(A559="","",IF(AG559&lt;&gt;"",1,0))</f>
        <v/>
      </c>
      <c r="AP559" s="220">
        <f>IF(P559&lt;&gt;"","・添待ち","")&amp;IF(Q559&lt;&gt;"","・住民票","")&amp;IF(R559&lt;&gt;"","・発信","")&amp;IF(S559&lt;&gt;"","・確認事項","")&amp;IF(T559&lt;&gt;"","・管","")&amp;IF(U559&lt;&gt;"","・SV","")&amp;IF(V559&lt;&gt;"","・データ送付待ち","")&amp;IF(W559&lt;&gt;"","・削除","")</f>
        <v/>
      </c>
    </row>
    <row r="560" ht="15" customHeight="1" s="87">
      <c r="AL560" s="94">
        <f>IF(A560="","",IF(COUNTIF(A560:A$2001,A560)=1,1,0))</f>
        <v/>
      </c>
      <c r="AM560" s="94">
        <f>IF(I560="","",TODAY()-I560)</f>
        <v/>
      </c>
      <c r="AN560" s="94">
        <f>IF(A560="","",IF(AND(E560&lt;&gt;"33 確認済",E560&lt;&gt;"36 送付中"),1,0))</f>
        <v/>
      </c>
      <c r="AO560" s="94">
        <f>IF(A560="","",IF(AG560&lt;&gt;"",1,0))</f>
        <v/>
      </c>
      <c r="AP560" s="220">
        <f>IF(P560&lt;&gt;"","・添待ち","")&amp;IF(Q560&lt;&gt;"","・住民票","")&amp;IF(R560&lt;&gt;"","・発信","")&amp;IF(S560&lt;&gt;"","・確認事項","")&amp;IF(T560&lt;&gt;"","・管","")&amp;IF(U560&lt;&gt;"","・SV","")&amp;IF(V560&lt;&gt;"","・データ送付待ち","")&amp;IF(W560&lt;&gt;"","・削除","")</f>
        <v/>
      </c>
    </row>
    <row r="561" ht="15" customHeight="1" s="87">
      <c r="AL561" s="94">
        <f>IF(A561="","",IF(COUNTIF(A561:A$2001,A561)=1,1,0))</f>
        <v/>
      </c>
      <c r="AM561" s="94">
        <f>IF(I561="","",TODAY()-I561)</f>
        <v/>
      </c>
      <c r="AN561" s="94">
        <f>IF(A561="","",IF(AND(E561&lt;&gt;"33 確認済",E561&lt;&gt;"36 送付中"),1,0))</f>
        <v/>
      </c>
      <c r="AO561" s="94">
        <f>IF(A561="","",IF(AG561&lt;&gt;"",1,0))</f>
        <v/>
      </c>
      <c r="AP561" s="220">
        <f>IF(P561&lt;&gt;"","・添待ち","")&amp;IF(Q561&lt;&gt;"","・住民票","")&amp;IF(R561&lt;&gt;"","・発信","")&amp;IF(S561&lt;&gt;"","・確認事項","")&amp;IF(T561&lt;&gt;"","・管","")&amp;IF(U561&lt;&gt;"","・SV","")&amp;IF(V561&lt;&gt;"","・データ送付待ち","")&amp;IF(W561&lt;&gt;"","・削除","")</f>
        <v/>
      </c>
    </row>
    <row r="562" ht="15" customHeight="1" s="87">
      <c r="AL562" s="94">
        <f>IF(A562="","",IF(COUNTIF(A562:A$2001,A562)=1,1,0))</f>
        <v/>
      </c>
      <c r="AM562" s="94">
        <f>IF(I562="","",TODAY()-I562)</f>
        <v/>
      </c>
      <c r="AN562" s="94">
        <f>IF(A562="","",IF(AND(E562&lt;&gt;"33 確認済",E562&lt;&gt;"36 送付中"),1,0))</f>
        <v/>
      </c>
      <c r="AO562" s="94">
        <f>IF(A562="","",IF(AG562&lt;&gt;"",1,0))</f>
        <v/>
      </c>
      <c r="AP562" s="220">
        <f>IF(P562&lt;&gt;"","・添待ち","")&amp;IF(Q562&lt;&gt;"","・住民票","")&amp;IF(R562&lt;&gt;"","・発信","")&amp;IF(S562&lt;&gt;"","・確認事項","")&amp;IF(T562&lt;&gt;"","・管","")&amp;IF(U562&lt;&gt;"","・SV","")&amp;IF(V562&lt;&gt;"","・データ送付待ち","")&amp;IF(W562&lt;&gt;"","・削除","")</f>
        <v/>
      </c>
    </row>
    <row r="563" ht="15" customHeight="1" s="87">
      <c r="AL563" s="94">
        <f>IF(A563="","",IF(COUNTIF(A563:A$2001,A563)=1,1,0))</f>
        <v/>
      </c>
      <c r="AM563" s="94">
        <f>IF(I563="","",TODAY()-I563)</f>
        <v/>
      </c>
      <c r="AN563" s="94">
        <f>IF(A563="","",IF(AND(E563&lt;&gt;"33 確認済",E563&lt;&gt;"36 送付中"),1,0))</f>
        <v/>
      </c>
      <c r="AO563" s="94">
        <f>IF(A563="","",IF(AG563&lt;&gt;"",1,0))</f>
        <v/>
      </c>
      <c r="AP563" s="220">
        <f>IF(P563&lt;&gt;"","・添待ち","")&amp;IF(Q563&lt;&gt;"","・住民票","")&amp;IF(R563&lt;&gt;"","・発信","")&amp;IF(S563&lt;&gt;"","・確認事項","")&amp;IF(T563&lt;&gt;"","・管","")&amp;IF(U563&lt;&gt;"","・SV","")&amp;IF(V563&lt;&gt;"","・データ送付待ち","")&amp;IF(W563&lt;&gt;"","・削除","")</f>
        <v/>
      </c>
    </row>
    <row r="564" ht="15" customHeight="1" s="87">
      <c r="AL564" s="94">
        <f>IF(A564="","",IF(COUNTIF(A564:A$2001,A564)=1,1,0))</f>
        <v/>
      </c>
      <c r="AM564" s="94">
        <f>IF(I564="","",TODAY()-I564)</f>
        <v/>
      </c>
      <c r="AN564" s="94">
        <f>IF(A564="","",IF(AND(E564&lt;&gt;"33 確認済",E564&lt;&gt;"36 送付中"),1,0))</f>
        <v/>
      </c>
      <c r="AO564" s="94">
        <f>IF(A564="","",IF(AG564&lt;&gt;"",1,0))</f>
        <v/>
      </c>
      <c r="AP564" s="220">
        <f>IF(P564&lt;&gt;"","・添待ち","")&amp;IF(Q564&lt;&gt;"","・住民票","")&amp;IF(R564&lt;&gt;"","・発信","")&amp;IF(S564&lt;&gt;"","・確認事項","")&amp;IF(T564&lt;&gt;"","・管","")&amp;IF(U564&lt;&gt;"","・SV","")&amp;IF(V564&lt;&gt;"","・データ送付待ち","")&amp;IF(W564&lt;&gt;"","・削除","")</f>
        <v/>
      </c>
    </row>
    <row r="565" ht="15" customHeight="1" s="87">
      <c r="AL565" s="94">
        <f>IF(A565="","",IF(COUNTIF(A565:A$2001,A565)=1,1,0))</f>
        <v/>
      </c>
      <c r="AM565" s="94">
        <f>IF(I565="","",TODAY()-I565)</f>
        <v/>
      </c>
      <c r="AN565" s="94">
        <f>IF(A565="","",IF(AND(E565&lt;&gt;"33 確認済",E565&lt;&gt;"36 送付中"),1,0))</f>
        <v/>
      </c>
      <c r="AO565" s="94">
        <f>IF(A565="","",IF(AG565&lt;&gt;"",1,0))</f>
        <v/>
      </c>
      <c r="AP565" s="220">
        <f>IF(P565&lt;&gt;"","・添待ち","")&amp;IF(Q565&lt;&gt;"","・住民票","")&amp;IF(R565&lt;&gt;"","・発信","")&amp;IF(S565&lt;&gt;"","・確認事項","")&amp;IF(T565&lt;&gt;"","・管","")&amp;IF(U565&lt;&gt;"","・SV","")&amp;IF(V565&lt;&gt;"","・データ送付待ち","")&amp;IF(W565&lt;&gt;"","・削除","")</f>
        <v/>
      </c>
    </row>
    <row r="566" ht="15" customHeight="1" s="87">
      <c r="AL566" s="94">
        <f>IF(A566="","",IF(COUNTIF(A566:A$2001,A566)=1,1,0))</f>
        <v/>
      </c>
      <c r="AM566" s="94">
        <f>IF(I566="","",TODAY()-I566)</f>
        <v/>
      </c>
      <c r="AN566" s="94">
        <f>IF(A566="","",IF(AND(E566&lt;&gt;"33 確認済",E566&lt;&gt;"36 送付中"),1,0))</f>
        <v/>
      </c>
      <c r="AO566" s="94">
        <f>IF(A566="","",IF(AG566&lt;&gt;"",1,0))</f>
        <v/>
      </c>
      <c r="AP566" s="220">
        <f>IF(P566&lt;&gt;"","・添待ち","")&amp;IF(Q566&lt;&gt;"","・住民票","")&amp;IF(R566&lt;&gt;"","・発信","")&amp;IF(S566&lt;&gt;"","・確認事項","")&amp;IF(T566&lt;&gt;"","・管","")&amp;IF(U566&lt;&gt;"","・SV","")&amp;IF(V566&lt;&gt;"","・データ送付待ち","")&amp;IF(W566&lt;&gt;"","・削除","")</f>
        <v/>
      </c>
    </row>
    <row r="567" ht="15" customHeight="1" s="87">
      <c r="AL567" s="94">
        <f>IF(A567="","",IF(COUNTIF(A567:A$2001,A567)=1,1,0))</f>
        <v/>
      </c>
      <c r="AM567" s="94">
        <f>IF(I567="","",TODAY()-I567)</f>
        <v/>
      </c>
      <c r="AN567" s="94">
        <f>IF(A567="","",IF(AND(E567&lt;&gt;"33 確認済",E567&lt;&gt;"36 送付中"),1,0))</f>
        <v/>
      </c>
      <c r="AO567" s="94">
        <f>IF(A567="","",IF(AG567&lt;&gt;"",1,0))</f>
        <v/>
      </c>
      <c r="AP567" s="220">
        <f>IF(P567&lt;&gt;"","・添待ち","")&amp;IF(Q567&lt;&gt;"","・住民票","")&amp;IF(R567&lt;&gt;"","・発信","")&amp;IF(S567&lt;&gt;"","・確認事項","")&amp;IF(T567&lt;&gt;"","・管","")&amp;IF(U567&lt;&gt;"","・SV","")&amp;IF(V567&lt;&gt;"","・データ送付待ち","")&amp;IF(W567&lt;&gt;"","・削除","")</f>
        <v/>
      </c>
    </row>
    <row r="568" ht="15" customHeight="1" s="87">
      <c r="AL568" s="94">
        <f>IF(A568="","",IF(COUNTIF(A568:A$2001,A568)=1,1,0))</f>
        <v/>
      </c>
      <c r="AM568" s="94">
        <f>IF(I568="","",TODAY()-I568)</f>
        <v/>
      </c>
      <c r="AN568" s="94">
        <f>IF(A568="","",IF(AND(E568&lt;&gt;"33 確認済",E568&lt;&gt;"36 送付中"),1,0))</f>
        <v/>
      </c>
      <c r="AO568" s="94">
        <f>IF(A568="","",IF(AG568&lt;&gt;"",1,0))</f>
        <v/>
      </c>
      <c r="AP568" s="220">
        <f>IF(P568&lt;&gt;"","・添待ち","")&amp;IF(Q568&lt;&gt;"","・住民票","")&amp;IF(R568&lt;&gt;"","・発信","")&amp;IF(S568&lt;&gt;"","・確認事項","")&amp;IF(T568&lt;&gt;"","・管","")&amp;IF(U568&lt;&gt;"","・SV","")&amp;IF(V568&lt;&gt;"","・データ送付待ち","")&amp;IF(W568&lt;&gt;"","・削除","")</f>
        <v/>
      </c>
    </row>
    <row r="569" ht="15" customHeight="1" s="87">
      <c r="AL569" s="94">
        <f>IF(A569="","",IF(COUNTIF(A569:A$2001,A569)=1,1,0))</f>
        <v/>
      </c>
      <c r="AM569" s="94">
        <f>IF(I569="","",TODAY()-I569)</f>
        <v/>
      </c>
      <c r="AN569" s="94">
        <f>IF(A569="","",IF(AND(E569&lt;&gt;"33 確認済",E569&lt;&gt;"36 送付中"),1,0))</f>
        <v/>
      </c>
      <c r="AO569" s="94">
        <f>IF(A569="","",IF(AG569&lt;&gt;"",1,0))</f>
        <v/>
      </c>
      <c r="AP569" s="220">
        <f>IF(P569&lt;&gt;"","・添待ち","")&amp;IF(Q569&lt;&gt;"","・住民票","")&amp;IF(R569&lt;&gt;"","・発信","")&amp;IF(S569&lt;&gt;"","・確認事項","")&amp;IF(T569&lt;&gt;"","・管","")&amp;IF(U569&lt;&gt;"","・SV","")&amp;IF(V569&lt;&gt;"","・データ送付待ち","")&amp;IF(W569&lt;&gt;"","・削除","")</f>
        <v/>
      </c>
    </row>
    <row r="570" ht="15" customHeight="1" s="87">
      <c r="AL570" s="94">
        <f>IF(A570="","",IF(COUNTIF(A570:A$2001,A570)=1,1,0))</f>
        <v/>
      </c>
      <c r="AM570" s="94">
        <f>IF(I570="","",TODAY()-I570)</f>
        <v/>
      </c>
      <c r="AN570" s="94">
        <f>IF(A570="","",IF(AND(E570&lt;&gt;"33 確認済",E570&lt;&gt;"36 送付中"),1,0))</f>
        <v/>
      </c>
      <c r="AO570" s="94">
        <f>IF(A570="","",IF(AG570&lt;&gt;"",1,0))</f>
        <v/>
      </c>
      <c r="AP570" s="220">
        <f>IF(P570&lt;&gt;"","・添待ち","")&amp;IF(Q570&lt;&gt;"","・住民票","")&amp;IF(R570&lt;&gt;"","・発信","")&amp;IF(S570&lt;&gt;"","・確認事項","")&amp;IF(T570&lt;&gt;"","・管","")&amp;IF(U570&lt;&gt;"","・SV","")&amp;IF(V570&lt;&gt;"","・データ送付待ち","")&amp;IF(W570&lt;&gt;"","・削除","")</f>
        <v/>
      </c>
    </row>
    <row r="571" ht="15" customHeight="1" s="87">
      <c r="AL571" s="94">
        <f>IF(A571="","",IF(COUNTIF(A571:A$2001,A571)=1,1,0))</f>
        <v/>
      </c>
      <c r="AM571" s="94">
        <f>IF(I571="","",TODAY()-I571)</f>
        <v/>
      </c>
      <c r="AN571" s="94">
        <f>IF(A571="","",IF(AND(E571&lt;&gt;"33 確認済",E571&lt;&gt;"36 送付中"),1,0))</f>
        <v/>
      </c>
      <c r="AO571" s="94">
        <f>IF(A571="","",IF(AG571&lt;&gt;"",1,0))</f>
        <v/>
      </c>
      <c r="AP571" s="220">
        <f>IF(P571&lt;&gt;"","・添待ち","")&amp;IF(Q571&lt;&gt;"","・住民票","")&amp;IF(R571&lt;&gt;"","・発信","")&amp;IF(S571&lt;&gt;"","・確認事項","")&amp;IF(T571&lt;&gt;"","・管","")&amp;IF(U571&lt;&gt;"","・SV","")&amp;IF(V571&lt;&gt;"","・データ送付待ち","")&amp;IF(W571&lt;&gt;"","・削除","")</f>
        <v/>
      </c>
    </row>
    <row r="572" ht="15" customHeight="1" s="87">
      <c r="AL572" s="94">
        <f>IF(A572="","",IF(COUNTIF(A572:A$2001,A572)=1,1,0))</f>
        <v/>
      </c>
      <c r="AM572" s="94">
        <f>IF(I572="","",TODAY()-I572)</f>
        <v/>
      </c>
      <c r="AN572" s="94">
        <f>IF(A572="","",IF(AND(E572&lt;&gt;"33 確認済",E572&lt;&gt;"36 送付中"),1,0))</f>
        <v/>
      </c>
      <c r="AO572" s="94">
        <f>IF(A572="","",IF(AG572&lt;&gt;"",1,0))</f>
        <v/>
      </c>
      <c r="AP572" s="220">
        <f>IF(P572&lt;&gt;"","・添待ち","")&amp;IF(Q572&lt;&gt;"","・住民票","")&amp;IF(R572&lt;&gt;"","・発信","")&amp;IF(S572&lt;&gt;"","・確認事項","")&amp;IF(T572&lt;&gt;"","・管","")&amp;IF(U572&lt;&gt;"","・SV","")&amp;IF(V572&lt;&gt;"","・データ送付待ち","")&amp;IF(W572&lt;&gt;"","・削除","")</f>
        <v/>
      </c>
    </row>
    <row r="573" ht="15" customHeight="1" s="87">
      <c r="AL573" s="94">
        <f>IF(A573="","",IF(COUNTIF(A573:A$2001,A573)=1,1,0))</f>
        <v/>
      </c>
      <c r="AM573" s="94">
        <f>IF(I573="","",TODAY()-I573)</f>
        <v/>
      </c>
      <c r="AN573" s="94">
        <f>IF(A573="","",IF(AND(E573&lt;&gt;"33 確認済",E573&lt;&gt;"36 送付中"),1,0))</f>
        <v/>
      </c>
      <c r="AO573" s="94">
        <f>IF(A573="","",IF(AG573&lt;&gt;"",1,0))</f>
        <v/>
      </c>
      <c r="AP573" s="220">
        <f>IF(P573&lt;&gt;"","・添待ち","")&amp;IF(Q573&lt;&gt;"","・住民票","")&amp;IF(R573&lt;&gt;"","・発信","")&amp;IF(S573&lt;&gt;"","・確認事項","")&amp;IF(T573&lt;&gt;"","・管","")&amp;IF(U573&lt;&gt;"","・SV","")&amp;IF(V573&lt;&gt;"","・データ送付待ち","")&amp;IF(W573&lt;&gt;"","・削除","")</f>
        <v/>
      </c>
    </row>
    <row r="574" ht="15" customHeight="1" s="87">
      <c r="AL574" s="94">
        <f>IF(A574="","",IF(COUNTIF(A574:A$2001,A574)=1,1,0))</f>
        <v/>
      </c>
      <c r="AM574" s="94">
        <f>IF(I574="","",TODAY()-I574)</f>
        <v/>
      </c>
      <c r="AN574" s="94">
        <f>IF(A574="","",IF(AND(E574&lt;&gt;"33 確認済",E574&lt;&gt;"36 送付中"),1,0))</f>
        <v/>
      </c>
      <c r="AO574" s="94">
        <f>IF(A574="","",IF(AG574&lt;&gt;"",1,0))</f>
        <v/>
      </c>
      <c r="AP574" s="220">
        <f>IF(P574&lt;&gt;"","・添待ち","")&amp;IF(Q574&lt;&gt;"","・住民票","")&amp;IF(R574&lt;&gt;"","・発信","")&amp;IF(S574&lt;&gt;"","・確認事項","")&amp;IF(T574&lt;&gt;"","・管","")&amp;IF(U574&lt;&gt;"","・SV","")&amp;IF(V574&lt;&gt;"","・データ送付待ち","")&amp;IF(W574&lt;&gt;"","・削除","")</f>
        <v/>
      </c>
    </row>
    <row r="575" ht="15" customHeight="1" s="87">
      <c r="AL575" s="94">
        <f>IF(A575="","",IF(COUNTIF(A575:A$2001,A575)=1,1,0))</f>
        <v/>
      </c>
      <c r="AM575" s="94">
        <f>IF(I575="","",TODAY()-I575)</f>
        <v/>
      </c>
      <c r="AN575" s="94">
        <f>IF(A575="","",IF(AND(E575&lt;&gt;"33 確認済",E575&lt;&gt;"36 送付中"),1,0))</f>
        <v/>
      </c>
      <c r="AO575" s="94">
        <f>IF(A575="","",IF(AG575&lt;&gt;"",1,0))</f>
        <v/>
      </c>
      <c r="AP575" s="220">
        <f>IF(P575&lt;&gt;"","・添待ち","")&amp;IF(Q575&lt;&gt;"","・住民票","")&amp;IF(R575&lt;&gt;"","・発信","")&amp;IF(S575&lt;&gt;"","・確認事項","")&amp;IF(T575&lt;&gt;"","・管","")&amp;IF(U575&lt;&gt;"","・SV","")&amp;IF(V575&lt;&gt;"","・データ送付待ち","")&amp;IF(W575&lt;&gt;"","・削除","")</f>
        <v/>
      </c>
    </row>
    <row r="576" ht="15" customHeight="1" s="87">
      <c r="AL576" s="94">
        <f>IF(A576="","",IF(COUNTIF(A576:A$2001,A576)=1,1,0))</f>
        <v/>
      </c>
      <c r="AM576" s="94">
        <f>IF(I576="","",TODAY()-I576)</f>
        <v/>
      </c>
      <c r="AN576" s="94">
        <f>IF(A576="","",IF(AND(E576&lt;&gt;"33 確認済",E576&lt;&gt;"36 送付中"),1,0))</f>
        <v/>
      </c>
      <c r="AO576" s="94">
        <f>IF(A576="","",IF(AG576&lt;&gt;"",1,0))</f>
        <v/>
      </c>
      <c r="AP576" s="220">
        <f>IF(P576&lt;&gt;"","・添待ち","")&amp;IF(Q576&lt;&gt;"","・住民票","")&amp;IF(R576&lt;&gt;"","・発信","")&amp;IF(S576&lt;&gt;"","・確認事項","")&amp;IF(T576&lt;&gt;"","・管","")&amp;IF(U576&lt;&gt;"","・SV","")&amp;IF(V576&lt;&gt;"","・データ送付待ち","")&amp;IF(W576&lt;&gt;"","・削除","")</f>
        <v/>
      </c>
    </row>
    <row r="577" ht="15" customHeight="1" s="87">
      <c r="AL577" s="94">
        <f>IF(A577="","",IF(COUNTIF(A577:A$2001,A577)=1,1,0))</f>
        <v/>
      </c>
      <c r="AM577" s="94">
        <f>IF(I577="","",TODAY()-I577)</f>
        <v/>
      </c>
      <c r="AN577" s="94">
        <f>IF(A577="","",IF(AND(E577&lt;&gt;"33 確認済",E577&lt;&gt;"36 送付中"),1,0))</f>
        <v/>
      </c>
      <c r="AO577" s="94">
        <f>IF(A577="","",IF(AG577&lt;&gt;"",1,0))</f>
        <v/>
      </c>
      <c r="AP577" s="220">
        <f>IF(P577&lt;&gt;"","・添待ち","")&amp;IF(Q577&lt;&gt;"","・住民票","")&amp;IF(R577&lt;&gt;"","・発信","")&amp;IF(S577&lt;&gt;"","・確認事項","")&amp;IF(T577&lt;&gt;"","・管","")&amp;IF(U577&lt;&gt;"","・SV","")&amp;IF(V577&lt;&gt;"","・データ送付待ち","")&amp;IF(W577&lt;&gt;"","・削除","")</f>
        <v/>
      </c>
    </row>
    <row r="578" ht="15" customHeight="1" s="87">
      <c r="AL578" s="94">
        <f>IF(A578="","",IF(COUNTIF(A578:A$2001,A578)=1,1,0))</f>
        <v/>
      </c>
      <c r="AM578" s="94">
        <f>IF(I578="","",TODAY()-I578)</f>
        <v/>
      </c>
      <c r="AN578" s="94">
        <f>IF(A578="","",IF(AND(E578&lt;&gt;"33 確認済",E578&lt;&gt;"36 送付中"),1,0))</f>
        <v/>
      </c>
      <c r="AO578" s="94">
        <f>IF(A578="","",IF(AG578&lt;&gt;"",1,0))</f>
        <v/>
      </c>
      <c r="AP578" s="220">
        <f>IF(P578&lt;&gt;"","・添待ち","")&amp;IF(Q578&lt;&gt;"","・住民票","")&amp;IF(R578&lt;&gt;"","・発信","")&amp;IF(S578&lt;&gt;"","・確認事項","")&amp;IF(T578&lt;&gt;"","・管","")&amp;IF(U578&lt;&gt;"","・SV","")&amp;IF(V578&lt;&gt;"","・データ送付待ち","")&amp;IF(W578&lt;&gt;"","・削除","")</f>
        <v/>
      </c>
    </row>
    <row r="579" ht="15" customHeight="1" s="87">
      <c r="AL579" s="94">
        <f>IF(A579="","",IF(COUNTIF(A579:A$2001,A579)=1,1,0))</f>
        <v/>
      </c>
      <c r="AM579" s="94">
        <f>IF(I579="","",TODAY()-I579)</f>
        <v/>
      </c>
      <c r="AN579" s="94">
        <f>IF(A579="","",IF(AND(E579&lt;&gt;"33 確認済",E579&lt;&gt;"36 送付中"),1,0))</f>
        <v/>
      </c>
      <c r="AO579" s="94">
        <f>IF(A579="","",IF(AG579&lt;&gt;"",1,0))</f>
        <v/>
      </c>
      <c r="AP579" s="220">
        <f>IF(P579&lt;&gt;"","・添待ち","")&amp;IF(Q579&lt;&gt;"","・住民票","")&amp;IF(R579&lt;&gt;"","・発信","")&amp;IF(S579&lt;&gt;"","・確認事項","")&amp;IF(T579&lt;&gt;"","・管","")&amp;IF(U579&lt;&gt;"","・SV","")&amp;IF(V579&lt;&gt;"","・データ送付待ち","")&amp;IF(W579&lt;&gt;"","・削除","")</f>
        <v/>
      </c>
    </row>
    <row r="580" ht="15" customHeight="1" s="87">
      <c r="AL580" s="94">
        <f>IF(A580="","",IF(COUNTIF(A580:A$2001,A580)=1,1,0))</f>
        <v/>
      </c>
      <c r="AM580" s="94">
        <f>IF(I580="","",TODAY()-I580)</f>
        <v/>
      </c>
      <c r="AN580" s="94">
        <f>IF(A580="","",IF(AND(E580&lt;&gt;"33 確認済",E580&lt;&gt;"36 送付中"),1,0))</f>
        <v/>
      </c>
      <c r="AO580" s="94">
        <f>IF(A580="","",IF(AG580&lt;&gt;"",1,0))</f>
        <v/>
      </c>
      <c r="AP580" s="220">
        <f>IF(P580&lt;&gt;"","・添待ち","")&amp;IF(Q580&lt;&gt;"","・住民票","")&amp;IF(R580&lt;&gt;"","・発信","")&amp;IF(S580&lt;&gt;"","・確認事項","")&amp;IF(T580&lt;&gt;"","・管","")&amp;IF(U580&lt;&gt;"","・SV","")&amp;IF(V580&lt;&gt;"","・データ送付待ち","")&amp;IF(W580&lt;&gt;"","・削除","")</f>
        <v/>
      </c>
    </row>
    <row r="581" ht="15" customHeight="1" s="87">
      <c r="AL581" s="94">
        <f>IF(A581="","",IF(COUNTIF(A581:A$2001,A581)=1,1,0))</f>
        <v/>
      </c>
      <c r="AM581" s="94">
        <f>IF(I581="","",TODAY()-I581)</f>
        <v/>
      </c>
      <c r="AN581" s="94">
        <f>IF(A581="","",IF(AND(E581&lt;&gt;"33 確認済",E581&lt;&gt;"36 送付中"),1,0))</f>
        <v/>
      </c>
      <c r="AO581" s="94">
        <f>IF(A581="","",IF(AG581&lt;&gt;"",1,0))</f>
        <v/>
      </c>
      <c r="AP581" s="220">
        <f>IF(P581&lt;&gt;"","・添待ち","")&amp;IF(Q581&lt;&gt;"","・住民票","")&amp;IF(R581&lt;&gt;"","・発信","")&amp;IF(S581&lt;&gt;"","・確認事項","")&amp;IF(T581&lt;&gt;"","・管","")&amp;IF(U581&lt;&gt;"","・SV","")&amp;IF(V581&lt;&gt;"","・データ送付待ち","")&amp;IF(W581&lt;&gt;"","・削除","")</f>
        <v/>
      </c>
    </row>
    <row r="582" ht="15" customHeight="1" s="87">
      <c r="AL582" s="94">
        <f>IF(A582="","",IF(COUNTIF(A582:A$2001,A582)=1,1,0))</f>
        <v/>
      </c>
      <c r="AM582" s="94">
        <f>IF(I582="","",TODAY()-I582)</f>
        <v/>
      </c>
      <c r="AN582" s="94">
        <f>IF(A582="","",IF(AND(E582&lt;&gt;"33 確認済",E582&lt;&gt;"36 送付中"),1,0))</f>
        <v/>
      </c>
      <c r="AO582" s="94">
        <f>IF(A582="","",IF(AG582&lt;&gt;"",1,0))</f>
        <v/>
      </c>
      <c r="AP582" s="220">
        <f>IF(P582&lt;&gt;"","・添待ち","")&amp;IF(Q582&lt;&gt;"","・住民票","")&amp;IF(R582&lt;&gt;"","・発信","")&amp;IF(S582&lt;&gt;"","・確認事項","")&amp;IF(T582&lt;&gt;"","・管","")&amp;IF(U582&lt;&gt;"","・SV","")&amp;IF(V582&lt;&gt;"","・データ送付待ち","")&amp;IF(W582&lt;&gt;"","・削除","")</f>
        <v/>
      </c>
    </row>
    <row r="583" ht="15" customHeight="1" s="87">
      <c r="AL583" s="94">
        <f>IF(A583="","",IF(COUNTIF(A583:A$2001,A583)=1,1,0))</f>
        <v/>
      </c>
      <c r="AM583" s="94">
        <f>IF(I583="","",TODAY()-I583)</f>
        <v/>
      </c>
      <c r="AN583" s="94">
        <f>IF(A583="","",IF(AND(E583&lt;&gt;"33 確認済",E583&lt;&gt;"36 送付中"),1,0))</f>
        <v/>
      </c>
      <c r="AO583" s="94">
        <f>IF(A583="","",IF(AG583&lt;&gt;"",1,0))</f>
        <v/>
      </c>
      <c r="AP583" s="220">
        <f>IF(P583&lt;&gt;"","・添待ち","")&amp;IF(Q583&lt;&gt;"","・住民票","")&amp;IF(R583&lt;&gt;"","・発信","")&amp;IF(S583&lt;&gt;"","・確認事項","")&amp;IF(T583&lt;&gt;"","・管","")&amp;IF(U583&lt;&gt;"","・SV","")&amp;IF(V583&lt;&gt;"","・データ送付待ち","")&amp;IF(W583&lt;&gt;"","・削除","")</f>
        <v/>
      </c>
    </row>
    <row r="584" ht="15" customHeight="1" s="87">
      <c r="AL584" s="94">
        <f>IF(A584="","",IF(COUNTIF(A584:A$2001,A584)=1,1,0))</f>
        <v/>
      </c>
      <c r="AM584" s="94">
        <f>IF(I584="","",TODAY()-I584)</f>
        <v/>
      </c>
      <c r="AN584" s="94">
        <f>IF(A584="","",IF(AND(E584&lt;&gt;"33 確認済",E584&lt;&gt;"36 送付中"),1,0))</f>
        <v/>
      </c>
      <c r="AO584" s="94">
        <f>IF(A584="","",IF(AG584&lt;&gt;"",1,0))</f>
        <v/>
      </c>
      <c r="AP584" s="220">
        <f>IF(P584&lt;&gt;"","・添待ち","")&amp;IF(Q584&lt;&gt;"","・住民票","")&amp;IF(R584&lt;&gt;"","・発信","")&amp;IF(S584&lt;&gt;"","・確認事項","")&amp;IF(T584&lt;&gt;"","・管","")&amp;IF(U584&lt;&gt;"","・SV","")&amp;IF(V584&lt;&gt;"","・データ送付待ち","")&amp;IF(W584&lt;&gt;"","・削除","")</f>
        <v/>
      </c>
    </row>
    <row r="585" ht="15" customHeight="1" s="87">
      <c r="AL585" s="94">
        <f>IF(A585="","",IF(COUNTIF(A585:A$2001,A585)=1,1,0))</f>
        <v/>
      </c>
      <c r="AM585" s="94">
        <f>IF(I585="","",TODAY()-I585)</f>
        <v/>
      </c>
      <c r="AN585" s="94">
        <f>IF(A585="","",IF(AND(E585&lt;&gt;"33 確認済",E585&lt;&gt;"36 送付中"),1,0))</f>
        <v/>
      </c>
      <c r="AO585" s="94">
        <f>IF(A585="","",IF(AG585&lt;&gt;"",1,0))</f>
        <v/>
      </c>
      <c r="AP585" s="220">
        <f>IF(P585&lt;&gt;"","・添待ち","")&amp;IF(Q585&lt;&gt;"","・住民票","")&amp;IF(R585&lt;&gt;"","・発信","")&amp;IF(S585&lt;&gt;"","・確認事項","")&amp;IF(T585&lt;&gt;"","・管","")&amp;IF(U585&lt;&gt;"","・SV","")&amp;IF(V585&lt;&gt;"","・データ送付待ち","")&amp;IF(W585&lt;&gt;"","・削除","")</f>
        <v/>
      </c>
    </row>
    <row r="586" ht="15" customHeight="1" s="87">
      <c r="AL586" s="94">
        <f>IF(A586="","",IF(COUNTIF(A586:A$2001,A586)=1,1,0))</f>
        <v/>
      </c>
      <c r="AM586" s="94">
        <f>IF(I586="","",TODAY()-I586)</f>
        <v/>
      </c>
      <c r="AN586" s="94">
        <f>IF(A586="","",IF(AND(E586&lt;&gt;"33 確認済",E586&lt;&gt;"36 送付中"),1,0))</f>
        <v/>
      </c>
      <c r="AO586" s="94">
        <f>IF(A586="","",IF(AG586&lt;&gt;"",1,0))</f>
        <v/>
      </c>
      <c r="AP586" s="220">
        <f>IF(P586&lt;&gt;"","・添待ち","")&amp;IF(Q586&lt;&gt;"","・住民票","")&amp;IF(R586&lt;&gt;"","・発信","")&amp;IF(S586&lt;&gt;"","・確認事項","")&amp;IF(T586&lt;&gt;"","・管","")&amp;IF(U586&lt;&gt;"","・SV","")&amp;IF(V586&lt;&gt;"","・データ送付待ち","")&amp;IF(W586&lt;&gt;"","・削除","")</f>
        <v/>
      </c>
    </row>
    <row r="587" ht="15" customHeight="1" s="87">
      <c r="AL587" s="94">
        <f>IF(A587="","",IF(COUNTIF(A587:A$2001,A587)=1,1,0))</f>
        <v/>
      </c>
      <c r="AM587" s="94">
        <f>IF(I587="","",TODAY()-I587)</f>
        <v/>
      </c>
      <c r="AN587" s="94">
        <f>IF(A587="","",IF(AND(E587&lt;&gt;"33 確認済",E587&lt;&gt;"36 送付中"),1,0))</f>
        <v/>
      </c>
      <c r="AO587" s="94">
        <f>IF(A587="","",IF(AG587&lt;&gt;"",1,0))</f>
        <v/>
      </c>
      <c r="AP587" s="220">
        <f>IF(P587&lt;&gt;"","・添待ち","")&amp;IF(Q587&lt;&gt;"","・住民票","")&amp;IF(R587&lt;&gt;"","・発信","")&amp;IF(S587&lt;&gt;"","・確認事項","")&amp;IF(T587&lt;&gt;"","・管","")&amp;IF(U587&lt;&gt;"","・SV","")&amp;IF(V587&lt;&gt;"","・データ送付待ち","")&amp;IF(W587&lt;&gt;"","・削除","")</f>
        <v/>
      </c>
    </row>
    <row r="588" ht="15" customHeight="1" s="87">
      <c r="AL588" s="94">
        <f>IF(A588="","",IF(COUNTIF(A588:A$2001,A588)=1,1,0))</f>
        <v/>
      </c>
      <c r="AM588" s="94">
        <f>IF(I588="","",TODAY()-I588)</f>
        <v/>
      </c>
      <c r="AN588" s="94">
        <f>IF(A588="","",IF(AND(E588&lt;&gt;"33 確認済",E588&lt;&gt;"36 送付中"),1,0))</f>
        <v/>
      </c>
      <c r="AO588" s="94">
        <f>IF(A588="","",IF(AG588&lt;&gt;"",1,0))</f>
        <v/>
      </c>
      <c r="AP588" s="220">
        <f>IF(P588&lt;&gt;"","・添待ち","")&amp;IF(Q588&lt;&gt;"","・住民票","")&amp;IF(R588&lt;&gt;"","・発信","")&amp;IF(S588&lt;&gt;"","・確認事項","")&amp;IF(T588&lt;&gt;"","・管","")&amp;IF(U588&lt;&gt;"","・SV","")&amp;IF(V588&lt;&gt;"","・データ送付待ち","")&amp;IF(W588&lt;&gt;"","・削除","")</f>
        <v/>
      </c>
    </row>
    <row r="589" ht="15" customHeight="1" s="87">
      <c r="AL589" s="94">
        <f>IF(A589="","",IF(COUNTIF(A589:A$2001,A589)=1,1,0))</f>
        <v/>
      </c>
      <c r="AM589" s="94">
        <f>IF(I589="","",TODAY()-I589)</f>
        <v/>
      </c>
      <c r="AN589" s="94">
        <f>IF(A589="","",IF(AND(E589&lt;&gt;"33 確認済",E589&lt;&gt;"36 送付中"),1,0))</f>
        <v/>
      </c>
      <c r="AO589" s="94">
        <f>IF(A589="","",IF(AG589&lt;&gt;"",1,0))</f>
        <v/>
      </c>
      <c r="AP589" s="220">
        <f>IF(P589&lt;&gt;"","・添待ち","")&amp;IF(Q589&lt;&gt;"","・住民票","")&amp;IF(R589&lt;&gt;"","・発信","")&amp;IF(S589&lt;&gt;"","・確認事項","")&amp;IF(T589&lt;&gt;"","・管","")&amp;IF(U589&lt;&gt;"","・SV","")&amp;IF(V589&lt;&gt;"","・データ送付待ち","")&amp;IF(W589&lt;&gt;"","・削除","")</f>
        <v/>
      </c>
    </row>
    <row r="590" ht="15" customHeight="1" s="87">
      <c r="AL590" s="94">
        <f>IF(A590="","",IF(COUNTIF(A590:A$2001,A590)=1,1,0))</f>
        <v/>
      </c>
      <c r="AM590" s="94">
        <f>IF(I590="","",TODAY()-I590)</f>
        <v/>
      </c>
      <c r="AN590" s="94">
        <f>IF(A590="","",IF(AND(E590&lt;&gt;"33 確認済",E590&lt;&gt;"36 送付中"),1,0))</f>
        <v/>
      </c>
      <c r="AO590" s="94">
        <f>IF(A590="","",IF(AG590&lt;&gt;"",1,0))</f>
        <v/>
      </c>
      <c r="AP590" s="220">
        <f>IF(P590&lt;&gt;"","・添待ち","")&amp;IF(Q590&lt;&gt;"","・住民票","")&amp;IF(R590&lt;&gt;"","・発信","")&amp;IF(S590&lt;&gt;"","・確認事項","")&amp;IF(T590&lt;&gt;"","・管","")&amp;IF(U590&lt;&gt;"","・SV","")&amp;IF(V590&lt;&gt;"","・データ送付待ち","")&amp;IF(W590&lt;&gt;"","・削除","")</f>
        <v/>
      </c>
    </row>
    <row r="591" ht="15" customHeight="1" s="87">
      <c r="AL591" s="94">
        <f>IF(A591="","",IF(COUNTIF(A591:A$2001,A591)=1,1,0))</f>
        <v/>
      </c>
      <c r="AM591" s="94">
        <f>IF(I591="","",TODAY()-I591)</f>
        <v/>
      </c>
      <c r="AN591" s="94">
        <f>IF(A591="","",IF(AND(E591&lt;&gt;"33 確認済",E591&lt;&gt;"36 送付中"),1,0))</f>
        <v/>
      </c>
      <c r="AO591" s="94">
        <f>IF(A591="","",IF(AG591&lt;&gt;"",1,0))</f>
        <v/>
      </c>
      <c r="AP591" s="220">
        <f>IF(P591&lt;&gt;"","・添待ち","")&amp;IF(Q591&lt;&gt;"","・住民票","")&amp;IF(R591&lt;&gt;"","・発信","")&amp;IF(S591&lt;&gt;"","・確認事項","")&amp;IF(T591&lt;&gt;"","・管","")&amp;IF(U591&lt;&gt;"","・SV","")&amp;IF(V591&lt;&gt;"","・データ送付待ち","")&amp;IF(W591&lt;&gt;"","・削除","")</f>
        <v/>
      </c>
    </row>
    <row r="592" ht="15" customHeight="1" s="87">
      <c r="AL592" s="94">
        <f>IF(A592="","",IF(COUNTIF(A592:A$2001,A592)=1,1,0))</f>
        <v/>
      </c>
      <c r="AM592" s="94">
        <f>IF(I592="","",TODAY()-I592)</f>
        <v/>
      </c>
      <c r="AN592" s="94">
        <f>IF(A592="","",IF(AND(E592&lt;&gt;"33 確認済",E592&lt;&gt;"36 送付中"),1,0))</f>
        <v/>
      </c>
      <c r="AO592" s="94">
        <f>IF(A592="","",IF(AG592&lt;&gt;"",1,0))</f>
        <v/>
      </c>
      <c r="AP592" s="220">
        <f>IF(P592&lt;&gt;"","・添待ち","")&amp;IF(Q592&lt;&gt;"","・住民票","")&amp;IF(R592&lt;&gt;"","・発信","")&amp;IF(S592&lt;&gt;"","・確認事項","")&amp;IF(T592&lt;&gt;"","・管","")&amp;IF(U592&lt;&gt;"","・SV","")&amp;IF(V592&lt;&gt;"","・データ送付待ち","")&amp;IF(W592&lt;&gt;"","・削除","")</f>
        <v/>
      </c>
    </row>
    <row r="593" ht="15" customHeight="1" s="87">
      <c r="AL593" s="94">
        <f>IF(A593="","",IF(COUNTIF(A593:A$2001,A593)=1,1,0))</f>
        <v/>
      </c>
      <c r="AM593" s="94">
        <f>IF(I593="","",TODAY()-I593)</f>
        <v/>
      </c>
      <c r="AN593" s="94">
        <f>IF(A593="","",IF(AND(E593&lt;&gt;"33 確認済",E593&lt;&gt;"36 送付中"),1,0))</f>
        <v/>
      </c>
      <c r="AO593" s="94">
        <f>IF(A593="","",IF(AG593&lt;&gt;"",1,0))</f>
        <v/>
      </c>
      <c r="AP593" s="220">
        <f>IF(P593&lt;&gt;"","・添待ち","")&amp;IF(Q593&lt;&gt;"","・住民票","")&amp;IF(R593&lt;&gt;"","・発信","")&amp;IF(S593&lt;&gt;"","・確認事項","")&amp;IF(T593&lt;&gt;"","・管","")&amp;IF(U593&lt;&gt;"","・SV","")&amp;IF(V593&lt;&gt;"","・データ送付待ち","")&amp;IF(W593&lt;&gt;"","・削除","")</f>
        <v/>
      </c>
    </row>
    <row r="594" ht="15" customHeight="1" s="87">
      <c r="AL594" s="94">
        <f>IF(A594="","",IF(COUNTIF(A594:A$2001,A594)=1,1,0))</f>
        <v/>
      </c>
      <c r="AM594" s="94">
        <f>IF(I594="","",TODAY()-I594)</f>
        <v/>
      </c>
      <c r="AN594" s="94">
        <f>IF(A594="","",IF(AND(E594&lt;&gt;"33 確認済",E594&lt;&gt;"36 送付中"),1,0))</f>
        <v/>
      </c>
      <c r="AO594" s="94">
        <f>IF(A594="","",IF(AG594&lt;&gt;"",1,0))</f>
        <v/>
      </c>
      <c r="AP594" s="220">
        <f>IF(P594&lt;&gt;"","・添待ち","")&amp;IF(Q594&lt;&gt;"","・住民票","")&amp;IF(R594&lt;&gt;"","・発信","")&amp;IF(S594&lt;&gt;"","・確認事項","")&amp;IF(T594&lt;&gt;"","・管","")&amp;IF(U594&lt;&gt;"","・SV","")&amp;IF(V594&lt;&gt;"","・データ送付待ち","")&amp;IF(W594&lt;&gt;"","・削除","")</f>
        <v/>
      </c>
    </row>
    <row r="595" ht="15" customHeight="1" s="87">
      <c r="AL595" s="94">
        <f>IF(A595="","",IF(COUNTIF(A595:A$2001,A595)=1,1,0))</f>
        <v/>
      </c>
      <c r="AM595" s="94">
        <f>IF(I595="","",TODAY()-I595)</f>
        <v/>
      </c>
      <c r="AN595" s="94">
        <f>IF(A595="","",IF(AND(E595&lt;&gt;"33 確認済",E595&lt;&gt;"36 送付中"),1,0))</f>
        <v/>
      </c>
      <c r="AO595" s="94">
        <f>IF(A595="","",IF(AG595&lt;&gt;"",1,0))</f>
        <v/>
      </c>
      <c r="AP595" s="220">
        <f>IF(P595&lt;&gt;"","・添待ち","")&amp;IF(Q595&lt;&gt;"","・住民票","")&amp;IF(R595&lt;&gt;"","・発信","")&amp;IF(S595&lt;&gt;"","・確認事項","")&amp;IF(T595&lt;&gt;"","・管","")&amp;IF(U595&lt;&gt;"","・SV","")&amp;IF(V595&lt;&gt;"","・データ送付待ち","")&amp;IF(W595&lt;&gt;"","・削除","")</f>
        <v/>
      </c>
    </row>
    <row r="596" ht="15" customHeight="1" s="87">
      <c r="AL596" s="94">
        <f>IF(A596="","",IF(COUNTIF(A596:A$2001,A596)=1,1,0))</f>
        <v/>
      </c>
      <c r="AM596" s="94">
        <f>IF(I596="","",TODAY()-I596)</f>
        <v/>
      </c>
      <c r="AN596" s="94">
        <f>IF(A596="","",IF(AND(E596&lt;&gt;"33 確認済",E596&lt;&gt;"36 送付中"),1,0))</f>
        <v/>
      </c>
      <c r="AO596" s="94">
        <f>IF(A596="","",IF(AG596&lt;&gt;"",1,0))</f>
        <v/>
      </c>
      <c r="AP596" s="220">
        <f>IF(P596&lt;&gt;"","・添待ち","")&amp;IF(Q596&lt;&gt;"","・住民票","")&amp;IF(R596&lt;&gt;"","・発信","")&amp;IF(S596&lt;&gt;"","・確認事項","")&amp;IF(T596&lt;&gt;"","・管","")&amp;IF(U596&lt;&gt;"","・SV","")&amp;IF(V596&lt;&gt;"","・データ送付待ち","")&amp;IF(W596&lt;&gt;"","・削除","")</f>
        <v/>
      </c>
    </row>
    <row r="597" ht="15" customHeight="1" s="87">
      <c r="AL597" s="94">
        <f>IF(A597="","",IF(COUNTIF(A597:A$2001,A597)=1,1,0))</f>
        <v/>
      </c>
      <c r="AM597" s="94">
        <f>IF(I597="","",TODAY()-I597)</f>
        <v/>
      </c>
      <c r="AN597" s="94">
        <f>IF(A597="","",IF(AND(E597&lt;&gt;"33 確認済",E597&lt;&gt;"36 送付中"),1,0))</f>
        <v/>
      </c>
      <c r="AO597" s="94">
        <f>IF(A597="","",IF(AG597&lt;&gt;"",1,0))</f>
        <v/>
      </c>
      <c r="AP597" s="220">
        <f>IF(P597&lt;&gt;"","・添待ち","")&amp;IF(Q597&lt;&gt;"","・住民票","")&amp;IF(R597&lt;&gt;"","・発信","")&amp;IF(S597&lt;&gt;"","・確認事項","")&amp;IF(T597&lt;&gt;"","・管","")&amp;IF(U597&lt;&gt;"","・SV","")&amp;IF(V597&lt;&gt;"","・データ送付待ち","")&amp;IF(W597&lt;&gt;"","・削除","")</f>
        <v/>
      </c>
    </row>
    <row r="598" ht="15" customHeight="1" s="87">
      <c r="AL598" s="94">
        <f>IF(A598="","",IF(COUNTIF(A598:A$2001,A598)=1,1,0))</f>
        <v/>
      </c>
      <c r="AM598" s="94">
        <f>IF(I598="","",TODAY()-I598)</f>
        <v/>
      </c>
      <c r="AN598" s="94">
        <f>IF(A598="","",IF(AND(E598&lt;&gt;"33 確認済",E598&lt;&gt;"36 送付中"),1,0))</f>
        <v/>
      </c>
      <c r="AO598" s="94">
        <f>IF(A598="","",IF(AG598&lt;&gt;"",1,0))</f>
        <v/>
      </c>
      <c r="AP598" s="220">
        <f>IF(P598&lt;&gt;"","・添待ち","")&amp;IF(Q598&lt;&gt;"","・住民票","")&amp;IF(R598&lt;&gt;"","・発信","")&amp;IF(S598&lt;&gt;"","・確認事項","")&amp;IF(T598&lt;&gt;"","・管","")&amp;IF(U598&lt;&gt;"","・SV","")&amp;IF(V598&lt;&gt;"","・データ送付待ち","")&amp;IF(W598&lt;&gt;"","・削除","")</f>
        <v/>
      </c>
    </row>
    <row r="599" ht="15" customHeight="1" s="87">
      <c r="AL599" s="94">
        <f>IF(A599="","",IF(COUNTIF(A599:A$2001,A599)=1,1,0))</f>
        <v/>
      </c>
      <c r="AM599" s="94">
        <f>IF(I599="","",TODAY()-I599)</f>
        <v/>
      </c>
      <c r="AN599" s="94">
        <f>IF(A599="","",IF(AND(E599&lt;&gt;"33 確認済",E599&lt;&gt;"36 送付中"),1,0))</f>
        <v/>
      </c>
      <c r="AO599" s="94">
        <f>IF(A599="","",IF(AG599&lt;&gt;"",1,0))</f>
        <v/>
      </c>
      <c r="AP599" s="220">
        <f>IF(P599&lt;&gt;"","・添待ち","")&amp;IF(Q599&lt;&gt;"","・住民票","")&amp;IF(R599&lt;&gt;"","・発信","")&amp;IF(S599&lt;&gt;"","・確認事項","")&amp;IF(T599&lt;&gt;"","・管","")&amp;IF(U599&lt;&gt;"","・SV","")&amp;IF(V599&lt;&gt;"","・データ送付待ち","")&amp;IF(W599&lt;&gt;"","・削除","")</f>
        <v/>
      </c>
    </row>
    <row r="600" ht="15" customHeight="1" s="87">
      <c r="AL600" s="94">
        <f>IF(A600="","",IF(COUNTIF(A600:A$2001,A600)=1,1,0))</f>
        <v/>
      </c>
      <c r="AM600" s="94">
        <f>IF(I600="","",TODAY()-I600)</f>
        <v/>
      </c>
      <c r="AN600" s="94">
        <f>IF(A600="","",IF(AND(E600&lt;&gt;"33 確認済",E600&lt;&gt;"36 送付中"),1,0))</f>
        <v/>
      </c>
      <c r="AO600" s="94">
        <f>IF(A600="","",IF(AG600&lt;&gt;"",1,0))</f>
        <v/>
      </c>
      <c r="AP600" s="220">
        <f>IF(P600&lt;&gt;"","・添待ち","")&amp;IF(Q600&lt;&gt;"","・住民票","")&amp;IF(R600&lt;&gt;"","・発信","")&amp;IF(S600&lt;&gt;"","・確認事項","")&amp;IF(T600&lt;&gt;"","・管","")&amp;IF(U600&lt;&gt;"","・SV","")&amp;IF(V600&lt;&gt;"","・データ送付待ち","")&amp;IF(W600&lt;&gt;"","・削除","")</f>
        <v/>
      </c>
    </row>
    <row r="601" ht="15" customHeight="1" s="87">
      <c r="AL601" s="94">
        <f>IF(A601="","",IF(COUNTIF(A601:A$2001,A601)=1,1,0))</f>
        <v/>
      </c>
      <c r="AM601" s="94">
        <f>IF(I601="","",TODAY()-I601)</f>
        <v/>
      </c>
      <c r="AN601" s="94">
        <f>IF(A601="","",IF(AND(E601&lt;&gt;"33 確認済",E601&lt;&gt;"36 送付中"),1,0))</f>
        <v/>
      </c>
      <c r="AO601" s="94">
        <f>IF(A601="","",IF(AG601&lt;&gt;"",1,0))</f>
        <v/>
      </c>
      <c r="AP601" s="220">
        <f>IF(P601&lt;&gt;"","・添待ち","")&amp;IF(Q601&lt;&gt;"","・住民票","")&amp;IF(R601&lt;&gt;"","・発信","")&amp;IF(S601&lt;&gt;"","・確認事項","")&amp;IF(T601&lt;&gt;"","・管","")&amp;IF(U601&lt;&gt;"","・SV","")&amp;IF(V601&lt;&gt;"","・データ送付待ち","")&amp;IF(W601&lt;&gt;"","・削除","")</f>
        <v/>
      </c>
    </row>
    <row r="602" ht="15" customHeight="1" s="87">
      <c r="AL602" s="94">
        <f>IF(A602="","",IF(COUNTIF(A602:A$2001,A602)=1,1,0))</f>
        <v/>
      </c>
      <c r="AM602" s="94">
        <f>IF(I602="","",TODAY()-I602)</f>
        <v/>
      </c>
      <c r="AN602" s="94">
        <f>IF(A602="","",IF(AND(E602&lt;&gt;"33 確認済",E602&lt;&gt;"36 送付中"),1,0))</f>
        <v/>
      </c>
      <c r="AO602" s="94">
        <f>IF(A602="","",IF(AG602&lt;&gt;"",1,0))</f>
        <v/>
      </c>
      <c r="AP602" s="220">
        <f>IF(P602&lt;&gt;"","・添待ち","")&amp;IF(Q602&lt;&gt;"","・住民票","")&amp;IF(R602&lt;&gt;"","・発信","")&amp;IF(S602&lt;&gt;"","・確認事項","")&amp;IF(T602&lt;&gt;"","・管","")&amp;IF(U602&lt;&gt;"","・SV","")&amp;IF(V602&lt;&gt;"","・データ送付待ち","")&amp;IF(W602&lt;&gt;"","・削除","")</f>
        <v/>
      </c>
    </row>
    <row r="603" ht="15" customHeight="1" s="87">
      <c r="AL603" s="94">
        <f>IF(A603="","",IF(COUNTIF(A603:A$2001,A603)=1,1,0))</f>
        <v/>
      </c>
      <c r="AM603" s="94">
        <f>IF(I603="","",TODAY()-I603)</f>
        <v/>
      </c>
      <c r="AN603" s="94">
        <f>IF(A603="","",IF(AND(E603&lt;&gt;"33 確認済",E603&lt;&gt;"36 送付中"),1,0))</f>
        <v/>
      </c>
      <c r="AO603" s="94">
        <f>IF(A603="","",IF(AG603&lt;&gt;"",1,0))</f>
        <v/>
      </c>
      <c r="AP603" s="220">
        <f>IF(P603&lt;&gt;"","・添待ち","")&amp;IF(Q603&lt;&gt;"","・住民票","")&amp;IF(R603&lt;&gt;"","・発信","")&amp;IF(S603&lt;&gt;"","・確認事項","")&amp;IF(T603&lt;&gt;"","・管","")&amp;IF(U603&lt;&gt;"","・SV","")&amp;IF(V603&lt;&gt;"","・データ送付待ち","")&amp;IF(W603&lt;&gt;"","・削除","")</f>
        <v/>
      </c>
    </row>
    <row r="604" ht="15" customHeight="1" s="87">
      <c r="AL604" s="94">
        <f>IF(A604="","",IF(COUNTIF(A604:A$2001,A604)=1,1,0))</f>
        <v/>
      </c>
      <c r="AM604" s="94">
        <f>IF(I604="","",TODAY()-I604)</f>
        <v/>
      </c>
      <c r="AN604" s="94">
        <f>IF(A604="","",IF(AND(E604&lt;&gt;"33 確認済",E604&lt;&gt;"36 送付中"),1,0))</f>
        <v/>
      </c>
      <c r="AO604" s="94">
        <f>IF(A604="","",IF(AG604&lt;&gt;"",1,0))</f>
        <v/>
      </c>
      <c r="AP604" s="220">
        <f>IF(P604&lt;&gt;"","・添待ち","")&amp;IF(Q604&lt;&gt;"","・住民票","")&amp;IF(R604&lt;&gt;"","・発信","")&amp;IF(S604&lt;&gt;"","・確認事項","")&amp;IF(T604&lt;&gt;"","・管","")&amp;IF(U604&lt;&gt;"","・SV","")&amp;IF(V604&lt;&gt;"","・データ送付待ち","")&amp;IF(W604&lt;&gt;"","・削除","")</f>
        <v/>
      </c>
    </row>
    <row r="605" ht="15" customHeight="1" s="87">
      <c r="AL605" s="94">
        <f>IF(A605="","",IF(COUNTIF(A605:A$2001,A605)=1,1,0))</f>
        <v/>
      </c>
      <c r="AM605" s="94">
        <f>IF(I605="","",TODAY()-I605)</f>
        <v/>
      </c>
      <c r="AN605" s="94">
        <f>IF(A605="","",IF(AND(E605&lt;&gt;"33 確認済",E605&lt;&gt;"36 送付中"),1,0))</f>
        <v/>
      </c>
      <c r="AO605" s="94">
        <f>IF(A605="","",IF(AG605&lt;&gt;"",1,0))</f>
        <v/>
      </c>
      <c r="AP605" s="220">
        <f>IF(P605&lt;&gt;"","・添待ち","")&amp;IF(Q605&lt;&gt;"","・住民票","")&amp;IF(R605&lt;&gt;"","・発信","")&amp;IF(S605&lt;&gt;"","・確認事項","")&amp;IF(T605&lt;&gt;"","・管","")&amp;IF(U605&lt;&gt;"","・SV","")&amp;IF(V605&lt;&gt;"","・データ送付待ち","")&amp;IF(W605&lt;&gt;"","・削除","")</f>
        <v/>
      </c>
    </row>
    <row r="606" ht="15" customHeight="1" s="87">
      <c r="AL606" s="94">
        <f>IF(A606="","",IF(COUNTIF(A606:A$2001,A606)=1,1,0))</f>
        <v/>
      </c>
      <c r="AM606" s="94">
        <f>IF(I606="","",TODAY()-I606)</f>
        <v/>
      </c>
      <c r="AN606" s="94">
        <f>IF(A606="","",IF(AND(E606&lt;&gt;"33 確認済",E606&lt;&gt;"36 送付中"),1,0))</f>
        <v/>
      </c>
      <c r="AO606" s="94">
        <f>IF(A606="","",IF(AG606&lt;&gt;"",1,0))</f>
        <v/>
      </c>
      <c r="AP606" s="220">
        <f>IF(P606&lt;&gt;"","・添待ち","")&amp;IF(Q606&lt;&gt;"","・住民票","")&amp;IF(R606&lt;&gt;"","・発信","")&amp;IF(S606&lt;&gt;"","・確認事項","")&amp;IF(T606&lt;&gt;"","・管","")&amp;IF(U606&lt;&gt;"","・SV","")&amp;IF(V606&lt;&gt;"","・データ送付待ち","")&amp;IF(W606&lt;&gt;"","・削除","")</f>
        <v/>
      </c>
    </row>
    <row r="607" ht="15" customHeight="1" s="87">
      <c r="AL607" s="94">
        <f>IF(A607="","",IF(COUNTIF(A607:A$2001,A607)=1,1,0))</f>
        <v/>
      </c>
      <c r="AM607" s="94">
        <f>IF(I607="","",TODAY()-I607)</f>
        <v/>
      </c>
      <c r="AN607" s="94">
        <f>IF(A607="","",IF(AND(E607&lt;&gt;"33 確認済",E607&lt;&gt;"36 送付中"),1,0))</f>
        <v/>
      </c>
      <c r="AO607" s="94">
        <f>IF(A607="","",IF(AG607&lt;&gt;"",1,0))</f>
        <v/>
      </c>
      <c r="AP607" s="220">
        <f>IF(P607&lt;&gt;"","・添待ち","")&amp;IF(Q607&lt;&gt;"","・住民票","")&amp;IF(R607&lt;&gt;"","・発信","")&amp;IF(S607&lt;&gt;"","・確認事項","")&amp;IF(T607&lt;&gt;"","・管","")&amp;IF(U607&lt;&gt;"","・SV","")&amp;IF(V607&lt;&gt;"","・データ送付待ち","")&amp;IF(W607&lt;&gt;"","・削除","")</f>
        <v/>
      </c>
    </row>
    <row r="608" ht="15" customHeight="1" s="87">
      <c r="AL608" s="94">
        <f>IF(A608="","",IF(COUNTIF(A608:A$2001,A608)=1,1,0))</f>
        <v/>
      </c>
      <c r="AM608" s="94">
        <f>IF(I608="","",TODAY()-I608)</f>
        <v/>
      </c>
      <c r="AN608" s="94">
        <f>IF(A608="","",IF(AND(E608&lt;&gt;"33 確認済",E608&lt;&gt;"36 送付中"),1,0))</f>
        <v/>
      </c>
      <c r="AO608" s="94">
        <f>IF(A608="","",IF(AG608&lt;&gt;"",1,0))</f>
        <v/>
      </c>
      <c r="AP608" s="220">
        <f>IF(P608&lt;&gt;"","・添待ち","")&amp;IF(Q608&lt;&gt;"","・住民票","")&amp;IF(R608&lt;&gt;"","・発信","")&amp;IF(S608&lt;&gt;"","・確認事項","")&amp;IF(T608&lt;&gt;"","・管","")&amp;IF(U608&lt;&gt;"","・SV","")&amp;IF(V608&lt;&gt;"","・データ送付待ち","")&amp;IF(W608&lt;&gt;"","・削除","")</f>
        <v/>
      </c>
    </row>
    <row r="609" ht="15" customHeight="1" s="87">
      <c r="AL609" s="94">
        <f>IF(A609="","",IF(COUNTIF(A609:A$2001,A609)=1,1,0))</f>
        <v/>
      </c>
      <c r="AM609" s="94">
        <f>IF(I609="","",TODAY()-I609)</f>
        <v/>
      </c>
      <c r="AN609" s="94">
        <f>IF(A609="","",IF(AND(E609&lt;&gt;"33 確認済",E609&lt;&gt;"36 送付中"),1,0))</f>
        <v/>
      </c>
      <c r="AO609" s="94">
        <f>IF(A609="","",IF(AG609&lt;&gt;"",1,0))</f>
        <v/>
      </c>
      <c r="AP609" s="220">
        <f>IF(P609&lt;&gt;"","・添待ち","")&amp;IF(Q609&lt;&gt;"","・住民票","")&amp;IF(R609&lt;&gt;"","・発信","")&amp;IF(S609&lt;&gt;"","・確認事項","")&amp;IF(T609&lt;&gt;"","・管","")&amp;IF(U609&lt;&gt;"","・SV","")&amp;IF(V609&lt;&gt;"","・データ送付待ち","")&amp;IF(W609&lt;&gt;"","・削除","")</f>
        <v/>
      </c>
    </row>
    <row r="610" ht="15" customHeight="1" s="87">
      <c r="AL610" s="94">
        <f>IF(A610="","",IF(COUNTIF(A610:A$2001,A610)=1,1,0))</f>
        <v/>
      </c>
      <c r="AM610" s="94">
        <f>IF(I610="","",TODAY()-I610)</f>
        <v/>
      </c>
      <c r="AN610" s="94">
        <f>IF(A610="","",IF(AND(E610&lt;&gt;"33 確認済",E610&lt;&gt;"36 送付中"),1,0))</f>
        <v/>
      </c>
      <c r="AO610" s="94">
        <f>IF(A610="","",IF(AG610&lt;&gt;"",1,0))</f>
        <v/>
      </c>
      <c r="AP610" s="220">
        <f>IF(P610&lt;&gt;"","・添待ち","")&amp;IF(Q610&lt;&gt;"","・住民票","")&amp;IF(R610&lt;&gt;"","・発信","")&amp;IF(S610&lt;&gt;"","・確認事項","")&amp;IF(T610&lt;&gt;"","・管","")&amp;IF(U610&lt;&gt;"","・SV","")&amp;IF(V610&lt;&gt;"","・データ送付待ち","")&amp;IF(W610&lt;&gt;"","・削除","")</f>
        <v/>
      </c>
    </row>
    <row r="611" ht="15" customHeight="1" s="87">
      <c r="AL611" s="94">
        <f>IF(A611="","",IF(COUNTIF(A611:A$2001,A611)=1,1,0))</f>
        <v/>
      </c>
      <c r="AM611" s="94">
        <f>IF(I611="","",TODAY()-I611)</f>
        <v/>
      </c>
      <c r="AN611" s="94">
        <f>IF(A611="","",IF(AND(E611&lt;&gt;"33 確認済",E611&lt;&gt;"36 送付中"),1,0))</f>
        <v/>
      </c>
      <c r="AO611" s="94">
        <f>IF(A611="","",IF(AG611&lt;&gt;"",1,0))</f>
        <v/>
      </c>
      <c r="AP611" s="220">
        <f>IF(P611&lt;&gt;"","・添待ち","")&amp;IF(Q611&lt;&gt;"","・住民票","")&amp;IF(R611&lt;&gt;"","・発信","")&amp;IF(S611&lt;&gt;"","・確認事項","")&amp;IF(T611&lt;&gt;"","・管","")&amp;IF(U611&lt;&gt;"","・SV","")&amp;IF(V611&lt;&gt;"","・データ送付待ち","")&amp;IF(W611&lt;&gt;"","・削除","")</f>
        <v/>
      </c>
    </row>
    <row r="612" ht="15" customHeight="1" s="87">
      <c r="AL612" s="94">
        <f>IF(A612="","",IF(COUNTIF(A612:A$2001,A612)=1,1,0))</f>
        <v/>
      </c>
      <c r="AM612" s="94">
        <f>IF(I612="","",TODAY()-I612)</f>
        <v/>
      </c>
      <c r="AN612" s="94">
        <f>IF(A612="","",IF(AND(E612&lt;&gt;"33 確認済",E612&lt;&gt;"36 送付中"),1,0))</f>
        <v/>
      </c>
      <c r="AO612" s="94">
        <f>IF(A612="","",IF(AG612&lt;&gt;"",1,0))</f>
        <v/>
      </c>
      <c r="AP612" s="220">
        <f>IF(P612&lt;&gt;"","・添待ち","")&amp;IF(Q612&lt;&gt;"","・住民票","")&amp;IF(R612&lt;&gt;"","・発信","")&amp;IF(S612&lt;&gt;"","・確認事項","")&amp;IF(T612&lt;&gt;"","・管","")&amp;IF(U612&lt;&gt;"","・SV","")&amp;IF(V612&lt;&gt;"","・データ送付待ち","")&amp;IF(W612&lt;&gt;"","・削除","")</f>
        <v/>
      </c>
    </row>
    <row r="613" ht="15" customHeight="1" s="87">
      <c r="AL613" s="94">
        <f>IF(A613="","",IF(COUNTIF(A613:A$2001,A613)=1,1,0))</f>
        <v/>
      </c>
      <c r="AM613" s="94">
        <f>IF(I613="","",TODAY()-I613)</f>
        <v/>
      </c>
      <c r="AN613" s="94">
        <f>IF(A613="","",IF(AND(E613&lt;&gt;"33 確認済",E613&lt;&gt;"36 送付中"),1,0))</f>
        <v/>
      </c>
      <c r="AO613" s="94">
        <f>IF(A613="","",IF(AG613&lt;&gt;"",1,0))</f>
        <v/>
      </c>
      <c r="AP613" s="220">
        <f>IF(P613&lt;&gt;"","・添待ち","")&amp;IF(Q613&lt;&gt;"","・住民票","")&amp;IF(R613&lt;&gt;"","・発信","")&amp;IF(S613&lt;&gt;"","・確認事項","")&amp;IF(T613&lt;&gt;"","・管","")&amp;IF(U613&lt;&gt;"","・SV","")&amp;IF(V613&lt;&gt;"","・データ送付待ち","")&amp;IF(W613&lt;&gt;"","・削除","")</f>
        <v/>
      </c>
    </row>
    <row r="614" ht="15" customHeight="1" s="87">
      <c r="AL614" s="94">
        <f>IF(A614="","",IF(COUNTIF(A614:A$2001,A614)=1,1,0))</f>
        <v/>
      </c>
      <c r="AM614" s="94">
        <f>IF(I614="","",TODAY()-I614)</f>
        <v/>
      </c>
      <c r="AN614" s="94">
        <f>IF(A614="","",IF(AND(E614&lt;&gt;"33 確認済",E614&lt;&gt;"36 送付中"),1,0))</f>
        <v/>
      </c>
      <c r="AO614" s="94">
        <f>IF(A614="","",IF(AG614&lt;&gt;"",1,0))</f>
        <v/>
      </c>
      <c r="AP614" s="220">
        <f>IF(P614&lt;&gt;"","・添待ち","")&amp;IF(Q614&lt;&gt;"","・住民票","")&amp;IF(R614&lt;&gt;"","・発信","")&amp;IF(S614&lt;&gt;"","・確認事項","")&amp;IF(T614&lt;&gt;"","・管","")&amp;IF(U614&lt;&gt;"","・SV","")&amp;IF(V614&lt;&gt;"","・データ送付待ち","")&amp;IF(W614&lt;&gt;"","・削除","")</f>
        <v/>
      </c>
    </row>
    <row r="615" ht="15" customHeight="1" s="87">
      <c r="AL615" s="94">
        <f>IF(A615="","",IF(COUNTIF(A615:A$2001,A615)=1,1,0))</f>
        <v/>
      </c>
      <c r="AM615" s="94">
        <f>IF(I615="","",TODAY()-I615)</f>
        <v/>
      </c>
      <c r="AN615" s="94">
        <f>IF(A615="","",IF(AND(E615&lt;&gt;"33 確認済",E615&lt;&gt;"36 送付中"),1,0))</f>
        <v/>
      </c>
      <c r="AO615" s="94">
        <f>IF(A615="","",IF(AG615&lt;&gt;"",1,0))</f>
        <v/>
      </c>
      <c r="AP615" s="220">
        <f>IF(P615&lt;&gt;"","・添待ち","")&amp;IF(Q615&lt;&gt;"","・住民票","")&amp;IF(R615&lt;&gt;"","・発信","")&amp;IF(S615&lt;&gt;"","・確認事項","")&amp;IF(T615&lt;&gt;"","・管","")&amp;IF(U615&lt;&gt;"","・SV","")&amp;IF(V615&lt;&gt;"","・データ送付待ち","")&amp;IF(W615&lt;&gt;"","・削除","")</f>
        <v/>
      </c>
    </row>
    <row r="616" ht="15" customHeight="1" s="87">
      <c r="AL616" s="94">
        <f>IF(A616="","",IF(COUNTIF(A616:A$2001,A616)=1,1,0))</f>
        <v/>
      </c>
      <c r="AM616" s="94">
        <f>IF(I616="","",TODAY()-I616)</f>
        <v/>
      </c>
      <c r="AN616" s="94">
        <f>IF(A616="","",IF(AND(E616&lt;&gt;"33 確認済",E616&lt;&gt;"36 送付中"),1,0))</f>
        <v/>
      </c>
      <c r="AO616" s="94">
        <f>IF(A616="","",IF(AG616&lt;&gt;"",1,0))</f>
        <v/>
      </c>
      <c r="AP616" s="220">
        <f>IF(P616&lt;&gt;"","・添待ち","")&amp;IF(Q616&lt;&gt;"","・住民票","")&amp;IF(R616&lt;&gt;"","・発信","")&amp;IF(S616&lt;&gt;"","・確認事項","")&amp;IF(T616&lt;&gt;"","・管","")&amp;IF(U616&lt;&gt;"","・SV","")&amp;IF(V616&lt;&gt;"","・データ送付待ち","")&amp;IF(W616&lt;&gt;"","・削除","")</f>
        <v/>
      </c>
    </row>
    <row r="617" ht="15" customHeight="1" s="87">
      <c r="AL617" s="94">
        <f>IF(A617="","",IF(COUNTIF(A617:A$2001,A617)=1,1,0))</f>
        <v/>
      </c>
      <c r="AM617" s="94">
        <f>IF(I617="","",TODAY()-I617)</f>
        <v/>
      </c>
      <c r="AN617" s="94">
        <f>IF(A617="","",IF(AND(E617&lt;&gt;"33 確認済",E617&lt;&gt;"36 送付中"),1,0))</f>
        <v/>
      </c>
      <c r="AO617" s="94">
        <f>IF(A617="","",IF(AG617&lt;&gt;"",1,0))</f>
        <v/>
      </c>
      <c r="AP617" s="220">
        <f>IF(P617&lt;&gt;"","・添待ち","")&amp;IF(Q617&lt;&gt;"","・住民票","")&amp;IF(R617&lt;&gt;"","・発信","")&amp;IF(S617&lt;&gt;"","・確認事項","")&amp;IF(T617&lt;&gt;"","・管","")&amp;IF(U617&lt;&gt;"","・SV","")&amp;IF(V617&lt;&gt;"","・データ送付待ち","")&amp;IF(W617&lt;&gt;"","・削除","")</f>
        <v/>
      </c>
    </row>
    <row r="618" ht="15" customHeight="1" s="87">
      <c r="AL618" s="94">
        <f>IF(A618="","",IF(COUNTIF(A618:A$2001,A618)=1,1,0))</f>
        <v/>
      </c>
      <c r="AM618" s="94">
        <f>IF(I618="","",TODAY()-I618)</f>
        <v/>
      </c>
      <c r="AN618" s="94">
        <f>IF(A618="","",IF(AND(E618&lt;&gt;"33 確認済",E618&lt;&gt;"36 送付中"),1,0))</f>
        <v/>
      </c>
      <c r="AO618" s="94">
        <f>IF(A618="","",IF(AG618&lt;&gt;"",1,0))</f>
        <v/>
      </c>
      <c r="AP618" s="220">
        <f>IF(P618&lt;&gt;"","・添待ち","")&amp;IF(Q618&lt;&gt;"","・住民票","")&amp;IF(R618&lt;&gt;"","・発信","")&amp;IF(S618&lt;&gt;"","・確認事項","")&amp;IF(T618&lt;&gt;"","・管","")&amp;IF(U618&lt;&gt;"","・SV","")&amp;IF(V618&lt;&gt;"","・データ送付待ち","")&amp;IF(W618&lt;&gt;"","・削除","")</f>
        <v/>
      </c>
    </row>
    <row r="619" ht="15" customHeight="1" s="87">
      <c r="AL619" s="94">
        <f>IF(A619="","",IF(COUNTIF(A619:A$2001,A619)=1,1,0))</f>
        <v/>
      </c>
      <c r="AM619" s="94">
        <f>IF(I619="","",TODAY()-I619)</f>
        <v/>
      </c>
      <c r="AN619" s="94">
        <f>IF(A619="","",IF(AND(E619&lt;&gt;"33 確認済",E619&lt;&gt;"36 送付中"),1,0))</f>
        <v/>
      </c>
      <c r="AO619" s="94">
        <f>IF(A619="","",IF(AG619&lt;&gt;"",1,0))</f>
        <v/>
      </c>
      <c r="AP619" s="220">
        <f>IF(P619&lt;&gt;"","・添待ち","")&amp;IF(Q619&lt;&gt;"","・住民票","")&amp;IF(R619&lt;&gt;"","・発信","")&amp;IF(S619&lt;&gt;"","・確認事項","")&amp;IF(T619&lt;&gt;"","・管","")&amp;IF(U619&lt;&gt;"","・SV","")&amp;IF(V619&lt;&gt;"","・データ送付待ち","")&amp;IF(W619&lt;&gt;"","・削除","")</f>
        <v/>
      </c>
    </row>
    <row r="620" ht="15" customHeight="1" s="87">
      <c r="AL620" s="94">
        <f>IF(A620="","",IF(COUNTIF(A620:A$2001,A620)=1,1,0))</f>
        <v/>
      </c>
      <c r="AM620" s="94">
        <f>IF(I620="","",TODAY()-I620)</f>
        <v/>
      </c>
      <c r="AN620" s="94">
        <f>IF(A620="","",IF(AND(E620&lt;&gt;"33 確認済",E620&lt;&gt;"36 送付中"),1,0))</f>
        <v/>
      </c>
      <c r="AO620" s="94">
        <f>IF(A620="","",IF(AG620&lt;&gt;"",1,0))</f>
        <v/>
      </c>
      <c r="AP620" s="220">
        <f>IF(P620&lt;&gt;"","・添待ち","")&amp;IF(Q620&lt;&gt;"","・住民票","")&amp;IF(R620&lt;&gt;"","・発信","")&amp;IF(S620&lt;&gt;"","・確認事項","")&amp;IF(T620&lt;&gt;"","・管","")&amp;IF(U620&lt;&gt;"","・SV","")&amp;IF(V620&lt;&gt;"","・データ送付待ち","")&amp;IF(W620&lt;&gt;"","・削除","")</f>
        <v/>
      </c>
    </row>
    <row r="621" ht="15" customHeight="1" s="87">
      <c r="AL621" s="94">
        <f>IF(A621="","",IF(COUNTIF(A621:A$2001,A621)=1,1,0))</f>
        <v/>
      </c>
      <c r="AM621" s="94">
        <f>IF(I621="","",TODAY()-I621)</f>
        <v/>
      </c>
      <c r="AN621" s="94">
        <f>IF(A621="","",IF(AND(E621&lt;&gt;"33 確認済",E621&lt;&gt;"36 送付中"),1,0))</f>
        <v/>
      </c>
      <c r="AO621" s="94">
        <f>IF(A621="","",IF(AG621&lt;&gt;"",1,0))</f>
        <v/>
      </c>
      <c r="AP621" s="220">
        <f>IF(P621&lt;&gt;"","・添待ち","")&amp;IF(Q621&lt;&gt;"","・住民票","")&amp;IF(R621&lt;&gt;"","・発信","")&amp;IF(S621&lt;&gt;"","・確認事項","")&amp;IF(T621&lt;&gt;"","・管","")&amp;IF(U621&lt;&gt;"","・SV","")&amp;IF(V621&lt;&gt;"","・データ送付待ち","")&amp;IF(W621&lt;&gt;"","・削除","")</f>
        <v/>
      </c>
    </row>
    <row r="622" ht="15" customHeight="1" s="87">
      <c r="AL622" s="94">
        <f>IF(A622="","",IF(COUNTIF(A622:A$2001,A622)=1,1,0))</f>
        <v/>
      </c>
      <c r="AM622" s="94">
        <f>IF(I622="","",TODAY()-I622)</f>
        <v/>
      </c>
      <c r="AN622" s="94">
        <f>IF(A622="","",IF(AND(E622&lt;&gt;"33 確認済",E622&lt;&gt;"36 送付中"),1,0))</f>
        <v/>
      </c>
      <c r="AO622" s="94">
        <f>IF(A622="","",IF(AG622&lt;&gt;"",1,0))</f>
        <v/>
      </c>
      <c r="AP622" s="220">
        <f>IF(P622&lt;&gt;"","・添待ち","")&amp;IF(Q622&lt;&gt;"","・住民票","")&amp;IF(R622&lt;&gt;"","・発信","")&amp;IF(S622&lt;&gt;"","・確認事項","")&amp;IF(T622&lt;&gt;"","・管","")&amp;IF(U622&lt;&gt;"","・SV","")&amp;IF(V622&lt;&gt;"","・データ送付待ち","")&amp;IF(W622&lt;&gt;"","・削除","")</f>
        <v/>
      </c>
    </row>
    <row r="623" ht="15" customHeight="1" s="87">
      <c r="AL623" s="94">
        <f>IF(A623="","",IF(COUNTIF(A623:A$2001,A623)=1,1,0))</f>
        <v/>
      </c>
      <c r="AM623" s="94">
        <f>IF(I623="","",TODAY()-I623)</f>
        <v/>
      </c>
      <c r="AN623" s="94">
        <f>IF(A623="","",IF(AND(E623&lt;&gt;"33 確認済",E623&lt;&gt;"36 送付中"),1,0))</f>
        <v/>
      </c>
      <c r="AO623" s="94">
        <f>IF(A623="","",IF(AG623&lt;&gt;"",1,0))</f>
        <v/>
      </c>
      <c r="AP623" s="220">
        <f>IF(P623&lt;&gt;"","・添待ち","")&amp;IF(Q623&lt;&gt;"","・住民票","")&amp;IF(R623&lt;&gt;"","・発信","")&amp;IF(S623&lt;&gt;"","・確認事項","")&amp;IF(T623&lt;&gt;"","・管","")&amp;IF(U623&lt;&gt;"","・SV","")&amp;IF(V623&lt;&gt;"","・データ送付待ち","")&amp;IF(W623&lt;&gt;"","・削除","")</f>
        <v/>
      </c>
    </row>
    <row r="624" ht="15" customHeight="1" s="87">
      <c r="AL624" s="94">
        <f>IF(A624="","",IF(COUNTIF(A624:A$2001,A624)=1,1,0))</f>
        <v/>
      </c>
      <c r="AM624" s="94">
        <f>IF(I624="","",TODAY()-I624)</f>
        <v/>
      </c>
      <c r="AN624" s="94">
        <f>IF(A624="","",IF(AND(E624&lt;&gt;"33 確認済",E624&lt;&gt;"36 送付中"),1,0))</f>
        <v/>
      </c>
      <c r="AO624" s="94">
        <f>IF(A624="","",IF(AG624&lt;&gt;"",1,0))</f>
        <v/>
      </c>
      <c r="AP624" s="220">
        <f>IF(P624&lt;&gt;"","・添待ち","")&amp;IF(Q624&lt;&gt;"","・住民票","")&amp;IF(R624&lt;&gt;"","・発信","")&amp;IF(S624&lt;&gt;"","・確認事項","")&amp;IF(T624&lt;&gt;"","・管","")&amp;IF(U624&lt;&gt;"","・SV","")&amp;IF(V624&lt;&gt;"","・データ送付待ち","")&amp;IF(W624&lt;&gt;"","・削除","")</f>
        <v/>
      </c>
    </row>
    <row r="625" ht="15" customHeight="1" s="87">
      <c r="AL625" s="94">
        <f>IF(A625="","",IF(COUNTIF(A625:A$2001,A625)=1,1,0))</f>
        <v/>
      </c>
      <c r="AM625" s="94">
        <f>IF(I625="","",TODAY()-I625)</f>
        <v/>
      </c>
      <c r="AN625" s="94">
        <f>IF(A625="","",IF(AND(E625&lt;&gt;"33 確認済",E625&lt;&gt;"36 送付中"),1,0))</f>
        <v/>
      </c>
      <c r="AO625" s="94">
        <f>IF(A625="","",IF(AG625&lt;&gt;"",1,0))</f>
        <v/>
      </c>
      <c r="AP625" s="220">
        <f>IF(P625&lt;&gt;"","・添待ち","")&amp;IF(Q625&lt;&gt;"","・住民票","")&amp;IF(R625&lt;&gt;"","・発信","")&amp;IF(S625&lt;&gt;"","・確認事項","")&amp;IF(T625&lt;&gt;"","・管","")&amp;IF(U625&lt;&gt;"","・SV","")&amp;IF(V625&lt;&gt;"","・データ送付待ち","")&amp;IF(W625&lt;&gt;"","・削除","")</f>
        <v/>
      </c>
    </row>
    <row r="626" ht="15" customHeight="1" s="87">
      <c r="AL626" s="94">
        <f>IF(A626="","",IF(COUNTIF(A626:A$2001,A626)=1,1,0))</f>
        <v/>
      </c>
      <c r="AM626" s="94">
        <f>IF(I626="","",TODAY()-I626)</f>
        <v/>
      </c>
      <c r="AN626" s="94">
        <f>IF(A626="","",IF(AND(E626&lt;&gt;"33 確認済",E626&lt;&gt;"36 送付中"),1,0))</f>
        <v/>
      </c>
      <c r="AO626" s="94">
        <f>IF(A626="","",IF(AG626&lt;&gt;"",1,0))</f>
        <v/>
      </c>
      <c r="AP626" s="220">
        <f>IF(P626&lt;&gt;"","・添待ち","")&amp;IF(Q626&lt;&gt;"","・住民票","")&amp;IF(R626&lt;&gt;"","・発信","")&amp;IF(S626&lt;&gt;"","・確認事項","")&amp;IF(T626&lt;&gt;"","・管","")&amp;IF(U626&lt;&gt;"","・SV","")&amp;IF(V626&lt;&gt;"","・データ送付待ち","")&amp;IF(W626&lt;&gt;"","・削除","")</f>
        <v/>
      </c>
    </row>
    <row r="627" ht="15" customHeight="1" s="87">
      <c r="AL627" s="94">
        <f>IF(A627="","",IF(COUNTIF(A627:A$2001,A627)=1,1,0))</f>
        <v/>
      </c>
      <c r="AM627" s="94">
        <f>IF(I627="","",TODAY()-I627)</f>
        <v/>
      </c>
      <c r="AN627" s="94">
        <f>IF(A627="","",IF(AND(E627&lt;&gt;"33 確認済",E627&lt;&gt;"36 送付中"),1,0))</f>
        <v/>
      </c>
      <c r="AO627" s="94">
        <f>IF(A627="","",IF(AG627&lt;&gt;"",1,0))</f>
        <v/>
      </c>
      <c r="AP627" s="220">
        <f>IF(P627&lt;&gt;"","・添待ち","")&amp;IF(Q627&lt;&gt;"","・住民票","")&amp;IF(R627&lt;&gt;"","・発信","")&amp;IF(S627&lt;&gt;"","・確認事項","")&amp;IF(T627&lt;&gt;"","・管","")&amp;IF(U627&lt;&gt;"","・SV","")&amp;IF(V627&lt;&gt;"","・データ送付待ち","")&amp;IF(W627&lt;&gt;"","・削除","")</f>
        <v/>
      </c>
    </row>
    <row r="628" ht="15" customHeight="1" s="87">
      <c r="AL628" s="94">
        <f>IF(A628="","",IF(COUNTIF(A628:A$2001,A628)=1,1,0))</f>
        <v/>
      </c>
      <c r="AM628" s="94">
        <f>IF(I628="","",TODAY()-I628)</f>
        <v/>
      </c>
      <c r="AN628" s="94">
        <f>IF(A628="","",IF(AND(E628&lt;&gt;"33 確認済",E628&lt;&gt;"36 送付中"),1,0))</f>
        <v/>
      </c>
      <c r="AO628" s="94">
        <f>IF(A628="","",IF(AG628&lt;&gt;"",1,0))</f>
        <v/>
      </c>
      <c r="AP628" s="220">
        <f>IF(P628&lt;&gt;"","・添待ち","")&amp;IF(Q628&lt;&gt;"","・住民票","")&amp;IF(R628&lt;&gt;"","・発信","")&amp;IF(S628&lt;&gt;"","・確認事項","")&amp;IF(T628&lt;&gt;"","・管","")&amp;IF(U628&lt;&gt;"","・SV","")&amp;IF(V628&lt;&gt;"","・データ送付待ち","")&amp;IF(W628&lt;&gt;"","・削除","")</f>
        <v/>
      </c>
    </row>
    <row r="629" ht="15" customHeight="1" s="87">
      <c r="AL629" s="94">
        <f>IF(A629="","",IF(COUNTIF(A629:A$2001,A629)=1,1,0))</f>
        <v/>
      </c>
      <c r="AM629" s="94">
        <f>IF(I629="","",TODAY()-I629)</f>
        <v/>
      </c>
      <c r="AN629" s="94">
        <f>IF(A629="","",IF(AND(E629&lt;&gt;"33 確認済",E629&lt;&gt;"36 送付中"),1,0))</f>
        <v/>
      </c>
      <c r="AO629" s="94">
        <f>IF(A629="","",IF(AG629&lt;&gt;"",1,0))</f>
        <v/>
      </c>
      <c r="AP629" s="220">
        <f>IF(P629&lt;&gt;"","・添待ち","")&amp;IF(Q629&lt;&gt;"","・住民票","")&amp;IF(R629&lt;&gt;"","・発信","")&amp;IF(S629&lt;&gt;"","・確認事項","")&amp;IF(T629&lt;&gt;"","・管","")&amp;IF(U629&lt;&gt;"","・SV","")&amp;IF(V629&lt;&gt;"","・データ送付待ち","")&amp;IF(W629&lt;&gt;"","・削除","")</f>
        <v/>
      </c>
    </row>
    <row r="630" ht="15" customHeight="1" s="87">
      <c r="AL630" s="94">
        <f>IF(A630="","",IF(COUNTIF(A630:A$2001,A630)=1,1,0))</f>
        <v/>
      </c>
      <c r="AM630" s="94">
        <f>IF(I630="","",TODAY()-I630)</f>
        <v/>
      </c>
      <c r="AN630" s="94">
        <f>IF(A630="","",IF(AND(E630&lt;&gt;"33 確認済",E630&lt;&gt;"36 送付中"),1,0))</f>
        <v/>
      </c>
      <c r="AO630" s="94">
        <f>IF(A630="","",IF(AG630&lt;&gt;"",1,0))</f>
        <v/>
      </c>
      <c r="AP630" s="220">
        <f>IF(P630&lt;&gt;"","・添待ち","")&amp;IF(Q630&lt;&gt;"","・住民票","")&amp;IF(R630&lt;&gt;"","・発信","")&amp;IF(S630&lt;&gt;"","・確認事項","")&amp;IF(T630&lt;&gt;"","・管","")&amp;IF(U630&lt;&gt;"","・SV","")&amp;IF(V630&lt;&gt;"","・データ送付待ち","")&amp;IF(W630&lt;&gt;"","・削除","")</f>
        <v/>
      </c>
    </row>
    <row r="631" ht="15" customHeight="1" s="87">
      <c r="AL631" s="94">
        <f>IF(A631="","",IF(COUNTIF(A631:A$2001,A631)=1,1,0))</f>
        <v/>
      </c>
      <c r="AM631" s="94">
        <f>IF(I631="","",TODAY()-I631)</f>
        <v/>
      </c>
      <c r="AN631" s="94">
        <f>IF(A631="","",IF(AND(E631&lt;&gt;"33 確認済",E631&lt;&gt;"36 送付中"),1,0))</f>
        <v/>
      </c>
      <c r="AO631" s="94">
        <f>IF(A631="","",IF(AG631&lt;&gt;"",1,0))</f>
        <v/>
      </c>
      <c r="AP631" s="220">
        <f>IF(P631&lt;&gt;"","・添待ち","")&amp;IF(Q631&lt;&gt;"","・住民票","")&amp;IF(R631&lt;&gt;"","・発信","")&amp;IF(S631&lt;&gt;"","・確認事項","")&amp;IF(T631&lt;&gt;"","・管","")&amp;IF(U631&lt;&gt;"","・SV","")&amp;IF(V631&lt;&gt;"","・データ送付待ち","")&amp;IF(W631&lt;&gt;"","・削除","")</f>
        <v/>
      </c>
    </row>
    <row r="632" ht="15" customHeight="1" s="87">
      <c r="AL632" s="94">
        <f>IF(A632="","",IF(COUNTIF(A632:A$2001,A632)=1,1,0))</f>
        <v/>
      </c>
      <c r="AM632" s="94">
        <f>IF(I632="","",TODAY()-I632)</f>
        <v/>
      </c>
      <c r="AN632" s="94">
        <f>IF(A632="","",IF(AND(E632&lt;&gt;"33 確認済",E632&lt;&gt;"36 送付中"),1,0))</f>
        <v/>
      </c>
      <c r="AO632" s="94">
        <f>IF(A632="","",IF(AG632&lt;&gt;"",1,0))</f>
        <v/>
      </c>
      <c r="AP632" s="220">
        <f>IF(P632&lt;&gt;"","・添待ち","")&amp;IF(Q632&lt;&gt;"","・住民票","")&amp;IF(R632&lt;&gt;"","・発信","")&amp;IF(S632&lt;&gt;"","・確認事項","")&amp;IF(T632&lt;&gt;"","・管","")&amp;IF(U632&lt;&gt;"","・SV","")&amp;IF(V632&lt;&gt;"","・データ送付待ち","")&amp;IF(W632&lt;&gt;"","・削除","")</f>
        <v/>
      </c>
    </row>
    <row r="633" ht="15" customHeight="1" s="87">
      <c r="AL633" s="94">
        <f>IF(A633="","",IF(COUNTIF(A633:A$2001,A633)=1,1,0))</f>
        <v/>
      </c>
      <c r="AM633" s="94">
        <f>IF(I633="","",TODAY()-I633)</f>
        <v/>
      </c>
      <c r="AN633" s="94">
        <f>IF(A633="","",IF(AND(E633&lt;&gt;"33 確認済",E633&lt;&gt;"36 送付中"),1,0))</f>
        <v/>
      </c>
      <c r="AO633" s="94">
        <f>IF(A633="","",IF(AG633&lt;&gt;"",1,0))</f>
        <v/>
      </c>
      <c r="AP633" s="220">
        <f>IF(P633&lt;&gt;"","・添待ち","")&amp;IF(Q633&lt;&gt;"","・住民票","")&amp;IF(R633&lt;&gt;"","・発信","")&amp;IF(S633&lt;&gt;"","・確認事項","")&amp;IF(T633&lt;&gt;"","・管","")&amp;IF(U633&lt;&gt;"","・SV","")&amp;IF(V633&lt;&gt;"","・データ送付待ち","")&amp;IF(W633&lt;&gt;"","・削除","")</f>
        <v/>
      </c>
    </row>
    <row r="634" ht="15" customHeight="1" s="87">
      <c r="AL634" s="94">
        <f>IF(A634="","",IF(COUNTIF(A634:A$2001,A634)=1,1,0))</f>
        <v/>
      </c>
      <c r="AM634" s="94">
        <f>IF(I634="","",TODAY()-I634)</f>
        <v/>
      </c>
      <c r="AN634" s="94">
        <f>IF(A634="","",IF(AND(E634&lt;&gt;"33 確認済",E634&lt;&gt;"36 送付中"),1,0))</f>
        <v/>
      </c>
      <c r="AO634" s="94">
        <f>IF(A634="","",IF(AG634&lt;&gt;"",1,0))</f>
        <v/>
      </c>
      <c r="AP634" s="220">
        <f>IF(P634&lt;&gt;"","・添待ち","")&amp;IF(Q634&lt;&gt;"","・住民票","")&amp;IF(R634&lt;&gt;"","・発信","")&amp;IF(S634&lt;&gt;"","・確認事項","")&amp;IF(T634&lt;&gt;"","・管","")&amp;IF(U634&lt;&gt;"","・SV","")&amp;IF(V634&lt;&gt;"","・データ送付待ち","")&amp;IF(W634&lt;&gt;"","・削除","")</f>
        <v/>
      </c>
    </row>
    <row r="635" ht="15" customHeight="1" s="87">
      <c r="AL635" s="94">
        <f>IF(A635="","",IF(COUNTIF(A635:A$2001,A635)=1,1,0))</f>
        <v/>
      </c>
      <c r="AM635" s="94">
        <f>IF(I635="","",TODAY()-I635)</f>
        <v/>
      </c>
      <c r="AN635" s="94">
        <f>IF(A635="","",IF(AND(E635&lt;&gt;"33 確認済",E635&lt;&gt;"36 送付中"),1,0))</f>
        <v/>
      </c>
      <c r="AO635" s="94">
        <f>IF(A635="","",IF(AG635&lt;&gt;"",1,0))</f>
        <v/>
      </c>
      <c r="AP635" s="220">
        <f>IF(P635&lt;&gt;"","・添待ち","")&amp;IF(Q635&lt;&gt;"","・住民票","")&amp;IF(R635&lt;&gt;"","・発信","")&amp;IF(S635&lt;&gt;"","・確認事項","")&amp;IF(T635&lt;&gt;"","・管","")&amp;IF(U635&lt;&gt;"","・SV","")&amp;IF(V635&lt;&gt;"","・データ送付待ち","")&amp;IF(W635&lt;&gt;"","・削除","")</f>
        <v/>
      </c>
    </row>
    <row r="636" ht="15" customHeight="1" s="87">
      <c r="AL636" s="94">
        <f>IF(A636="","",IF(COUNTIF(A636:A$2001,A636)=1,1,0))</f>
        <v/>
      </c>
      <c r="AM636" s="94">
        <f>IF(I636="","",TODAY()-I636)</f>
        <v/>
      </c>
      <c r="AN636" s="94">
        <f>IF(A636="","",IF(AND(E636&lt;&gt;"33 確認済",E636&lt;&gt;"36 送付中"),1,0))</f>
        <v/>
      </c>
      <c r="AO636" s="94">
        <f>IF(A636="","",IF(AG636&lt;&gt;"",1,0))</f>
        <v/>
      </c>
      <c r="AP636" s="220">
        <f>IF(P636&lt;&gt;"","・添待ち","")&amp;IF(Q636&lt;&gt;"","・住民票","")&amp;IF(R636&lt;&gt;"","・発信","")&amp;IF(S636&lt;&gt;"","・確認事項","")&amp;IF(T636&lt;&gt;"","・管","")&amp;IF(U636&lt;&gt;"","・SV","")&amp;IF(V636&lt;&gt;"","・データ送付待ち","")&amp;IF(W636&lt;&gt;"","・削除","")</f>
        <v/>
      </c>
    </row>
    <row r="637" ht="15" customHeight="1" s="87">
      <c r="AL637" s="94">
        <f>IF(A637="","",IF(COUNTIF(A637:A$2001,A637)=1,1,0))</f>
        <v/>
      </c>
      <c r="AM637" s="94">
        <f>IF(I637="","",TODAY()-I637)</f>
        <v/>
      </c>
      <c r="AN637" s="94">
        <f>IF(A637="","",IF(AND(E637&lt;&gt;"33 確認済",E637&lt;&gt;"36 送付中"),1,0))</f>
        <v/>
      </c>
      <c r="AO637" s="94">
        <f>IF(A637="","",IF(AG637&lt;&gt;"",1,0))</f>
        <v/>
      </c>
      <c r="AP637" s="220">
        <f>IF(P637&lt;&gt;"","・添待ち","")&amp;IF(Q637&lt;&gt;"","・住民票","")&amp;IF(R637&lt;&gt;"","・発信","")&amp;IF(S637&lt;&gt;"","・確認事項","")&amp;IF(T637&lt;&gt;"","・管","")&amp;IF(U637&lt;&gt;"","・SV","")&amp;IF(V637&lt;&gt;"","・データ送付待ち","")&amp;IF(W637&lt;&gt;"","・削除","")</f>
        <v/>
      </c>
    </row>
    <row r="638" ht="15" customHeight="1" s="87">
      <c r="AL638" s="94">
        <f>IF(A638="","",IF(COUNTIF(A638:A$2001,A638)=1,1,0))</f>
        <v/>
      </c>
      <c r="AM638" s="94">
        <f>IF(I638="","",TODAY()-I638)</f>
        <v/>
      </c>
      <c r="AN638" s="94">
        <f>IF(A638="","",IF(AND(E638&lt;&gt;"33 確認済",E638&lt;&gt;"36 送付中"),1,0))</f>
        <v/>
      </c>
      <c r="AO638" s="94">
        <f>IF(A638="","",IF(AG638&lt;&gt;"",1,0))</f>
        <v/>
      </c>
      <c r="AP638" s="220">
        <f>IF(P638&lt;&gt;"","・添待ち","")&amp;IF(Q638&lt;&gt;"","・住民票","")&amp;IF(R638&lt;&gt;"","・発信","")&amp;IF(S638&lt;&gt;"","・確認事項","")&amp;IF(T638&lt;&gt;"","・管","")&amp;IF(U638&lt;&gt;"","・SV","")&amp;IF(V638&lt;&gt;"","・データ送付待ち","")&amp;IF(W638&lt;&gt;"","・削除","")</f>
        <v/>
      </c>
    </row>
    <row r="639" ht="15" customHeight="1" s="87">
      <c r="AL639" s="94">
        <f>IF(A639="","",IF(COUNTIF(A639:A$2001,A639)=1,1,0))</f>
        <v/>
      </c>
      <c r="AM639" s="94">
        <f>IF(I639="","",TODAY()-I639)</f>
        <v/>
      </c>
      <c r="AN639" s="94">
        <f>IF(A639="","",IF(AND(E639&lt;&gt;"33 確認済",E639&lt;&gt;"36 送付中"),1,0))</f>
        <v/>
      </c>
      <c r="AO639" s="94">
        <f>IF(A639="","",IF(AG639&lt;&gt;"",1,0))</f>
        <v/>
      </c>
      <c r="AP639" s="220">
        <f>IF(P639&lt;&gt;"","・添待ち","")&amp;IF(Q639&lt;&gt;"","・住民票","")&amp;IF(R639&lt;&gt;"","・発信","")&amp;IF(S639&lt;&gt;"","・確認事項","")&amp;IF(T639&lt;&gt;"","・管","")&amp;IF(U639&lt;&gt;"","・SV","")&amp;IF(V639&lt;&gt;"","・データ送付待ち","")&amp;IF(W639&lt;&gt;"","・削除","")</f>
        <v/>
      </c>
    </row>
    <row r="640" ht="15" customHeight="1" s="87">
      <c r="AL640" s="94">
        <f>IF(A640="","",IF(COUNTIF(A640:A$2001,A640)=1,1,0))</f>
        <v/>
      </c>
      <c r="AM640" s="94">
        <f>IF(I640="","",TODAY()-I640)</f>
        <v/>
      </c>
      <c r="AN640" s="94">
        <f>IF(A640="","",IF(AND(E640&lt;&gt;"33 確認済",E640&lt;&gt;"36 送付中"),1,0))</f>
        <v/>
      </c>
      <c r="AO640" s="94">
        <f>IF(A640="","",IF(AG640&lt;&gt;"",1,0))</f>
        <v/>
      </c>
      <c r="AP640" s="220">
        <f>IF(P640&lt;&gt;"","・添待ち","")&amp;IF(Q640&lt;&gt;"","・住民票","")&amp;IF(R640&lt;&gt;"","・発信","")&amp;IF(S640&lt;&gt;"","・確認事項","")&amp;IF(T640&lt;&gt;"","・管","")&amp;IF(U640&lt;&gt;"","・SV","")&amp;IF(V640&lt;&gt;"","・データ送付待ち","")&amp;IF(W640&lt;&gt;"","・削除","")</f>
        <v/>
      </c>
    </row>
    <row r="641" ht="15" customHeight="1" s="87">
      <c r="AL641" s="94">
        <f>IF(A641="","",IF(COUNTIF(A641:A$2001,A641)=1,1,0))</f>
        <v/>
      </c>
      <c r="AM641" s="94">
        <f>IF(I641="","",TODAY()-I641)</f>
        <v/>
      </c>
      <c r="AN641" s="94">
        <f>IF(A641="","",IF(AND(E641&lt;&gt;"33 確認済",E641&lt;&gt;"36 送付中"),1,0))</f>
        <v/>
      </c>
      <c r="AO641" s="94">
        <f>IF(A641="","",IF(AG641&lt;&gt;"",1,0))</f>
        <v/>
      </c>
      <c r="AP641" s="220">
        <f>IF(P641&lt;&gt;"","・添待ち","")&amp;IF(Q641&lt;&gt;"","・住民票","")&amp;IF(R641&lt;&gt;"","・発信","")&amp;IF(S641&lt;&gt;"","・確認事項","")&amp;IF(T641&lt;&gt;"","・管","")&amp;IF(U641&lt;&gt;"","・SV","")&amp;IF(V641&lt;&gt;"","・データ送付待ち","")&amp;IF(W641&lt;&gt;"","・削除","")</f>
        <v/>
      </c>
    </row>
    <row r="642" ht="15" customHeight="1" s="87">
      <c r="AL642" s="94">
        <f>IF(A642="","",IF(COUNTIF(A642:A$2001,A642)=1,1,0))</f>
        <v/>
      </c>
      <c r="AM642" s="94">
        <f>IF(I642="","",TODAY()-I642)</f>
        <v/>
      </c>
      <c r="AN642" s="94">
        <f>IF(A642="","",IF(AND(E642&lt;&gt;"33 確認済",E642&lt;&gt;"36 送付中"),1,0))</f>
        <v/>
      </c>
      <c r="AO642" s="94">
        <f>IF(A642="","",IF(AG642&lt;&gt;"",1,0))</f>
        <v/>
      </c>
      <c r="AP642" s="220">
        <f>IF(P642&lt;&gt;"","・添待ち","")&amp;IF(Q642&lt;&gt;"","・住民票","")&amp;IF(R642&lt;&gt;"","・発信","")&amp;IF(S642&lt;&gt;"","・確認事項","")&amp;IF(T642&lt;&gt;"","・管","")&amp;IF(U642&lt;&gt;"","・SV","")&amp;IF(V642&lt;&gt;"","・データ送付待ち","")&amp;IF(W642&lt;&gt;"","・削除","")</f>
        <v/>
      </c>
    </row>
    <row r="643" ht="15" customHeight="1" s="87">
      <c r="AL643" s="94">
        <f>IF(A643="","",IF(COUNTIF(A643:A$2001,A643)=1,1,0))</f>
        <v/>
      </c>
      <c r="AM643" s="94">
        <f>IF(I643="","",TODAY()-I643)</f>
        <v/>
      </c>
      <c r="AN643" s="94">
        <f>IF(A643="","",IF(AND(E643&lt;&gt;"33 確認済",E643&lt;&gt;"36 送付中"),1,0))</f>
        <v/>
      </c>
      <c r="AO643" s="94">
        <f>IF(A643="","",IF(AG643&lt;&gt;"",1,0))</f>
        <v/>
      </c>
      <c r="AP643" s="220">
        <f>IF(P643&lt;&gt;"","・添待ち","")&amp;IF(Q643&lt;&gt;"","・住民票","")&amp;IF(R643&lt;&gt;"","・発信","")&amp;IF(S643&lt;&gt;"","・確認事項","")&amp;IF(T643&lt;&gt;"","・管","")&amp;IF(U643&lt;&gt;"","・SV","")&amp;IF(V643&lt;&gt;"","・データ送付待ち","")&amp;IF(W643&lt;&gt;"","・削除","")</f>
        <v/>
      </c>
    </row>
    <row r="644" ht="15" customHeight="1" s="87">
      <c r="AL644" s="94">
        <f>IF(A644="","",IF(COUNTIF(A644:A$2001,A644)=1,1,0))</f>
        <v/>
      </c>
      <c r="AM644" s="94">
        <f>IF(I644="","",TODAY()-I644)</f>
        <v/>
      </c>
      <c r="AN644" s="94">
        <f>IF(A644="","",IF(AND(E644&lt;&gt;"33 確認済",E644&lt;&gt;"36 送付中"),1,0))</f>
        <v/>
      </c>
      <c r="AO644" s="94">
        <f>IF(A644="","",IF(AG644&lt;&gt;"",1,0))</f>
        <v/>
      </c>
      <c r="AP644" s="220">
        <f>IF(P644&lt;&gt;"","・添待ち","")&amp;IF(Q644&lt;&gt;"","・住民票","")&amp;IF(R644&lt;&gt;"","・発信","")&amp;IF(S644&lt;&gt;"","・確認事項","")&amp;IF(T644&lt;&gt;"","・管","")&amp;IF(U644&lt;&gt;"","・SV","")&amp;IF(V644&lt;&gt;"","・データ送付待ち","")&amp;IF(W644&lt;&gt;"","・削除","")</f>
        <v/>
      </c>
    </row>
    <row r="645" ht="15" customHeight="1" s="87">
      <c r="AL645" s="94">
        <f>IF(A645="","",IF(COUNTIF(A645:A$2001,A645)=1,1,0))</f>
        <v/>
      </c>
      <c r="AM645" s="94">
        <f>IF(I645="","",TODAY()-I645)</f>
        <v/>
      </c>
      <c r="AN645" s="94">
        <f>IF(A645="","",IF(AND(E645&lt;&gt;"33 確認済",E645&lt;&gt;"36 送付中"),1,0))</f>
        <v/>
      </c>
      <c r="AO645" s="94">
        <f>IF(A645="","",IF(AG645&lt;&gt;"",1,0))</f>
        <v/>
      </c>
      <c r="AP645" s="220">
        <f>IF(P645&lt;&gt;"","・添待ち","")&amp;IF(Q645&lt;&gt;"","・住民票","")&amp;IF(R645&lt;&gt;"","・発信","")&amp;IF(S645&lt;&gt;"","・確認事項","")&amp;IF(T645&lt;&gt;"","・管","")&amp;IF(U645&lt;&gt;"","・SV","")&amp;IF(V645&lt;&gt;"","・データ送付待ち","")&amp;IF(W645&lt;&gt;"","・削除","")</f>
        <v/>
      </c>
    </row>
    <row r="646" ht="15" customHeight="1" s="87">
      <c r="AL646" s="94">
        <f>IF(A646="","",IF(COUNTIF(A646:A$2001,A646)=1,1,0))</f>
        <v/>
      </c>
      <c r="AM646" s="94">
        <f>IF(I646="","",TODAY()-I646)</f>
        <v/>
      </c>
      <c r="AN646" s="94">
        <f>IF(A646="","",IF(AND(E646&lt;&gt;"33 確認済",E646&lt;&gt;"36 送付中"),1,0))</f>
        <v/>
      </c>
      <c r="AO646" s="94">
        <f>IF(A646="","",IF(AG646&lt;&gt;"",1,0))</f>
        <v/>
      </c>
      <c r="AP646" s="220">
        <f>IF(P646&lt;&gt;"","・添待ち","")&amp;IF(Q646&lt;&gt;"","・住民票","")&amp;IF(R646&lt;&gt;"","・発信","")&amp;IF(S646&lt;&gt;"","・確認事項","")&amp;IF(T646&lt;&gt;"","・管","")&amp;IF(U646&lt;&gt;"","・SV","")&amp;IF(V646&lt;&gt;"","・データ送付待ち","")&amp;IF(W646&lt;&gt;"","・削除","")</f>
        <v/>
      </c>
    </row>
    <row r="647" ht="15" customHeight="1" s="87">
      <c r="AL647" s="94">
        <f>IF(A647="","",IF(COUNTIF(A647:A$2001,A647)=1,1,0))</f>
        <v/>
      </c>
      <c r="AM647" s="94">
        <f>IF(I647="","",TODAY()-I647)</f>
        <v/>
      </c>
      <c r="AN647" s="94">
        <f>IF(A647="","",IF(AND(E647&lt;&gt;"33 確認済",E647&lt;&gt;"36 送付中"),1,0))</f>
        <v/>
      </c>
      <c r="AO647" s="94">
        <f>IF(A647="","",IF(AG647&lt;&gt;"",1,0))</f>
        <v/>
      </c>
      <c r="AP647" s="220">
        <f>IF(P647&lt;&gt;"","・添待ち","")&amp;IF(Q647&lt;&gt;"","・住民票","")&amp;IF(R647&lt;&gt;"","・発信","")&amp;IF(S647&lt;&gt;"","・確認事項","")&amp;IF(T647&lt;&gt;"","・管","")&amp;IF(U647&lt;&gt;"","・SV","")&amp;IF(V647&lt;&gt;"","・データ送付待ち","")&amp;IF(W647&lt;&gt;"","・削除","")</f>
        <v/>
      </c>
    </row>
    <row r="648" ht="15" customHeight="1" s="87">
      <c r="AL648" s="94">
        <f>IF(A648="","",IF(COUNTIF(A648:A$2001,A648)=1,1,0))</f>
        <v/>
      </c>
      <c r="AM648" s="94">
        <f>IF(I648="","",TODAY()-I648)</f>
        <v/>
      </c>
      <c r="AN648" s="94">
        <f>IF(A648="","",IF(AND(E648&lt;&gt;"33 確認済",E648&lt;&gt;"36 送付中"),1,0))</f>
        <v/>
      </c>
      <c r="AO648" s="94">
        <f>IF(A648="","",IF(AG648&lt;&gt;"",1,0))</f>
        <v/>
      </c>
      <c r="AP648" s="220">
        <f>IF(P648&lt;&gt;"","・添待ち","")&amp;IF(Q648&lt;&gt;"","・住民票","")&amp;IF(R648&lt;&gt;"","・発信","")&amp;IF(S648&lt;&gt;"","・確認事項","")&amp;IF(T648&lt;&gt;"","・管","")&amp;IF(U648&lt;&gt;"","・SV","")&amp;IF(V648&lt;&gt;"","・データ送付待ち","")&amp;IF(W648&lt;&gt;"","・削除","")</f>
        <v/>
      </c>
    </row>
    <row r="649" ht="15" customHeight="1" s="87">
      <c r="AL649" s="94">
        <f>IF(A649="","",IF(COUNTIF(A649:A$2001,A649)=1,1,0))</f>
        <v/>
      </c>
      <c r="AM649" s="94">
        <f>IF(I649="","",TODAY()-I649)</f>
        <v/>
      </c>
      <c r="AN649" s="94">
        <f>IF(A649="","",IF(AND(E649&lt;&gt;"33 確認済",E649&lt;&gt;"36 送付中"),1,0))</f>
        <v/>
      </c>
      <c r="AO649" s="94">
        <f>IF(A649="","",IF(AG649&lt;&gt;"",1,0))</f>
        <v/>
      </c>
      <c r="AP649" s="220">
        <f>IF(P649&lt;&gt;"","・添待ち","")&amp;IF(Q649&lt;&gt;"","・住民票","")&amp;IF(R649&lt;&gt;"","・発信","")&amp;IF(S649&lt;&gt;"","・確認事項","")&amp;IF(T649&lt;&gt;"","・管","")&amp;IF(U649&lt;&gt;"","・SV","")&amp;IF(V649&lt;&gt;"","・データ送付待ち","")&amp;IF(W649&lt;&gt;"","・削除","")</f>
        <v/>
      </c>
    </row>
    <row r="650" ht="15" customHeight="1" s="87">
      <c r="AL650" s="94">
        <f>IF(A650="","",IF(COUNTIF(A650:A$2001,A650)=1,1,0))</f>
        <v/>
      </c>
      <c r="AM650" s="94">
        <f>IF(I650="","",TODAY()-I650)</f>
        <v/>
      </c>
      <c r="AN650" s="94">
        <f>IF(A650="","",IF(AND(E650&lt;&gt;"33 確認済",E650&lt;&gt;"36 送付中"),1,0))</f>
        <v/>
      </c>
      <c r="AO650" s="94">
        <f>IF(A650="","",IF(AG650&lt;&gt;"",1,0))</f>
        <v/>
      </c>
      <c r="AP650" s="220">
        <f>IF(P650&lt;&gt;"","・添待ち","")&amp;IF(Q650&lt;&gt;"","・住民票","")&amp;IF(R650&lt;&gt;"","・発信","")&amp;IF(S650&lt;&gt;"","・確認事項","")&amp;IF(T650&lt;&gt;"","・管","")&amp;IF(U650&lt;&gt;"","・SV","")&amp;IF(V650&lt;&gt;"","・データ送付待ち","")&amp;IF(W650&lt;&gt;"","・削除","")</f>
        <v/>
      </c>
    </row>
    <row r="651" ht="15" customHeight="1" s="87">
      <c r="AL651" s="94">
        <f>IF(A651="","",IF(COUNTIF(A651:A$2001,A651)=1,1,0))</f>
        <v/>
      </c>
      <c r="AM651" s="94">
        <f>IF(I651="","",TODAY()-I651)</f>
        <v/>
      </c>
      <c r="AN651" s="94">
        <f>IF(A651="","",IF(AND(E651&lt;&gt;"33 確認済",E651&lt;&gt;"36 送付中"),1,0))</f>
        <v/>
      </c>
      <c r="AO651" s="94">
        <f>IF(A651="","",IF(AG651&lt;&gt;"",1,0))</f>
        <v/>
      </c>
      <c r="AP651" s="220">
        <f>IF(P651&lt;&gt;"","・添待ち","")&amp;IF(Q651&lt;&gt;"","・住民票","")&amp;IF(R651&lt;&gt;"","・発信","")&amp;IF(S651&lt;&gt;"","・確認事項","")&amp;IF(T651&lt;&gt;"","・管","")&amp;IF(U651&lt;&gt;"","・SV","")&amp;IF(V651&lt;&gt;"","・データ送付待ち","")&amp;IF(W651&lt;&gt;"","・削除","")</f>
        <v/>
      </c>
    </row>
    <row r="652" ht="15" customHeight="1" s="87">
      <c r="AL652" s="94">
        <f>IF(A652="","",IF(COUNTIF(A652:A$2001,A652)=1,1,0))</f>
        <v/>
      </c>
      <c r="AM652" s="94">
        <f>IF(I652="","",TODAY()-I652)</f>
        <v/>
      </c>
      <c r="AN652" s="94">
        <f>IF(A652="","",IF(AND(E652&lt;&gt;"33 確認済",E652&lt;&gt;"36 送付中"),1,0))</f>
        <v/>
      </c>
      <c r="AO652" s="94">
        <f>IF(A652="","",IF(AG652&lt;&gt;"",1,0))</f>
        <v/>
      </c>
      <c r="AP652" s="220">
        <f>IF(P652&lt;&gt;"","・添待ち","")&amp;IF(Q652&lt;&gt;"","・住民票","")&amp;IF(R652&lt;&gt;"","・発信","")&amp;IF(S652&lt;&gt;"","・確認事項","")&amp;IF(T652&lt;&gt;"","・管","")&amp;IF(U652&lt;&gt;"","・SV","")&amp;IF(V652&lt;&gt;"","・データ送付待ち","")&amp;IF(W652&lt;&gt;"","・削除","")</f>
        <v/>
      </c>
    </row>
    <row r="653" ht="15" customHeight="1" s="87">
      <c r="AL653" s="94">
        <f>IF(A653="","",IF(COUNTIF(A653:A$2001,A653)=1,1,0))</f>
        <v/>
      </c>
      <c r="AM653" s="94">
        <f>IF(I653="","",TODAY()-I653)</f>
        <v/>
      </c>
      <c r="AN653" s="94">
        <f>IF(A653="","",IF(AND(E653&lt;&gt;"33 確認済",E653&lt;&gt;"36 送付中"),1,0))</f>
        <v/>
      </c>
      <c r="AO653" s="94">
        <f>IF(A653="","",IF(AG653&lt;&gt;"",1,0))</f>
        <v/>
      </c>
      <c r="AP653" s="220">
        <f>IF(P653&lt;&gt;"","・添待ち","")&amp;IF(Q653&lt;&gt;"","・住民票","")&amp;IF(R653&lt;&gt;"","・発信","")&amp;IF(S653&lt;&gt;"","・確認事項","")&amp;IF(T653&lt;&gt;"","・管","")&amp;IF(U653&lt;&gt;"","・SV","")&amp;IF(V653&lt;&gt;"","・データ送付待ち","")&amp;IF(W653&lt;&gt;"","・削除","")</f>
        <v/>
      </c>
    </row>
    <row r="654" ht="15" customHeight="1" s="87">
      <c r="AL654" s="94">
        <f>IF(A654="","",IF(COUNTIF(A654:A$2001,A654)=1,1,0))</f>
        <v/>
      </c>
      <c r="AM654" s="94">
        <f>IF(I654="","",TODAY()-I654)</f>
        <v/>
      </c>
      <c r="AN654" s="94">
        <f>IF(A654="","",IF(AND(E654&lt;&gt;"33 確認済",E654&lt;&gt;"36 送付中"),1,0))</f>
        <v/>
      </c>
      <c r="AO654" s="94">
        <f>IF(A654="","",IF(AG654&lt;&gt;"",1,0))</f>
        <v/>
      </c>
      <c r="AP654" s="220">
        <f>IF(P654&lt;&gt;"","・添待ち","")&amp;IF(Q654&lt;&gt;"","・住民票","")&amp;IF(R654&lt;&gt;"","・発信","")&amp;IF(S654&lt;&gt;"","・確認事項","")&amp;IF(T654&lt;&gt;"","・管","")&amp;IF(U654&lt;&gt;"","・SV","")&amp;IF(V654&lt;&gt;"","・データ送付待ち","")&amp;IF(W654&lt;&gt;"","・削除","")</f>
        <v/>
      </c>
    </row>
    <row r="655" ht="15" customHeight="1" s="87">
      <c r="AL655" s="94">
        <f>IF(A655="","",IF(COUNTIF(A655:A$2001,A655)=1,1,0))</f>
        <v/>
      </c>
      <c r="AM655" s="94">
        <f>IF(I655="","",TODAY()-I655)</f>
        <v/>
      </c>
      <c r="AN655" s="94">
        <f>IF(A655="","",IF(AND(E655&lt;&gt;"33 確認済",E655&lt;&gt;"36 送付中"),1,0))</f>
        <v/>
      </c>
      <c r="AO655" s="94">
        <f>IF(A655="","",IF(AG655&lt;&gt;"",1,0))</f>
        <v/>
      </c>
      <c r="AP655" s="220">
        <f>IF(P655&lt;&gt;"","・添待ち","")&amp;IF(Q655&lt;&gt;"","・住民票","")&amp;IF(R655&lt;&gt;"","・発信","")&amp;IF(S655&lt;&gt;"","・確認事項","")&amp;IF(T655&lt;&gt;"","・管","")&amp;IF(U655&lt;&gt;"","・SV","")&amp;IF(V655&lt;&gt;"","・データ送付待ち","")&amp;IF(W655&lt;&gt;"","・削除","")</f>
        <v/>
      </c>
    </row>
    <row r="656" ht="15" customHeight="1" s="87">
      <c r="AL656" s="94">
        <f>IF(A656="","",IF(COUNTIF(A656:A$2001,A656)=1,1,0))</f>
        <v/>
      </c>
      <c r="AM656" s="94">
        <f>IF(I656="","",TODAY()-I656)</f>
        <v/>
      </c>
      <c r="AN656" s="94">
        <f>IF(A656="","",IF(AND(E656&lt;&gt;"33 確認済",E656&lt;&gt;"36 送付中"),1,0))</f>
        <v/>
      </c>
      <c r="AO656" s="94">
        <f>IF(A656="","",IF(AG656&lt;&gt;"",1,0))</f>
        <v/>
      </c>
      <c r="AP656" s="220">
        <f>IF(P656&lt;&gt;"","・添待ち","")&amp;IF(Q656&lt;&gt;"","・住民票","")&amp;IF(R656&lt;&gt;"","・発信","")&amp;IF(S656&lt;&gt;"","・確認事項","")&amp;IF(T656&lt;&gt;"","・管","")&amp;IF(U656&lt;&gt;"","・SV","")&amp;IF(V656&lt;&gt;"","・データ送付待ち","")&amp;IF(W656&lt;&gt;"","・削除","")</f>
        <v/>
      </c>
    </row>
    <row r="657" ht="15" customHeight="1" s="87">
      <c r="AL657" s="94">
        <f>IF(A657="","",IF(COUNTIF(A657:A$2001,A657)=1,1,0))</f>
        <v/>
      </c>
      <c r="AM657" s="94">
        <f>IF(I657="","",TODAY()-I657)</f>
        <v/>
      </c>
      <c r="AN657" s="94">
        <f>IF(A657="","",IF(AND(E657&lt;&gt;"33 確認済",E657&lt;&gt;"36 送付中"),1,0))</f>
        <v/>
      </c>
      <c r="AO657" s="94">
        <f>IF(A657="","",IF(AG657&lt;&gt;"",1,0))</f>
        <v/>
      </c>
      <c r="AP657" s="220">
        <f>IF(P657&lt;&gt;"","・添待ち","")&amp;IF(Q657&lt;&gt;"","・住民票","")&amp;IF(R657&lt;&gt;"","・発信","")&amp;IF(S657&lt;&gt;"","・確認事項","")&amp;IF(T657&lt;&gt;"","・管","")&amp;IF(U657&lt;&gt;"","・SV","")&amp;IF(V657&lt;&gt;"","・データ送付待ち","")&amp;IF(W657&lt;&gt;"","・削除","")</f>
        <v/>
      </c>
    </row>
    <row r="658" ht="15" customHeight="1" s="87">
      <c r="AL658" s="94">
        <f>IF(A658="","",IF(COUNTIF(A658:A$2001,A658)=1,1,0))</f>
        <v/>
      </c>
      <c r="AM658" s="94">
        <f>IF(I658="","",TODAY()-I658)</f>
        <v/>
      </c>
      <c r="AN658" s="94">
        <f>IF(A658="","",IF(AND(E658&lt;&gt;"33 確認済",E658&lt;&gt;"36 送付中"),1,0))</f>
        <v/>
      </c>
      <c r="AO658" s="94">
        <f>IF(A658="","",IF(AG658&lt;&gt;"",1,0))</f>
        <v/>
      </c>
      <c r="AP658" s="220">
        <f>IF(P658&lt;&gt;"","・添待ち","")&amp;IF(Q658&lt;&gt;"","・住民票","")&amp;IF(R658&lt;&gt;"","・発信","")&amp;IF(S658&lt;&gt;"","・確認事項","")&amp;IF(T658&lt;&gt;"","・管","")&amp;IF(U658&lt;&gt;"","・SV","")&amp;IF(V658&lt;&gt;"","・データ送付待ち","")&amp;IF(W658&lt;&gt;"","・削除","")</f>
        <v/>
      </c>
    </row>
    <row r="659" ht="15" customHeight="1" s="87">
      <c r="AL659" s="94">
        <f>IF(A659="","",IF(COUNTIF(A659:A$2001,A659)=1,1,0))</f>
        <v/>
      </c>
      <c r="AM659" s="94">
        <f>IF(I659="","",TODAY()-I659)</f>
        <v/>
      </c>
      <c r="AN659" s="94">
        <f>IF(A659="","",IF(AND(E659&lt;&gt;"33 確認済",E659&lt;&gt;"36 送付中"),1,0))</f>
        <v/>
      </c>
      <c r="AO659" s="94">
        <f>IF(A659="","",IF(AG659&lt;&gt;"",1,0))</f>
        <v/>
      </c>
      <c r="AP659" s="220">
        <f>IF(P659&lt;&gt;"","・添待ち","")&amp;IF(Q659&lt;&gt;"","・住民票","")&amp;IF(R659&lt;&gt;"","・発信","")&amp;IF(S659&lt;&gt;"","・確認事項","")&amp;IF(T659&lt;&gt;"","・管","")&amp;IF(U659&lt;&gt;"","・SV","")&amp;IF(V659&lt;&gt;"","・データ送付待ち","")&amp;IF(W659&lt;&gt;"","・削除","")</f>
        <v/>
      </c>
    </row>
    <row r="660" ht="15" customHeight="1" s="87">
      <c r="AL660" s="94">
        <f>IF(A660="","",IF(COUNTIF(A660:A$2001,A660)=1,1,0))</f>
        <v/>
      </c>
      <c r="AM660" s="94">
        <f>IF(I660="","",TODAY()-I660)</f>
        <v/>
      </c>
      <c r="AN660" s="94">
        <f>IF(A660="","",IF(AND(E660&lt;&gt;"33 確認済",E660&lt;&gt;"36 送付中"),1,0))</f>
        <v/>
      </c>
      <c r="AO660" s="94">
        <f>IF(A660="","",IF(AG660&lt;&gt;"",1,0))</f>
        <v/>
      </c>
      <c r="AP660" s="220">
        <f>IF(P660&lt;&gt;"","・添待ち","")&amp;IF(Q660&lt;&gt;"","・住民票","")&amp;IF(R660&lt;&gt;"","・発信","")&amp;IF(S660&lt;&gt;"","・確認事項","")&amp;IF(T660&lt;&gt;"","・管","")&amp;IF(U660&lt;&gt;"","・SV","")&amp;IF(V660&lt;&gt;"","・データ送付待ち","")&amp;IF(W660&lt;&gt;"","・削除","")</f>
        <v/>
      </c>
    </row>
    <row r="661" ht="15" customHeight="1" s="87">
      <c r="AL661" s="94">
        <f>IF(A661="","",IF(COUNTIF(A661:A$2001,A661)=1,1,0))</f>
        <v/>
      </c>
      <c r="AM661" s="94">
        <f>IF(I661="","",TODAY()-I661)</f>
        <v/>
      </c>
      <c r="AN661" s="94">
        <f>IF(A661="","",IF(AND(E661&lt;&gt;"33 確認済",E661&lt;&gt;"36 送付中"),1,0))</f>
        <v/>
      </c>
      <c r="AO661" s="94">
        <f>IF(A661="","",IF(AG661&lt;&gt;"",1,0))</f>
        <v/>
      </c>
      <c r="AP661" s="220">
        <f>IF(P661&lt;&gt;"","・添待ち","")&amp;IF(Q661&lt;&gt;"","・住民票","")&amp;IF(R661&lt;&gt;"","・発信","")&amp;IF(S661&lt;&gt;"","・確認事項","")&amp;IF(T661&lt;&gt;"","・管","")&amp;IF(U661&lt;&gt;"","・SV","")&amp;IF(V661&lt;&gt;"","・データ送付待ち","")&amp;IF(W661&lt;&gt;"","・削除","")</f>
        <v/>
      </c>
    </row>
    <row r="662" ht="15" customHeight="1" s="87">
      <c r="AL662" s="94">
        <f>IF(A662="","",IF(COUNTIF(A662:A$2001,A662)=1,1,0))</f>
        <v/>
      </c>
      <c r="AM662" s="94">
        <f>IF(I662="","",TODAY()-I662)</f>
        <v/>
      </c>
      <c r="AN662" s="94">
        <f>IF(A662="","",IF(AND(E662&lt;&gt;"33 確認済",E662&lt;&gt;"36 送付中"),1,0))</f>
        <v/>
      </c>
      <c r="AO662" s="94">
        <f>IF(A662="","",IF(AG662&lt;&gt;"",1,0))</f>
        <v/>
      </c>
      <c r="AP662" s="220">
        <f>IF(P662&lt;&gt;"","・添待ち","")&amp;IF(Q662&lt;&gt;"","・住民票","")&amp;IF(R662&lt;&gt;"","・発信","")&amp;IF(S662&lt;&gt;"","・確認事項","")&amp;IF(T662&lt;&gt;"","・管","")&amp;IF(U662&lt;&gt;"","・SV","")&amp;IF(V662&lt;&gt;"","・データ送付待ち","")&amp;IF(W662&lt;&gt;"","・削除","")</f>
        <v/>
      </c>
    </row>
    <row r="663" ht="15" customHeight="1" s="87">
      <c r="AL663" s="94">
        <f>IF(A663="","",IF(COUNTIF(A663:A$2001,A663)=1,1,0))</f>
        <v/>
      </c>
      <c r="AM663" s="94">
        <f>IF(I663="","",TODAY()-I663)</f>
        <v/>
      </c>
      <c r="AN663" s="94">
        <f>IF(A663="","",IF(AND(E663&lt;&gt;"33 確認済",E663&lt;&gt;"36 送付中"),1,0))</f>
        <v/>
      </c>
      <c r="AO663" s="94">
        <f>IF(A663="","",IF(AG663&lt;&gt;"",1,0))</f>
        <v/>
      </c>
      <c r="AP663" s="220">
        <f>IF(P663&lt;&gt;"","・添待ち","")&amp;IF(Q663&lt;&gt;"","・住民票","")&amp;IF(R663&lt;&gt;"","・発信","")&amp;IF(S663&lt;&gt;"","・確認事項","")&amp;IF(T663&lt;&gt;"","・管","")&amp;IF(U663&lt;&gt;"","・SV","")&amp;IF(V663&lt;&gt;"","・データ送付待ち","")&amp;IF(W663&lt;&gt;"","・削除","")</f>
        <v/>
      </c>
    </row>
    <row r="664" ht="15" customHeight="1" s="87">
      <c r="AL664" s="94">
        <f>IF(A664="","",IF(COUNTIF(A664:A$2001,A664)=1,1,0))</f>
        <v/>
      </c>
      <c r="AM664" s="94">
        <f>IF(I664="","",TODAY()-I664)</f>
        <v/>
      </c>
      <c r="AN664" s="94">
        <f>IF(A664="","",IF(AND(E664&lt;&gt;"33 確認済",E664&lt;&gt;"36 送付中"),1,0))</f>
        <v/>
      </c>
      <c r="AO664" s="94">
        <f>IF(A664="","",IF(AG664&lt;&gt;"",1,0))</f>
        <v/>
      </c>
      <c r="AP664" s="220">
        <f>IF(P664&lt;&gt;"","・添待ち","")&amp;IF(Q664&lt;&gt;"","・住民票","")&amp;IF(R664&lt;&gt;"","・発信","")&amp;IF(S664&lt;&gt;"","・確認事項","")&amp;IF(T664&lt;&gt;"","・管","")&amp;IF(U664&lt;&gt;"","・SV","")&amp;IF(V664&lt;&gt;"","・データ送付待ち","")&amp;IF(W664&lt;&gt;"","・削除","")</f>
        <v/>
      </c>
    </row>
    <row r="665" ht="15" customHeight="1" s="87">
      <c r="AL665" s="94">
        <f>IF(A665="","",IF(COUNTIF(A665:A$2001,A665)=1,1,0))</f>
        <v/>
      </c>
      <c r="AM665" s="94">
        <f>IF(I665="","",TODAY()-I665)</f>
        <v/>
      </c>
      <c r="AN665" s="94">
        <f>IF(A665="","",IF(AND(E665&lt;&gt;"33 確認済",E665&lt;&gt;"36 送付中"),1,0))</f>
        <v/>
      </c>
      <c r="AO665" s="94">
        <f>IF(A665="","",IF(AG665&lt;&gt;"",1,0))</f>
        <v/>
      </c>
      <c r="AP665" s="220">
        <f>IF(P665&lt;&gt;"","・添待ち","")&amp;IF(Q665&lt;&gt;"","・住民票","")&amp;IF(R665&lt;&gt;"","・発信","")&amp;IF(S665&lt;&gt;"","・確認事項","")&amp;IF(T665&lt;&gt;"","・管","")&amp;IF(U665&lt;&gt;"","・SV","")&amp;IF(V665&lt;&gt;"","・データ送付待ち","")&amp;IF(W665&lt;&gt;"","・削除","")</f>
        <v/>
      </c>
    </row>
    <row r="666" ht="15" customHeight="1" s="87">
      <c r="AL666" s="94">
        <f>IF(A666="","",IF(COUNTIF(A666:A$2001,A666)=1,1,0))</f>
        <v/>
      </c>
      <c r="AM666" s="94">
        <f>IF(I666="","",TODAY()-I666)</f>
        <v/>
      </c>
      <c r="AN666" s="94">
        <f>IF(A666="","",IF(AND(E666&lt;&gt;"33 確認済",E666&lt;&gt;"36 送付中"),1,0))</f>
        <v/>
      </c>
      <c r="AO666" s="94">
        <f>IF(A666="","",IF(AG666&lt;&gt;"",1,0))</f>
        <v/>
      </c>
      <c r="AP666" s="220">
        <f>IF(P666&lt;&gt;"","・添待ち","")&amp;IF(Q666&lt;&gt;"","・住民票","")&amp;IF(R666&lt;&gt;"","・発信","")&amp;IF(S666&lt;&gt;"","・確認事項","")&amp;IF(T666&lt;&gt;"","・管","")&amp;IF(U666&lt;&gt;"","・SV","")&amp;IF(V666&lt;&gt;"","・データ送付待ち","")&amp;IF(W666&lt;&gt;"","・削除","")</f>
        <v/>
      </c>
    </row>
    <row r="667" ht="15" customHeight="1" s="87">
      <c r="AL667" s="94">
        <f>IF(A667="","",IF(COUNTIF(A667:A$2001,A667)=1,1,0))</f>
        <v/>
      </c>
      <c r="AM667" s="94">
        <f>IF(I667="","",TODAY()-I667)</f>
        <v/>
      </c>
      <c r="AN667" s="94">
        <f>IF(A667="","",IF(AND(E667&lt;&gt;"33 確認済",E667&lt;&gt;"36 送付中"),1,0))</f>
        <v/>
      </c>
      <c r="AO667" s="94">
        <f>IF(A667="","",IF(AG667&lt;&gt;"",1,0))</f>
        <v/>
      </c>
      <c r="AP667" s="220">
        <f>IF(P667&lt;&gt;"","・添待ち","")&amp;IF(Q667&lt;&gt;"","・住民票","")&amp;IF(R667&lt;&gt;"","・発信","")&amp;IF(S667&lt;&gt;"","・確認事項","")&amp;IF(T667&lt;&gt;"","・管","")&amp;IF(U667&lt;&gt;"","・SV","")&amp;IF(V667&lt;&gt;"","・データ送付待ち","")&amp;IF(W667&lt;&gt;"","・削除","")</f>
        <v/>
      </c>
    </row>
    <row r="668" ht="15" customHeight="1" s="87">
      <c r="AL668" s="94">
        <f>IF(A668="","",IF(COUNTIF(A668:A$2001,A668)=1,1,0))</f>
        <v/>
      </c>
      <c r="AM668" s="94">
        <f>IF(I668="","",TODAY()-I668)</f>
        <v/>
      </c>
      <c r="AN668" s="94">
        <f>IF(A668="","",IF(AND(E668&lt;&gt;"33 確認済",E668&lt;&gt;"36 送付中"),1,0))</f>
        <v/>
      </c>
      <c r="AO668" s="94">
        <f>IF(A668="","",IF(AG668&lt;&gt;"",1,0))</f>
        <v/>
      </c>
      <c r="AP668" s="220">
        <f>IF(P668&lt;&gt;"","・添待ち","")&amp;IF(Q668&lt;&gt;"","・住民票","")&amp;IF(R668&lt;&gt;"","・発信","")&amp;IF(S668&lt;&gt;"","・確認事項","")&amp;IF(T668&lt;&gt;"","・管","")&amp;IF(U668&lt;&gt;"","・SV","")&amp;IF(V668&lt;&gt;"","・データ送付待ち","")&amp;IF(W668&lt;&gt;"","・削除","")</f>
        <v/>
      </c>
    </row>
    <row r="669" ht="15" customHeight="1" s="87">
      <c r="AL669" s="94">
        <f>IF(A669="","",IF(COUNTIF(A669:A$2001,A669)=1,1,0))</f>
        <v/>
      </c>
      <c r="AM669" s="94">
        <f>IF(I669="","",TODAY()-I669)</f>
        <v/>
      </c>
      <c r="AN669" s="94">
        <f>IF(A669="","",IF(AND(E669&lt;&gt;"33 確認済",E669&lt;&gt;"36 送付中"),1,0))</f>
        <v/>
      </c>
      <c r="AO669" s="94">
        <f>IF(A669="","",IF(AG669&lt;&gt;"",1,0))</f>
        <v/>
      </c>
      <c r="AP669" s="220">
        <f>IF(P669&lt;&gt;"","・添待ち","")&amp;IF(Q669&lt;&gt;"","・住民票","")&amp;IF(R669&lt;&gt;"","・発信","")&amp;IF(S669&lt;&gt;"","・確認事項","")&amp;IF(T669&lt;&gt;"","・管","")&amp;IF(U669&lt;&gt;"","・SV","")&amp;IF(V669&lt;&gt;"","・データ送付待ち","")&amp;IF(W669&lt;&gt;"","・削除","")</f>
        <v/>
      </c>
    </row>
    <row r="670" ht="15" customHeight="1" s="87">
      <c r="AL670" s="94">
        <f>IF(A670="","",IF(COUNTIF(A670:A$2001,A670)=1,1,0))</f>
        <v/>
      </c>
      <c r="AM670" s="94">
        <f>IF(I670="","",TODAY()-I670)</f>
        <v/>
      </c>
      <c r="AN670" s="94">
        <f>IF(A670="","",IF(AND(E670&lt;&gt;"33 確認済",E670&lt;&gt;"36 送付中"),1,0))</f>
        <v/>
      </c>
      <c r="AO670" s="94">
        <f>IF(A670="","",IF(AG670&lt;&gt;"",1,0))</f>
        <v/>
      </c>
      <c r="AP670" s="220">
        <f>IF(P670&lt;&gt;"","・添待ち","")&amp;IF(Q670&lt;&gt;"","・住民票","")&amp;IF(R670&lt;&gt;"","・発信","")&amp;IF(S670&lt;&gt;"","・確認事項","")&amp;IF(T670&lt;&gt;"","・管","")&amp;IF(U670&lt;&gt;"","・SV","")&amp;IF(V670&lt;&gt;"","・データ送付待ち","")&amp;IF(W670&lt;&gt;"","・削除","")</f>
        <v/>
      </c>
    </row>
    <row r="671" ht="15" customHeight="1" s="87">
      <c r="AL671" s="94">
        <f>IF(A671="","",IF(COUNTIF(A671:A$2001,A671)=1,1,0))</f>
        <v/>
      </c>
      <c r="AM671" s="94">
        <f>IF(I671="","",TODAY()-I671)</f>
        <v/>
      </c>
      <c r="AN671" s="94">
        <f>IF(A671="","",IF(AND(E671&lt;&gt;"33 確認済",E671&lt;&gt;"36 送付中"),1,0))</f>
        <v/>
      </c>
      <c r="AO671" s="94">
        <f>IF(A671="","",IF(AG671&lt;&gt;"",1,0))</f>
        <v/>
      </c>
      <c r="AP671" s="220">
        <f>IF(P671&lt;&gt;"","・添待ち","")&amp;IF(Q671&lt;&gt;"","・住民票","")&amp;IF(R671&lt;&gt;"","・発信","")&amp;IF(S671&lt;&gt;"","・確認事項","")&amp;IF(T671&lt;&gt;"","・管","")&amp;IF(U671&lt;&gt;"","・SV","")&amp;IF(V671&lt;&gt;"","・データ送付待ち","")&amp;IF(W671&lt;&gt;"","・削除","")</f>
        <v/>
      </c>
    </row>
    <row r="672" ht="15" customHeight="1" s="87">
      <c r="AL672" s="94">
        <f>IF(A672="","",IF(COUNTIF(A672:A$2001,A672)=1,1,0))</f>
        <v/>
      </c>
      <c r="AM672" s="94">
        <f>IF(I672="","",TODAY()-I672)</f>
        <v/>
      </c>
      <c r="AN672" s="94">
        <f>IF(A672="","",IF(AND(E672&lt;&gt;"33 確認済",E672&lt;&gt;"36 送付中"),1,0))</f>
        <v/>
      </c>
      <c r="AO672" s="94">
        <f>IF(A672="","",IF(AG672&lt;&gt;"",1,0))</f>
        <v/>
      </c>
      <c r="AP672" s="220">
        <f>IF(P672&lt;&gt;"","・添待ち","")&amp;IF(Q672&lt;&gt;"","・住民票","")&amp;IF(R672&lt;&gt;"","・発信","")&amp;IF(S672&lt;&gt;"","・確認事項","")&amp;IF(T672&lt;&gt;"","・管","")&amp;IF(U672&lt;&gt;"","・SV","")&amp;IF(V672&lt;&gt;"","・データ送付待ち","")&amp;IF(W672&lt;&gt;"","・削除","")</f>
        <v/>
      </c>
    </row>
    <row r="673" ht="15" customHeight="1" s="87">
      <c r="AL673" s="94">
        <f>IF(A673="","",IF(COUNTIF(A673:A$2001,A673)=1,1,0))</f>
        <v/>
      </c>
      <c r="AM673" s="94">
        <f>IF(I673="","",TODAY()-I673)</f>
        <v/>
      </c>
      <c r="AN673" s="94">
        <f>IF(A673="","",IF(AND(E673&lt;&gt;"33 確認済",E673&lt;&gt;"36 送付中"),1,0))</f>
        <v/>
      </c>
      <c r="AO673" s="94">
        <f>IF(A673="","",IF(AG673&lt;&gt;"",1,0))</f>
        <v/>
      </c>
      <c r="AP673" s="220">
        <f>IF(P673&lt;&gt;"","・添待ち","")&amp;IF(Q673&lt;&gt;"","・住民票","")&amp;IF(R673&lt;&gt;"","・発信","")&amp;IF(S673&lt;&gt;"","・確認事項","")&amp;IF(T673&lt;&gt;"","・管","")&amp;IF(U673&lt;&gt;"","・SV","")&amp;IF(V673&lt;&gt;"","・データ送付待ち","")&amp;IF(W673&lt;&gt;"","・削除","")</f>
        <v/>
      </c>
    </row>
    <row r="674" ht="15" customHeight="1" s="87">
      <c r="AL674" s="94">
        <f>IF(A674="","",IF(COUNTIF(A674:A$2001,A674)=1,1,0))</f>
        <v/>
      </c>
      <c r="AM674" s="94">
        <f>IF(I674="","",TODAY()-I674)</f>
        <v/>
      </c>
      <c r="AN674" s="94">
        <f>IF(A674="","",IF(AND(E674&lt;&gt;"33 確認済",E674&lt;&gt;"36 送付中"),1,0))</f>
        <v/>
      </c>
      <c r="AO674" s="94">
        <f>IF(A674="","",IF(AG674&lt;&gt;"",1,0))</f>
        <v/>
      </c>
      <c r="AP674" s="220">
        <f>IF(P674&lt;&gt;"","・添待ち","")&amp;IF(Q674&lt;&gt;"","・住民票","")&amp;IF(R674&lt;&gt;"","・発信","")&amp;IF(S674&lt;&gt;"","・確認事項","")&amp;IF(T674&lt;&gt;"","・管","")&amp;IF(U674&lt;&gt;"","・SV","")&amp;IF(V674&lt;&gt;"","・データ送付待ち","")&amp;IF(W674&lt;&gt;"","・削除","")</f>
        <v/>
      </c>
    </row>
    <row r="675" ht="15" customHeight="1" s="87">
      <c r="AL675" s="94">
        <f>IF(A675="","",IF(COUNTIF(A675:A$2001,A675)=1,1,0))</f>
        <v/>
      </c>
      <c r="AM675" s="94">
        <f>IF(I675="","",TODAY()-I675)</f>
        <v/>
      </c>
      <c r="AN675" s="94">
        <f>IF(A675="","",IF(AND(E675&lt;&gt;"33 確認済",E675&lt;&gt;"36 送付中"),1,0))</f>
        <v/>
      </c>
      <c r="AO675" s="94">
        <f>IF(A675="","",IF(AG675&lt;&gt;"",1,0))</f>
        <v/>
      </c>
      <c r="AP675" s="220">
        <f>IF(P675&lt;&gt;"","・添待ち","")&amp;IF(Q675&lt;&gt;"","・住民票","")&amp;IF(R675&lt;&gt;"","・発信","")&amp;IF(S675&lt;&gt;"","・確認事項","")&amp;IF(T675&lt;&gt;"","・管","")&amp;IF(U675&lt;&gt;"","・SV","")&amp;IF(V675&lt;&gt;"","・データ送付待ち","")&amp;IF(W675&lt;&gt;"","・削除","")</f>
        <v/>
      </c>
    </row>
    <row r="676" ht="15" customHeight="1" s="87">
      <c r="AL676" s="94">
        <f>IF(A676="","",IF(COUNTIF(A676:A$2001,A676)=1,1,0))</f>
        <v/>
      </c>
      <c r="AM676" s="94">
        <f>IF(I676="","",TODAY()-I676)</f>
        <v/>
      </c>
      <c r="AN676" s="94">
        <f>IF(A676="","",IF(AND(E676&lt;&gt;"33 確認済",E676&lt;&gt;"36 送付中"),1,0))</f>
        <v/>
      </c>
      <c r="AO676" s="94">
        <f>IF(A676="","",IF(AG676&lt;&gt;"",1,0))</f>
        <v/>
      </c>
      <c r="AP676" s="220">
        <f>IF(P676&lt;&gt;"","・添待ち","")&amp;IF(Q676&lt;&gt;"","・住民票","")&amp;IF(R676&lt;&gt;"","・発信","")&amp;IF(S676&lt;&gt;"","・確認事項","")&amp;IF(T676&lt;&gt;"","・管","")&amp;IF(U676&lt;&gt;"","・SV","")&amp;IF(V676&lt;&gt;"","・データ送付待ち","")&amp;IF(W676&lt;&gt;"","・削除","")</f>
        <v/>
      </c>
    </row>
    <row r="677" ht="15" customHeight="1" s="87">
      <c r="AL677" s="94">
        <f>IF(A677="","",IF(COUNTIF(A677:A$2001,A677)=1,1,0))</f>
        <v/>
      </c>
      <c r="AM677" s="94">
        <f>IF(I677="","",TODAY()-I677)</f>
        <v/>
      </c>
      <c r="AN677" s="94">
        <f>IF(A677="","",IF(AND(E677&lt;&gt;"33 確認済",E677&lt;&gt;"36 送付中"),1,0))</f>
        <v/>
      </c>
      <c r="AO677" s="94">
        <f>IF(A677="","",IF(AG677&lt;&gt;"",1,0))</f>
        <v/>
      </c>
      <c r="AP677" s="220">
        <f>IF(P677&lt;&gt;"","・添待ち","")&amp;IF(Q677&lt;&gt;"","・住民票","")&amp;IF(R677&lt;&gt;"","・発信","")&amp;IF(S677&lt;&gt;"","・確認事項","")&amp;IF(T677&lt;&gt;"","・管","")&amp;IF(U677&lt;&gt;"","・SV","")&amp;IF(V677&lt;&gt;"","・データ送付待ち","")&amp;IF(W677&lt;&gt;"","・削除","")</f>
        <v/>
      </c>
    </row>
    <row r="678" ht="15" customHeight="1" s="87">
      <c r="AL678" s="94">
        <f>IF(A678="","",IF(COUNTIF(A678:A$2001,A678)=1,1,0))</f>
        <v/>
      </c>
      <c r="AM678" s="94">
        <f>IF(I678="","",TODAY()-I678)</f>
        <v/>
      </c>
      <c r="AN678" s="94">
        <f>IF(A678="","",IF(AND(E678&lt;&gt;"33 確認済",E678&lt;&gt;"36 送付中"),1,0))</f>
        <v/>
      </c>
      <c r="AO678" s="94">
        <f>IF(A678="","",IF(AG678&lt;&gt;"",1,0))</f>
        <v/>
      </c>
      <c r="AP678" s="220">
        <f>IF(P678&lt;&gt;"","・添待ち","")&amp;IF(Q678&lt;&gt;"","・住民票","")&amp;IF(R678&lt;&gt;"","・発信","")&amp;IF(S678&lt;&gt;"","・確認事項","")&amp;IF(T678&lt;&gt;"","・管","")&amp;IF(U678&lt;&gt;"","・SV","")&amp;IF(V678&lt;&gt;"","・データ送付待ち","")&amp;IF(W678&lt;&gt;"","・削除","")</f>
        <v/>
      </c>
    </row>
    <row r="679" ht="15" customHeight="1" s="87">
      <c r="AL679" s="94">
        <f>IF(A679="","",IF(COUNTIF(A679:A$2001,A679)=1,1,0))</f>
        <v/>
      </c>
      <c r="AM679" s="94">
        <f>IF(I679="","",TODAY()-I679)</f>
        <v/>
      </c>
      <c r="AN679" s="94">
        <f>IF(A679="","",IF(AND(E679&lt;&gt;"33 確認済",E679&lt;&gt;"36 送付中"),1,0))</f>
        <v/>
      </c>
      <c r="AO679" s="94">
        <f>IF(A679="","",IF(AG679&lt;&gt;"",1,0))</f>
        <v/>
      </c>
      <c r="AP679" s="220">
        <f>IF(P679&lt;&gt;"","・添待ち","")&amp;IF(Q679&lt;&gt;"","・住民票","")&amp;IF(R679&lt;&gt;"","・発信","")&amp;IF(S679&lt;&gt;"","・確認事項","")&amp;IF(T679&lt;&gt;"","・管","")&amp;IF(U679&lt;&gt;"","・SV","")&amp;IF(V679&lt;&gt;"","・データ送付待ち","")&amp;IF(W679&lt;&gt;"","・削除","")</f>
        <v/>
      </c>
    </row>
    <row r="680" ht="15" customHeight="1" s="87">
      <c r="AL680" s="94">
        <f>IF(A680="","",IF(COUNTIF(A680:A$2001,A680)=1,1,0))</f>
        <v/>
      </c>
      <c r="AM680" s="94">
        <f>IF(I680="","",TODAY()-I680)</f>
        <v/>
      </c>
      <c r="AN680" s="94">
        <f>IF(A680="","",IF(AND(E680&lt;&gt;"33 確認済",E680&lt;&gt;"36 送付中"),1,0))</f>
        <v/>
      </c>
      <c r="AO680" s="94">
        <f>IF(A680="","",IF(AG680&lt;&gt;"",1,0))</f>
        <v/>
      </c>
      <c r="AP680" s="220">
        <f>IF(P680&lt;&gt;"","・添待ち","")&amp;IF(Q680&lt;&gt;"","・住民票","")&amp;IF(R680&lt;&gt;"","・発信","")&amp;IF(S680&lt;&gt;"","・確認事項","")&amp;IF(T680&lt;&gt;"","・管","")&amp;IF(U680&lt;&gt;"","・SV","")&amp;IF(V680&lt;&gt;"","・データ送付待ち","")&amp;IF(W680&lt;&gt;"","・削除","")</f>
        <v/>
      </c>
    </row>
    <row r="681" ht="15" customHeight="1" s="87">
      <c r="AL681" s="94">
        <f>IF(A681="","",IF(COUNTIF(A681:A$2001,A681)=1,1,0))</f>
        <v/>
      </c>
      <c r="AM681" s="94">
        <f>IF(I681="","",TODAY()-I681)</f>
        <v/>
      </c>
      <c r="AN681" s="94">
        <f>IF(A681="","",IF(AND(E681&lt;&gt;"33 確認済",E681&lt;&gt;"36 送付中"),1,0))</f>
        <v/>
      </c>
      <c r="AO681" s="94">
        <f>IF(A681="","",IF(AG681&lt;&gt;"",1,0))</f>
        <v/>
      </c>
      <c r="AP681" s="220">
        <f>IF(P681&lt;&gt;"","・添待ち","")&amp;IF(Q681&lt;&gt;"","・住民票","")&amp;IF(R681&lt;&gt;"","・発信","")&amp;IF(S681&lt;&gt;"","・確認事項","")&amp;IF(T681&lt;&gt;"","・管","")&amp;IF(U681&lt;&gt;"","・SV","")&amp;IF(V681&lt;&gt;"","・データ送付待ち","")&amp;IF(W681&lt;&gt;"","・削除","")</f>
        <v/>
      </c>
    </row>
    <row r="682" ht="15" customHeight="1" s="87">
      <c r="AL682" s="94">
        <f>IF(A682="","",IF(COUNTIF(A682:A$2001,A682)=1,1,0))</f>
        <v/>
      </c>
      <c r="AM682" s="94">
        <f>IF(I682="","",TODAY()-I682)</f>
        <v/>
      </c>
      <c r="AN682" s="94">
        <f>IF(A682="","",IF(AND(E682&lt;&gt;"33 確認済",E682&lt;&gt;"36 送付中"),1,0))</f>
        <v/>
      </c>
      <c r="AO682" s="94">
        <f>IF(A682="","",IF(AG682&lt;&gt;"",1,0))</f>
        <v/>
      </c>
      <c r="AP682" s="220">
        <f>IF(P682&lt;&gt;"","・添待ち","")&amp;IF(Q682&lt;&gt;"","・住民票","")&amp;IF(R682&lt;&gt;"","・発信","")&amp;IF(S682&lt;&gt;"","・確認事項","")&amp;IF(T682&lt;&gt;"","・管","")&amp;IF(U682&lt;&gt;"","・SV","")&amp;IF(V682&lt;&gt;"","・データ送付待ち","")&amp;IF(W682&lt;&gt;"","・削除","")</f>
        <v/>
      </c>
    </row>
    <row r="683" ht="15" customHeight="1" s="87">
      <c r="AL683" s="94">
        <f>IF(A683="","",IF(COUNTIF(A683:A$2001,A683)=1,1,0))</f>
        <v/>
      </c>
      <c r="AM683" s="94">
        <f>IF(I683="","",TODAY()-I683)</f>
        <v/>
      </c>
      <c r="AN683" s="94">
        <f>IF(A683="","",IF(AND(E683&lt;&gt;"33 確認済",E683&lt;&gt;"36 送付中"),1,0))</f>
        <v/>
      </c>
      <c r="AO683" s="94">
        <f>IF(A683="","",IF(AG683&lt;&gt;"",1,0))</f>
        <v/>
      </c>
      <c r="AP683" s="220">
        <f>IF(P683&lt;&gt;"","・添待ち","")&amp;IF(Q683&lt;&gt;"","・住民票","")&amp;IF(R683&lt;&gt;"","・発信","")&amp;IF(S683&lt;&gt;"","・確認事項","")&amp;IF(T683&lt;&gt;"","・管","")&amp;IF(U683&lt;&gt;"","・SV","")&amp;IF(V683&lt;&gt;"","・データ送付待ち","")&amp;IF(W683&lt;&gt;"","・削除","")</f>
        <v/>
      </c>
    </row>
    <row r="684" ht="15" customHeight="1" s="87">
      <c r="AL684" s="94">
        <f>IF(A684="","",IF(COUNTIF(A684:A$2001,A684)=1,1,0))</f>
        <v/>
      </c>
      <c r="AM684" s="94">
        <f>IF(I684="","",TODAY()-I684)</f>
        <v/>
      </c>
      <c r="AN684" s="94">
        <f>IF(A684="","",IF(AND(E684&lt;&gt;"33 確認済",E684&lt;&gt;"36 送付中"),1,0))</f>
        <v/>
      </c>
      <c r="AO684" s="94">
        <f>IF(A684="","",IF(AG684&lt;&gt;"",1,0))</f>
        <v/>
      </c>
      <c r="AP684" s="220">
        <f>IF(P684&lt;&gt;"","・添待ち","")&amp;IF(Q684&lt;&gt;"","・住民票","")&amp;IF(R684&lt;&gt;"","・発信","")&amp;IF(S684&lt;&gt;"","・確認事項","")&amp;IF(T684&lt;&gt;"","・管","")&amp;IF(U684&lt;&gt;"","・SV","")&amp;IF(V684&lt;&gt;"","・データ送付待ち","")&amp;IF(W684&lt;&gt;"","・削除","")</f>
        <v/>
      </c>
    </row>
    <row r="685" ht="15" customHeight="1" s="87">
      <c r="AL685" s="94">
        <f>IF(A685="","",IF(COUNTIF(A685:A$2001,A685)=1,1,0))</f>
        <v/>
      </c>
      <c r="AM685" s="94">
        <f>IF(I685="","",TODAY()-I685)</f>
        <v/>
      </c>
      <c r="AN685" s="94">
        <f>IF(A685="","",IF(AND(E685&lt;&gt;"33 確認済",E685&lt;&gt;"36 送付中"),1,0))</f>
        <v/>
      </c>
      <c r="AO685" s="94">
        <f>IF(A685="","",IF(AG685&lt;&gt;"",1,0))</f>
        <v/>
      </c>
      <c r="AP685" s="220">
        <f>IF(P685&lt;&gt;"","・添待ち","")&amp;IF(Q685&lt;&gt;"","・住民票","")&amp;IF(R685&lt;&gt;"","・発信","")&amp;IF(S685&lt;&gt;"","・確認事項","")&amp;IF(T685&lt;&gt;"","・管","")&amp;IF(U685&lt;&gt;"","・SV","")&amp;IF(V685&lt;&gt;"","・データ送付待ち","")&amp;IF(W685&lt;&gt;"","・削除","")</f>
        <v/>
      </c>
    </row>
    <row r="686" ht="15" customHeight="1" s="87">
      <c r="AL686" s="94">
        <f>IF(A686="","",IF(COUNTIF(A686:A$2001,A686)=1,1,0))</f>
        <v/>
      </c>
      <c r="AM686" s="94">
        <f>IF(I686="","",TODAY()-I686)</f>
        <v/>
      </c>
      <c r="AN686" s="94">
        <f>IF(A686="","",IF(AND(E686&lt;&gt;"33 確認済",E686&lt;&gt;"36 送付中"),1,0))</f>
        <v/>
      </c>
      <c r="AO686" s="94">
        <f>IF(A686="","",IF(AG686&lt;&gt;"",1,0))</f>
        <v/>
      </c>
      <c r="AP686" s="220">
        <f>IF(P686&lt;&gt;"","・添待ち","")&amp;IF(Q686&lt;&gt;"","・住民票","")&amp;IF(R686&lt;&gt;"","・発信","")&amp;IF(S686&lt;&gt;"","・確認事項","")&amp;IF(T686&lt;&gt;"","・管","")&amp;IF(U686&lt;&gt;"","・SV","")&amp;IF(V686&lt;&gt;"","・データ送付待ち","")&amp;IF(W686&lt;&gt;"","・削除","")</f>
        <v/>
      </c>
    </row>
    <row r="687" ht="15" customHeight="1" s="87">
      <c r="AL687" s="94">
        <f>IF(A687="","",IF(COUNTIF(A687:A$2001,A687)=1,1,0))</f>
        <v/>
      </c>
      <c r="AM687" s="94">
        <f>IF(I687="","",TODAY()-I687)</f>
        <v/>
      </c>
      <c r="AN687" s="94">
        <f>IF(A687="","",IF(AND(E687&lt;&gt;"33 確認済",E687&lt;&gt;"36 送付中"),1,0))</f>
        <v/>
      </c>
      <c r="AO687" s="94">
        <f>IF(A687="","",IF(AG687&lt;&gt;"",1,0))</f>
        <v/>
      </c>
      <c r="AP687" s="220">
        <f>IF(P687&lt;&gt;"","・添待ち","")&amp;IF(Q687&lt;&gt;"","・住民票","")&amp;IF(R687&lt;&gt;"","・発信","")&amp;IF(S687&lt;&gt;"","・確認事項","")&amp;IF(T687&lt;&gt;"","・管","")&amp;IF(U687&lt;&gt;"","・SV","")&amp;IF(V687&lt;&gt;"","・データ送付待ち","")&amp;IF(W687&lt;&gt;"","・削除","")</f>
        <v/>
      </c>
    </row>
    <row r="688" ht="15" customHeight="1" s="87">
      <c r="AL688" s="94">
        <f>IF(A688="","",IF(COUNTIF(A688:A$2001,A688)=1,1,0))</f>
        <v/>
      </c>
      <c r="AM688" s="94">
        <f>IF(I688="","",TODAY()-I688)</f>
        <v/>
      </c>
      <c r="AN688" s="94">
        <f>IF(A688="","",IF(AND(E688&lt;&gt;"33 確認済",E688&lt;&gt;"36 送付中"),1,0))</f>
        <v/>
      </c>
      <c r="AO688" s="94">
        <f>IF(A688="","",IF(AG688&lt;&gt;"",1,0))</f>
        <v/>
      </c>
      <c r="AP688" s="220">
        <f>IF(P688&lt;&gt;"","・添待ち","")&amp;IF(Q688&lt;&gt;"","・住民票","")&amp;IF(R688&lt;&gt;"","・発信","")&amp;IF(S688&lt;&gt;"","・確認事項","")&amp;IF(T688&lt;&gt;"","・管","")&amp;IF(U688&lt;&gt;"","・SV","")&amp;IF(V688&lt;&gt;"","・データ送付待ち","")&amp;IF(W688&lt;&gt;"","・削除","")</f>
        <v/>
      </c>
    </row>
    <row r="689" ht="15" customHeight="1" s="87">
      <c r="AL689" s="94">
        <f>IF(A689="","",IF(COUNTIF(A689:A$2001,A689)=1,1,0))</f>
        <v/>
      </c>
      <c r="AM689" s="94">
        <f>IF(I689="","",TODAY()-I689)</f>
        <v/>
      </c>
      <c r="AN689" s="94">
        <f>IF(A689="","",IF(AND(E689&lt;&gt;"33 確認済",E689&lt;&gt;"36 送付中"),1,0))</f>
        <v/>
      </c>
      <c r="AO689" s="94">
        <f>IF(A689="","",IF(AG689&lt;&gt;"",1,0))</f>
        <v/>
      </c>
      <c r="AP689" s="220">
        <f>IF(P689&lt;&gt;"","・添待ち","")&amp;IF(Q689&lt;&gt;"","・住民票","")&amp;IF(R689&lt;&gt;"","・発信","")&amp;IF(S689&lt;&gt;"","・確認事項","")&amp;IF(T689&lt;&gt;"","・管","")&amp;IF(U689&lt;&gt;"","・SV","")&amp;IF(V689&lt;&gt;"","・データ送付待ち","")&amp;IF(W689&lt;&gt;"","・削除","")</f>
        <v/>
      </c>
    </row>
    <row r="690" ht="15" customHeight="1" s="87">
      <c r="AL690" s="94">
        <f>IF(A690="","",IF(COUNTIF(A690:A$2001,A690)=1,1,0))</f>
        <v/>
      </c>
      <c r="AM690" s="94">
        <f>IF(I690="","",TODAY()-I690)</f>
        <v/>
      </c>
      <c r="AN690" s="94">
        <f>IF(A690="","",IF(AND(E690&lt;&gt;"33 確認済",E690&lt;&gt;"36 送付中"),1,0))</f>
        <v/>
      </c>
      <c r="AO690" s="94">
        <f>IF(A690="","",IF(AG690&lt;&gt;"",1,0))</f>
        <v/>
      </c>
      <c r="AP690" s="220">
        <f>IF(P690&lt;&gt;"","・添待ち","")&amp;IF(Q690&lt;&gt;"","・住民票","")&amp;IF(R690&lt;&gt;"","・発信","")&amp;IF(S690&lt;&gt;"","・確認事項","")&amp;IF(T690&lt;&gt;"","・管","")&amp;IF(U690&lt;&gt;"","・SV","")&amp;IF(V690&lt;&gt;"","・データ送付待ち","")&amp;IF(W690&lt;&gt;"","・削除","")</f>
        <v/>
      </c>
    </row>
    <row r="691" ht="15" customHeight="1" s="87">
      <c r="AL691" s="94">
        <f>IF(A691="","",IF(COUNTIF(A691:A$2001,A691)=1,1,0))</f>
        <v/>
      </c>
      <c r="AM691" s="94">
        <f>IF(I691="","",TODAY()-I691)</f>
        <v/>
      </c>
      <c r="AN691" s="94">
        <f>IF(A691="","",IF(AND(E691&lt;&gt;"33 確認済",E691&lt;&gt;"36 送付中"),1,0))</f>
        <v/>
      </c>
      <c r="AO691" s="94">
        <f>IF(A691="","",IF(AG691&lt;&gt;"",1,0))</f>
        <v/>
      </c>
      <c r="AP691" s="220">
        <f>IF(P691&lt;&gt;"","・添待ち","")&amp;IF(Q691&lt;&gt;"","・住民票","")&amp;IF(R691&lt;&gt;"","・発信","")&amp;IF(S691&lt;&gt;"","・確認事項","")&amp;IF(T691&lt;&gt;"","・管","")&amp;IF(U691&lt;&gt;"","・SV","")&amp;IF(V691&lt;&gt;"","・データ送付待ち","")&amp;IF(W691&lt;&gt;"","・削除","")</f>
        <v/>
      </c>
    </row>
    <row r="692" ht="15" customHeight="1" s="87">
      <c r="AL692" s="94">
        <f>IF(A692="","",IF(COUNTIF(A692:A$2001,A692)=1,1,0))</f>
        <v/>
      </c>
      <c r="AM692" s="94">
        <f>IF(I692="","",TODAY()-I692)</f>
        <v/>
      </c>
      <c r="AN692" s="94">
        <f>IF(A692="","",IF(AND(E692&lt;&gt;"33 確認済",E692&lt;&gt;"36 送付中"),1,0))</f>
        <v/>
      </c>
      <c r="AO692" s="94">
        <f>IF(A692="","",IF(AG692&lt;&gt;"",1,0))</f>
        <v/>
      </c>
      <c r="AP692" s="220">
        <f>IF(P692&lt;&gt;"","・添待ち","")&amp;IF(Q692&lt;&gt;"","・住民票","")&amp;IF(R692&lt;&gt;"","・発信","")&amp;IF(S692&lt;&gt;"","・確認事項","")&amp;IF(T692&lt;&gt;"","・管","")&amp;IF(U692&lt;&gt;"","・SV","")&amp;IF(V692&lt;&gt;"","・データ送付待ち","")&amp;IF(W692&lt;&gt;"","・削除","")</f>
        <v/>
      </c>
    </row>
    <row r="693" ht="15" customHeight="1" s="87">
      <c r="AL693" s="94">
        <f>IF(A693="","",IF(COUNTIF(A693:A$2001,A693)=1,1,0))</f>
        <v/>
      </c>
      <c r="AM693" s="94">
        <f>IF(I693="","",TODAY()-I693)</f>
        <v/>
      </c>
      <c r="AN693" s="94">
        <f>IF(A693="","",IF(AND(E693&lt;&gt;"33 確認済",E693&lt;&gt;"36 送付中"),1,0))</f>
        <v/>
      </c>
      <c r="AO693" s="94">
        <f>IF(A693="","",IF(AG693&lt;&gt;"",1,0))</f>
        <v/>
      </c>
      <c r="AP693" s="220">
        <f>IF(P693&lt;&gt;"","・添待ち","")&amp;IF(Q693&lt;&gt;"","・住民票","")&amp;IF(R693&lt;&gt;"","・発信","")&amp;IF(S693&lt;&gt;"","・確認事項","")&amp;IF(T693&lt;&gt;"","・管","")&amp;IF(U693&lt;&gt;"","・SV","")&amp;IF(V693&lt;&gt;"","・データ送付待ち","")&amp;IF(W693&lt;&gt;"","・削除","")</f>
        <v/>
      </c>
    </row>
    <row r="694" ht="15" customHeight="1" s="87">
      <c r="AL694" s="94">
        <f>IF(A694="","",IF(COUNTIF(A694:A$2001,A694)=1,1,0))</f>
        <v/>
      </c>
      <c r="AM694" s="94">
        <f>IF(I694="","",TODAY()-I694)</f>
        <v/>
      </c>
      <c r="AN694" s="94">
        <f>IF(A694="","",IF(AND(E694&lt;&gt;"33 確認済",E694&lt;&gt;"36 送付中"),1,0))</f>
        <v/>
      </c>
      <c r="AO694" s="94">
        <f>IF(A694="","",IF(AG694&lt;&gt;"",1,0))</f>
        <v/>
      </c>
      <c r="AP694" s="220">
        <f>IF(P694&lt;&gt;"","・添待ち","")&amp;IF(Q694&lt;&gt;"","・住民票","")&amp;IF(R694&lt;&gt;"","・発信","")&amp;IF(S694&lt;&gt;"","・確認事項","")&amp;IF(T694&lt;&gt;"","・管","")&amp;IF(U694&lt;&gt;"","・SV","")&amp;IF(V694&lt;&gt;"","・データ送付待ち","")&amp;IF(W694&lt;&gt;"","・削除","")</f>
        <v/>
      </c>
    </row>
    <row r="695" ht="15" customHeight="1" s="87">
      <c r="AL695" s="94">
        <f>IF(A695="","",IF(COUNTIF(A695:A$2001,A695)=1,1,0))</f>
        <v/>
      </c>
      <c r="AM695" s="94">
        <f>IF(I695="","",TODAY()-I695)</f>
        <v/>
      </c>
      <c r="AN695" s="94">
        <f>IF(A695="","",IF(AND(E695&lt;&gt;"33 確認済",E695&lt;&gt;"36 送付中"),1,0))</f>
        <v/>
      </c>
      <c r="AO695" s="94">
        <f>IF(A695="","",IF(AG695&lt;&gt;"",1,0))</f>
        <v/>
      </c>
      <c r="AP695" s="220">
        <f>IF(P695&lt;&gt;"","・添待ち","")&amp;IF(Q695&lt;&gt;"","・住民票","")&amp;IF(R695&lt;&gt;"","・発信","")&amp;IF(S695&lt;&gt;"","・確認事項","")&amp;IF(T695&lt;&gt;"","・管","")&amp;IF(U695&lt;&gt;"","・SV","")&amp;IF(V695&lt;&gt;"","・データ送付待ち","")&amp;IF(W695&lt;&gt;"","・削除","")</f>
        <v/>
      </c>
    </row>
    <row r="696" ht="15" customHeight="1" s="87">
      <c r="AL696" s="94">
        <f>IF(A696="","",IF(COUNTIF(A696:A$2001,A696)=1,1,0))</f>
        <v/>
      </c>
      <c r="AM696" s="94">
        <f>IF(I696="","",TODAY()-I696)</f>
        <v/>
      </c>
      <c r="AN696" s="94">
        <f>IF(A696="","",IF(AND(E696&lt;&gt;"33 確認済",E696&lt;&gt;"36 送付中"),1,0))</f>
        <v/>
      </c>
      <c r="AO696" s="94">
        <f>IF(A696="","",IF(AG696&lt;&gt;"",1,0))</f>
        <v/>
      </c>
      <c r="AP696" s="220">
        <f>IF(P696&lt;&gt;"","・添待ち","")&amp;IF(Q696&lt;&gt;"","・住民票","")&amp;IF(R696&lt;&gt;"","・発信","")&amp;IF(S696&lt;&gt;"","・確認事項","")&amp;IF(T696&lt;&gt;"","・管","")&amp;IF(U696&lt;&gt;"","・SV","")&amp;IF(V696&lt;&gt;"","・データ送付待ち","")&amp;IF(W696&lt;&gt;"","・削除","")</f>
        <v/>
      </c>
    </row>
    <row r="697" ht="15" customHeight="1" s="87">
      <c r="AL697" s="94">
        <f>IF(A697="","",IF(COUNTIF(A697:A$2001,A697)=1,1,0))</f>
        <v/>
      </c>
      <c r="AM697" s="94">
        <f>IF(I697="","",TODAY()-I697)</f>
        <v/>
      </c>
      <c r="AN697" s="94">
        <f>IF(A697="","",IF(AND(E697&lt;&gt;"33 確認済",E697&lt;&gt;"36 送付中"),1,0))</f>
        <v/>
      </c>
      <c r="AO697" s="94">
        <f>IF(A697="","",IF(AG697&lt;&gt;"",1,0))</f>
        <v/>
      </c>
      <c r="AP697" s="220">
        <f>IF(P697&lt;&gt;"","・添待ち","")&amp;IF(Q697&lt;&gt;"","・住民票","")&amp;IF(R697&lt;&gt;"","・発信","")&amp;IF(S697&lt;&gt;"","・確認事項","")&amp;IF(T697&lt;&gt;"","・管","")&amp;IF(U697&lt;&gt;"","・SV","")&amp;IF(V697&lt;&gt;"","・データ送付待ち","")&amp;IF(W697&lt;&gt;"","・削除","")</f>
        <v/>
      </c>
    </row>
    <row r="698" ht="15" customHeight="1" s="87">
      <c r="AL698" s="94">
        <f>IF(A698="","",IF(COUNTIF(A698:A$2001,A698)=1,1,0))</f>
        <v/>
      </c>
      <c r="AM698" s="94">
        <f>IF(I698="","",TODAY()-I698)</f>
        <v/>
      </c>
      <c r="AN698" s="94">
        <f>IF(A698="","",IF(AND(E698&lt;&gt;"33 確認済",E698&lt;&gt;"36 送付中"),1,0))</f>
        <v/>
      </c>
      <c r="AO698" s="94">
        <f>IF(A698="","",IF(AG698&lt;&gt;"",1,0))</f>
        <v/>
      </c>
      <c r="AP698" s="220">
        <f>IF(P698&lt;&gt;"","・添待ち","")&amp;IF(Q698&lt;&gt;"","・住民票","")&amp;IF(R698&lt;&gt;"","・発信","")&amp;IF(S698&lt;&gt;"","・確認事項","")&amp;IF(T698&lt;&gt;"","・管","")&amp;IF(U698&lt;&gt;"","・SV","")&amp;IF(V698&lt;&gt;"","・データ送付待ち","")&amp;IF(W698&lt;&gt;"","・削除","")</f>
        <v/>
      </c>
    </row>
    <row r="699" ht="15" customHeight="1" s="87">
      <c r="AL699" s="94">
        <f>IF(A699="","",IF(COUNTIF(A699:A$2001,A699)=1,1,0))</f>
        <v/>
      </c>
      <c r="AM699" s="94">
        <f>IF(I699="","",TODAY()-I699)</f>
        <v/>
      </c>
      <c r="AN699" s="94">
        <f>IF(A699="","",IF(AND(E699&lt;&gt;"33 確認済",E699&lt;&gt;"36 送付中"),1,0))</f>
        <v/>
      </c>
      <c r="AO699" s="94">
        <f>IF(A699="","",IF(AG699&lt;&gt;"",1,0))</f>
        <v/>
      </c>
      <c r="AP699" s="220">
        <f>IF(P699&lt;&gt;"","・添待ち","")&amp;IF(Q699&lt;&gt;"","・住民票","")&amp;IF(R699&lt;&gt;"","・発信","")&amp;IF(S699&lt;&gt;"","・確認事項","")&amp;IF(T699&lt;&gt;"","・管","")&amp;IF(U699&lt;&gt;"","・SV","")&amp;IF(V699&lt;&gt;"","・データ送付待ち","")&amp;IF(W699&lt;&gt;"","・削除","")</f>
        <v/>
      </c>
    </row>
    <row r="700" ht="15" customHeight="1" s="87">
      <c r="AL700" s="94">
        <f>IF(A700="","",IF(COUNTIF(A700:A$2001,A700)=1,1,0))</f>
        <v/>
      </c>
      <c r="AM700" s="94">
        <f>IF(I700="","",TODAY()-I700)</f>
        <v/>
      </c>
      <c r="AN700" s="94">
        <f>IF(A700="","",IF(AND(E700&lt;&gt;"33 確認済",E700&lt;&gt;"36 送付中"),1,0))</f>
        <v/>
      </c>
      <c r="AO700" s="94">
        <f>IF(A700="","",IF(AG700&lt;&gt;"",1,0))</f>
        <v/>
      </c>
      <c r="AP700" s="220">
        <f>IF(P700&lt;&gt;"","・添待ち","")&amp;IF(Q700&lt;&gt;"","・住民票","")&amp;IF(R700&lt;&gt;"","・発信","")&amp;IF(S700&lt;&gt;"","・確認事項","")&amp;IF(T700&lt;&gt;"","・管","")&amp;IF(U700&lt;&gt;"","・SV","")&amp;IF(V700&lt;&gt;"","・データ送付待ち","")&amp;IF(W700&lt;&gt;"","・削除","")</f>
        <v/>
      </c>
    </row>
    <row r="701" ht="15" customHeight="1" s="87">
      <c r="AL701" s="94">
        <f>IF(A701="","",IF(COUNTIF(A701:A$2001,A701)=1,1,0))</f>
        <v/>
      </c>
      <c r="AM701" s="94">
        <f>IF(I701="","",TODAY()-I701)</f>
        <v/>
      </c>
      <c r="AN701" s="94">
        <f>IF(A701="","",IF(AND(E701&lt;&gt;"33 確認済",E701&lt;&gt;"36 送付中"),1,0))</f>
        <v/>
      </c>
      <c r="AO701" s="94">
        <f>IF(A701="","",IF(AG701&lt;&gt;"",1,0))</f>
        <v/>
      </c>
      <c r="AP701" s="220">
        <f>IF(P701&lt;&gt;"","・添待ち","")&amp;IF(Q701&lt;&gt;"","・住民票","")&amp;IF(R701&lt;&gt;"","・発信","")&amp;IF(S701&lt;&gt;"","・確認事項","")&amp;IF(T701&lt;&gt;"","・管","")&amp;IF(U701&lt;&gt;"","・SV","")&amp;IF(V701&lt;&gt;"","・データ送付待ち","")&amp;IF(W701&lt;&gt;"","・削除","")</f>
        <v/>
      </c>
    </row>
    <row r="702" ht="15" customHeight="1" s="87">
      <c r="AL702" s="94">
        <f>IF(A702="","",IF(COUNTIF(A702:A$2001,A702)=1,1,0))</f>
        <v/>
      </c>
      <c r="AM702" s="94">
        <f>IF(I702="","",TODAY()-I702)</f>
        <v/>
      </c>
      <c r="AN702" s="94">
        <f>IF(A702="","",IF(AND(E702&lt;&gt;"33 確認済",E702&lt;&gt;"36 送付中"),1,0))</f>
        <v/>
      </c>
      <c r="AO702" s="94">
        <f>IF(A702="","",IF(AG702&lt;&gt;"",1,0))</f>
        <v/>
      </c>
      <c r="AP702" s="220">
        <f>IF(P702&lt;&gt;"","・添待ち","")&amp;IF(Q702&lt;&gt;"","・住民票","")&amp;IF(R702&lt;&gt;"","・発信","")&amp;IF(S702&lt;&gt;"","・確認事項","")&amp;IF(T702&lt;&gt;"","・管","")&amp;IF(U702&lt;&gt;"","・SV","")&amp;IF(V702&lt;&gt;"","・データ送付待ち","")&amp;IF(W702&lt;&gt;"","・削除","")</f>
        <v/>
      </c>
    </row>
    <row r="703" ht="15" customHeight="1" s="87">
      <c r="AL703" s="94">
        <f>IF(A703="","",IF(COUNTIF(A703:A$2001,A703)=1,1,0))</f>
        <v/>
      </c>
      <c r="AM703" s="94">
        <f>IF(I703="","",TODAY()-I703)</f>
        <v/>
      </c>
      <c r="AN703" s="94">
        <f>IF(A703="","",IF(AND(E703&lt;&gt;"33 確認済",E703&lt;&gt;"36 送付中"),1,0))</f>
        <v/>
      </c>
      <c r="AO703" s="94">
        <f>IF(A703="","",IF(AG703&lt;&gt;"",1,0))</f>
        <v/>
      </c>
      <c r="AP703" s="220">
        <f>IF(P703&lt;&gt;"","・添待ち","")&amp;IF(Q703&lt;&gt;"","・住民票","")&amp;IF(R703&lt;&gt;"","・発信","")&amp;IF(S703&lt;&gt;"","・確認事項","")&amp;IF(T703&lt;&gt;"","・管","")&amp;IF(U703&lt;&gt;"","・SV","")&amp;IF(V703&lt;&gt;"","・データ送付待ち","")&amp;IF(W703&lt;&gt;"","・削除","")</f>
        <v/>
      </c>
    </row>
    <row r="704" ht="15" customHeight="1" s="87">
      <c r="AL704" s="94">
        <f>IF(A704="","",IF(COUNTIF(A704:A$2001,A704)=1,1,0))</f>
        <v/>
      </c>
      <c r="AM704" s="94">
        <f>IF(I704="","",TODAY()-I704)</f>
        <v/>
      </c>
      <c r="AN704" s="94">
        <f>IF(A704="","",IF(AND(E704&lt;&gt;"33 確認済",E704&lt;&gt;"36 送付中"),1,0))</f>
        <v/>
      </c>
      <c r="AO704" s="94">
        <f>IF(A704="","",IF(AG704&lt;&gt;"",1,0))</f>
        <v/>
      </c>
      <c r="AP704" s="220">
        <f>IF(P704&lt;&gt;"","・添待ち","")&amp;IF(Q704&lt;&gt;"","・住民票","")&amp;IF(R704&lt;&gt;"","・発信","")&amp;IF(S704&lt;&gt;"","・確認事項","")&amp;IF(T704&lt;&gt;"","・管","")&amp;IF(U704&lt;&gt;"","・SV","")&amp;IF(V704&lt;&gt;"","・データ送付待ち","")&amp;IF(W704&lt;&gt;"","・削除","")</f>
        <v/>
      </c>
    </row>
    <row r="705" ht="15" customHeight="1" s="87">
      <c r="AL705" s="94">
        <f>IF(A705="","",IF(COUNTIF(A705:A$2001,A705)=1,1,0))</f>
        <v/>
      </c>
      <c r="AM705" s="94">
        <f>IF(I705="","",TODAY()-I705)</f>
        <v/>
      </c>
      <c r="AN705" s="94">
        <f>IF(A705="","",IF(AND(E705&lt;&gt;"33 確認済",E705&lt;&gt;"36 送付中"),1,0))</f>
        <v/>
      </c>
      <c r="AO705" s="94">
        <f>IF(A705="","",IF(AG705&lt;&gt;"",1,0))</f>
        <v/>
      </c>
      <c r="AP705" s="220">
        <f>IF(P705&lt;&gt;"","・添待ち","")&amp;IF(Q705&lt;&gt;"","・住民票","")&amp;IF(R705&lt;&gt;"","・発信","")&amp;IF(S705&lt;&gt;"","・確認事項","")&amp;IF(T705&lt;&gt;"","・管","")&amp;IF(U705&lt;&gt;"","・SV","")&amp;IF(V705&lt;&gt;"","・データ送付待ち","")&amp;IF(W705&lt;&gt;"","・削除","")</f>
        <v/>
      </c>
    </row>
    <row r="706" ht="15" customHeight="1" s="87">
      <c r="AL706" s="94">
        <f>IF(A706="","",IF(COUNTIF(A706:A$2001,A706)=1,1,0))</f>
        <v/>
      </c>
      <c r="AM706" s="94">
        <f>IF(I706="","",TODAY()-I706)</f>
        <v/>
      </c>
      <c r="AN706" s="94">
        <f>IF(A706="","",IF(AND(E706&lt;&gt;"33 確認済",E706&lt;&gt;"36 送付中"),1,0))</f>
        <v/>
      </c>
      <c r="AO706" s="94">
        <f>IF(A706="","",IF(AG706&lt;&gt;"",1,0))</f>
        <v/>
      </c>
      <c r="AP706" s="220">
        <f>IF(P706&lt;&gt;"","・添待ち","")&amp;IF(Q706&lt;&gt;"","・住民票","")&amp;IF(R706&lt;&gt;"","・発信","")&amp;IF(S706&lt;&gt;"","・確認事項","")&amp;IF(T706&lt;&gt;"","・管","")&amp;IF(U706&lt;&gt;"","・SV","")&amp;IF(V706&lt;&gt;"","・データ送付待ち","")&amp;IF(W706&lt;&gt;"","・削除","")</f>
        <v/>
      </c>
    </row>
    <row r="707" ht="15" customHeight="1" s="87">
      <c r="AL707" s="94">
        <f>IF(A707="","",IF(COUNTIF(A707:A$2001,A707)=1,1,0))</f>
        <v/>
      </c>
      <c r="AM707" s="94">
        <f>IF(I707="","",TODAY()-I707)</f>
        <v/>
      </c>
      <c r="AN707" s="94">
        <f>IF(A707="","",IF(AND(E707&lt;&gt;"33 確認済",E707&lt;&gt;"36 送付中"),1,0))</f>
        <v/>
      </c>
      <c r="AO707" s="94">
        <f>IF(A707="","",IF(AG707&lt;&gt;"",1,0))</f>
        <v/>
      </c>
      <c r="AP707" s="220">
        <f>IF(P707&lt;&gt;"","・添待ち","")&amp;IF(Q707&lt;&gt;"","・住民票","")&amp;IF(R707&lt;&gt;"","・発信","")&amp;IF(S707&lt;&gt;"","・確認事項","")&amp;IF(T707&lt;&gt;"","・管","")&amp;IF(U707&lt;&gt;"","・SV","")&amp;IF(V707&lt;&gt;"","・データ送付待ち","")&amp;IF(W707&lt;&gt;"","・削除","")</f>
        <v/>
      </c>
    </row>
    <row r="708" ht="15" customHeight="1" s="87">
      <c r="AL708" s="94">
        <f>IF(A708="","",IF(COUNTIF(A708:A$2001,A708)=1,1,0))</f>
        <v/>
      </c>
      <c r="AM708" s="94">
        <f>IF(I708="","",TODAY()-I708)</f>
        <v/>
      </c>
      <c r="AN708" s="94">
        <f>IF(A708="","",IF(AND(E708&lt;&gt;"33 確認済",E708&lt;&gt;"36 送付中"),1,0))</f>
        <v/>
      </c>
      <c r="AO708" s="94">
        <f>IF(A708="","",IF(AG708&lt;&gt;"",1,0))</f>
        <v/>
      </c>
      <c r="AP708" s="220">
        <f>IF(P708&lt;&gt;"","・添待ち","")&amp;IF(Q708&lt;&gt;"","・住民票","")&amp;IF(R708&lt;&gt;"","・発信","")&amp;IF(S708&lt;&gt;"","・確認事項","")&amp;IF(T708&lt;&gt;"","・管","")&amp;IF(U708&lt;&gt;"","・SV","")&amp;IF(V708&lt;&gt;"","・データ送付待ち","")&amp;IF(W708&lt;&gt;"","・削除","")</f>
        <v/>
      </c>
    </row>
    <row r="709" ht="15" customHeight="1" s="87">
      <c r="AL709" s="94">
        <f>IF(A709="","",IF(COUNTIF(A709:A$2001,A709)=1,1,0))</f>
        <v/>
      </c>
      <c r="AM709" s="94">
        <f>IF(I709="","",TODAY()-I709)</f>
        <v/>
      </c>
      <c r="AN709" s="94">
        <f>IF(A709="","",IF(AND(E709&lt;&gt;"33 確認済",E709&lt;&gt;"36 送付中"),1,0))</f>
        <v/>
      </c>
      <c r="AO709" s="94">
        <f>IF(A709="","",IF(AG709&lt;&gt;"",1,0))</f>
        <v/>
      </c>
      <c r="AP709" s="220">
        <f>IF(P709&lt;&gt;"","・添待ち","")&amp;IF(Q709&lt;&gt;"","・住民票","")&amp;IF(R709&lt;&gt;"","・発信","")&amp;IF(S709&lt;&gt;"","・確認事項","")&amp;IF(T709&lt;&gt;"","・管","")&amp;IF(U709&lt;&gt;"","・SV","")&amp;IF(V709&lt;&gt;"","・データ送付待ち","")&amp;IF(W709&lt;&gt;"","・削除","")</f>
        <v/>
      </c>
    </row>
    <row r="710" ht="15" customHeight="1" s="87">
      <c r="AL710" s="94">
        <f>IF(A710="","",IF(COUNTIF(A710:A$2001,A710)=1,1,0))</f>
        <v/>
      </c>
      <c r="AM710" s="94">
        <f>IF(I710="","",TODAY()-I710)</f>
        <v/>
      </c>
      <c r="AN710" s="94">
        <f>IF(A710="","",IF(AND(E710&lt;&gt;"33 確認済",E710&lt;&gt;"36 送付中"),1,0))</f>
        <v/>
      </c>
      <c r="AO710" s="94">
        <f>IF(A710="","",IF(AG710&lt;&gt;"",1,0))</f>
        <v/>
      </c>
      <c r="AP710" s="220">
        <f>IF(P710&lt;&gt;"","・添待ち","")&amp;IF(Q710&lt;&gt;"","・住民票","")&amp;IF(R710&lt;&gt;"","・発信","")&amp;IF(S710&lt;&gt;"","・確認事項","")&amp;IF(T710&lt;&gt;"","・管","")&amp;IF(U710&lt;&gt;"","・SV","")&amp;IF(V710&lt;&gt;"","・データ送付待ち","")&amp;IF(W710&lt;&gt;"","・削除","")</f>
        <v/>
      </c>
    </row>
    <row r="711" ht="15" customHeight="1" s="87">
      <c r="AL711" s="94">
        <f>IF(A711="","",IF(COUNTIF(A711:A$2001,A711)=1,1,0))</f>
        <v/>
      </c>
      <c r="AM711" s="94">
        <f>IF(I711="","",TODAY()-I711)</f>
        <v/>
      </c>
      <c r="AN711" s="94">
        <f>IF(A711="","",IF(AND(E711&lt;&gt;"33 確認済",E711&lt;&gt;"36 送付中"),1,0))</f>
        <v/>
      </c>
      <c r="AO711" s="94">
        <f>IF(A711="","",IF(AG711&lt;&gt;"",1,0))</f>
        <v/>
      </c>
      <c r="AP711" s="220">
        <f>IF(P711&lt;&gt;"","・添待ち","")&amp;IF(Q711&lt;&gt;"","・住民票","")&amp;IF(R711&lt;&gt;"","・発信","")&amp;IF(S711&lt;&gt;"","・確認事項","")&amp;IF(T711&lt;&gt;"","・管","")&amp;IF(U711&lt;&gt;"","・SV","")&amp;IF(V711&lt;&gt;"","・データ送付待ち","")&amp;IF(W711&lt;&gt;"","・削除","")</f>
        <v/>
      </c>
    </row>
    <row r="712" ht="15" customHeight="1" s="87">
      <c r="AL712" s="94">
        <f>IF(A712="","",IF(COUNTIF(A712:A$2001,A712)=1,1,0))</f>
        <v/>
      </c>
      <c r="AM712" s="94">
        <f>IF(I712="","",TODAY()-I712)</f>
        <v/>
      </c>
      <c r="AN712" s="94">
        <f>IF(A712="","",IF(AND(E712&lt;&gt;"33 確認済",E712&lt;&gt;"36 送付中"),1,0))</f>
        <v/>
      </c>
      <c r="AO712" s="94">
        <f>IF(A712="","",IF(AG712&lt;&gt;"",1,0))</f>
        <v/>
      </c>
      <c r="AP712" s="220">
        <f>IF(P712&lt;&gt;"","・添待ち","")&amp;IF(Q712&lt;&gt;"","・住民票","")&amp;IF(R712&lt;&gt;"","・発信","")&amp;IF(S712&lt;&gt;"","・確認事項","")&amp;IF(T712&lt;&gt;"","・管","")&amp;IF(U712&lt;&gt;"","・SV","")&amp;IF(V712&lt;&gt;"","・データ送付待ち","")&amp;IF(W712&lt;&gt;"","・削除","")</f>
        <v/>
      </c>
    </row>
    <row r="713" ht="15" customHeight="1" s="87">
      <c r="AL713" s="94">
        <f>IF(A713="","",IF(COUNTIF(A713:A$2001,A713)=1,1,0))</f>
        <v/>
      </c>
      <c r="AM713" s="94">
        <f>IF(I713="","",TODAY()-I713)</f>
        <v/>
      </c>
      <c r="AN713" s="94">
        <f>IF(A713="","",IF(AND(E713&lt;&gt;"33 確認済",E713&lt;&gt;"36 送付中"),1,0))</f>
        <v/>
      </c>
      <c r="AO713" s="94">
        <f>IF(A713="","",IF(AG713&lt;&gt;"",1,0))</f>
        <v/>
      </c>
      <c r="AP713" s="220">
        <f>IF(P713&lt;&gt;"","・添待ち","")&amp;IF(Q713&lt;&gt;"","・住民票","")&amp;IF(R713&lt;&gt;"","・発信","")&amp;IF(S713&lt;&gt;"","・確認事項","")&amp;IF(T713&lt;&gt;"","・管","")&amp;IF(U713&lt;&gt;"","・SV","")&amp;IF(V713&lt;&gt;"","・データ送付待ち","")&amp;IF(W713&lt;&gt;"","・削除","")</f>
        <v/>
      </c>
    </row>
    <row r="714" ht="15" customHeight="1" s="87">
      <c r="AL714" s="94">
        <f>IF(A714="","",IF(COUNTIF(A714:A$2001,A714)=1,1,0))</f>
        <v/>
      </c>
      <c r="AM714" s="94">
        <f>IF(I714="","",TODAY()-I714)</f>
        <v/>
      </c>
      <c r="AN714" s="94">
        <f>IF(A714="","",IF(AND(E714&lt;&gt;"33 確認済",E714&lt;&gt;"36 送付中"),1,0))</f>
        <v/>
      </c>
      <c r="AO714" s="94">
        <f>IF(A714="","",IF(AG714&lt;&gt;"",1,0))</f>
        <v/>
      </c>
      <c r="AP714" s="220">
        <f>IF(P714&lt;&gt;"","・添待ち","")&amp;IF(Q714&lt;&gt;"","・住民票","")&amp;IF(R714&lt;&gt;"","・発信","")&amp;IF(S714&lt;&gt;"","・確認事項","")&amp;IF(T714&lt;&gt;"","・管","")&amp;IF(U714&lt;&gt;"","・SV","")&amp;IF(V714&lt;&gt;"","・データ送付待ち","")&amp;IF(W714&lt;&gt;"","・削除","")</f>
        <v/>
      </c>
    </row>
    <row r="715" ht="15" customHeight="1" s="87">
      <c r="AL715" s="94">
        <f>IF(A715="","",IF(COUNTIF(A715:A$2001,A715)=1,1,0))</f>
        <v/>
      </c>
      <c r="AM715" s="94">
        <f>IF(I715="","",TODAY()-I715)</f>
        <v/>
      </c>
      <c r="AN715" s="94">
        <f>IF(A715="","",IF(AND(E715&lt;&gt;"33 確認済",E715&lt;&gt;"36 送付中"),1,0))</f>
        <v/>
      </c>
      <c r="AO715" s="94">
        <f>IF(A715="","",IF(AG715&lt;&gt;"",1,0))</f>
        <v/>
      </c>
      <c r="AP715" s="220">
        <f>IF(P715&lt;&gt;"","・添待ち","")&amp;IF(Q715&lt;&gt;"","・住民票","")&amp;IF(R715&lt;&gt;"","・発信","")&amp;IF(S715&lt;&gt;"","・確認事項","")&amp;IF(T715&lt;&gt;"","・管","")&amp;IF(U715&lt;&gt;"","・SV","")&amp;IF(V715&lt;&gt;"","・データ送付待ち","")&amp;IF(W715&lt;&gt;"","・削除","")</f>
        <v/>
      </c>
    </row>
    <row r="716" ht="15" customHeight="1" s="87">
      <c r="AL716" s="94">
        <f>IF(A716="","",IF(COUNTIF(A716:A$2001,A716)=1,1,0))</f>
        <v/>
      </c>
      <c r="AM716" s="94">
        <f>IF(I716="","",TODAY()-I716)</f>
        <v/>
      </c>
      <c r="AN716" s="94">
        <f>IF(A716="","",IF(AND(E716&lt;&gt;"33 確認済",E716&lt;&gt;"36 送付中"),1,0))</f>
        <v/>
      </c>
      <c r="AO716" s="94">
        <f>IF(A716="","",IF(AG716&lt;&gt;"",1,0))</f>
        <v/>
      </c>
      <c r="AP716" s="220">
        <f>IF(P716&lt;&gt;"","・添待ち","")&amp;IF(Q716&lt;&gt;"","・住民票","")&amp;IF(R716&lt;&gt;"","・発信","")&amp;IF(S716&lt;&gt;"","・確認事項","")&amp;IF(T716&lt;&gt;"","・管","")&amp;IF(U716&lt;&gt;"","・SV","")&amp;IF(V716&lt;&gt;"","・データ送付待ち","")&amp;IF(W716&lt;&gt;"","・削除","")</f>
        <v/>
      </c>
    </row>
    <row r="717" ht="15" customHeight="1" s="87">
      <c r="AL717" s="94">
        <f>IF(A717="","",IF(COUNTIF(A717:A$2001,A717)=1,1,0))</f>
        <v/>
      </c>
      <c r="AM717" s="94">
        <f>IF(I717="","",TODAY()-I717)</f>
        <v/>
      </c>
      <c r="AN717" s="94">
        <f>IF(A717="","",IF(AND(E717&lt;&gt;"33 確認済",E717&lt;&gt;"36 送付中"),1,0))</f>
        <v/>
      </c>
      <c r="AO717" s="94">
        <f>IF(A717="","",IF(AG717&lt;&gt;"",1,0))</f>
        <v/>
      </c>
      <c r="AP717" s="220">
        <f>IF(P717&lt;&gt;"","・添待ち","")&amp;IF(Q717&lt;&gt;"","・住民票","")&amp;IF(R717&lt;&gt;"","・発信","")&amp;IF(S717&lt;&gt;"","・確認事項","")&amp;IF(T717&lt;&gt;"","・管","")&amp;IF(U717&lt;&gt;"","・SV","")&amp;IF(V717&lt;&gt;"","・データ送付待ち","")&amp;IF(W717&lt;&gt;"","・削除","")</f>
        <v/>
      </c>
    </row>
    <row r="718" ht="15" customHeight="1" s="87">
      <c r="AL718" s="94">
        <f>IF(A718="","",IF(COUNTIF(A718:A$2001,A718)=1,1,0))</f>
        <v/>
      </c>
      <c r="AM718" s="94">
        <f>IF(I718="","",TODAY()-I718)</f>
        <v/>
      </c>
      <c r="AN718" s="94">
        <f>IF(A718="","",IF(AND(E718&lt;&gt;"33 確認済",E718&lt;&gt;"36 送付中"),1,0))</f>
        <v/>
      </c>
      <c r="AO718" s="94">
        <f>IF(A718="","",IF(AG718&lt;&gt;"",1,0))</f>
        <v/>
      </c>
      <c r="AP718" s="220">
        <f>IF(P718&lt;&gt;"","・添待ち","")&amp;IF(Q718&lt;&gt;"","・住民票","")&amp;IF(R718&lt;&gt;"","・発信","")&amp;IF(S718&lt;&gt;"","・確認事項","")&amp;IF(T718&lt;&gt;"","・管","")&amp;IF(U718&lt;&gt;"","・SV","")&amp;IF(V718&lt;&gt;"","・データ送付待ち","")&amp;IF(W718&lt;&gt;"","・削除","")</f>
        <v/>
      </c>
    </row>
    <row r="719" ht="15" customHeight="1" s="87">
      <c r="AL719" s="94">
        <f>IF(A719="","",IF(COUNTIF(A719:A$2001,A719)=1,1,0))</f>
        <v/>
      </c>
      <c r="AM719" s="94">
        <f>IF(I719="","",TODAY()-I719)</f>
        <v/>
      </c>
      <c r="AN719" s="94">
        <f>IF(A719="","",IF(AND(E719&lt;&gt;"33 確認済",E719&lt;&gt;"36 送付中"),1,0))</f>
        <v/>
      </c>
      <c r="AO719" s="94">
        <f>IF(A719="","",IF(AG719&lt;&gt;"",1,0))</f>
        <v/>
      </c>
      <c r="AP719" s="220">
        <f>IF(P719&lt;&gt;"","・添待ち","")&amp;IF(Q719&lt;&gt;"","・住民票","")&amp;IF(R719&lt;&gt;"","・発信","")&amp;IF(S719&lt;&gt;"","・確認事項","")&amp;IF(T719&lt;&gt;"","・管","")&amp;IF(U719&lt;&gt;"","・SV","")&amp;IF(V719&lt;&gt;"","・データ送付待ち","")&amp;IF(W719&lt;&gt;"","・削除","")</f>
        <v/>
      </c>
    </row>
    <row r="720" ht="15" customHeight="1" s="87">
      <c r="AL720" s="94">
        <f>IF(A720="","",IF(COUNTIF(A720:A$2001,A720)=1,1,0))</f>
        <v/>
      </c>
      <c r="AM720" s="94">
        <f>IF(I720="","",TODAY()-I720)</f>
        <v/>
      </c>
      <c r="AN720" s="94">
        <f>IF(A720="","",IF(AND(E720&lt;&gt;"33 確認済",E720&lt;&gt;"36 送付中"),1,0))</f>
        <v/>
      </c>
      <c r="AO720" s="94">
        <f>IF(A720="","",IF(AG720&lt;&gt;"",1,0))</f>
        <v/>
      </c>
      <c r="AP720" s="220">
        <f>IF(P720&lt;&gt;"","・添待ち","")&amp;IF(Q720&lt;&gt;"","・住民票","")&amp;IF(R720&lt;&gt;"","・発信","")&amp;IF(S720&lt;&gt;"","・確認事項","")&amp;IF(T720&lt;&gt;"","・管","")&amp;IF(U720&lt;&gt;"","・SV","")&amp;IF(V720&lt;&gt;"","・データ送付待ち","")&amp;IF(W720&lt;&gt;"","・削除","")</f>
        <v/>
      </c>
    </row>
    <row r="721" ht="15" customHeight="1" s="87">
      <c r="AL721" s="94">
        <f>IF(A721="","",IF(COUNTIF(A721:A$2001,A721)=1,1,0))</f>
        <v/>
      </c>
      <c r="AM721" s="94">
        <f>IF(I721="","",TODAY()-I721)</f>
        <v/>
      </c>
      <c r="AN721" s="94">
        <f>IF(A721="","",IF(AND(E721&lt;&gt;"33 確認済",E721&lt;&gt;"36 送付中"),1,0))</f>
        <v/>
      </c>
      <c r="AO721" s="94">
        <f>IF(A721="","",IF(AG721&lt;&gt;"",1,0))</f>
        <v/>
      </c>
      <c r="AP721" s="220">
        <f>IF(P721&lt;&gt;"","・添待ち","")&amp;IF(Q721&lt;&gt;"","・住民票","")&amp;IF(R721&lt;&gt;"","・発信","")&amp;IF(S721&lt;&gt;"","・確認事項","")&amp;IF(T721&lt;&gt;"","・管","")&amp;IF(U721&lt;&gt;"","・SV","")&amp;IF(V721&lt;&gt;"","・データ送付待ち","")&amp;IF(W721&lt;&gt;"","・削除","")</f>
        <v/>
      </c>
    </row>
    <row r="722" ht="15" customHeight="1" s="87">
      <c r="AL722" s="94">
        <f>IF(A722="","",IF(COUNTIF(A722:A$2001,A722)=1,1,0))</f>
        <v/>
      </c>
      <c r="AM722" s="94">
        <f>IF(I722="","",TODAY()-I722)</f>
        <v/>
      </c>
      <c r="AN722" s="94">
        <f>IF(A722="","",IF(AND(E722&lt;&gt;"33 確認済",E722&lt;&gt;"36 送付中"),1,0))</f>
        <v/>
      </c>
      <c r="AO722" s="94">
        <f>IF(A722="","",IF(AG722&lt;&gt;"",1,0))</f>
        <v/>
      </c>
      <c r="AP722" s="220">
        <f>IF(P722&lt;&gt;"","・添待ち","")&amp;IF(Q722&lt;&gt;"","・住民票","")&amp;IF(R722&lt;&gt;"","・発信","")&amp;IF(S722&lt;&gt;"","・確認事項","")&amp;IF(T722&lt;&gt;"","・管","")&amp;IF(U722&lt;&gt;"","・SV","")&amp;IF(V722&lt;&gt;"","・データ送付待ち","")&amp;IF(W722&lt;&gt;"","・削除","")</f>
        <v/>
      </c>
    </row>
    <row r="723" ht="15" customHeight="1" s="87">
      <c r="AL723" s="94">
        <f>IF(A723="","",IF(COUNTIF(A723:A$2001,A723)=1,1,0))</f>
        <v/>
      </c>
      <c r="AM723" s="94">
        <f>IF(I723="","",TODAY()-I723)</f>
        <v/>
      </c>
      <c r="AN723" s="94">
        <f>IF(A723="","",IF(AND(E723&lt;&gt;"33 確認済",E723&lt;&gt;"36 送付中"),1,0))</f>
        <v/>
      </c>
      <c r="AO723" s="94">
        <f>IF(A723="","",IF(AG723&lt;&gt;"",1,0))</f>
        <v/>
      </c>
      <c r="AP723" s="220">
        <f>IF(P723&lt;&gt;"","・添待ち","")&amp;IF(Q723&lt;&gt;"","・住民票","")&amp;IF(R723&lt;&gt;"","・発信","")&amp;IF(S723&lt;&gt;"","・確認事項","")&amp;IF(T723&lt;&gt;"","・管","")&amp;IF(U723&lt;&gt;"","・SV","")&amp;IF(V723&lt;&gt;"","・データ送付待ち","")&amp;IF(W723&lt;&gt;"","・削除","")</f>
        <v/>
      </c>
    </row>
    <row r="724" ht="15" customHeight="1" s="87">
      <c r="AL724" s="94">
        <f>IF(A724="","",IF(COUNTIF(A724:A$2001,A724)=1,1,0))</f>
        <v/>
      </c>
      <c r="AM724" s="94">
        <f>IF(I724="","",TODAY()-I724)</f>
        <v/>
      </c>
      <c r="AN724" s="94">
        <f>IF(A724="","",IF(AND(E724&lt;&gt;"33 確認済",E724&lt;&gt;"36 送付中"),1,0))</f>
        <v/>
      </c>
      <c r="AO724" s="94">
        <f>IF(A724="","",IF(AG724&lt;&gt;"",1,0))</f>
        <v/>
      </c>
      <c r="AP724" s="220">
        <f>IF(P724&lt;&gt;"","・添待ち","")&amp;IF(Q724&lt;&gt;"","・住民票","")&amp;IF(R724&lt;&gt;"","・発信","")&amp;IF(S724&lt;&gt;"","・確認事項","")&amp;IF(T724&lt;&gt;"","・管","")&amp;IF(U724&lt;&gt;"","・SV","")&amp;IF(V724&lt;&gt;"","・データ送付待ち","")&amp;IF(W724&lt;&gt;"","・削除","")</f>
        <v/>
      </c>
    </row>
    <row r="725" ht="15" customHeight="1" s="87">
      <c r="AL725" s="94">
        <f>IF(A725="","",IF(COUNTIF(A725:A$2001,A725)=1,1,0))</f>
        <v/>
      </c>
      <c r="AM725" s="94">
        <f>IF(I725="","",TODAY()-I725)</f>
        <v/>
      </c>
      <c r="AN725" s="94">
        <f>IF(A725="","",IF(AND(E725&lt;&gt;"33 確認済",E725&lt;&gt;"36 送付中"),1,0))</f>
        <v/>
      </c>
      <c r="AO725" s="94">
        <f>IF(A725="","",IF(AG725&lt;&gt;"",1,0))</f>
        <v/>
      </c>
      <c r="AP725" s="220">
        <f>IF(P725&lt;&gt;"","・添待ち","")&amp;IF(Q725&lt;&gt;"","・住民票","")&amp;IF(R725&lt;&gt;"","・発信","")&amp;IF(S725&lt;&gt;"","・確認事項","")&amp;IF(T725&lt;&gt;"","・管","")&amp;IF(U725&lt;&gt;"","・SV","")&amp;IF(V725&lt;&gt;"","・データ送付待ち","")&amp;IF(W725&lt;&gt;"","・削除","")</f>
        <v/>
      </c>
    </row>
    <row r="726" ht="15" customHeight="1" s="87">
      <c r="AL726" s="94">
        <f>IF(A726="","",IF(COUNTIF(A726:A$2001,A726)=1,1,0))</f>
        <v/>
      </c>
      <c r="AM726" s="94">
        <f>IF(I726="","",TODAY()-I726)</f>
        <v/>
      </c>
      <c r="AN726" s="94">
        <f>IF(A726="","",IF(AND(E726&lt;&gt;"33 確認済",E726&lt;&gt;"36 送付中"),1,0))</f>
        <v/>
      </c>
      <c r="AO726" s="94">
        <f>IF(A726="","",IF(AG726&lt;&gt;"",1,0))</f>
        <v/>
      </c>
      <c r="AP726" s="220">
        <f>IF(P726&lt;&gt;"","・添待ち","")&amp;IF(Q726&lt;&gt;"","・住民票","")&amp;IF(R726&lt;&gt;"","・発信","")&amp;IF(S726&lt;&gt;"","・確認事項","")&amp;IF(T726&lt;&gt;"","・管","")&amp;IF(U726&lt;&gt;"","・SV","")&amp;IF(V726&lt;&gt;"","・データ送付待ち","")&amp;IF(W726&lt;&gt;"","・削除","")</f>
        <v/>
      </c>
    </row>
    <row r="727" ht="15" customHeight="1" s="87">
      <c r="AL727" s="94">
        <f>IF(A727="","",IF(COUNTIF(A727:A$2001,A727)=1,1,0))</f>
        <v/>
      </c>
      <c r="AM727" s="94">
        <f>IF(I727="","",TODAY()-I727)</f>
        <v/>
      </c>
      <c r="AN727" s="94">
        <f>IF(A727="","",IF(AND(E727&lt;&gt;"33 確認済",E727&lt;&gt;"36 送付中"),1,0))</f>
        <v/>
      </c>
      <c r="AO727" s="94">
        <f>IF(A727="","",IF(AG727&lt;&gt;"",1,0))</f>
        <v/>
      </c>
      <c r="AP727" s="220">
        <f>IF(P727&lt;&gt;"","・添待ち","")&amp;IF(Q727&lt;&gt;"","・住民票","")&amp;IF(R727&lt;&gt;"","・発信","")&amp;IF(S727&lt;&gt;"","・確認事項","")&amp;IF(T727&lt;&gt;"","・管","")&amp;IF(U727&lt;&gt;"","・SV","")&amp;IF(V727&lt;&gt;"","・データ送付待ち","")&amp;IF(W727&lt;&gt;"","・削除","")</f>
        <v/>
      </c>
    </row>
    <row r="728" ht="15" customHeight="1" s="87">
      <c r="AL728" s="94">
        <f>IF(A728="","",IF(COUNTIF(A728:A$2001,A728)=1,1,0))</f>
        <v/>
      </c>
      <c r="AM728" s="94">
        <f>IF(I728="","",TODAY()-I728)</f>
        <v/>
      </c>
      <c r="AN728" s="94">
        <f>IF(A728="","",IF(AND(E728&lt;&gt;"33 確認済",E728&lt;&gt;"36 送付中"),1,0))</f>
        <v/>
      </c>
      <c r="AO728" s="94">
        <f>IF(A728="","",IF(AG728&lt;&gt;"",1,0))</f>
        <v/>
      </c>
      <c r="AP728" s="220">
        <f>IF(P728&lt;&gt;"","・添待ち","")&amp;IF(Q728&lt;&gt;"","・住民票","")&amp;IF(R728&lt;&gt;"","・発信","")&amp;IF(S728&lt;&gt;"","・確認事項","")&amp;IF(T728&lt;&gt;"","・管","")&amp;IF(U728&lt;&gt;"","・SV","")&amp;IF(V728&lt;&gt;"","・データ送付待ち","")&amp;IF(W728&lt;&gt;"","・削除","")</f>
        <v/>
      </c>
    </row>
    <row r="729" ht="15" customHeight="1" s="87">
      <c r="AL729" s="94">
        <f>IF(A729="","",IF(COUNTIF(A729:A$2001,A729)=1,1,0))</f>
        <v/>
      </c>
      <c r="AM729" s="94">
        <f>IF(I729="","",TODAY()-I729)</f>
        <v/>
      </c>
      <c r="AN729" s="94">
        <f>IF(A729="","",IF(AND(E729&lt;&gt;"33 確認済",E729&lt;&gt;"36 送付中"),1,0))</f>
        <v/>
      </c>
      <c r="AO729" s="94">
        <f>IF(A729="","",IF(AG729&lt;&gt;"",1,0))</f>
        <v/>
      </c>
      <c r="AP729" s="220">
        <f>IF(P729&lt;&gt;"","・添待ち","")&amp;IF(Q729&lt;&gt;"","・住民票","")&amp;IF(R729&lt;&gt;"","・発信","")&amp;IF(S729&lt;&gt;"","・確認事項","")&amp;IF(T729&lt;&gt;"","・管","")&amp;IF(U729&lt;&gt;"","・SV","")&amp;IF(V729&lt;&gt;"","・データ送付待ち","")&amp;IF(W729&lt;&gt;"","・削除","")</f>
        <v/>
      </c>
    </row>
    <row r="730" ht="15" customHeight="1" s="87">
      <c r="AL730" s="94">
        <f>IF(A730="","",IF(COUNTIF(A730:A$2001,A730)=1,1,0))</f>
        <v/>
      </c>
      <c r="AM730" s="94">
        <f>IF(I730="","",TODAY()-I730)</f>
        <v/>
      </c>
      <c r="AN730" s="94">
        <f>IF(A730="","",IF(AND(E730&lt;&gt;"33 確認済",E730&lt;&gt;"36 送付中"),1,0))</f>
        <v/>
      </c>
      <c r="AO730" s="94">
        <f>IF(A730="","",IF(AG730&lt;&gt;"",1,0))</f>
        <v/>
      </c>
      <c r="AP730" s="220">
        <f>IF(P730&lt;&gt;"","・添待ち","")&amp;IF(Q730&lt;&gt;"","・住民票","")&amp;IF(R730&lt;&gt;"","・発信","")&amp;IF(S730&lt;&gt;"","・確認事項","")&amp;IF(T730&lt;&gt;"","・管","")&amp;IF(U730&lt;&gt;"","・SV","")&amp;IF(V730&lt;&gt;"","・データ送付待ち","")&amp;IF(W730&lt;&gt;"","・削除","")</f>
        <v/>
      </c>
    </row>
    <row r="731" ht="15" customHeight="1" s="87">
      <c r="AL731" s="94">
        <f>IF(A731="","",IF(COUNTIF(A731:A$2001,A731)=1,1,0))</f>
        <v/>
      </c>
      <c r="AM731" s="94">
        <f>IF(I731="","",TODAY()-I731)</f>
        <v/>
      </c>
      <c r="AN731" s="94">
        <f>IF(A731="","",IF(AND(E731&lt;&gt;"33 確認済",E731&lt;&gt;"36 送付中"),1,0))</f>
        <v/>
      </c>
      <c r="AO731" s="94">
        <f>IF(A731="","",IF(AG731&lt;&gt;"",1,0))</f>
        <v/>
      </c>
      <c r="AP731" s="220">
        <f>IF(P731&lt;&gt;"","・添待ち","")&amp;IF(Q731&lt;&gt;"","・住民票","")&amp;IF(R731&lt;&gt;"","・発信","")&amp;IF(S731&lt;&gt;"","・確認事項","")&amp;IF(T731&lt;&gt;"","・管","")&amp;IF(U731&lt;&gt;"","・SV","")&amp;IF(V731&lt;&gt;"","・データ送付待ち","")&amp;IF(W731&lt;&gt;"","・削除","")</f>
        <v/>
      </c>
    </row>
    <row r="732" ht="15" customHeight="1" s="87">
      <c r="AL732" s="94">
        <f>IF(A732="","",IF(COUNTIF(A732:A$2001,A732)=1,1,0))</f>
        <v/>
      </c>
      <c r="AM732" s="94">
        <f>IF(I732="","",TODAY()-I732)</f>
        <v/>
      </c>
      <c r="AN732" s="94">
        <f>IF(A732="","",IF(AND(E732&lt;&gt;"33 確認済",E732&lt;&gt;"36 送付中"),1,0))</f>
        <v/>
      </c>
      <c r="AO732" s="94">
        <f>IF(A732="","",IF(AG732&lt;&gt;"",1,0))</f>
        <v/>
      </c>
      <c r="AP732" s="220">
        <f>IF(P732&lt;&gt;"","・添待ち","")&amp;IF(Q732&lt;&gt;"","・住民票","")&amp;IF(R732&lt;&gt;"","・発信","")&amp;IF(S732&lt;&gt;"","・確認事項","")&amp;IF(T732&lt;&gt;"","・管","")&amp;IF(U732&lt;&gt;"","・SV","")&amp;IF(V732&lt;&gt;"","・データ送付待ち","")&amp;IF(W732&lt;&gt;"","・削除","")</f>
        <v/>
      </c>
    </row>
    <row r="733" ht="15" customHeight="1" s="87">
      <c r="AL733" s="94">
        <f>IF(A733="","",IF(COUNTIF(A733:A$2001,A733)=1,1,0))</f>
        <v/>
      </c>
      <c r="AM733" s="94">
        <f>IF(I733="","",TODAY()-I733)</f>
        <v/>
      </c>
      <c r="AN733" s="94">
        <f>IF(A733="","",IF(AND(E733&lt;&gt;"33 確認済",E733&lt;&gt;"36 送付中"),1,0))</f>
        <v/>
      </c>
      <c r="AO733" s="94">
        <f>IF(A733="","",IF(AG733&lt;&gt;"",1,0))</f>
        <v/>
      </c>
      <c r="AP733" s="220">
        <f>IF(P733&lt;&gt;"","・添待ち","")&amp;IF(Q733&lt;&gt;"","・住民票","")&amp;IF(R733&lt;&gt;"","・発信","")&amp;IF(S733&lt;&gt;"","・確認事項","")&amp;IF(T733&lt;&gt;"","・管","")&amp;IF(U733&lt;&gt;"","・SV","")&amp;IF(V733&lt;&gt;"","・データ送付待ち","")&amp;IF(W733&lt;&gt;"","・削除","")</f>
        <v/>
      </c>
    </row>
    <row r="734" ht="15" customHeight="1" s="87">
      <c r="AL734" s="94">
        <f>IF(A734="","",IF(COUNTIF(A734:A$2001,A734)=1,1,0))</f>
        <v/>
      </c>
      <c r="AM734" s="94">
        <f>IF(I734="","",TODAY()-I734)</f>
        <v/>
      </c>
      <c r="AN734" s="94">
        <f>IF(A734="","",IF(AND(E734&lt;&gt;"33 確認済",E734&lt;&gt;"36 送付中"),1,0))</f>
        <v/>
      </c>
      <c r="AO734" s="94">
        <f>IF(A734="","",IF(AG734&lt;&gt;"",1,0))</f>
        <v/>
      </c>
      <c r="AP734" s="220">
        <f>IF(P734&lt;&gt;"","・添待ち","")&amp;IF(Q734&lt;&gt;"","・住民票","")&amp;IF(R734&lt;&gt;"","・発信","")&amp;IF(S734&lt;&gt;"","・確認事項","")&amp;IF(T734&lt;&gt;"","・管","")&amp;IF(U734&lt;&gt;"","・SV","")&amp;IF(V734&lt;&gt;"","・データ送付待ち","")&amp;IF(W734&lt;&gt;"","・削除","")</f>
        <v/>
      </c>
    </row>
    <row r="735" ht="15" customHeight="1" s="87">
      <c r="AL735" s="94">
        <f>IF(A735="","",IF(COUNTIF(A735:A$2001,A735)=1,1,0))</f>
        <v/>
      </c>
      <c r="AM735" s="94">
        <f>IF(I735="","",TODAY()-I735)</f>
        <v/>
      </c>
      <c r="AN735" s="94">
        <f>IF(A735="","",IF(AND(E735&lt;&gt;"33 確認済",E735&lt;&gt;"36 送付中"),1,0))</f>
        <v/>
      </c>
      <c r="AO735" s="94">
        <f>IF(A735="","",IF(AG735&lt;&gt;"",1,0))</f>
        <v/>
      </c>
      <c r="AP735" s="220">
        <f>IF(P735&lt;&gt;"","・添待ち","")&amp;IF(Q735&lt;&gt;"","・住民票","")&amp;IF(R735&lt;&gt;"","・発信","")&amp;IF(S735&lt;&gt;"","・確認事項","")&amp;IF(T735&lt;&gt;"","・管","")&amp;IF(U735&lt;&gt;"","・SV","")&amp;IF(V735&lt;&gt;"","・データ送付待ち","")&amp;IF(W735&lt;&gt;"","・削除","")</f>
        <v/>
      </c>
    </row>
    <row r="736" ht="15" customHeight="1" s="87">
      <c r="AL736" s="94">
        <f>IF(A736="","",IF(COUNTIF(A736:A$2001,A736)=1,1,0))</f>
        <v/>
      </c>
      <c r="AM736" s="94">
        <f>IF(I736="","",TODAY()-I736)</f>
        <v/>
      </c>
      <c r="AN736" s="94">
        <f>IF(A736="","",IF(AND(E736&lt;&gt;"33 確認済",E736&lt;&gt;"36 送付中"),1,0))</f>
        <v/>
      </c>
      <c r="AO736" s="94">
        <f>IF(A736="","",IF(AG736&lt;&gt;"",1,0))</f>
        <v/>
      </c>
      <c r="AP736" s="220">
        <f>IF(P736&lt;&gt;"","・添待ち","")&amp;IF(Q736&lt;&gt;"","・住民票","")&amp;IF(R736&lt;&gt;"","・発信","")&amp;IF(S736&lt;&gt;"","・確認事項","")&amp;IF(T736&lt;&gt;"","・管","")&amp;IF(U736&lt;&gt;"","・SV","")&amp;IF(V736&lt;&gt;"","・データ送付待ち","")&amp;IF(W736&lt;&gt;"","・削除","")</f>
        <v/>
      </c>
    </row>
    <row r="737" ht="15" customHeight="1" s="87">
      <c r="AL737" s="94">
        <f>IF(A737="","",IF(COUNTIF(A737:A$2001,A737)=1,1,0))</f>
        <v/>
      </c>
      <c r="AM737" s="94">
        <f>IF(I737="","",TODAY()-I737)</f>
        <v/>
      </c>
      <c r="AN737" s="94">
        <f>IF(A737="","",IF(AND(E737&lt;&gt;"33 確認済",E737&lt;&gt;"36 送付中"),1,0))</f>
        <v/>
      </c>
      <c r="AO737" s="94">
        <f>IF(A737="","",IF(AG737&lt;&gt;"",1,0))</f>
        <v/>
      </c>
      <c r="AP737" s="220">
        <f>IF(P737&lt;&gt;"","・添待ち","")&amp;IF(Q737&lt;&gt;"","・住民票","")&amp;IF(R737&lt;&gt;"","・発信","")&amp;IF(S737&lt;&gt;"","・確認事項","")&amp;IF(T737&lt;&gt;"","・管","")&amp;IF(U737&lt;&gt;"","・SV","")&amp;IF(V737&lt;&gt;"","・データ送付待ち","")&amp;IF(W737&lt;&gt;"","・削除","")</f>
        <v/>
      </c>
    </row>
    <row r="738" ht="15" customHeight="1" s="87">
      <c r="AL738" s="94">
        <f>IF(A738="","",IF(COUNTIF(A738:A$2001,A738)=1,1,0))</f>
        <v/>
      </c>
      <c r="AM738" s="94">
        <f>IF(I738="","",TODAY()-I738)</f>
        <v/>
      </c>
      <c r="AN738" s="94">
        <f>IF(A738="","",IF(AND(E738&lt;&gt;"33 確認済",E738&lt;&gt;"36 送付中"),1,0))</f>
        <v/>
      </c>
      <c r="AO738" s="94">
        <f>IF(A738="","",IF(AG738&lt;&gt;"",1,0))</f>
        <v/>
      </c>
      <c r="AP738" s="220">
        <f>IF(P738&lt;&gt;"","・添待ち","")&amp;IF(Q738&lt;&gt;"","・住民票","")&amp;IF(R738&lt;&gt;"","・発信","")&amp;IF(S738&lt;&gt;"","・確認事項","")&amp;IF(T738&lt;&gt;"","・管","")&amp;IF(U738&lt;&gt;"","・SV","")&amp;IF(V738&lt;&gt;"","・データ送付待ち","")&amp;IF(W738&lt;&gt;"","・削除","")</f>
        <v/>
      </c>
    </row>
    <row r="739" ht="15" customHeight="1" s="87">
      <c r="AL739" s="94">
        <f>IF(A739="","",IF(COUNTIF(A739:A$2001,A739)=1,1,0))</f>
        <v/>
      </c>
      <c r="AM739" s="94">
        <f>IF(I739="","",TODAY()-I739)</f>
        <v/>
      </c>
      <c r="AN739" s="94">
        <f>IF(A739="","",IF(AND(E739&lt;&gt;"33 確認済",E739&lt;&gt;"36 送付中"),1,0))</f>
        <v/>
      </c>
      <c r="AO739" s="94">
        <f>IF(A739="","",IF(AG739&lt;&gt;"",1,0))</f>
        <v/>
      </c>
      <c r="AP739" s="220">
        <f>IF(P739&lt;&gt;"","・添待ち","")&amp;IF(Q739&lt;&gt;"","・住民票","")&amp;IF(R739&lt;&gt;"","・発信","")&amp;IF(S739&lt;&gt;"","・確認事項","")&amp;IF(T739&lt;&gt;"","・管","")&amp;IF(U739&lt;&gt;"","・SV","")&amp;IF(V739&lt;&gt;"","・データ送付待ち","")&amp;IF(W739&lt;&gt;"","・削除","")</f>
        <v/>
      </c>
    </row>
    <row r="740" ht="15" customHeight="1" s="87">
      <c r="AL740" s="94">
        <f>IF(A740="","",IF(COUNTIF(A740:A$2001,A740)=1,1,0))</f>
        <v/>
      </c>
      <c r="AM740" s="94">
        <f>IF(I740="","",TODAY()-I740)</f>
        <v/>
      </c>
      <c r="AN740" s="94">
        <f>IF(A740="","",IF(AND(E740&lt;&gt;"33 確認済",E740&lt;&gt;"36 送付中"),1,0))</f>
        <v/>
      </c>
      <c r="AO740" s="94">
        <f>IF(A740="","",IF(AG740&lt;&gt;"",1,0))</f>
        <v/>
      </c>
      <c r="AP740" s="220">
        <f>IF(P740&lt;&gt;"","・添待ち","")&amp;IF(Q740&lt;&gt;"","・住民票","")&amp;IF(R740&lt;&gt;"","・発信","")&amp;IF(S740&lt;&gt;"","・確認事項","")&amp;IF(T740&lt;&gt;"","・管","")&amp;IF(U740&lt;&gt;"","・SV","")&amp;IF(V740&lt;&gt;"","・データ送付待ち","")&amp;IF(W740&lt;&gt;"","・削除","")</f>
        <v/>
      </c>
    </row>
    <row r="741" ht="15" customHeight="1" s="87">
      <c r="AL741" s="94">
        <f>IF(A741="","",IF(COUNTIF(A741:A$2001,A741)=1,1,0))</f>
        <v/>
      </c>
      <c r="AM741" s="94">
        <f>IF(I741="","",TODAY()-I741)</f>
        <v/>
      </c>
      <c r="AN741" s="94">
        <f>IF(A741="","",IF(AND(E741&lt;&gt;"33 確認済",E741&lt;&gt;"36 送付中"),1,0))</f>
        <v/>
      </c>
      <c r="AO741" s="94">
        <f>IF(A741="","",IF(AG741&lt;&gt;"",1,0))</f>
        <v/>
      </c>
      <c r="AP741" s="220">
        <f>IF(P741&lt;&gt;"","・添待ち","")&amp;IF(Q741&lt;&gt;"","・住民票","")&amp;IF(R741&lt;&gt;"","・発信","")&amp;IF(S741&lt;&gt;"","・確認事項","")&amp;IF(T741&lt;&gt;"","・管","")&amp;IF(U741&lt;&gt;"","・SV","")&amp;IF(V741&lt;&gt;"","・データ送付待ち","")&amp;IF(W741&lt;&gt;"","・削除","")</f>
        <v/>
      </c>
    </row>
    <row r="742" ht="15" customHeight="1" s="87">
      <c r="AL742" s="94">
        <f>IF(A742="","",IF(COUNTIF(A742:A$2001,A742)=1,1,0))</f>
        <v/>
      </c>
      <c r="AM742" s="94">
        <f>IF(I742="","",TODAY()-I742)</f>
        <v/>
      </c>
      <c r="AN742" s="94">
        <f>IF(A742="","",IF(AND(E742&lt;&gt;"33 確認済",E742&lt;&gt;"36 送付中"),1,0))</f>
        <v/>
      </c>
      <c r="AO742" s="94">
        <f>IF(A742="","",IF(AG742&lt;&gt;"",1,0))</f>
        <v/>
      </c>
      <c r="AP742" s="220">
        <f>IF(P742&lt;&gt;"","・添待ち","")&amp;IF(Q742&lt;&gt;"","・住民票","")&amp;IF(R742&lt;&gt;"","・発信","")&amp;IF(S742&lt;&gt;"","・確認事項","")&amp;IF(T742&lt;&gt;"","・管","")&amp;IF(U742&lt;&gt;"","・SV","")&amp;IF(V742&lt;&gt;"","・データ送付待ち","")&amp;IF(W742&lt;&gt;"","・削除","")</f>
        <v/>
      </c>
    </row>
    <row r="743" ht="15" customHeight="1" s="87">
      <c r="AL743" s="94">
        <f>IF(A743="","",IF(COUNTIF(A743:A$2001,A743)=1,1,0))</f>
        <v/>
      </c>
      <c r="AM743" s="94">
        <f>IF(I743="","",TODAY()-I743)</f>
        <v/>
      </c>
      <c r="AN743" s="94">
        <f>IF(A743="","",IF(AND(E743&lt;&gt;"33 確認済",E743&lt;&gt;"36 送付中"),1,0))</f>
        <v/>
      </c>
      <c r="AO743" s="94">
        <f>IF(A743="","",IF(AG743&lt;&gt;"",1,0))</f>
        <v/>
      </c>
      <c r="AP743" s="220">
        <f>IF(P743&lt;&gt;"","・添待ち","")&amp;IF(Q743&lt;&gt;"","・住民票","")&amp;IF(R743&lt;&gt;"","・発信","")&amp;IF(S743&lt;&gt;"","・確認事項","")&amp;IF(T743&lt;&gt;"","・管","")&amp;IF(U743&lt;&gt;"","・SV","")&amp;IF(V743&lt;&gt;"","・データ送付待ち","")&amp;IF(W743&lt;&gt;"","・削除","")</f>
        <v/>
      </c>
    </row>
    <row r="744" ht="15" customHeight="1" s="87">
      <c r="AL744" s="94">
        <f>IF(A744="","",IF(COUNTIF(A744:A$2001,A744)=1,1,0))</f>
        <v/>
      </c>
      <c r="AM744" s="94">
        <f>IF(I744="","",TODAY()-I744)</f>
        <v/>
      </c>
      <c r="AN744" s="94">
        <f>IF(A744="","",IF(AND(E744&lt;&gt;"33 確認済",E744&lt;&gt;"36 送付中"),1,0))</f>
        <v/>
      </c>
      <c r="AO744" s="94">
        <f>IF(A744="","",IF(AG744&lt;&gt;"",1,0))</f>
        <v/>
      </c>
      <c r="AP744" s="220">
        <f>IF(P744&lt;&gt;"","・添待ち","")&amp;IF(Q744&lt;&gt;"","・住民票","")&amp;IF(R744&lt;&gt;"","・発信","")&amp;IF(S744&lt;&gt;"","・確認事項","")&amp;IF(T744&lt;&gt;"","・管","")&amp;IF(U744&lt;&gt;"","・SV","")&amp;IF(V744&lt;&gt;"","・データ送付待ち","")&amp;IF(W744&lt;&gt;"","・削除","")</f>
        <v/>
      </c>
    </row>
    <row r="745" ht="15" customHeight="1" s="87">
      <c r="AL745" s="94">
        <f>IF(A745="","",IF(COUNTIF(A745:A$2001,A745)=1,1,0))</f>
        <v/>
      </c>
      <c r="AM745" s="94">
        <f>IF(I745="","",TODAY()-I745)</f>
        <v/>
      </c>
      <c r="AN745" s="94">
        <f>IF(A745="","",IF(AND(E745&lt;&gt;"33 確認済",E745&lt;&gt;"36 送付中"),1,0))</f>
        <v/>
      </c>
      <c r="AO745" s="94">
        <f>IF(A745="","",IF(AG745&lt;&gt;"",1,0))</f>
        <v/>
      </c>
      <c r="AP745" s="220">
        <f>IF(P745&lt;&gt;"","・添待ち","")&amp;IF(Q745&lt;&gt;"","・住民票","")&amp;IF(R745&lt;&gt;"","・発信","")&amp;IF(S745&lt;&gt;"","・確認事項","")&amp;IF(T745&lt;&gt;"","・管","")&amp;IF(U745&lt;&gt;"","・SV","")&amp;IF(V745&lt;&gt;"","・データ送付待ち","")&amp;IF(W745&lt;&gt;"","・削除","")</f>
        <v/>
      </c>
    </row>
    <row r="746" ht="15" customHeight="1" s="87">
      <c r="AL746" s="94">
        <f>IF(A746="","",IF(COUNTIF(A746:A$2001,A746)=1,1,0))</f>
        <v/>
      </c>
      <c r="AM746" s="94">
        <f>IF(I746="","",TODAY()-I746)</f>
        <v/>
      </c>
      <c r="AN746" s="94">
        <f>IF(A746="","",IF(AND(E746&lt;&gt;"33 確認済",E746&lt;&gt;"36 送付中"),1,0))</f>
        <v/>
      </c>
      <c r="AO746" s="94">
        <f>IF(A746="","",IF(AG746&lt;&gt;"",1,0))</f>
        <v/>
      </c>
      <c r="AP746" s="220">
        <f>IF(P746&lt;&gt;"","・添待ち","")&amp;IF(Q746&lt;&gt;"","・住民票","")&amp;IF(R746&lt;&gt;"","・発信","")&amp;IF(S746&lt;&gt;"","・確認事項","")&amp;IF(T746&lt;&gt;"","・管","")&amp;IF(U746&lt;&gt;"","・SV","")&amp;IF(V746&lt;&gt;"","・データ送付待ち","")&amp;IF(W746&lt;&gt;"","・削除","")</f>
        <v/>
      </c>
    </row>
    <row r="747" ht="15" customHeight="1" s="87">
      <c r="AL747" s="94">
        <f>IF(A747="","",IF(COUNTIF(A747:A$2001,A747)=1,1,0))</f>
        <v/>
      </c>
      <c r="AM747" s="94">
        <f>IF(I747="","",TODAY()-I747)</f>
        <v/>
      </c>
      <c r="AN747" s="94">
        <f>IF(A747="","",IF(AND(E747&lt;&gt;"33 確認済",E747&lt;&gt;"36 送付中"),1,0))</f>
        <v/>
      </c>
      <c r="AO747" s="94">
        <f>IF(A747="","",IF(AG747&lt;&gt;"",1,0))</f>
        <v/>
      </c>
      <c r="AP747" s="220">
        <f>IF(P747&lt;&gt;"","・添待ち","")&amp;IF(Q747&lt;&gt;"","・住民票","")&amp;IF(R747&lt;&gt;"","・発信","")&amp;IF(S747&lt;&gt;"","・確認事項","")&amp;IF(T747&lt;&gt;"","・管","")&amp;IF(U747&lt;&gt;"","・SV","")&amp;IF(V747&lt;&gt;"","・データ送付待ち","")&amp;IF(W747&lt;&gt;"","・削除","")</f>
        <v/>
      </c>
    </row>
    <row r="748" ht="15" customHeight="1" s="87">
      <c r="AL748" s="94">
        <f>IF(A748="","",IF(COUNTIF(A748:A$2001,A748)=1,1,0))</f>
        <v/>
      </c>
      <c r="AM748" s="94">
        <f>IF(I748="","",TODAY()-I748)</f>
        <v/>
      </c>
      <c r="AN748" s="94">
        <f>IF(A748="","",IF(AND(E748&lt;&gt;"33 確認済",E748&lt;&gt;"36 送付中"),1,0))</f>
        <v/>
      </c>
      <c r="AO748" s="94">
        <f>IF(A748="","",IF(AG748&lt;&gt;"",1,0))</f>
        <v/>
      </c>
      <c r="AP748" s="220">
        <f>IF(P748&lt;&gt;"","・添待ち","")&amp;IF(Q748&lt;&gt;"","・住民票","")&amp;IF(R748&lt;&gt;"","・発信","")&amp;IF(S748&lt;&gt;"","・確認事項","")&amp;IF(T748&lt;&gt;"","・管","")&amp;IF(U748&lt;&gt;"","・SV","")&amp;IF(V748&lt;&gt;"","・データ送付待ち","")&amp;IF(W748&lt;&gt;"","・削除","")</f>
        <v/>
      </c>
    </row>
    <row r="749" ht="15" customHeight="1" s="87">
      <c r="AL749" s="94">
        <f>IF(A749="","",IF(COUNTIF(A749:A$2001,A749)=1,1,0))</f>
        <v/>
      </c>
      <c r="AM749" s="94">
        <f>IF(I749="","",TODAY()-I749)</f>
        <v/>
      </c>
      <c r="AN749" s="94">
        <f>IF(A749="","",IF(AND(E749&lt;&gt;"33 確認済",E749&lt;&gt;"36 送付中"),1,0))</f>
        <v/>
      </c>
      <c r="AO749" s="94">
        <f>IF(A749="","",IF(AG749&lt;&gt;"",1,0))</f>
        <v/>
      </c>
      <c r="AP749" s="220">
        <f>IF(P749&lt;&gt;"","・添待ち","")&amp;IF(Q749&lt;&gt;"","・住民票","")&amp;IF(R749&lt;&gt;"","・発信","")&amp;IF(S749&lt;&gt;"","・確認事項","")&amp;IF(T749&lt;&gt;"","・管","")&amp;IF(U749&lt;&gt;"","・SV","")&amp;IF(V749&lt;&gt;"","・データ送付待ち","")&amp;IF(W749&lt;&gt;"","・削除","")</f>
        <v/>
      </c>
    </row>
    <row r="750" ht="15" customHeight="1" s="87">
      <c r="AL750" s="94">
        <f>IF(A750="","",IF(COUNTIF(A750:A$2001,A750)=1,1,0))</f>
        <v/>
      </c>
      <c r="AM750" s="94">
        <f>IF(I750="","",TODAY()-I750)</f>
        <v/>
      </c>
      <c r="AN750" s="94">
        <f>IF(A750="","",IF(AND(E750&lt;&gt;"33 確認済",E750&lt;&gt;"36 送付中"),1,0))</f>
        <v/>
      </c>
      <c r="AO750" s="94">
        <f>IF(A750="","",IF(AG750&lt;&gt;"",1,0))</f>
        <v/>
      </c>
      <c r="AP750" s="220">
        <f>IF(P750&lt;&gt;"","・添待ち","")&amp;IF(Q750&lt;&gt;"","・住民票","")&amp;IF(R750&lt;&gt;"","・発信","")&amp;IF(S750&lt;&gt;"","・確認事項","")&amp;IF(T750&lt;&gt;"","・管","")&amp;IF(U750&lt;&gt;"","・SV","")&amp;IF(V750&lt;&gt;"","・データ送付待ち","")&amp;IF(W750&lt;&gt;"","・削除","")</f>
        <v/>
      </c>
    </row>
    <row r="751" ht="15" customHeight="1" s="87">
      <c r="AL751" s="94">
        <f>IF(A751="","",IF(COUNTIF(A751:A$2001,A751)=1,1,0))</f>
        <v/>
      </c>
      <c r="AM751" s="94">
        <f>IF(I751="","",TODAY()-I751)</f>
        <v/>
      </c>
      <c r="AN751" s="94">
        <f>IF(A751="","",IF(AND(E751&lt;&gt;"33 確認済",E751&lt;&gt;"36 送付中"),1,0))</f>
        <v/>
      </c>
      <c r="AO751" s="94">
        <f>IF(A751="","",IF(AG751&lt;&gt;"",1,0))</f>
        <v/>
      </c>
      <c r="AP751" s="220">
        <f>IF(P751&lt;&gt;"","・添待ち","")&amp;IF(Q751&lt;&gt;"","・住民票","")&amp;IF(R751&lt;&gt;"","・発信","")&amp;IF(S751&lt;&gt;"","・確認事項","")&amp;IF(T751&lt;&gt;"","・管","")&amp;IF(U751&lt;&gt;"","・SV","")&amp;IF(V751&lt;&gt;"","・データ送付待ち","")&amp;IF(W751&lt;&gt;"","・削除","")</f>
        <v/>
      </c>
    </row>
    <row r="752" ht="15" customHeight="1" s="87">
      <c r="AL752" s="94">
        <f>IF(A752="","",IF(COUNTIF(A752:A$2001,A752)=1,1,0))</f>
        <v/>
      </c>
      <c r="AM752" s="94">
        <f>IF(I752="","",TODAY()-I752)</f>
        <v/>
      </c>
      <c r="AN752" s="94">
        <f>IF(A752="","",IF(AND(E752&lt;&gt;"33 確認済",E752&lt;&gt;"36 送付中"),1,0))</f>
        <v/>
      </c>
      <c r="AO752" s="94">
        <f>IF(A752="","",IF(AG752&lt;&gt;"",1,0))</f>
        <v/>
      </c>
      <c r="AP752" s="220">
        <f>IF(P752&lt;&gt;"","・添待ち","")&amp;IF(Q752&lt;&gt;"","・住民票","")&amp;IF(R752&lt;&gt;"","・発信","")&amp;IF(S752&lt;&gt;"","・確認事項","")&amp;IF(T752&lt;&gt;"","・管","")&amp;IF(U752&lt;&gt;"","・SV","")&amp;IF(V752&lt;&gt;"","・データ送付待ち","")&amp;IF(W752&lt;&gt;"","・削除","")</f>
        <v/>
      </c>
    </row>
    <row r="753" ht="15" customHeight="1" s="87">
      <c r="AL753" s="94">
        <f>IF(A753="","",IF(COUNTIF(A753:A$2001,A753)=1,1,0))</f>
        <v/>
      </c>
      <c r="AM753" s="94">
        <f>IF(I753="","",TODAY()-I753)</f>
        <v/>
      </c>
      <c r="AN753" s="94">
        <f>IF(A753="","",IF(AND(E753&lt;&gt;"33 確認済",E753&lt;&gt;"36 送付中"),1,0))</f>
        <v/>
      </c>
      <c r="AO753" s="94">
        <f>IF(A753="","",IF(AG753&lt;&gt;"",1,0))</f>
        <v/>
      </c>
      <c r="AP753" s="220">
        <f>IF(P753&lt;&gt;"","・添待ち","")&amp;IF(Q753&lt;&gt;"","・住民票","")&amp;IF(R753&lt;&gt;"","・発信","")&amp;IF(S753&lt;&gt;"","・確認事項","")&amp;IF(T753&lt;&gt;"","・管","")&amp;IF(U753&lt;&gt;"","・SV","")&amp;IF(V753&lt;&gt;"","・データ送付待ち","")&amp;IF(W753&lt;&gt;"","・削除","")</f>
        <v/>
      </c>
    </row>
    <row r="754" ht="15" customHeight="1" s="87">
      <c r="AL754" s="94">
        <f>IF(A754="","",IF(COUNTIF(A754:A$2001,A754)=1,1,0))</f>
        <v/>
      </c>
      <c r="AM754" s="94">
        <f>IF(I754="","",TODAY()-I754)</f>
        <v/>
      </c>
      <c r="AN754" s="94">
        <f>IF(A754="","",IF(AND(E754&lt;&gt;"33 確認済",E754&lt;&gt;"36 送付中"),1,0))</f>
        <v/>
      </c>
      <c r="AO754" s="94">
        <f>IF(A754="","",IF(AG754&lt;&gt;"",1,0))</f>
        <v/>
      </c>
      <c r="AP754" s="220">
        <f>IF(P754&lt;&gt;"","・添待ち","")&amp;IF(Q754&lt;&gt;"","・住民票","")&amp;IF(R754&lt;&gt;"","・発信","")&amp;IF(S754&lt;&gt;"","・確認事項","")&amp;IF(T754&lt;&gt;"","・管","")&amp;IF(U754&lt;&gt;"","・SV","")&amp;IF(V754&lt;&gt;"","・データ送付待ち","")&amp;IF(W754&lt;&gt;"","・削除","")</f>
        <v/>
      </c>
    </row>
    <row r="755" ht="15" customHeight="1" s="87">
      <c r="AL755" s="94">
        <f>IF(A755="","",IF(COUNTIF(A755:A$2001,A755)=1,1,0))</f>
        <v/>
      </c>
      <c r="AM755" s="94">
        <f>IF(I755="","",TODAY()-I755)</f>
        <v/>
      </c>
      <c r="AN755" s="94">
        <f>IF(A755="","",IF(AND(E755&lt;&gt;"33 確認済",E755&lt;&gt;"36 送付中"),1,0))</f>
        <v/>
      </c>
      <c r="AO755" s="94">
        <f>IF(A755="","",IF(AG755&lt;&gt;"",1,0))</f>
        <v/>
      </c>
      <c r="AP755" s="220">
        <f>IF(P755&lt;&gt;"","・添待ち","")&amp;IF(Q755&lt;&gt;"","・住民票","")&amp;IF(R755&lt;&gt;"","・発信","")&amp;IF(S755&lt;&gt;"","・確認事項","")&amp;IF(T755&lt;&gt;"","・管","")&amp;IF(U755&lt;&gt;"","・SV","")&amp;IF(V755&lt;&gt;"","・データ送付待ち","")&amp;IF(W755&lt;&gt;"","・削除","")</f>
        <v/>
      </c>
    </row>
    <row r="756" ht="15" customHeight="1" s="87">
      <c r="AL756" s="94">
        <f>IF(A756="","",IF(COUNTIF(A756:A$2001,A756)=1,1,0))</f>
        <v/>
      </c>
      <c r="AM756" s="94">
        <f>IF(I756="","",TODAY()-I756)</f>
        <v/>
      </c>
      <c r="AN756" s="94">
        <f>IF(A756="","",IF(AND(E756&lt;&gt;"33 確認済",E756&lt;&gt;"36 送付中"),1,0))</f>
        <v/>
      </c>
      <c r="AO756" s="94">
        <f>IF(A756="","",IF(AG756&lt;&gt;"",1,0))</f>
        <v/>
      </c>
      <c r="AP756" s="220">
        <f>IF(P756&lt;&gt;"","・添待ち","")&amp;IF(Q756&lt;&gt;"","・住民票","")&amp;IF(R756&lt;&gt;"","・発信","")&amp;IF(S756&lt;&gt;"","・確認事項","")&amp;IF(T756&lt;&gt;"","・管","")&amp;IF(U756&lt;&gt;"","・SV","")&amp;IF(V756&lt;&gt;"","・データ送付待ち","")&amp;IF(W756&lt;&gt;"","・削除","")</f>
        <v/>
      </c>
    </row>
    <row r="757" ht="15" customHeight="1" s="87">
      <c r="AL757" s="94">
        <f>IF(A757="","",IF(COUNTIF(A757:A$2001,A757)=1,1,0))</f>
        <v/>
      </c>
      <c r="AM757" s="94">
        <f>IF(I757="","",TODAY()-I757)</f>
        <v/>
      </c>
      <c r="AN757" s="94">
        <f>IF(A757="","",IF(AND(E757&lt;&gt;"33 確認済",E757&lt;&gt;"36 送付中"),1,0))</f>
        <v/>
      </c>
      <c r="AO757" s="94">
        <f>IF(A757="","",IF(AG757&lt;&gt;"",1,0))</f>
        <v/>
      </c>
      <c r="AP757" s="220">
        <f>IF(P757&lt;&gt;"","・添待ち","")&amp;IF(Q757&lt;&gt;"","・住民票","")&amp;IF(R757&lt;&gt;"","・発信","")&amp;IF(S757&lt;&gt;"","・確認事項","")&amp;IF(T757&lt;&gt;"","・管","")&amp;IF(U757&lt;&gt;"","・SV","")&amp;IF(V757&lt;&gt;"","・データ送付待ち","")&amp;IF(W757&lt;&gt;"","・削除","")</f>
        <v/>
      </c>
    </row>
    <row r="758" ht="15" customHeight="1" s="87">
      <c r="AL758" s="94">
        <f>IF(A758="","",IF(COUNTIF(A758:A$2001,A758)=1,1,0))</f>
        <v/>
      </c>
      <c r="AM758" s="94">
        <f>IF(I758="","",TODAY()-I758)</f>
        <v/>
      </c>
      <c r="AN758" s="94">
        <f>IF(A758="","",IF(AND(E758&lt;&gt;"33 確認済",E758&lt;&gt;"36 送付中"),1,0))</f>
        <v/>
      </c>
      <c r="AO758" s="94">
        <f>IF(A758="","",IF(AG758&lt;&gt;"",1,0))</f>
        <v/>
      </c>
      <c r="AP758" s="220">
        <f>IF(P758&lt;&gt;"","・添待ち","")&amp;IF(Q758&lt;&gt;"","・住民票","")&amp;IF(R758&lt;&gt;"","・発信","")&amp;IF(S758&lt;&gt;"","・確認事項","")&amp;IF(T758&lt;&gt;"","・管","")&amp;IF(U758&lt;&gt;"","・SV","")&amp;IF(V758&lt;&gt;"","・データ送付待ち","")&amp;IF(W758&lt;&gt;"","・削除","")</f>
        <v/>
      </c>
    </row>
    <row r="759" ht="15" customHeight="1" s="87">
      <c r="AL759" s="94">
        <f>IF(A759="","",IF(COUNTIF(A759:A$2001,A759)=1,1,0))</f>
        <v/>
      </c>
      <c r="AM759" s="94">
        <f>IF(I759="","",TODAY()-I759)</f>
        <v/>
      </c>
      <c r="AN759" s="94">
        <f>IF(A759="","",IF(AND(E759&lt;&gt;"33 確認済",E759&lt;&gt;"36 送付中"),1,0))</f>
        <v/>
      </c>
      <c r="AO759" s="94">
        <f>IF(A759="","",IF(AG759&lt;&gt;"",1,0))</f>
        <v/>
      </c>
      <c r="AP759" s="220">
        <f>IF(P759&lt;&gt;"","・添待ち","")&amp;IF(Q759&lt;&gt;"","・住民票","")&amp;IF(R759&lt;&gt;"","・発信","")&amp;IF(S759&lt;&gt;"","・確認事項","")&amp;IF(T759&lt;&gt;"","・管","")&amp;IF(U759&lt;&gt;"","・SV","")&amp;IF(V759&lt;&gt;"","・データ送付待ち","")&amp;IF(W759&lt;&gt;"","・削除","")</f>
        <v/>
      </c>
    </row>
    <row r="760" ht="15" customHeight="1" s="87">
      <c r="AL760" s="94">
        <f>IF(A760="","",IF(COUNTIF(A760:A$2001,A760)=1,1,0))</f>
        <v/>
      </c>
      <c r="AM760" s="94">
        <f>IF(I760="","",TODAY()-I760)</f>
        <v/>
      </c>
      <c r="AN760" s="94">
        <f>IF(A760="","",IF(AND(E760&lt;&gt;"33 確認済",E760&lt;&gt;"36 送付中"),1,0))</f>
        <v/>
      </c>
      <c r="AO760" s="94">
        <f>IF(A760="","",IF(AG760&lt;&gt;"",1,0))</f>
        <v/>
      </c>
      <c r="AP760" s="220">
        <f>IF(P760&lt;&gt;"","・添待ち","")&amp;IF(Q760&lt;&gt;"","・住民票","")&amp;IF(R760&lt;&gt;"","・発信","")&amp;IF(S760&lt;&gt;"","・確認事項","")&amp;IF(T760&lt;&gt;"","・管","")&amp;IF(U760&lt;&gt;"","・SV","")&amp;IF(V760&lt;&gt;"","・データ送付待ち","")&amp;IF(W760&lt;&gt;"","・削除","")</f>
        <v/>
      </c>
    </row>
    <row r="761" ht="15" customHeight="1" s="87">
      <c r="AL761" s="94">
        <f>IF(A761="","",IF(COUNTIF(A761:A$2001,A761)=1,1,0))</f>
        <v/>
      </c>
      <c r="AM761" s="94">
        <f>IF(I761="","",TODAY()-I761)</f>
        <v/>
      </c>
      <c r="AN761" s="94">
        <f>IF(A761="","",IF(AND(E761&lt;&gt;"33 確認済",E761&lt;&gt;"36 送付中"),1,0))</f>
        <v/>
      </c>
      <c r="AO761" s="94">
        <f>IF(A761="","",IF(AG761&lt;&gt;"",1,0))</f>
        <v/>
      </c>
      <c r="AP761" s="220">
        <f>IF(P761&lt;&gt;"","・添待ち","")&amp;IF(Q761&lt;&gt;"","・住民票","")&amp;IF(R761&lt;&gt;"","・発信","")&amp;IF(S761&lt;&gt;"","・確認事項","")&amp;IF(T761&lt;&gt;"","・管","")&amp;IF(U761&lt;&gt;"","・SV","")&amp;IF(V761&lt;&gt;"","・データ送付待ち","")&amp;IF(W761&lt;&gt;"","・削除","")</f>
        <v/>
      </c>
    </row>
    <row r="762" ht="15" customHeight="1" s="87">
      <c r="AL762" s="94">
        <f>IF(A762="","",IF(COUNTIF(A762:A$2001,A762)=1,1,0))</f>
        <v/>
      </c>
      <c r="AM762" s="94">
        <f>IF(I762="","",TODAY()-I762)</f>
        <v/>
      </c>
      <c r="AN762" s="94">
        <f>IF(A762="","",IF(AND(E762&lt;&gt;"33 確認済",E762&lt;&gt;"36 送付中"),1,0))</f>
        <v/>
      </c>
      <c r="AO762" s="94">
        <f>IF(A762="","",IF(AG762&lt;&gt;"",1,0))</f>
        <v/>
      </c>
      <c r="AP762" s="220">
        <f>IF(P762&lt;&gt;"","・添待ち","")&amp;IF(Q762&lt;&gt;"","・住民票","")&amp;IF(R762&lt;&gt;"","・発信","")&amp;IF(S762&lt;&gt;"","・確認事項","")&amp;IF(T762&lt;&gt;"","・管","")&amp;IF(U762&lt;&gt;"","・SV","")&amp;IF(V762&lt;&gt;"","・データ送付待ち","")&amp;IF(W762&lt;&gt;"","・削除","")</f>
        <v/>
      </c>
    </row>
    <row r="763" ht="15" customHeight="1" s="87">
      <c r="AL763" s="94">
        <f>IF(A763="","",IF(COUNTIF(A763:A$2001,A763)=1,1,0))</f>
        <v/>
      </c>
      <c r="AM763" s="94">
        <f>IF(I763="","",TODAY()-I763)</f>
        <v/>
      </c>
      <c r="AN763" s="94">
        <f>IF(A763="","",IF(AND(E763&lt;&gt;"33 確認済",E763&lt;&gt;"36 送付中"),1,0))</f>
        <v/>
      </c>
      <c r="AO763" s="94">
        <f>IF(A763="","",IF(AG763&lt;&gt;"",1,0))</f>
        <v/>
      </c>
      <c r="AP763" s="220">
        <f>IF(P763&lt;&gt;"","・添待ち","")&amp;IF(Q763&lt;&gt;"","・住民票","")&amp;IF(R763&lt;&gt;"","・発信","")&amp;IF(S763&lt;&gt;"","・確認事項","")&amp;IF(T763&lt;&gt;"","・管","")&amp;IF(U763&lt;&gt;"","・SV","")&amp;IF(V763&lt;&gt;"","・データ送付待ち","")&amp;IF(W763&lt;&gt;"","・削除","")</f>
        <v/>
      </c>
    </row>
    <row r="764" ht="15" customHeight="1" s="87">
      <c r="AL764" s="94">
        <f>IF(A764="","",IF(COUNTIF(A764:A$2001,A764)=1,1,0))</f>
        <v/>
      </c>
      <c r="AM764" s="94">
        <f>IF(I764="","",TODAY()-I764)</f>
        <v/>
      </c>
      <c r="AN764" s="94">
        <f>IF(A764="","",IF(AND(E764&lt;&gt;"33 確認済",E764&lt;&gt;"36 送付中"),1,0))</f>
        <v/>
      </c>
      <c r="AO764" s="94">
        <f>IF(A764="","",IF(AG764&lt;&gt;"",1,0))</f>
        <v/>
      </c>
      <c r="AP764" s="220">
        <f>IF(P764&lt;&gt;"","・添待ち","")&amp;IF(Q764&lt;&gt;"","・住民票","")&amp;IF(R764&lt;&gt;"","・発信","")&amp;IF(S764&lt;&gt;"","・確認事項","")&amp;IF(T764&lt;&gt;"","・管","")&amp;IF(U764&lt;&gt;"","・SV","")&amp;IF(V764&lt;&gt;"","・データ送付待ち","")&amp;IF(W764&lt;&gt;"","・削除","")</f>
        <v/>
      </c>
    </row>
    <row r="765" ht="15" customHeight="1" s="87">
      <c r="AL765" s="94">
        <f>IF(A765="","",IF(COUNTIF(A765:A$2001,A765)=1,1,0))</f>
        <v/>
      </c>
      <c r="AM765" s="94">
        <f>IF(I765="","",TODAY()-I765)</f>
        <v/>
      </c>
      <c r="AN765" s="94">
        <f>IF(A765="","",IF(AND(E765&lt;&gt;"33 確認済",E765&lt;&gt;"36 送付中"),1,0))</f>
        <v/>
      </c>
      <c r="AO765" s="94">
        <f>IF(A765="","",IF(AG765&lt;&gt;"",1,0))</f>
        <v/>
      </c>
      <c r="AP765" s="220">
        <f>IF(P765&lt;&gt;"","・添待ち","")&amp;IF(Q765&lt;&gt;"","・住民票","")&amp;IF(R765&lt;&gt;"","・発信","")&amp;IF(S765&lt;&gt;"","・確認事項","")&amp;IF(T765&lt;&gt;"","・管","")&amp;IF(U765&lt;&gt;"","・SV","")&amp;IF(V765&lt;&gt;"","・データ送付待ち","")&amp;IF(W765&lt;&gt;"","・削除","")</f>
        <v/>
      </c>
    </row>
    <row r="766" ht="15" customHeight="1" s="87">
      <c r="AL766" s="94">
        <f>IF(A766="","",IF(COUNTIF(A766:A$2001,A766)=1,1,0))</f>
        <v/>
      </c>
      <c r="AM766" s="94">
        <f>IF(I766="","",TODAY()-I766)</f>
        <v/>
      </c>
      <c r="AN766" s="94">
        <f>IF(A766="","",IF(AND(E766&lt;&gt;"33 確認済",E766&lt;&gt;"36 送付中"),1,0))</f>
        <v/>
      </c>
      <c r="AO766" s="94">
        <f>IF(A766="","",IF(AG766&lt;&gt;"",1,0))</f>
        <v/>
      </c>
      <c r="AP766" s="220">
        <f>IF(P766&lt;&gt;"","・添待ち","")&amp;IF(Q766&lt;&gt;"","・住民票","")&amp;IF(R766&lt;&gt;"","・発信","")&amp;IF(S766&lt;&gt;"","・確認事項","")&amp;IF(T766&lt;&gt;"","・管","")&amp;IF(U766&lt;&gt;"","・SV","")&amp;IF(V766&lt;&gt;"","・データ送付待ち","")&amp;IF(W766&lt;&gt;"","・削除","")</f>
        <v/>
      </c>
    </row>
    <row r="767" ht="15" customHeight="1" s="87">
      <c r="AL767" s="94">
        <f>IF(A767="","",IF(COUNTIF(A767:A$2001,A767)=1,1,0))</f>
        <v/>
      </c>
      <c r="AM767" s="94">
        <f>IF(I767="","",TODAY()-I767)</f>
        <v/>
      </c>
      <c r="AN767" s="94">
        <f>IF(A767="","",IF(AND(E767&lt;&gt;"33 確認済",E767&lt;&gt;"36 送付中"),1,0))</f>
        <v/>
      </c>
      <c r="AO767" s="94">
        <f>IF(A767="","",IF(AG767&lt;&gt;"",1,0))</f>
        <v/>
      </c>
      <c r="AP767" s="220">
        <f>IF(P767&lt;&gt;"","・添待ち","")&amp;IF(Q767&lt;&gt;"","・住民票","")&amp;IF(R767&lt;&gt;"","・発信","")&amp;IF(S767&lt;&gt;"","・確認事項","")&amp;IF(T767&lt;&gt;"","・管","")&amp;IF(U767&lt;&gt;"","・SV","")&amp;IF(V767&lt;&gt;"","・データ送付待ち","")&amp;IF(W767&lt;&gt;"","・削除","")</f>
        <v/>
      </c>
    </row>
    <row r="768" ht="15" customHeight="1" s="87">
      <c r="AL768" s="94">
        <f>IF(A768="","",IF(COUNTIF(A768:A$2001,A768)=1,1,0))</f>
        <v/>
      </c>
      <c r="AM768" s="94">
        <f>IF(I768="","",TODAY()-I768)</f>
        <v/>
      </c>
      <c r="AN768" s="94">
        <f>IF(A768="","",IF(AND(E768&lt;&gt;"33 確認済",E768&lt;&gt;"36 送付中"),1,0))</f>
        <v/>
      </c>
      <c r="AO768" s="94">
        <f>IF(A768="","",IF(AG768&lt;&gt;"",1,0))</f>
        <v/>
      </c>
      <c r="AP768" s="220">
        <f>IF(P768&lt;&gt;"","・添待ち","")&amp;IF(Q768&lt;&gt;"","・住民票","")&amp;IF(R768&lt;&gt;"","・発信","")&amp;IF(S768&lt;&gt;"","・確認事項","")&amp;IF(T768&lt;&gt;"","・管","")&amp;IF(U768&lt;&gt;"","・SV","")&amp;IF(V768&lt;&gt;"","・データ送付待ち","")&amp;IF(W768&lt;&gt;"","・削除","")</f>
        <v/>
      </c>
    </row>
    <row r="769" ht="15" customHeight="1" s="87">
      <c r="AL769" s="94">
        <f>IF(A769="","",IF(COUNTIF(A769:A$2001,A769)=1,1,0))</f>
        <v/>
      </c>
      <c r="AM769" s="94">
        <f>IF(I769="","",TODAY()-I769)</f>
        <v/>
      </c>
      <c r="AN769" s="94">
        <f>IF(A769="","",IF(AND(E769&lt;&gt;"33 確認済",E769&lt;&gt;"36 送付中"),1,0))</f>
        <v/>
      </c>
      <c r="AO769" s="94">
        <f>IF(A769="","",IF(AG769&lt;&gt;"",1,0))</f>
        <v/>
      </c>
      <c r="AP769" s="220">
        <f>IF(P769&lt;&gt;"","・添待ち","")&amp;IF(Q769&lt;&gt;"","・住民票","")&amp;IF(R769&lt;&gt;"","・発信","")&amp;IF(S769&lt;&gt;"","・確認事項","")&amp;IF(T769&lt;&gt;"","・管","")&amp;IF(U769&lt;&gt;"","・SV","")&amp;IF(V769&lt;&gt;"","・データ送付待ち","")&amp;IF(W769&lt;&gt;"","・削除","")</f>
        <v/>
      </c>
    </row>
    <row r="770" ht="15" customHeight="1" s="87">
      <c r="AL770" s="94">
        <f>IF(A770="","",IF(COUNTIF(A770:A$2001,A770)=1,1,0))</f>
        <v/>
      </c>
      <c r="AM770" s="94">
        <f>IF(I770="","",TODAY()-I770)</f>
        <v/>
      </c>
      <c r="AN770" s="94">
        <f>IF(A770="","",IF(AND(E770&lt;&gt;"33 確認済",E770&lt;&gt;"36 送付中"),1,0))</f>
        <v/>
      </c>
      <c r="AO770" s="94">
        <f>IF(A770="","",IF(AG770&lt;&gt;"",1,0))</f>
        <v/>
      </c>
      <c r="AP770" s="220">
        <f>IF(P770&lt;&gt;"","・添待ち","")&amp;IF(Q770&lt;&gt;"","・住民票","")&amp;IF(R770&lt;&gt;"","・発信","")&amp;IF(S770&lt;&gt;"","・確認事項","")&amp;IF(T770&lt;&gt;"","・管","")&amp;IF(U770&lt;&gt;"","・SV","")&amp;IF(V770&lt;&gt;"","・データ送付待ち","")&amp;IF(W770&lt;&gt;"","・削除","")</f>
        <v/>
      </c>
    </row>
    <row r="771" ht="15" customHeight="1" s="87">
      <c r="AL771" s="94">
        <f>IF(A771="","",IF(COUNTIF(A771:A$2001,A771)=1,1,0))</f>
        <v/>
      </c>
      <c r="AM771" s="94">
        <f>IF(I771="","",TODAY()-I771)</f>
        <v/>
      </c>
      <c r="AN771" s="94">
        <f>IF(A771="","",IF(AND(E771&lt;&gt;"33 確認済",E771&lt;&gt;"36 送付中"),1,0))</f>
        <v/>
      </c>
      <c r="AO771" s="94">
        <f>IF(A771="","",IF(AG771&lt;&gt;"",1,0))</f>
        <v/>
      </c>
      <c r="AP771" s="220">
        <f>IF(P771&lt;&gt;"","・添待ち","")&amp;IF(Q771&lt;&gt;"","・住民票","")&amp;IF(R771&lt;&gt;"","・発信","")&amp;IF(S771&lt;&gt;"","・確認事項","")&amp;IF(T771&lt;&gt;"","・管","")&amp;IF(U771&lt;&gt;"","・SV","")&amp;IF(V771&lt;&gt;"","・データ送付待ち","")&amp;IF(W771&lt;&gt;"","・削除","")</f>
        <v/>
      </c>
    </row>
    <row r="772" ht="15" customHeight="1" s="87">
      <c r="AL772" s="94">
        <f>IF(A772="","",IF(COUNTIF(A772:A$2001,A772)=1,1,0))</f>
        <v/>
      </c>
      <c r="AM772" s="94">
        <f>IF(I772="","",TODAY()-I772)</f>
        <v/>
      </c>
      <c r="AN772" s="94">
        <f>IF(A772="","",IF(AND(E772&lt;&gt;"33 確認済",E772&lt;&gt;"36 送付中"),1,0))</f>
        <v/>
      </c>
      <c r="AO772" s="94">
        <f>IF(A772="","",IF(AG772&lt;&gt;"",1,0))</f>
        <v/>
      </c>
      <c r="AP772" s="220">
        <f>IF(P772&lt;&gt;"","・添待ち","")&amp;IF(Q772&lt;&gt;"","・住民票","")&amp;IF(R772&lt;&gt;"","・発信","")&amp;IF(S772&lt;&gt;"","・確認事項","")&amp;IF(T772&lt;&gt;"","・管","")&amp;IF(U772&lt;&gt;"","・SV","")&amp;IF(V772&lt;&gt;"","・データ送付待ち","")&amp;IF(W772&lt;&gt;"","・削除","")</f>
        <v/>
      </c>
    </row>
    <row r="773" ht="15" customHeight="1" s="87">
      <c r="AL773" s="94">
        <f>IF(A773="","",IF(COUNTIF(A773:A$2001,A773)=1,1,0))</f>
        <v/>
      </c>
      <c r="AM773" s="94">
        <f>IF(I773="","",TODAY()-I773)</f>
        <v/>
      </c>
      <c r="AN773" s="94">
        <f>IF(A773="","",IF(AND(E773&lt;&gt;"33 確認済",E773&lt;&gt;"36 送付中"),1,0))</f>
        <v/>
      </c>
      <c r="AO773" s="94">
        <f>IF(A773="","",IF(AG773&lt;&gt;"",1,0))</f>
        <v/>
      </c>
      <c r="AP773" s="220">
        <f>IF(P773&lt;&gt;"","・添待ち","")&amp;IF(Q773&lt;&gt;"","・住民票","")&amp;IF(R773&lt;&gt;"","・発信","")&amp;IF(S773&lt;&gt;"","・確認事項","")&amp;IF(T773&lt;&gt;"","・管","")&amp;IF(U773&lt;&gt;"","・SV","")&amp;IF(V773&lt;&gt;"","・データ送付待ち","")&amp;IF(W773&lt;&gt;"","・削除","")</f>
        <v/>
      </c>
    </row>
    <row r="774" ht="15" customHeight="1" s="87">
      <c r="AL774" s="94">
        <f>IF(A774="","",IF(COUNTIF(A774:A$2001,A774)=1,1,0))</f>
        <v/>
      </c>
      <c r="AM774" s="94">
        <f>IF(I774="","",TODAY()-I774)</f>
        <v/>
      </c>
      <c r="AN774" s="94">
        <f>IF(A774="","",IF(AND(E774&lt;&gt;"33 確認済",E774&lt;&gt;"36 送付中"),1,0))</f>
        <v/>
      </c>
      <c r="AO774" s="94">
        <f>IF(A774="","",IF(AG774&lt;&gt;"",1,0))</f>
        <v/>
      </c>
      <c r="AP774" s="220">
        <f>IF(P774&lt;&gt;"","・添待ち","")&amp;IF(Q774&lt;&gt;"","・住民票","")&amp;IF(R774&lt;&gt;"","・発信","")&amp;IF(S774&lt;&gt;"","・確認事項","")&amp;IF(T774&lt;&gt;"","・管","")&amp;IF(U774&lt;&gt;"","・SV","")&amp;IF(V774&lt;&gt;"","・データ送付待ち","")&amp;IF(W774&lt;&gt;"","・削除","")</f>
        <v/>
      </c>
    </row>
    <row r="775" ht="15" customHeight="1" s="87">
      <c r="AL775" s="94">
        <f>IF(A775="","",IF(COUNTIF(A775:A$2001,A775)=1,1,0))</f>
        <v/>
      </c>
      <c r="AM775" s="94">
        <f>IF(I775="","",TODAY()-I775)</f>
        <v/>
      </c>
      <c r="AN775" s="94">
        <f>IF(A775="","",IF(AND(E775&lt;&gt;"33 確認済",E775&lt;&gt;"36 送付中"),1,0))</f>
        <v/>
      </c>
      <c r="AO775" s="94">
        <f>IF(A775="","",IF(AG775&lt;&gt;"",1,0))</f>
        <v/>
      </c>
      <c r="AP775" s="220">
        <f>IF(P775&lt;&gt;"","・添待ち","")&amp;IF(Q775&lt;&gt;"","・住民票","")&amp;IF(R775&lt;&gt;"","・発信","")&amp;IF(S775&lt;&gt;"","・確認事項","")&amp;IF(T775&lt;&gt;"","・管","")&amp;IF(U775&lt;&gt;"","・SV","")&amp;IF(V775&lt;&gt;"","・データ送付待ち","")&amp;IF(W775&lt;&gt;"","・削除","")</f>
        <v/>
      </c>
    </row>
    <row r="776" ht="15" customHeight="1" s="87">
      <c r="AL776" s="94">
        <f>IF(A776="","",IF(COUNTIF(A776:A$2001,A776)=1,1,0))</f>
        <v/>
      </c>
      <c r="AM776" s="94">
        <f>IF(I776="","",TODAY()-I776)</f>
        <v/>
      </c>
      <c r="AN776" s="94">
        <f>IF(A776="","",IF(AND(E776&lt;&gt;"33 確認済",E776&lt;&gt;"36 送付中"),1,0))</f>
        <v/>
      </c>
      <c r="AO776" s="94">
        <f>IF(A776="","",IF(AG776&lt;&gt;"",1,0))</f>
        <v/>
      </c>
      <c r="AP776" s="220">
        <f>IF(P776&lt;&gt;"","・添待ち","")&amp;IF(Q776&lt;&gt;"","・住民票","")&amp;IF(R776&lt;&gt;"","・発信","")&amp;IF(S776&lt;&gt;"","・確認事項","")&amp;IF(T776&lt;&gt;"","・管","")&amp;IF(U776&lt;&gt;"","・SV","")&amp;IF(V776&lt;&gt;"","・データ送付待ち","")&amp;IF(W776&lt;&gt;"","・削除","")</f>
        <v/>
      </c>
    </row>
    <row r="777" ht="15" customHeight="1" s="87">
      <c r="AL777" s="94">
        <f>IF(A777="","",IF(COUNTIF(A777:A$2001,A777)=1,1,0))</f>
        <v/>
      </c>
      <c r="AM777" s="94">
        <f>IF(I777="","",TODAY()-I777)</f>
        <v/>
      </c>
      <c r="AN777" s="94">
        <f>IF(A777="","",IF(AND(E777&lt;&gt;"33 確認済",E777&lt;&gt;"36 送付中"),1,0))</f>
        <v/>
      </c>
      <c r="AO777" s="94">
        <f>IF(A777="","",IF(AG777&lt;&gt;"",1,0))</f>
        <v/>
      </c>
      <c r="AP777" s="220">
        <f>IF(P777&lt;&gt;"","・添待ち","")&amp;IF(Q777&lt;&gt;"","・住民票","")&amp;IF(R777&lt;&gt;"","・発信","")&amp;IF(S777&lt;&gt;"","・確認事項","")&amp;IF(T777&lt;&gt;"","・管","")&amp;IF(U777&lt;&gt;"","・SV","")&amp;IF(V777&lt;&gt;"","・データ送付待ち","")&amp;IF(W777&lt;&gt;"","・削除","")</f>
        <v/>
      </c>
    </row>
    <row r="778" ht="15" customHeight="1" s="87">
      <c r="AL778" s="94">
        <f>IF(A778="","",IF(COUNTIF(A778:A$2001,A778)=1,1,0))</f>
        <v/>
      </c>
      <c r="AM778" s="94">
        <f>IF(I778="","",TODAY()-I778)</f>
        <v/>
      </c>
      <c r="AN778" s="94">
        <f>IF(A778="","",IF(AND(E778&lt;&gt;"33 確認済",E778&lt;&gt;"36 送付中"),1,0))</f>
        <v/>
      </c>
      <c r="AO778" s="94">
        <f>IF(A778="","",IF(AG778&lt;&gt;"",1,0))</f>
        <v/>
      </c>
      <c r="AP778" s="220">
        <f>IF(P778&lt;&gt;"","・添待ち","")&amp;IF(Q778&lt;&gt;"","・住民票","")&amp;IF(R778&lt;&gt;"","・発信","")&amp;IF(S778&lt;&gt;"","・確認事項","")&amp;IF(T778&lt;&gt;"","・管","")&amp;IF(U778&lt;&gt;"","・SV","")&amp;IF(V778&lt;&gt;"","・データ送付待ち","")&amp;IF(W778&lt;&gt;"","・削除","")</f>
        <v/>
      </c>
    </row>
    <row r="779" ht="15" customHeight="1" s="87">
      <c r="AL779" s="94">
        <f>IF(A779="","",IF(COUNTIF(A779:A$2001,A779)=1,1,0))</f>
        <v/>
      </c>
      <c r="AM779" s="94">
        <f>IF(I779="","",TODAY()-I779)</f>
        <v/>
      </c>
      <c r="AN779" s="94">
        <f>IF(A779="","",IF(AND(E779&lt;&gt;"33 確認済",E779&lt;&gt;"36 送付中"),1,0))</f>
        <v/>
      </c>
      <c r="AO779" s="94">
        <f>IF(A779="","",IF(AG779&lt;&gt;"",1,0))</f>
        <v/>
      </c>
      <c r="AP779" s="220">
        <f>IF(P779&lt;&gt;"","・添待ち","")&amp;IF(Q779&lt;&gt;"","・住民票","")&amp;IF(R779&lt;&gt;"","・発信","")&amp;IF(S779&lt;&gt;"","・確認事項","")&amp;IF(T779&lt;&gt;"","・管","")&amp;IF(U779&lt;&gt;"","・SV","")&amp;IF(V779&lt;&gt;"","・データ送付待ち","")&amp;IF(W779&lt;&gt;"","・削除","")</f>
        <v/>
      </c>
    </row>
    <row r="780" ht="15" customHeight="1" s="87">
      <c r="AL780" s="94">
        <f>IF(A780="","",IF(COUNTIF(A780:A$2001,A780)=1,1,0))</f>
        <v/>
      </c>
      <c r="AM780" s="94">
        <f>IF(I780="","",TODAY()-I780)</f>
        <v/>
      </c>
      <c r="AN780" s="94">
        <f>IF(A780="","",IF(AND(E780&lt;&gt;"33 確認済",E780&lt;&gt;"36 送付中"),1,0))</f>
        <v/>
      </c>
      <c r="AO780" s="94">
        <f>IF(A780="","",IF(AG780&lt;&gt;"",1,0))</f>
        <v/>
      </c>
      <c r="AP780" s="220">
        <f>IF(P780&lt;&gt;"","・添待ち","")&amp;IF(Q780&lt;&gt;"","・住民票","")&amp;IF(R780&lt;&gt;"","・発信","")&amp;IF(S780&lt;&gt;"","・確認事項","")&amp;IF(T780&lt;&gt;"","・管","")&amp;IF(U780&lt;&gt;"","・SV","")&amp;IF(V780&lt;&gt;"","・データ送付待ち","")&amp;IF(W780&lt;&gt;"","・削除","")</f>
        <v/>
      </c>
    </row>
    <row r="781" ht="15" customHeight="1" s="87">
      <c r="AL781" s="94">
        <f>IF(A781="","",IF(COUNTIF(A781:A$2001,A781)=1,1,0))</f>
        <v/>
      </c>
      <c r="AM781" s="94">
        <f>IF(I781="","",TODAY()-I781)</f>
        <v/>
      </c>
      <c r="AN781" s="94">
        <f>IF(A781="","",IF(AND(E781&lt;&gt;"33 確認済",E781&lt;&gt;"36 送付中"),1,0))</f>
        <v/>
      </c>
      <c r="AO781" s="94">
        <f>IF(A781="","",IF(AG781&lt;&gt;"",1,0))</f>
        <v/>
      </c>
      <c r="AP781" s="220">
        <f>IF(P781&lt;&gt;"","・添待ち","")&amp;IF(Q781&lt;&gt;"","・住民票","")&amp;IF(R781&lt;&gt;"","・発信","")&amp;IF(S781&lt;&gt;"","・確認事項","")&amp;IF(T781&lt;&gt;"","・管","")&amp;IF(U781&lt;&gt;"","・SV","")&amp;IF(V781&lt;&gt;"","・データ送付待ち","")&amp;IF(W781&lt;&gt;"","・削除","")</f>
        <v/>
      </c>
    </row>
    <row r="782" ht="15" customHeight="1" s="87">
      <c r="AL782" s="94">
        <f>IF(A782="","",IF(COUNTIF(A782:A$2001,A782)=1,1,0))</f>
        <v/>
      </c>
      <c r="AM782" s="94">
        <f>IF(I782="","",TODAY()-I782)</f>
        <v/>
      </c>
      <c r="AN782" s="94">
        <f>IF(A782="","",IF(AND(E782&lt;&gt;"33 確認済",E782&lt;&gt;"36 送付中"),1,0))</f>
        <v/>
      </c>
      <c r="AO782" s="94">
        <f>IF(A782="","",IF(AG782&lt;&gt;"",1,0))</f>
        <v/>
      </c>
      <c r="AP782" s="220">
        <f>IF(P782&lt;&gt;"","・添待ち","")&amp;IF(Q782&lt;&gt;"","・住民票","")&amp;IF(R782&lt;&gt;"","・発信","")&amp;IF(S782&lt;&gt;"","・確認事項","")&amp;IF(T782&lt;&gt;"","・管","")&amp;IF(U782&lt;&gt;"","・SV","")&amp;IF(V782&lt;&gt;"","・データ送付待ち","")&amp;IF(W782&lt;&gt;"","・削除","")</f>
        <v/>
      </c>
    </row>
    <row r="783" ht="15" customHeight="1" s="87">
      <c r="AL783" s="94">
        <f>IF(A783="","",IF(COUNTIF(A783:A$2001,A783)=1,1,0))</f>
        <v/>
      </c>
      <c r="AM783" s="94">
        <f>IF(I783="","",TODAY()-I783)</f>
        <v/>
      </c>
      <c r="AN783" s="94">
        <f>IF(A783="","",IF(AND(E783&lt;&gt;"33 確認済",E783&lt;&gt;"36 送付中"),1,0))</f>
        <v/>
      </c>
      <c r="AO783" s="94">
        <f>IF(A783="","",IF(AG783&lt;&gt;"",1,0))</f>
        <v/>
      </c>
      <c r="AP783" s="220">
        <f>IF(P783&lt;&gt;"","・添待ち","")&amp;IF(Q783&lt;&gt;"","・住民票","")&amp;IF(R783&lt;&gt;"","・発信","")&amp;IF(S783&lt;&gt;"","・確認事項","")&amp;IF(T783&lt;&gt;"","・管","")&amp;IF(U783&lt;&gt;"","・SV","")&amp;IF(V783&lt;&gt;"","・データ送付待ち","")&amp;IF(W783&lt;&gt;"","・削除","")</f>
        <v/>
      </c>
    </row>
    <row r="784" ht="15" customHeight="1" s="87">
      <c r="AL784" s="94">
        <f>IF(A784="","",IF(COUNTIF(A784:A$2001,A784)=1,1,0))</f>
        <v/>
      </c>
      <c r="AM784" s="94">
        <f>IF(I784="","",TODAY()-I784)</f>
        <v/>
      </c>
      <c r="AN784" s="94">
        <f>IF(A784="","",IF(AND(E784&lt;&gt;"33 確認済",E784&lt;&gt;"36 送付中"),1,0))</f>
        <v/>
      </c>
      <c r="AO784" s="94">
        <f>IF(A784="","",IF(AG784&lt;&gt;"",1,0))</f>
        <v/>
      </c>
      <c r="AP784" s="220">
        <f>IF(P784&lt;&gt;"","・添待ち","")&amp;IF(Q784&lt;&gt;"","・住民票","")&amp;IF(R784&lt;&gt;"","・発信","")&amp;IF(S784&lt;&gt;"","・確認事項","")&amp;IF(T784&lt;&gt;"","・管","")&amp;IF(U784&lt;&gt;"","・SV","")&amp;IF(V784&lt;&gt;"","・データ送付待ち","")&amp;IF(W784&lt;&gt;"","・削除","")</f>
        <v/>
      </c>
    </row>
    <row r="785" ht="15" customHeight="1" s="87">
      <c r="AL785" s="94">
        <f>IF(A785="","",IF(COUNTIF(A785:A$2001,A785)=1,1,0))</f>
        <v/>
      </c>
      <c r="AM785" s="94">
        <f>IF(I785="","",TODAY()-I785)</f>
        <v/>
      </c>
      <c r="AN785" s="94">
        <f>IF(A785="","",IF(AND(E785&lt;&gt;"33 確認済",E785&lt;&gt;"36 送付中"),1,0))</f>
        <v/>
      </c>
      <c r="AO785" s="94">
        <f>IF(A785="","",IF(AG785&lt;&gt;"",1,0))</f>
        <v/>
      </c>
      <c r="AP785" s="220">
        <f>IF(P785&lt;&gt;"","・添待ち","")&amp;IF(Q785&lt;&gt;"","・住民票","")&amp;IF(R785&lt;&gt;"","・発信","")&amp;IF(S785&lt;&gt;"","・確認事項","")&amp;IF(T785&lt;&gt;"","・管","")&amp;IF(U785&lt;&gt;"","・SV","")&amp;IF(V785&lt;&gt;"","・データ送付待ち","")&amp;IF(W785&lt;&gt;"","・削除","")</f>
        <v/>
      </c>
    </row>
    <row r="786" ht="15" customHeight="1" s="87">
      <c r="AL786" s="94">
        <f>IF(A786="","",IF(COUNTIF(A786:A$2001,A786)=1,1,0))</f>
        <v/>
      </c>
      <c r="AM786" s="94">
        <f>IF(I786="","",TODAY()-I786)</f>
        <v/>
      </c>
      <c r="AN786" s="94">
        <f>IF(A786="","",IF(AND(E786&lt;&gt;"33 確認済",E786&lt;&gt;"36 送付中"),1,0))</f>
        <v/>
      </c>
      <c r="AO786" s="94">
        <f>IF(A786="","",IF(AG786&lt;&gt;"",1,0))</f>
        <v/>
      </c>
      <c r="AP786" s="220">
        <f>IF(P786&lt;&gt;"","・添待ち","")&amp;IF(Q786&lt;&gt;"","・住民票","")&amp;IF(R786&lt;&gt;"","・発信","")&amp;IF(S786&lt;&gt;"","・確認事項","")&amp;IF(T786&lt;&gt;"","・管","")&amp;IF(U786&lt;&gt;"","・SV","")&amp;IF(V786&lt;&gt;"","・データ送付待ち","")&amp;IF(W786&lt;&gt;"","・削除","")</f>
        <v/>
      </c>
    </row>
    <row r="787" ht="15" customHeight="1" s="87">
      <c r="AL787" s="94">
        <f>IF(A787="","",IF(COUNTIF(A787:A$2001,A787)=1,1,0))</f>
        <v/>
      </c>
      <c r="AM787" s="94">
        <f>IF(I787="","",TODAY()-I787)</f>
        <v/>
      </c>
      <c r="AN787" s="94">
        <f>IF(A787="","",IF(AND(E787&lt;&gt;"33 確認済",E787&lt;&gt;"36 送付中"),1,0))</f>
        <v/>
      </c>
      <c r="AO787" s="94">
        <f>IF(A787="","",IF(AG787&lt;&gt;"",1,0))</f>
        <v/>
      </c>
      <c r="AP787" s="220">
        <f>IF(P787&lt;&gt;"","・添待ち","")&amp;IF(Q787&lt;&gt;"","・住民票","")&amp;IF(R787&lt;&gt;"","・発信","")&amp;IF(S787&lt;&gt;"","・確認事項","")&amp;IF(T787&lt;&gt;"","・管","")&amp;IF(U787&lt;&gt;"","・SV","")&amp;IF(V787&lt;&gt;"","・データ送付待ち","")&amp;IF(W787&lt;&gt;"","・削除","")</f>
        <v/>
      </c>
    </row>
    <row r="788" ht="15" customHeight="1" s="87">
      <c r="AL788" s="94">
        <f>IF(A788="","",IF(COUNTIF(A788:A$2001,A788)=1,1,0))</f>
        <v/>
      </c>
      <c r="AM788" s="94">
        <f>IF(I788="","",TODAY()-I788)</f>
        <v/>
      </c>
      <c r="AN788" s="94">
        <f>IF(A788="","",IF(AND(E788&lt;&gt;"33 確認済",E788&lt;&gt;"36 送付中"),1,0))</f>
        <v/>
      </c>
      <c r="AO788" s="94">
        <f>IF(A788="","",IF(AG788&lt;&gt;"",1,0))</f>
        <v/>
      </c>
      <c r="AP788" s="220">
        <f>IF(P788&lt;&gt;"","・添待ち","")&amp;IF(Q788&lt;&gt;"","・住民票","")&amp;IF(R788&lt;&gt;"","・発信","")&amp;IF(S788&lt;&gt;"","・確認事項","")&amp;IF(T788&lt;&gt;"","・管","")&amp;IF(U788&lt;&gt;"","・SV","")&amp;IF(V788&lt;&gt;"","・データ送付待ち","")&amp;IF(W788&lt;&gt;"","・削除","")</f>
        <v/>
      </c>
    </row>
    <row r="789" ht="15" customHeight="1" s="87">
      <c r="AL789" s="94">
        <f>IF(A789="","",IF(COUNTIF(A789:A$2001,A789)=1,1,0))</f>
        <v/>
      </c>
      <c r="AM789" s="94">
        <f>IF(I789="","",TODAY()-I789)</f>
        <v/>
      </c>
      <c r="AN789" s="94">
        <f>IF(A789="","",IF(AND(E789&lt;&gt;"33 確認済",E789&lt;&gt;"36 送付中"),1,0))</f>
        <v/>
      </c>
      <c r="AO789" s="94">
        <f>IF(A789="","",IF(AG789&lt;&gt;"",1,0))</f>
        <v/>
      </c>
      <c r="AP789" s="220">
        <f>IF(P789&lt;&gt;"","・添待ち","")&amp;IF(Q789&lt;&gt;"","・住民票","")&amp;IF(R789&lt;&gt;"","・発信","")&amp;IF(S789&lt;&gt;"","・確認事項","")&amp;IF(T789&lt;&gt;"","・管","")&amp;IF(U789&lt;&gt;"","・SV","")&amp;IF(V789&lt;&gt;"","・データ送付待ち","")&amp;IF(W789&lt;&gt;"","・削除","")</f>
        <v/>
      </c>
    </row>
    <row r="790" ht="15" customHeight="1" s="87">
      <c r="AL790" s="94">
        <f>IF(A790="","",IF(COUNTIF(A790:A$2001,A790)=1,1,0))</f>
        <v/>
      </c>
      <c r="AM790" s="94">
        <f>IF(I790="","",TODAY()-I790)</f>
        <v/>
      </c>
      <c r="AN790" s="94">
        <f>IF(A790="","",IF(AND(E790&lt;&gt;"33 確認済",E790&lt;&gt;"36 送付中"),1,0))</f>
        <v/>
      </c>
      <c r="AO790" s="94">
        <f>IF(A790="","",IF(AG790&lt;&gt;"",1,0))</f>
        <v/>
      </c>
      <c r="AP790" s="220">
        <f>IF(P790&lt;&gt;"","・添待ち","")&amp;IF(Q790&lt;&gt;"","・住民票","")&amp;IF(R790&lt;&gt;"","・発信","")&amp;IF(S790&lt;&gt;"","・確認事項","")&amp;IF(T790&lt;&gt;"","・管","")&amp;IF(U790&lt;&gt;"","・SV","")&amp;IF(V790&lt;&gt;"","・データ送付待ち","")&amp;IF(W790&lt;&gt;"","・削除","")</f>
        <v/>
      </c>
    </row>
    <row r="791" ht="15" customHeight="1" s="87">
      <c r="AL791" s="94">
        <f>IF(A791="","",IF(COUNTIF(A791:A$2001,A791)=1,1,0))</f>
        <v/>
      </c>
      <c r="AM791" s="94">
        <f>IF(I791="","",TODAY()-I791)</f>
        <v/>
      </c>
      <c r="AN791" s="94">
        <f>IF(A791="","",IF(AND(E791&lt;&gt;"33 確認済",E791&lt;&gt;"36 送付中"),1,0))</f>
        <v/>
      </c>
      <c r="AO791" s="94">
        <f>IF(A791="","",IF(AG791&lt;&gt;"",1,0))</f>
        <v/>
      </c>
      <c r="AP791" s="220">
        <f>IF(P791&lt;&gt;"","・添待ち","")&amp;IF(Q791&lt;&gt;"","・住民票","")&amp;IF(R791&lt;&gt;"","・発信","")&amp;IF(S791&lt;&gt;"","・確認事項","")&amp;IF(T791&lt;&gt;"","・管","")&amp;IF(U791&lt;&gt;"","・SV","")&amp;IF(V791&lt;&gt;"","・データ送付待ち","")&amp;IF(W791&lt;&gt;"","・削除","")</f>
        <v/>
      </c>
    </row>
    <row r="792" ht="15" customHeight="1" s="87">
      <c r="AL792" s="94">
        <f>IF(A792="","",IF(COUNTIF(A792:A$2001,A792)=1,1,0))</f>
        <v/>
      </c>
      <c r="AM792" s="94">
        <f>IF(I792="","",TODAY()-I792)</f>
        <v/>
      </c>
      <c r="AN792" s="94">
        <f>IF(A792="","",IF(AND(E792&lt;&gt;"33 確認済",E792&lt;&gt;"36 送付中"),1,0))</f>
        <v/>
      </c>
      <c r="AO792" s="94">
        <f>IF(A792="","",IF(AG792&lt;&gt;"",1,0))</f>
        <v/>
      </c>
      <c r="AP792" s="220">
        <f>IF(P792&lt;&gt;"","・添待ち","")&amp;IF(Q792&lt;&gt;"","・住民票","")&amp;IF(R792&lt;&gt;"","・発信","")&amp;IF(S792&lt;&gt;"","・確認事項","")&amp;IF(T792&lt;&gt;"","・管","")&amp;IF(U792&lt;&gt;"","・SV","")&amp;IF(V792&lt;&gt;"","・データ送付待ち","")&amp;IF(W792&lt;&gt;"","・削除","")</f>
        <v/>
      </c>
    </row>
    <row r="793" ht="15" customHeight="1" s="87">
      <c r="AL793" s="94">
        <f>IF(A793="","",IF(COUNTIF(A793:A$2001,A793)=1,1,0))</f>
        <v/>
      </c>
      <c r="AM793" s="94">
        <f>IF(I793="","",TODAY()-I793)</f>
        <v/>
      </c>
      <c r="AN793" s="94">
        <f>IF(A793="","",IF(AND(E793&lt;&gt;"33 確認済",E793&lt;&gt;"36 送付中"),1,0))</f>
        <v/>
      </c>
      <c r="AO793" s="94">
        <f>IF(A793="","",IF(AG793&lt;&gt;"",1,0))</f>
        <v/>
      </c>
      <c r="AP793" s="220">
        <f>IF(P793&lt;&gt;"","・添待ち","")&amp;IF(Q793&lt;&gt;"","・住民票","")&amp;IF(R793&lt;&gt;"","・発信","")&amp;IF(S793&lt;&gt;"","・確認事項","")&amp;IF(T793&lt;&gt;"","・管","")&amp;IF(U793&lt;&gt;"","・SV","")&amp;IF(V793&lt;&gt;"","・データ送付待ち","")&amp;IF(W793&lt;&gt;"","・削除","")</f>
        <v/>
      </c>
    </row>
    <row r="794" ht="15" customHeight="1" s="87">
      <c r="AL794" s="94">
        <f>IF(A794="","",IF(COUNTIF(A794:A$2001,A794)=1,1,0))</f>
        <v/>
      </c>
      <c r="AM794" s="94">
        <f>IF(I794="","",TODAY()-I794)</f>
        <v/>
      </c>
      <c r="AN794" s="94">
        <f>IF(A794="","",IF(AND(E794&lt;&gt;"33 確認済",E794&lt;&gt;"36 送付中"),1,0))</f>
        <v/>
      </c>
      <c r="AO794" s="94">
        <f>IF(A794="","",IF(AG794&lt;&gt;"",1,0))</f>
        <v/>
      </c>
      <c r="AP794" s="220">
        <f>IF(P794&lt;&gt;"","・添待ち","")&amp;IF(Q794&lt;&gt;"","・住民票","")&amp;IF(R794&lt;&gt;"","・発信","")&amp;IF(S794&lt;&gt;"","・確認事項","")&amp;IF(T794&lt;&gt;"","・管","")&amp;IF(U794&lt;&gt;"","・SV","")&amp;IF(V794&lt;&gt;"","・データ送付待ち","")&amp;IF(W794&lt;&gt;"","・削除","")</f>
        <v/>
      </c>
    </row>
    <row r="795" ht="15" customHeight="1" s="87">
      <c r="AL795" s="94">
        <f>IF(A795="","",IF(COUNTIF(A795:A$2001,A795)=1,1,0))</f>
        <v/>
      </c>
      <c r="AM795" s="94">
        <f>IF(I795="","",TODAY()-I795)</f>
        <v/>
      </c>
      <c r="AN795" s="94">
        <f>IF(A795="","",IF(AND(E795&lt;&gt;"33 確認済",E795&lt;&gt;"36 送付中"),1,0))</f>
        <v/>
      </c>
      <c r="AO795" s="94">
        <f>IF(A795="","",IF(AG795&lt;&gt;"",1,0))</f>
        <v/>
      </c>
      <c r="AP795" s="220">
        <f>IF(P795&lt;&gt;"","・添待ち","")&amp;IF(Q795&lt;&gt;"","・住民票","")&amp;IF(R795&lt;&gt;"","・発信","")&amp;IF(S795&lt;&gt;"","・確認事項","")&amp;IF(T795&lt;&gt;"","・管","")&amp;IF(U795&lt;&gt;"","・SV","")&amp;IF(V795&lt;&gt;"","・データ送付待ち","")&amp;IF(W795&lt;&gt;"","・削除","")</f>
        <v/>
      </c>
    </row>
    <row r="796" ht="15" customHeight="1" s="87">
      <c r="AL796" s="94">
        <f>IF(A796="","",IF(COUNTIF(A796:A$2001,A796)=1,1,0))</f>
        <v/>
      </c>
      <c r="AM796" s="94">
        <f>IF(I796="","",TODAY()-I796)</f>
        <v/>
      </c>
      <c r="AN796" s="94">
        <f>IF(A796="","",IF(AND(E796&lt;&gt;"33 確認済",E796&lt;&gt;"36 送付中"),1,0))</f>
        <v/>
      </c>
      <c r="AO796" s="94">
        <f>IF(A796="","",IF(AG796&lt;&gt;"",1,0))</f>
        <v/>
      </c>
      <c r="AP796" s="220">
        <f>IF(P796&lt;&gt;"","・添待ち","")&amp;IF(Q796&lt;&gt;"","・住民票","")&amp;IF(R796&lt;&gt;"","・発信","")&amp;IF(S796&lt;&gt;"","・確認事項","")&amp;IF(T796&lt;&gt;"","・管","")&amp;IF(U796&lt;&gt;"","・SV","")&amp;IF(V796&lt;&gt;"","・データ送付待ち","")&amp;IF(W796&lt;&gt;"","・削除","")</f>
        <v/>
      </c>
    </row>
    <row r="797" ht="15" customHeight="1" s="87">
      <c r="AL797" s="94">
        <f>IF(A797="","",IF(COUNTIF(A797:A$2001,A797)=1,1,0))</f>
        <v/>
      </c>
      <c r="AM797" s="94">
        <f>IF(I797="","",TODAY()-I797)</f>
        <v/>
      </c>
      <c r="AN797" s="94">
        <f>IF(A797="","",IF(AND(E797&lt;&gt;"33 確認済",E797&lt;&gt;"36 送付中"),1,0))</f>
        <v/>
      </c>
      <c r="AO797" s="94">
        <f>IF(A797="","",IF(AG797&lt;&gt;"",1,0))</f>
        <v/>
      </c>
      <c r="AP797" s="220">
        <f>IF(P797&lt;&gt;"","・添待ち","")&amp;IF(Q797&lt;&gt;"","・住民票","")&amp;IF(R797&lt;&gt;"","・発信","")&amp;IF(S797&lt;&gt;"","・確認事項","")&amp;IF(T797&lt;&gt;"","・管","")&amp;IF(U797&lt;&gt;"","・SV","")&amp;IF(V797&lt;&gt;"","・データ送付待ち","")&amp;IF(W797&lt;&gt;"","・削除","")</f>
        <v/>
      </c>
    </row>
    <row r="798" ht="15" customHeight="1" s="87">
      <c r="AL798" s="94">
        <f>IF(A798="","",IF(COUNTIF(A798:A$2001,A798)=1,1,0))</f>
        <v/>
      </c>
      <c r="AM798" s="94">
        <f>IF(I798="","",TODAY()-I798)</f>
        <v/>
      </c>
      <c r="AN798" s="94">
        <f>IF(A798="","",IF(AND(E798&lt;&gt;"33 確認済",E798&lt;&gt;"36 送付中"),1,0))</f>
        <v/>
      </c>
      <c r="AO798" s="94">
        <f>IF(A798="","",IF(AG798&lt;&gt;"",1,0))</f>
        <v/>
      </c>
      <c r="AP798" s="220">
        <f>IF(P798&lt;&gt;"","・添待ち","")&amp;IF(Q798&lt;&gt;"","・住民票","")&amp;IF(R798&lt;&gt;"","・発信","")&amp;IF(S798&lt;&gt;"","・確認事項","")&amp;IF(T798&lt;&gt;"","・管","")&amp;IF(U798&lt;&gt;"","・SV","")&amp;IF(V798&lt;&gt;"","・データ送付待ち","")&amp;IF(W798&lt;&gt;"","・削除","")</f>
        <v/>
      </c>
    </row>
    <row r="799" ht="15" customHeight="1" s="87">
      <c r="AL799" s="94">
        <f>IF(A799="","",IF(COUNTIF(A799:A$2001,A799)=1,1,0))</f>
        <v/>
      </c>
      <c r="AM799" s="94">
        <f>IF(I799="","",TODAY()-I799)</f>
        <v/>
      </c>
      <c r="AN799" s="94">
        <f>IF(A799="","",IF(AND(E799&lt;&gt;"33 確認済",E799&lt;&gt;"36 送付中"),1,0))</f>
        <v/>
      </c>
      <c r="AO799" s="94">
        <f>IF(A799="","",IF(AG799&lt;&gt;"",1,0))</f>
        <v/>
      </c>
      <c r="AP799" s="220">
        <f>IF(P799&lt;&gt;"","・添待ち","")&amp;IF(Q799&lt;&gt;"","・住民票","")&amp;IF(R799&lt;&gt;"","・発信","")&amp;IF(S799&lt;&gt;"","・確認事項","")&amp;IF(T799&lt;&gt;"","・管","")&amp;IF(U799&lt;&gt;"","・SV","")&amp;IF(V799&lt;&gt;"","・データ送付待ち","")&amp;IF(W799&lt;&gt;"","・削除","")</f>
        <v/>
      </c>
    </row>
    <row r="800" ht="15" customHeight="1" s="87">
      <c r="AL800" s="94">
        <f>IF(A800="","",IF(COUNTIF(A800:A$2001,A800)=1,1,0))</f>
        <v/>
      </c>
      <c r="AM800" s="94">
        <f>IF(I800="","",TODAY()-I800)</f>
        <v/>
      </c>
      <c r="AN800" s="94">
        <f>IF(A800="","",IF(AND(E800&lt;&gt;"33 確認済",E800&lt;&gt;"36 送付中"),1,0))</f>
        <v/>
      </c>
      <c r="AO800" s="94">
        <f>IF(A800="","",IF(AG800&lt;&gt;"",1,0))</f>
        <v/>
      </c>
      <c r="AP800" s="220">
        <f>IF(P800&lt;&gt;"","・添待ち","")&amp;IF(Q800&lt;&gt;"","・住民票","")&amp;IF(R800&lt;&gt;"","・発信","")&amp;IF(S800&lt;&gt;"","・確認事項","")&amp;IF(T800&lt;&gt;"","・管","")&amp;IF(U800&lt;&gt;"","・SV","")&amp;IF(V800&lt;&gt;"","・データ送付待ち","")&amp;IF(W800&lt;&gt;"","・削除","")</f>
        <v/>
      </c>
    </row>
    <row r="801" ht="15" customHeight="1" s="87">
      <c r="AL801" s="94">
        <f>IF(A801="","",IF(COUNTIF(A801:A$2001,A801)=1,1,0))</f>
        <v/>
      </c>
      <c r="AM801" s="94">
        <f>IF(I801="","",TODAY()-I801)</f>
        <v/>
      </c>
      <c r="AN801" s="94">
        <f>IF(A801="","",IF(AND(E801&lt;&gt;"33 確認済",E801&lt;&gt;"36 送付中"),1,0))</f>
        <v/>
      </c>
      <c r="AO801" s="94">
        <f>IF(A801="","",IF(AG801&lt;&gt;"",1,0))</f>
        <v/>
      </c>
      <c r="AP801" s="220">
        <f>IF(P801&lt;&gt;"","・添待ち","")&amp;IF(Q801&lt;&gt;"","・住民票","")&amp;IF(R801&lt;&gt;"","・発信","")&amp;IF(S801&lt;&gt;"","・確認事項","")&amp;IF(T801&lt;&gt;"","・管","")&amp;IF(U801&lt;&gt;"","・SV","")&amp;IF(V801&lt;&gt;"","・データ送付待ち","")&amp;IF(W801&lt;&gt;"","・削除","")</f>
        <v/>
      </c>
    </row>
    <row r="802" ht="15" customHeight="1" s="87">
      <c r="AL802" s="94">
        <f>IF(A802="","",IF(COUNTIF(A802:A$2001,A802)=1,1,0))</f>
        <v/>
      </c>
      <c r="AM802" s="94">
        <f>IF(I802="","",TODAY()-I802)</f>
        <v/>
      </c>
      <c r="AN802" s="94">
        <f>IF(A802="","",IF(AND(E802&lt;&gt;"33 確認済",E802&lt;&gt;"36 送付中"),1,0))</f>
        <v/>
      </c>
      <c r="AO802" s="94">
        <f>IF(A802="","",IF(AG802&lt;&gt;"",1,0))</f>
        <v/>
      </c>
      <c r="AP802" s="220">
        <f>IF(P802&lt;&gt;"","・添待ち","")&amp;IF(Q802&lt;&gt;"","・住民票","")&amp;IF(R802&lt;&gt;"","・発信","")&amp;IF(S802&lt;&gt;"","・確認事項","")&amp;IF(T802&lt;&gt;"","・管","")&amp;IF(U802&lt;&gt;"","・SV","")&amp;IF(V802&lt;&gt;"","・データ送付待ち","")&amp;IF(W802&lt;&gt;"","・削除","")</f>
        <v/>
      </c>
    </row>
    <row r="803" ht="15" customHeight="1" s="87">
      <c r="AL803" s="94">
        <f>IF(A803="","",IF(COUNTIF(A803:A$2001,A803)=1,1,0))</f>
        <v/>
      </c>
      <c r="AM803" s="94">
        <f>IF(I803="","",TODAY()-I803)</f>
        <v/>
      </c>
      <c r="AN803" s="94">
        <f>IF(A803="","",IF(AND(E803&lt;&gt;"33 確認済",E803&lt;&gt;"36 送付中"),1,0))</f>
        <v/>
      </c>
      <c r="AO803" s="94">
        <f>IF(A803="","",IF(AG803&lt;&gt;"",1,0))</f>
        <v/>
      </c>
      <c r="AP803" s="220">
        <f>IF(P803&lt;&gt;"","・添待ち","")&amp;IF(Q803&lt;&gt;"","・住民票","")&amp;IF(R803&lt;&gt;"","・発信","")&amp;IF(S803&lt;&gt;"","・確認事項","")&amp;IF(T803&lt;&gt;"","・管","")&amp;IF(U803&lt;&gt;"","・SV","")&amp;IF(V803&lt;&gt;"","・データ送付待ち","")&amp;IF(W803&lt;&gt;"","・削除","")</f>
        <v/>
      </c>
    </row>
    <row r="804" ht="15" customHeight="1" s="87">
      <c r="AL804" s="94">
        <f>IF(A804="","",IF(COUNTIF(A804:A$2001,A804)=1,1,0))</f>
        <v/>
      </c>
      <c r="AM804" s="94">
        <f>IF(I804="","",TODAY()-I804)</f>
        <v/>
      </c>
      <c r="AN804" s="94">
        <f>IF(A804="","",IF(AND(E804&lt;&gt;"33 確認済",E804&lt;&gt;"36 送付中"),1,0))</f>
        <v/>
      </c>
      <c r="AO804" s="94">
        <f>IF(A804="","",IF(AG804&lt;&gt;"",1,0))</f>
        <v/>
      </c>
      <c r="AP804" s="220">
        <f>IF(P804&lt;&gt;"","・添待ち","")&amp;IF(Q804&lt;&gt;"","・住民票","")&amp;IF(R804&lt;&gt;"","・発信","")&amp;IF(S804&lt;&gt;"","・確認事項","")&amp;IF(T804&lt;&gt;"","・管","")&amp;IF(U804&lt;&gt;"","・SV","")&amp;IF(V804&lt;&gt;"","・データ送付待ち","")&amp;IF(W804&lt;&gt;"","・削除","")</f>
        <v/>
      </c>
    </row>
    <row r="805" ht="15" customHeight="1" s="87">
      <c r="AL805" s="94">
        <f>IF(A805="","",IF(COUNTIF(A805:A$2001,A805)=1,1,0))</f>
        <v/>
      </c>
      <c r="AM805" s="94">
        <f>IF(I805="","",TODAY()-I805)</f>
        <v/>
      </c>
      <c r="AN805" s="94">
        <f>IF(A805="","",IF(AND(E805&lt;&gt;"33 確認済",E805&lt;&gt;"36 送付中"),1,0))</f>
        <v/>
      </c>
      <c r="AO805" s="94">
        <f>IF(A805="","",IF(AG805&lt;&gt;"",1,0))</f>
        <v/>
      </c>
      <c r="AP805" s="220">
        <f>IF(P805&lt;&gt;"","・添待ち","")&amp;IF(Q805&lt;&gt;"","・住民票","")&amp;IF(R805&lt;&gt;"","・発信","")&amp;IF(S805&lt;&gt;"","・確認事項","")&amp;IF(T805&lt;&gt;"","・管","")&amp;IF(U805&lt;&gt;"","・SV","")&amp;IF(V805&lt;&gt;"","・データ送付待ち","")&amp;IF(W805&lt;&gt;"","・削除","")</f>
        <v/>
      </c>
    </row>
    <row r="806" ht="15" customHeight="1" s="87">
      <c r="AL806" s="94">
        <f>IF(A806="","",IF(COUNTIF(A806:A$2001,A806)=1,1,0))</f>
        <v/>
      </c>
      <c r="AM806" s="94">
        <f>IF(I806="","",TODAY()-I806)</f>
        <v/>
      </c>
      <c r="AN806" s="94">
        <f>IF(A806="","",IF(AND(E806&lt;&gt;"33 確認済",E806&lt;&gt;"36 送付中"),1,0))</f>
        <v/>
      </c>
      <c r="AO806" s="94">
        <f>IF(A806="","",IF(AG806&lt;&gt;"",1,0))</f>
        <v/>
      </c>
      <c r="AP806" s="220">
        <f>IF(P806&lt;&gt;"","・添待ち","")&amp;IF(Q806&lt;&gt;"","・住民票","")&amp;IF(R806&lt;&gt;"","・発信","")&amp;IF(S806&lt;&gt;"","・確認事項","")&amp;IF(T806&lt;&gt;"","・管","")&amp;IF(U806&lt;&gt;"","・SV","")&amp;IF(V806&lt;&gt;"","・データ送付待ち","")&amp;IF(W806&lt;&gt;"","・削除","")</f>
        <v/>
      </c>
    </row>
    <row r="807" ht="15" customHeight="1" s="87">
      <c r="AL807" s="94">
        <f>IF(A807="","",IF(COUNTIF(A807:A$2001,A807)=1,1,0))</f>
        <v/>
      </c>
      <c r="AM807" s="94">
        <f>IF(I807="","",TODAY()-I807)</f>
        <v/>
      </c>
      <c r="AN807" s="94">
        <f>IF(A807="","",IF(AND(E807&lt;&gt;"33 確認済",E807&lt;&gt;"36 送付中"),1,0))</f>
        <v/>
      </c>
      <c r="AO807" s="94">
        <f>IF(A807="","",IF(AG807&lt;&gt;"",1,0))</f>
        <v/>
      </c>
      <c r="AP807" s="220">
        <f>IF(P807&lt;&gt;"","・添待ち","")&amp;IF(Q807&lt;&gt;"","・住民票","")&amp;IF(R807&lt;&gt;"","・発信","")&amp;IF(S807&lt;&gt;"","・確認事項","")&amp;IF(T807&lt;&gt;"","・管","")&amp;IF(U807&lt;&gt;"","・SV","")&amp;IF(V807&lt;&gt;"","・データ送付待ち","")&amp;IF(W807&lt;&gt;"","・削除","")</f>
        <v/>
      </c>
    </row>
    <row r="808" ht="15" customHeight="1" s="87">
      <c r="AL808" s="94">
        <f>IF(A808="","",IF(COUNTIF(A808:A$2001,A808)=1,1,0))</f>
        <v/>
      </c>
      <c r="AM808" s="94">
        <f>IF(I808="","",TODAY()-I808)</f>
        <v/>
      </c>
      <c r="AN808" s="94">
        <f>IF(A808="","",IF(AND(E808&lt;&gt;"33 確認済",E808&lt;&gt;"36 送付中"),1,0))</f>
        <v/>
      </c>
      <c r="AO808" s="94">
        <f>IF(A808="","",IF(AG808&lt;&gt;"",1,0))</f>
        <v/>
      </c>
      <c r="AP808" s="220">
        <f>IF(P808&lt;&gt;"","・添待ち","")&amp;IF(Q808&lt;&gt;"","・住民票","")&amp;IF(R808&lt;&gt;"","・発信","")&amp;IF(S808&lt;&gt;"","・確認事項","")&amp;IF(T808&lt;&gt;"","・管","")&amp;IF(U808&lt;&gt;"","・SV","")&amp;IF(V808&lt;&gt;"","・データ送付待ち","")&amp;IF(W808&lt;&gt;"","・削除","")</f>
        <v/>
      </c>
    </row>
    <row r="809" ht="15" customHeight="1" s="87">
      <c r="AL809" s="94">
        <f>IF(A809="","",IF(COUNTIF(A809:A$2001,A809)=1,1,0))</f>
        <v/>
      </c>
      <c r="AM809" s="94">
        <f>IF(I809="","",TODAY()-I809)</f>
        <v/>
      </c>
      <c r="AN809" s="94">
        <f>IF(A809="","",IF(AND(E809&lt;&gt;"33 確認済",E809&lt;&gt;"36 送付中"),1,0))</f>
        <v/>
      </c>
      <c r="AO809" s="94">
        <f>IF(A809="","",IF(AG809&lt;&gt;"",1,0))</f>
        <v/>
      </c>
      <c r="AP809" s="220">
        <f>IF(P809&lt;&gt;"","・添待ち","")&amp;IF(Q809&lt;&gt;"","・住民票","")&amp;IF(R809&lt;&gt;"","・発信","")&amp;IF(S809&lt;&gt;"","・確認事項","")&amp;IF(T809&lt;&gt;"","・管","")&amp;IF(U809&lt;&gt;"","・SV","")&amp;IF(V809&lt;&gt;"","・データ送付待ち","")&amp;IF(W809&lt;&gt;"","・削除","")</f>
        <v/>
      </c>
    </row>
    <row r="810" ht="15" customHeight="1" s="87">
      <c r="AL810" s="94">
        <f>IF(A810="","",IF(COUNTIF(A810:A$2001,A810)=1,1,0))</f>
        <v/>
      </c>
      <c r="AM810" s="94">
        <f>IF(I810="","",TODAY()-I810)</f>
        <v/>
      </c>
      <c r="AN810" s="94">
        <f>IF(A810="","",IF(AND(E810&lt;&gt;"33 確認済",E810&lt;&gt;"36 送付中"),1,0))</f>
        <v/>
      </c>
      <c r="AO810" s="94">
        <f>IF(A810="","",IF(AG810&lt;&gt;"",1,0))</f>
        <v/>
      </c>
      <c r="AP810" s="220">
        <f>IF(P810&lt;&gt;"","・添待ち","")&amp;IF(Q810&lt;&gt;"","・住民票","")&amp;IF(R810&lt;&gt;"","・発信","")&amp;IF(S810&lt;&gt;"","・確認事項","")&amp;IF(T810&lt;&gt;"","・管","")&amp;IF(U810&lt;&gt;"","・SV","")&amp;IF(V810&lt;&gt;"","・データ送付待ち","")&amp;IF(W810&lt;&gt;"","・削除","")</f>
        <v/>
      </c>
    </row>
    <row r="811" ht="15" customHeight="1" s="87">
      <c r="AL811" s="94">
        <f>IF(A811="","",IF(COUNTIF(A811:A$2001,A811)=1,1,0))</f>
        <v/>
      </c>
      <c r="AM811" s="94">
        <f>IF(I811="","",TODAY()-I811)</f>
        <v/>
      </c>
      <c r="AN811" s="94">
        <f>IF(A811="","",IF(AND(E811&lt;&gt;"33 確認済",E811&lt;&gt;"36 送付中"),1,0))</f>
        <v/>
      </c>
      <c r="AO811" s="94">
        <f>IF(A811="","",IF(AG811&lt;&gt;"",1,0))</f>
        <v/>
      </c>
      <c r="AP811" s="220">
        <f>IF(P811&lt;&gt;"","・添待ち","")&amp;IF(Q811&lt;&gt;"","・住民票","")&amp;IF(R811&lt;&gt;"","・発信","")&amp;IF(S811&lt;&gt;"","・確認事項","")&amp;IF(T811&lt;&gt;"","・管","")&amp;IF(U811&lt;&gt;"","・SV","")&amp;IF(V811&lt;&gt;"","・データ送付待ち","")&amp;IF(W811&lt;&gt;"","・削除","")</f>
        <v/>
      </c>
    </row>
    <row r="812" ht="15" customHeight="1" s="87">
      <c r="AL812" s="94">
        <f>IF(A812="","",IF(COUNTIF(A812:A$2001,A812)=1,1,0))</f>
        <v/>
      </c>
      <c r="AM812" s="94">
        <f>IF(I812="","",TODAY()-I812)</f>
        <v/>
      </c>
      <c r="AN812" s="94">
        <f>IF(A812="","",IF(AND(E812&lt;&gt;"33 確認済",E812&lt;&gt;"36 送付中"),1,0))</f>
        <v/>
      </c>
      <c r="AO812" s="94">
        <f>IF(A812="","",IF(AG812&lt;&gt;"",1,0))</f>
        <v/>
      </c>
      <c r="AP812" s="220">
        <f>IF(P812&lt;&gt;"","・添待ち","")&amp;IF(Q812&lt;&gt;"","・住民票","")&amp;IF(R812&lt;&gt;"","・発信","")&amp;IF(S812&lt;&gt;"","・確認事項","")&amp;IF(T812&lt;&gt;"","・管","")&amp;IF(U812&lt;&gt;"","・SV","")&amp;IF(V812&lt;&gt;"","・データ送付待ち","")&amp;IF(W812&lt;&gt;"","・削除","")</f>
        <v/>
      </c>
    </row>
    <row r="813" ht="15" customHeight="1" s="87">
      <c r="AL813" s="94">
        <f>IF(A813="","",IF(COUNTIF(A813:A$2001,A813)=1,1,0))</f>
        <v/>
      </c>
      <c r="AM813" s="94">
        <f>IF(I813="","",TODAY()-I813)</f>
        <v/>
      </c>
      <c r="AN813" s="94">
        <f>IF(A813="","",IF(AND(E813&lt;&gt;"33 確認済",E813&lt;&gt;"36 送付中"),1,0))</f>
        <v/>
      </c>
      <c r="AO813" s="94">
        <f>IF(A813="","",IF(AG813&lt;&gt;"",1,0))</f>
        <v/>
      </c>
      <c r="AP813" s="220">
        <f>IF(P813&lt;&gt;"","・添待ち","")&amp;IF(Q813&lt;&gt;"","・住民票","")&amp;IF(R813&lt;&gt;"","・発信","")&amp;IF(S813&lt;&gt;"","・確認事項","")&amp;IF(T813&lt;&gt;"","・管","")&amp;IF(U813&lt;&gt;"","・SV","")&amp;IF(V813&lt;&gt;"","・データ送付待ち","")&amp;IF(W813&lt;&gt;"","・削除","")</f>
        <v/>
      </c>
    </row>
    <row r="814" ht="15" customHeight="1" s="87">
      <c r="AL814" s="94">
        <f>IF(A814="","",IF(COUNTIF(A814:A$2001,A814)=1,1,0))</f>
        <v/>
      </c>
      <c r="AM814" s="94">
        <f>IF(I814="","",TODAY()-I814)</f>
        <v/>
      </c>
      <c r="AN814" s="94">
        <f>IF(A814="","",IF(AND(E814&lt;&gt;"33 確認済",E814&lt;&gt;"36 送付中"),1,0))</f>
        <v/>
      </c>
      <c r="AO814" s="94">
        <f>IF(A814="","",IF(AG814&lt;&gt;"",1,0))</f>
        <v/>
      </c>
      <c r="AP814" s="220">
        <f>IF(P814&lt;&gt;"","・添待ち","")&amp;IF(Q814&lt;&gt;"","・住民票","")&amp;IF(R814&lt;&gt;"","・発信","")&amp;IF(S814&lt;&gt;"","・確認事項","")&amp;IF(T814&lt;&gt;"","・管","")&amp;IF(U814&lt;&gt;"","・SV","")&amp;IF(V814&lt;&gt;"","・データ送付待ち","")&amp;IF(W814&lt;&gt;"","・削除","")</f>
        <v/>
      </c>
    </row>
    <row r="815" ht="15" customHeight="1" s="87">
      <c r="AL815" s="94">
        <f>IF(A815="","",IF(COUNTIF(A815:A$2001,A815)=1,1,0))</f>
        <v/>
      </c>
      <c r="AM815" s="94">
        <f>IF(I815="","",TODAY()-I815)</f>
        <v/>
      </c>
      <c r="AN815" s="94">
        <f>IF(A815="","",IF(AND(E815&lt;&gt;"33 確認済",E815&lt;&gt;"36 送付中"),1,0))</f>
        <v/>
      </c>
      <c r="AO815" s="94">
        <f>IF(A815="","",IF(AG815&lt;&gt;"",1,0))</f>
        <v/>
      </c>
      <c r="AP815" s="220">
        <f>IF(P815&lt;&gt;"","・添待ち","")&amp;IF(Q815&lt;&gt;"","・住民票","")&amp;IF(R815&lt;&gt;"","・発信","")&amp;IF(S815&lt;&gt;"","・確認事項","")&amp;IF(T815&lt;&gt;"","・管","")&amp;IF(U815&lt;&gt;"","・SV","")&amp;IF(V815&lt;&gt;"","・データ送付待ち","")&amp;IF(W815&lt;&gt;"","・削除","")</f>
        <v/>
      </c>
    </row>
    <row r="816" ht="15" customHeight="1" s="87">
      <c r="AL816" s="94">
        <f>IF(A816="","",IF(COUNTIF(A816:A$2001,A816)=1,1,0))</f>
        <v/>
      </c>
      <c r="AM816" s="94">
        <f>IF(I816="","",TODAY()-I816)</f>
        <v/>
      </c>
      <c r="AN816" s="94">
        <f>IF(A816="","",IF(AND(E816&lt;&gt;"33 確認済",E816&lt;&gt;"36 送付中"),1,0))</f>
        <v/>
      </c>
      <c r="AO816" s="94">
        <f>IF(A816="","",IF(AG816&lt;&gt;"",1,0))</f>
        <v/>
      </c>
      <c r="AP816" s="220">
        <f>IF(P816&lt;&gt;"","・添待ち","")&amp;IF(Q816&lt;&gt;"","・住民票","")&amp;IF(R816&lt;&gt;"","・発信","")&amp;IF(S816&lt;&gt;"","・確認事項","")&amp;IF(T816&lt;&gt;"","・管","")&amp;IF(U816&lt;&gt;"","・SV","")&amp;IF(V816&lt;&gt;"","・データ送付待ち","")&amp;IF(W816&lt;&gt;"","・削除","")</f>
        <v/>
      </c>
    </row>
    <row r="817" ht="15" customHeight="1" s="87">
      <c r="AL817" s="94">
        <f>IF(A817="","",IF(COUNTIF(A817:A$2001,A817)=1,1,0))</f>
        <v/>
      </c>
      <c r="AM817" s="94">
        <f>IF(I817="","",TODAY()-I817)</f>
        <v/>
      </c>
      <c r="AN817" s="94">
        <f>IF(A817="","",IF(AND(E817&lt;&gt;"33 確認済",E817&lt;&gt;"36 送付中"),1,0))</f>
        <v/>
      </c>
      <c r="AO817" s="94">
        <f>IF(A817="","",IF(AG817&lt;&gt;"",1,0))</f>
        <v/>
      </c>
      <c r="AP817" s="220">
        <f>IF(P817&lt;&gt;"","・添待ち","")&amp;IF(Q817&lt;&gt;"","・住民票","")&amp;IF(R817&lt;&gt;"","・発信","")&amp;IF(S817&lt;&gt;"","・確認事項","")&amp;IF(T817&lt;&gt;"","・管","")&amp;IF(U817&lt;&gt;"","・SV","")&amp;IF(V817&lt;&gt;"","・データ送付待ち","")&amp;IF(W817&lt;&gt;"","・削除","")</f>
        <v/>
      </c>
    </row>
    <row r="818" ht="15" customHeight="1" s="87">
      <c r="AL818" s="94">
        <f>IF(A818="","",IF(COUNTIF(A818:A$2001,A818)=1,1,0))</f>
        <v/>
      </c>
      <c r="AM818" s="94">
        <f>IF(I818="","",TODAY()-I818)</f>
        <v/>
      </c>
      <c r="AN818" s="94">
        <f>IF(A818="","",IF(AND(E818&lt;&gt;"33 確認済",E818&lt;&gt;"36 送付中"),1,0))</f>
        <v/>
      </c>
      <c r="AO818" s="94">
        <f>IF(A818="","",IF(AG818&lt;&gt;"",1,0))</f>
        <v/>
      </c>
      <c r="AP818" s="220">
        <f>IF(P818&lt;&gt;"","・添待ち","")&amp;IF(Q818&lt;&gt;"","・住民票","")&amp;IF(R818&lt;&gt;"","・発信","")&amp;IF(S818&lt;&gt;"","・確認事項","")&amp;IF(T818&lt;&gt;"","・管","")&amp;IF(U818&lt;&gt;"","・SV","")&amp;IF(V818&lt;&gt;"","・データ送付待ち","")&amp;IF(W818&lt;&gt;"","・削除","")</f>
        <v/>
      </c>
    </row>
    <row r="819" ht="15" customHeight="1" s="87">
      <c r="AL819" s="94">
        <f>IF(A819="","",IF(COUNTIF(A819:A$2001,A819)=1,1,0))</f>
        <v/>
      </c>
      <c r="AM819" s="94">
        <f>IF(I819="","",TODAY()-I819)</f>
        <v/>
      </c>
      <c r="AN819" s="94">
        <f>IF(A819="","",IF(AND(E819&lt;&gt;"33 確認済",E819&lt;&gt;"36 送付中"),1,0))</f>
        <v/>
      </c>
      <c r="AO819" s="94">
        <f>IF(A819="","",IF(AG819&lt;&gt;"",1,0))</f>
        <v/>
      </c>
      <c r="AP819" s="220">
        <f>IF(P819&lt;&gt;"","・添待ち","")&amp;IF(Q819&lt;&gt;"","・住民票","")&amp;IF(R819&lt;&gt;"","・発信","")&amp;IF(S819&lt;&gt;"","・確認事項","")&amp;IF(T819&lt;&gt;"","・管","")&amp;IF(U819&lt;&gt;"","・SV","")&amp;IF(V819&lt;&gt;"","・データ送付待ち","")&amp;IF(W819&lt;&gt;"","・削除","")</f>
        <v/>
      </c>
    </row>
    <row r="820" ht="15" customHeight="1" s="87">
      <c r="AL820" s="94">
        <f>IF(A820="","",IF(COUNTIF(A820:A$2001,A820)=1,1,0))</f>
        <v/>
      </c>
      <c r="AM820" s="94">
        <f>IF(I820="","",TODAY()-I820)</f>
        <v/>
      </c>
      <c r="AN820" s="94">
        <f>IF(A820="","",IF(AND(E820&lt;&gt;"33 確認済",E820&lt;&gt;"36 送付中"),1,0))</f>
        <v/>
      </c>
      <c r="AO820" s="94">
        <f>IF(A820="","",IF(AG820&lt;&gt;"",1,0))</f>
        <v/>
      </c>
      <c r="AP820" s="220">
        <f>IF(P820&lt;&gt;"","・添待ち","")&amp;IF(Q820&lt;&gt;"","・住民票","")&amp;IF(R820&lt;&gt;"","・発信","")&amp;IF(S820&lt;&gt;"","・確認事項","")&amp;IF(T820&lt;&gt;"","・管","")&amp;IF(U820&lt;&gt;"","・SV","")&amp;IF(V820&lt;&gt;"","・データ送付待ち","")&amp;IF(W820&lt;&gt;"","・削除","")</f>
        <v/>
      </c>
    </row>
    <row r="821" ht="15" customHeight="1" s="87">
      <c r="AL821" s="94">
        <f>IF(A821="","",IF(COUNTIF(A821:A$2001,A821)=1,1,0))</f>
        <v/>
      </c>
      <c r="AM821" s="94">
        <f>IF(I821="","",TODAY()-I821)</f>
        <v/>
      </c>
      <c r="AN821" s="94">
        <f>IF(A821="","",IF(AND(E821&lt;&gt;"33 確認済",E821&lt;&gt;"36 送付中"),1,0))</f>
        <v/>
      </c>
      <c r="AO821" s="94">
        <f>IF(A821="","",IF(AG821&lt;&gt;"",1,0))</f>
        <v/>
      </c>
      <c r="AP821" s="220">
        <f>IF(P821&lt;&gt;"","・添待ち","")&amp;IF(Q821&lt;&gt;"","・住民票","")&amp;IF(R821&lt;&gt;"","・発信","")&amp;IF(S821&lt;&gt;"","・確認事項","")&amp;IF(T821&lt;&gt;"","・管","")&amp;IF(U821&lt;&gt;"","・SV","")&amp;IF(V821&lt;&gt;"","・データ送付待ち","")&amp;IF(W821&lt;&gt;"","・削除","")</f>
        <v/>
      </c>
    </row>
    <row r="822" ht="15" customHeight="1" s="87">
      <c r="AL822" s="94">
        <f>IF(A822="","",IF(COUNTIF(A822:A$2001,A822)=1,1,0))</f>
        <v/>
      </c>
      <c r="AM822" s="94">
        <f>IF(I822="","",TODAY()-I822)</f>
        <v/>
      </c>
      <c r="AN822" s="94">
        <f>IF(A822="","",IF(AND(E822&lt;&gt;"33 確認済",E822&lt;&gt;"36 送付中"),1,0))</f>
        <v/>
      </c>
      <c r="AO822" s="94">
        <f>IF(A822="","",IF(AG822&lt;&gt;"",1,0))</f>
        <v/>
      </c>
      <c r="AP822" s="220">
        <f>IF(P822&lt;&gt;"","・添待ち","")&amp;IF(Q822&lt;&gt;"","・住民票","")&amp;IF(R822&lt;&gt;"","・発信","")&amp;IF(S822&lt;&gt;"","・確認事項","")&amp;IF(T822&lt;&gt;"","・管","")&amp;IF(U822&lt;&gt;"","・SV","")&amp;IF(V822&lt;&gt;"","・データ送付待ち","")&amp;IF(W822&lt;&gt;"","・削除","")</f>
        <v/>
      </c>
    </row>
    <row r="823" ht="15" customHeight="1" s="87">
      <c r="AL823" s="94">
        <f>IF(A823="","",IF(COUNTIF(A823:A$2001,A823)=1,1,0))</f>
        <v/>
      </c>
      <c r="AM823" s="94">
        <f>IF(I823="","",TODAY()-I823)</f>
        <v/>
      </c>
      <c r="AN823" s="94">
        <f>IF(A823="","",IF(AND(E823&lt;&gt;"33 確認済",E823&lt;&gt;"36 送付中"),1,0))</f>
        <v/>
      </c>
      <c r="AO823" s="94">
        <f>IF(A823="","",IF(AG823&lt;&gt;"",1,0))</f>
        <v/>
      </c>
      <c r="AP823" s="220">
        <f>IF(P823&lt;&gt;"","・添待ち","")&amp;IF(Q823&lt;&gt;"","・住民票","")&amp;IF(R823&lt;&gt;"","・発信","")&amp;IF(S823&lt;&gt;"","・確認事項","")&amp;IF(T823&lt;&gt;"","・管","")&amp;IF(U823&lt;&gt;"","・SV","")&amp;IF(V823&lt;&gt;"","・データ送付待ち","")&amp;IF(W823&lt;&gt;"","・削除","")</f>
        <v/>
      </c>
    </row>
    <row r="824" ht="15" customHeight="1" s="87">
      <c r="AL824" s="94">
        <f>IF(A824="","",IF(COUNTIF(A824:A$2001,A824)=1,1,0))</f>
        <v/>
      </c>
      <c r="AM824" s="94">
        <f>IF(I824="","",TODAY()-I824)</f>
        <v/>
      </c>
      <c r="AN824" s="94">
        <f>IF(A824="","",IF(AND(E824&lt;&gt;"33 確認済",E824&lt;&gt;"36 送付中"),1,0))</f>
        <v/>
      </c>
      <c r="AO824" s="94">
        <f>IF(A824="","",IF(AG824&lt;&gt;"",1,0))</f>
        <v/>
      </c>
      <c r="AP824" s="220">
        <f>IF(P824&lt;&gt;"","・添待ち","")&amp;IF(Q824&lt;&gt;"","・住民票","")&amp;IF(R824&lt;&gt;"","・発信","")&amp;IF(S824&lt;&gt;"","・確認事項","")&amp;IF(T824&lt;&gt;"","・管","")&amp;IF(U824&lt;&gt;"","・SV","")&amp;IF(V824&lt;&gt;"","・データ送付待ち","")&amp;IF(W824&lt;&gt;"","・削除","")</f>
        <v/>
      </c>
    </row>
    <row r="825" ht="15" customHeight="1" s="87">
      <c r="AL825" s="94">
        <f>IF(A825="","",IF(COUNTIF(A825:A$2001,A825)=1,1,0))</f>
        <v/>
      </c>
      <c r="AM825" s="94">
        <f>IF(I825="","",TODAY()-I825)</f>
        <v/>
      </c>
      <c r="AN825" s="94">
        <f>IF(A825="","",IF(AND(E825&lt;&gt;"33 確認済",E825&lt;&gt;"36 送付中"),1,0))</f>
        <v/>
      </c>
      <c r="AO825" s="94">
        <f>IF(A825="","",IF(AG825&lt;&gt;"",1,0))</f>
        <v/>
      </c>
      <c r="AP825" s="220">
        <f>IF(P825&lt;&gt;"","・添待ち","")&amp;IF(Q825&lt;&gt;"","・住民票","")&amp;IF(R825&lt;&gt;"","・発信","")&amp;IF(S825&lt;&gt;"","・確認事項","")&amp;IF(T825&lt;&gt;"","・管","")&amp;IF(U825&lt;&gt;"","・SV","")&amp;IF(V825&lt;&gt;"","・データ送付待ち","")&amp;IF(W825&lt;&gt;"","・削除","")</f>
        <v/>
      </c>
    </row>
    <row r="826" ht="15" customHeight="1" s="87">
      <c r="AL826" s="94">
        <f>IF(A826="","",IF(COUNTIF(A826:A$2001,A826)=1,1,0))</f>
        <v/>
      </c>
      <c r="AM826" s="94">
        <f>IF(I826="","",TODAY()-I826)</f>
        <v/>
      </c>
      <c r="AN826" s="94">
        <f>IF(A826="","",IF(AND(E826&lt;&gt;"33 確認済",E826&lt;&gt;"36 送付中"),1,0))</f>
        <v/>
      </c>
      <c r="AO826" s="94">
        <f>IF(A826="","",IF(AG826&lt;&gt;"",1,0))</f>
        <v/>
      </c>
      <c r="AP826" s="220">
        <f>IF(P826&lt;&gt;"","・添待ち","")&amp;IF(Q826&lt;&gt;"","・住民票","")&amp;IF(R826&lt;&gt;"","・発信","")&amp;IF(S826&lt;&gt;"","・確認事項","")&amp;IF(T826&lt;&gt;"","・管","")&amp;IF(U826&lt;&gt;"","・SV","")&amp;IF(V826&lt;&gt;"","・データ送付待ち","")&amp;IF(W826&lt;&gt;"","・削除","")</f>
        <v/>
      </c>
    </row>
    <row r="827" ht="15" customHeight="1" s="87">
      <c r="AL827" s="94">
        <f>IF(A827="","",IF(COUNTIF(A827:A$2001,A827)=1,1,0))</f>
        <v/>
      </c>
      <c r="AM827" s="94">
        <f>IF(I827="","",TODAY()-I827)</f>
        <v/>
      </c>
      <c r="AN827" s="94">
        <f>IF(A827="","",IF(AND(E827&lt;&gt;"33 確認済",E827&lt;&gt;"36 送付中"),1,0))</f>
        <v/>
      </c>
      <c r="AO827" s="94">
        <f>IF(A827="","",IF(AG827&lt;&gt;"",1,0))</f>
        <v/>
      </c>
      <c r="AP827" s="220">
        <f>IF(P827&lt;&gt;"","・添待ち","")&amp;IF(Q827&lt;&gt;"","・住民票","")&amp;IF(R827&lt;&gt;"","・発信","")&amp;IF(S827&lt;&gt;"","・確認事項","")&amp;IF(T827&lt;&gt;"","・管","")&amp;IF(U827&lt;&gt;"","・SV","")&amp;IF(V827&lt;&gt;"","・データ送付待ち","")&amp;IF(W827&lt;&gt;"","・削除","")</f>
        <v/>
      </c>
    </row>
    <row r="828" ht="15" customHeight="1" s="87">
      <c r="AL828" s="94">
        <f>IF(A828="","",IF(COUNTIF(A828:A$2001,A828)=1,1,0))</f>
        <v/>
      </c>
      <c r="AM828" s="94">
        <f>IF(I828="","",TODAY()-I828)</f>
        <v/>
      </c>
      <c r="AN828" s="94">
        <f>IF(A828="","",IF(AND(E828&lt;&gt;"33 確認済",E828&lt;&gt;"36 送付中"),1,0))</f>
        <v/>
      </c>
      <c r="AO828" s="94">
        <f>IF(A828="","",IF(AG828&lt;&gt;"",1,0))</f>
        <v/>
      </c>
      <c r="AP828" s="220">
        <f>IF(P828&lt;&gt;"","・添待ち","")&amp;IF(Q828&lt;&gt;"","・住民票","")&amp;IF(R828&lt;&gt;"","・発信","")&amp;IF(S828&lt;&gt;"","・確認事項","")&amp;IF(T828&lt;&gt;"","・管","")&amp;IF(U828&lt;&gt;"","・SV","")&amp;IF(V828&lt;&gt;"","・データ送付待ち","")&amp;IF(W828&lt;&gt;"","・削除","")</f>
        <v/>
      </c>
    </row>
    <row r="829" ht="15" customHeight="1" s="87">
      <c r="AL829" s="94">
        <f>IF(A829="","",IF(COUNTIF(A829:A$2001,A829)=1,1,0))</f>
        <v/>
      </c>
      <c r="AM829" s="94">
        <f>IF(I829="","",TODAY()-I829)</f>
        <v/>
      </c>
      <c r="AN829" s="94">
        <f>IF(A829="","",IF(AND(E829&lt;&gt;"33 確認済",E829&lt;&gt;"36 送付中"),1,0))</f>
        <v/>
      </c>
      <c r="AO829" s="94">
        <f>IF(A829="","",IF(AG829&lt;&gt;"",1,0))</f>
        <v/>
      </c>
      <c r="AP829" s="220">
        <f>IF(P829&lt;&gt;"","・添待ち","")&amp;IF(Q829&lt;&gt;"","・住民票","")&amp;IF(R829&lt;&gt;"","・発信","")&amp;IF(S829&lt;&gt;"","・確認事項","")&amp;IF(T829&lt;&gt;"","・管","")&amp;IF(U829&lt;&gt;"","・SV","")&amp;IF(V829&lt;&gt;"","・データ送付待ち","")&amp;IF(W829&lt;&gt;"","・削除","")</f>
        <v/>
      </c>
    </row>
    <row r="830" ht="15" customHeight="1" s="87">
      <c r="AL830" s="94">
        <f>IF(A830="","",IF(COUNTIF(A830:A$2001,A830)=1,1,0))</f>
        <v/>
      </c>
      <c r="AM830" s="94">
        <f>IF(I830="","",TODAY()-I830)</f>
        <v/>
      </c>
      <c r="AN830" s="94">
        <f>IF(A830="","",IF(AND(E830&lt;&gt;"33 確認済",E830&lt;&gt;"36 送付中"),1,0))</f>
        <v/>
      </c>
      <c r="AO830" s="94">
        <f>IF(A830="","",IF(AG830&lt;&gt;"",1,0))</f>
        <v/>
      </c>
      <c r="AP830" s="220">
        <f>IF(P830&lt;&gt;"","・添待ち","")&amp;IF(Q830&lt;&gt;"","・住民票","")&amp;IF(R830&lt;&gt;"","・発信","")&amp;IF(S830&lt;&gt;"","・確認事項","")&amp;IF(T830&lt;&gt;"","・管","")&amp;IF(U830&lt;&gt;"","・SV","")&amp;IF(V830&lt;&gt;"","・データ送付待ち","")&amp;IF(W830&lt;&gt;"","・削除","")</f>
        <v/>
      </c>
    </row>
    <row r="831" ht="15" customHeight="1" s="87">
      <c r="AL831" s="94">
        <f>IF(A831="","",IF(COUNTIF(A831:A$2001,A831)=1,1,0))</f>
        <v/>
      </c>
      <c r="AM831" s="94">
        <f>IF(I831="","",TODAY()-I831)</f>
        <v/>
      </c>
      <c r="AN831" s="94">
        <f>IF(A831="","",IF(AND(E831&lt;&gt;"33 確認済",E831&lt;&gt;"36 送付中"),1,0))</f>
        <v/>
      </c>
      <c r="AO831" s="94">
        <f>IF(A831="","",IF(AG831&lt;&gt;"",1,0))</f>
        <v/>
      </c>
      <c r="AP831" s="220">
        <f>IF(P831&lt;&gt;"","・添待ち","")&amp;IF(Q831&lt;&gt;"","・住民票","")&amp;IF(R831&lt;&gt;"","・発信","")&amp;IF(S831&lt;&gt;"","・確認事項","")&amp;IF(T831&lt;&gt;"","・管","")&amp;IF(U831&lt;&gt;"","・SV","")&amp;IF(V831&lt;&gt;"","・データ送付待ち","")&amp;IF(W831&lt;&gt;"","・削除","")</f>
        <v/>
      </c>
    </row>
    <row r="832" ht="15" customHeight="1" s="87">
      <c r="AL832" s="94">
        <f>IF(A832="","",IF(COUNTIF(A832:A$2001,A832)=1,1,0))</f>
        <v/>
      </c>
      <c r="AM832" s="94">
        <f>IF(I832="","",TODAY()-I832)</f>
        <v/>
      </c>
      <c r="AN832" s="94">
        <f>IF(A832="","",IF(AND(E832&lt;&gt;"33 確認済",E832&lt;&gt;"36 送付中"),1,0))</f>
        <v/>
      </c>
      <c r="AO832" s="94">
        <f>IF(A832="","",IF(AG832&lt;&gt;"",1,0))</f>
        <v/>
      </c>
      <c r="AP832" s="220">
        <f>IF(P832&lt;&gt;"","・添待ち","")&amp;IF(Q832&lt;&gt;"","・住民票","")&amp;IF(R832&lt;&gt;"","・発信","")&amp;IF(S832&lt;&gt;"","・確認事項","")&amp;IF(T832&lt;&gt;"","・管","")&amp;IF(U832&lt;&gt;"","・SV","")&amp;IF(V832&lt;&gt;"","・データ送付待ち","")&amp;IF(W832&lt;&gt;"","・削除","")</f>
        <v/>
      </c>
    </row>
    <row r="833" ht="15" customHeight="1" s="87">
      <c r="AL833" s="94">
        <f>IF(A833="","",IF(COUNTIF(A833:A$2001,A833)=1,1,0))</f>
        <v/>
      </c>
      <c r="AM833" s="94">
        <f>IF(I833="","",TODAY()-I833)</f>
        <v/>
      </c>
      <c r="AN833" s="94">
        <f>IF(A833="","",IF(AND(E833&lt;&gt;"33 確認済",E833&lt;&gt;"36 送付中"),1,0))</f>
        <v/>
      </c>
      <c r="AO833" s="94">
        <f>IF(A833="","",IF(AG833&lt;&gt;"",1,0))</f>
        <v/>
      </c>
      <c r="AP833" s="220">
        <f>IF(P833&lt;&gt;"","・添待ち","")&amp;IF(Q833&lt;&gt;"","・住民票","")&amp;IF(R833&lt;&gt;"","・発信","")&amp;IF(S833&lt;&gt;"","・確認事項","")&amp;IF(T833&lt;&gt;"","・管","")&amp;IF(U833&lt;&gt;"","・SV","")&amp;IF(V833&lt;&gt;"","・データ送付待ち","")&amp;IF(W833&lt;&gt;"","・削除","")</f>
        <v/>
      </c>
    </row>
    <row r="834" ht="15" customHeight="1" s="87">
      <c r="AL834" s="94">
        <f>IF(A834="","",IF(COUNTIF(A834:A$2001,A834)=1,1,0))</f>
        <v/>
      </c>
      <c r="AM834" s="94">
        <f>IF(I834="","",TODAY()-I834)</f>
        <v/>
      </c>
      <c r="AN834" s="94">
        <f>IF(A834="","",IF(AND(E834&lt;&gt;"33 確認済",E834&lt;&gt;"36 送付中"),1,0))</f>
        <v/>
      </c>
      <c r="AO834" s="94">
        <f>IF(A834="","",IF(AG834&lt;&gt;"",1,0))</f>
        <v/>
      </c>
      <c r="AP834" s="220">
        <f>IF(P834&lt;&gt;"","・添待ち","")&amp;IF(Q834&lt;&gt;"","・住民票","")&amp;IF(R834&lt;&gt;"","・発信","")&amp;IF(S834&lt;&gt;"","・確認事項","")&amp;IF(T834&lt;&gt;"","・管","")&amp;IF(U834&lt;&gt;"","・SV","")&amp;IF(V834&lt;&gt;"","・データ送付待ち","")&amp;IF(W834&lt;&gt;"","・削除","")</f>
        <v/>
      </c>
    </row>
    <row r="835" ht="15" customHeight="1" s="87">
      <c r="AL835" s="94">
        <f>IF(A835="","",IF(COUNTIF(A835:A$2001,A835)=1,1,0))</f>
        <v/>
      </c>
      <c r="AM835" s="94">
        <f>IF(I835="","",TODAY()-I835)</f>
        <v/>
      </c>
      <c r="AN835" s="94">
        <f>IF(A835="","",IF(AND(E835&lt;&gt;"33 確認済",E835&lt;&gt;"36 送付中"),1,0))</f>
        <v/>
      </c>
      <c r="AO835" s="94">
        <f>IF(A835="","",IF(AG835&lt;&gt;"",1,0))</f>
        <v/>
      </c>
      <c r="AP835" s="220">
        <f>IF(P835&lt;&gt;"","・添待ち","")&amp;IF(Q835&lt;&gt;"","・住民票","")&amp;IF(R835&lt;&gt;"","・発信","")&amp;IF(S835&lt;&gt;"","・確認事項","")&amp;IF(T835&lt;&gt;"","・管","")&amp;IF(U835&lt;&gt;"","・SV","")&amp;IF(V835&lt;&gt;"","・データ送付待ち","")&amp;IF(W835&lt;&gt;"","・削除","")</f>
        <v/>
      </c>
    </row>
    <row r="836" ht="15" customHeight="1" s="87">
      <c r="AL836" s="94">
        <f>IF(A836="","",IF(COUNTIF(A836:A$2001,A836)=1,1,0))</f>
        <v/>
      </c>
      <c r="AM836" s="94">
        <f>IF(I836="","",TODAY()-I836)</f>
        <v/>
      </c>
      <c r="AN836" s="94">
        <f>IF(A836="","",IF(AND(E836&lt;&gt;"33 確認済",E836&lt;&gt;"36 送付中"),1,0))</f>
        <v/>
      </c>
      <c r="AO836" s="94">
        <f>IF(A836="","",IF(AG836&lt;&gt;"",1,0))</f>
        <v/>
      </c>
      <c r="AP836" s="220">
        <f>IF(P836&lt;&gt;"","・添待ち","")&amp;IF(Q836&lt;&gt;"","・住民票","")&amp;IF(R836&lt;&gt;"","・発信","")&amp;IF(S836&lt;&gt;"","・確認事項","")&amp;IF(T836&lt;&gt;"","・管","")&amp;IF(U836&lt;&gt;"","・SV","")&amp;IF(V836&lt;&gt;"","・データ送付待ち","")&amp;IF(W836&lt;&gt;"","・削除","")</f>
        <v/>
      </c>
    </row>
    <row r="837" ht="15" customHeight="1" s="87">
      <c r="AL837" s="94">
        <f>IF(A837="","",IF(COUNTIF(A837:A$2001,A837)=1,1,0))</f>
        <v/>
      </c>
      <c r="AM837" s="94">
        <f>IF(I837="","",TODAY()-I837)</f>
        <v/>
      </c>
      <c r="AN837" s="94">
        <f>IF(A837="","",IF(AND(E837&lt;&gt;"33 確認済",E837&lt;&gt;"36 送付中"),1,0))</f>
        <v/>
      </c>
      <c r="AO837" s="94">
        <f>IF(A837="","",IF(AG837&lt;&gt;"",1,0))</f>
        <v/>
      </c>
      <c r="AP837" s="220">
        <f>IF(P837&lt;&gt;"","・添待ち","")&amp;IF(Q837&lt;&gt;"","・住民票","")&amp;IF(R837&lt;&gt;"","・発信","")&amp;IF(S837&lt;&gt;"","・確認事項","")&amp;IF(T837&lt;&gt;"","・管","")&amp;IF(U837&lt;&gt;"","・SV","")&amp;IF(V837&lt;&gt;"","・データ送付待ち","")&amp;IF(W837&lt;&gt;"","・削除","")</f>
        <v/>
      </c>
    </row>
    <row r="838" ht="15" customHeight="1" s="87">
      <c r="AL838" s="94">
        <f>IF(A838="","",IF(COUNTIF(A838:A$2001,A838)=1,1,0))</f>
        <v/>
      </c>
      <c r="AM838" s="94">
        <f>IF(I838="","",TODAY()-I838)</f>
        <v/>
      </c>
      <c r="AN838" s="94">
        <f>IF(A838="","",IF(AND(E838&lt;&gt;"33 確認済",E838&lt;&gt;"36 送付中"),1,0))</f>
        <v/>
      </c>
      <c r="AO838" s="94">
        <f>IF(A838="","",IF(AG838&lt;&gt;"",1,0))</f>
        <v/>
      </c>
      <c r="AP838" s="220">
        <f>IF(P838&lt;&gt;"","・添待ち","")&amp;IF(Q838&lt;&gt;"","・住民票","")&amp;IF(R838&lt;&gt;"","・発信","")&amp;IF(S838&lt;&gt;"","・確認事項","")&amp;IF(T838&lt;&gt;"","・管","")&amp;IF(U838&lt;&gt;"","・SV","")&amp;IF(V838&lt;&gt;"","・データ送付待ち","")&amp;IF(W838&lt;&gt;"","・削除","")</f>
        <v/>
      </c>
    </row>
    <row r="839" ht="15" customHeight="1" s="87">
      <c r="AL839" s="94">
        <f>IF(A839="","",IF(COUNTIF(A839:A$2001,A839)=1,1,0))</f>
        <v/>
      </c>
      <c r="AM839" s="94">
        <f>IF(I839="","",TODAY()-I839)</f>
        <v/>
      </c>
      <c r="AN839" s="94">
        <f>IF(A839="","",IF(AND(E839&lt;&gt;"33 確認済",E839&lt;&gt;"36 送付中"),1,0))</f>
        <v/>
      </c>
      <c r="AO839" s="94">
        <f>IF(A839="","",IF(AG839&lt;&gt;"",1,0))</f>
        <v/>
      </c>
      <c r="AP839" s="220">
        <f>IF(P839&lt;&gt;"","・添待ち","")&amp;IF(Q839&lt;&gt;"","・住民票","")&amp;IF(R839&lt;&gt;"","・発信","")&amp;IF(S839&lt;&gt;"","・確認事項","")&amp;IF(T839&lt;&gt;"","・管","")&amp;IF(U839&lt;&gt;"","・SV","")&amp;IF(V839&lt;&gt;"","・データ送付待ち","")&amp;IF(W839&lt;&gt;"","・削除","")</f>
        <v/>
      </c>
    </row>
    <row r="840" ht="15" customHeight="1" s="87">
      <c r="AL840" s="94">
        <f>IF(A840="","",IF(COUNTIF(A840:A$2001,A840)=1,1,0))</f>
        <v/>
      </c>
      <c r="AM840" s="94">
        <f>IF(I840="","",TODAY()-I840)</f>
        <v/>
      </c>
      <c r="AN840" s="94">
        <f>IF(A840="","",IF(AND(E840&lt;&gt;"33 確認済",E840&lt;&gt;"36 送付中"),1,0))</f>
        <v/>
      </c>
      <c r="AO840" s="94">
        <f>IF(A840="","",IF(AG840&lt;&gt;"",1,0))</f>
        <v/>
      </c>
      <c r="AP840" s="220">
        <f>IF(P840&lt;&gt;"","・添待ち","")&amp;IF(Q840&lt;&gt;"","・住民票","")&amp;IF(R840&lt;&gt;"","・発信","")&amp;IF(S840&lt;&gt;"","・確認事項","")&amp;IF(T840&lt;&gt;"","・管","")&amp;IF(U840&lt;&gt;"","・SV","")&amp;IF(V840&lt;&gt;"","・データ送付待ち","")&amp;IF(W840&lt;&gt;"","・削除","")</f>
        <v/>
      </c>
    </row>
    <row r="841" ht="15" customHeight="1" s="87">
      <c r="AL841" s="94">
        <f>IF(A841="","",IF(COUNTIF(A841:A$2001,A841)=1,1,0))</f>
        <v/>
      </c>
      <c r="AM841" s="94">
        <f>IF(I841="","",TODAY()-I841)</f>
        <v/>
      </c>
      <c r="AN841" s="94">
        <f>IF(A841="","",IF(AND(E841&lt;&gt;"33 確認済",E841&lt;&gt;"36 送付中"),1,0))</f>
        <v/>
      </c>
      <c r="AO841" s="94">
        <f>IF(A841="","",IF(AG841&lt;&gt;"",1,0))</f>
        <v/>
      </c>
      <c r="AP841" s="220">
        <f>IF(P841&lt;&gt;"","・添待ち","")&amp;IF(Q841&lt;&gt;"","・住民票","")&amp;IF(R841&lt;&gt;"","・発信","")&amp;IF(S841&lt;&gt;"","・確認事項","")&amp;IF(T841&lt;&gt;"","・管","")&amp;IF(U841&lt;&gt;"","・SV","")&amp;IF(V841&lt;&gt;"","・データ送付待ち","")&amp;IF(W841&lt;&gt;"","・削除","")</f>
        <v/>
      </c>
    </row>
    <row r="842" ht="15" customHeight="1" s="87">
      <c r="AL842" s="94">
        <f>IF(A842="","",IF(COUNTIF(A842:A$2001,A842)=1,1,0))</f>
        <v/>
      </c>
      <c r="AM842" s="94">
        <f>IF(I842="","",TODAY()-I842)</f>
        <v/>
      </c>
      <c r="AN842" s="94">
        <f>IF(A842="","",IF(AND(E842&lt;&gt;"33 確認済",E842&lt;&gt;"36 送付中"),1,0))</f>
        <v/>
      </c>
      <c r="AO842" s="94">
        <f>IF(A842="","",IF(AG842&lt;&gt;"",1,0))</f>
        <v/>
      </c>
      <c r="AP842" s="220">
        <f>IF(P842&lt;&gt;"","・添待ち","")&amp;IF(Q842&lt;&gt;"","・住民票","")&amp;IF(R842&lt;&gt;"","・発信","")&amp;IF(S842&lt;&gt;"","・確認事項","")&amp;IF(T842&lt;&gt;"","・管","")&amp;IF(U842&lt;&gt;"","・SV","")&amp;IF(V842&lt;&gt;"","・データ送付待ち","")&amp;IF(W842&lt;&gt;"","・削除","")</f>
        <v/>
      </c>
    </row>
    <row r="843" ht="15" customHeight="1" s="87">
      <c r="AL843" s="94">
        <f>IF(A843="","",IF(COUNTIF(A843:A$2001,A843)=1,1,0))</f>
        <v/>
      </c>
      <c r="AM843" s="94">
        <f>IF(I843="","",TODAY()-I843)</f>
        <v/>
      </c>
      <c r="AN843" s="94">
        <f>IF(A843="","",IF(AND(E843&lt;&gt;"33 確認済",E843&lt;&gt;"36 送付中"),1,0))</f>
        <v/>
      </c>
      <c r="AO843" s="94">
        <f>IF(A843="","",IF(AG843&lt;&gt;"",1,0))</f>
        <v/>
      </c>
      <c r="AP843" s="220">
        <f>IF(P843&lt;&gt;"","・添待ち","")&amp;IF(Q843&lt;&gt;"","・住民票","")&amp;IF(R843&lt;&gt;"","・発信","")&amp;IF(S843&lt;&gt;"","・確認事項","")&amp;IF(T843&lt;&gt;"","・管","")&amp;IF(U843&lt;&gt;"","・SV","")&amp;IF(V843&lt;&gt;"","・データ送付待ち","")&amp;IF(W843&lt;&gt;"","・削除","")</f>
        <v/>
      </c>
    </row>
    <row r="844" ht="15" customHeight="1" s="87">
      <c r="AL844" s="94">
        <f>IF(A844="","",IF(COUNTIF(A844:A$2001,A844)=1,1,0))</f>
        <v/>
      </c>
      <c r="AM844" s="94">
        <f>IF(I844="","",TODAY()-I844)</f>
        <v/>
      </c>
      <c r="AN844" s="94">
        <f>IF(A844="","",IF(AND(E844&lt;&gt;"33 確認済",E844&lt;&gt;"36 送付中"),1,0))</f>
        <v/>
      </c>
      <c r="AO844" s="94">
        <f>IF(A844="","",IF(AG844&lt;&gt;"",1,0))</f>
        <v/>
      </c>
      <c r="AP844" s="220">
        <f>IF(P844&lt;&gt;"","・添待ち","")&amp;IF(Q844&lt;&gt;"","・住民票","")&amp;IF(R844&lt;&gt;"","・発信","")&amp;IF(S844&lt;&gt;"","・確認事項","")&amp;IF(T844&lt;&gt;"","・管","")&amp;IF(U844&lt;&gt;"","・SV","")&amp;IF(V844&lt;&gt;"","・データ送付待ち","")&amp;IF(W844&lt;&gt;"","・削除","")</f>
        <v/>
      </c>
    </row>
    <row r="845" ht="15" customHeight="1" s="87">
      <c r="AL845" s="94">
        <f>IF(A845="","",IF(COUNTIF(A845:A$2001,A845)=1,1,0))</f>
        <v/>
      </c>
      <c r="AM845" s="94">
        <f>IF(I845="","",TODAY()-I845)</f>
        <v/>
      </c>
      <c r="AN845" s="94">
        <f>IF(A845="","",IF(AND(E845&lt;&gt;"33 確認済",E845&lt;&gt;"36 送付中"),1,0))</f>
        <v/>
      </c>
      <c r="AO845" s="94">
        <f>IF(A845="","",IF(AG845&lt;&gt;"",1,0))</f>
        <v/>
      </c>
      <c r="AP845" s="220">
        <f>IF(P845&lt;&gt;"","・添待ち","")&amp;IF(Q845&lt;&gt;"","・住民票","")&amp;IF(R845&lt;&gt;"","・発信","")&amp;IF(S845&lt;&gt;"","・確認事項","")&amp;IF(T845&lt;&gt;"","・管","")&amp;IF(U845&lt;&gt;"","・SV","")&amp;IF(V845&lt;&gt;"","・データ送付待ち","")&amp;IF(W845&lt;&gt;"","・削除","")</f>
        <v/>
      </c>
    </row>
    <row r="846" ht="15" customHeight="1" s="87">
      <c r="AL846" s="94">
        <f>IF(A846="","",IF(COUNTIF(A846:A$2001,A846)=1,1,0))</f>
        <v/>
      </c>
      <c r="AM846" s="94">
        <f>IF(I846="","",TODAY()-I846)</f>
        <v/>
      </c>
      <c r="AN846" s="94">
        <f>IF(A846="","",IF(AND(E846&lt;&gt;"33 確認済",E846&lt;&gt;"36 送付中"),1,0))</f>
        <v/>
      </c>
      <c r="AO846" s="94">
        <f>IF(A846="","",IF(AG846&lt;&gt;"",1,0))</f>
        <v/>
      </c>
      <c r="AP846" s="220">
        <f>IF(P846&lt;&gt;"","・添待ち","")&amp;IF(Q846&lt;&gt;"","・住民票","")&amp;IF(R846&lt;&gt;"","・発信","")&amp;IF(S846&lt;&gt;"","・確認事項","")&amp;IF(T846&lt;&gt;"","・管","")&amp;IF(U846&lt;&gt;"","・SV","")&amp;IF(V846&lt;&gt;"","・データ送付待ち","")&amp;IF(W846&lt;&gt;"","・削除","")</f>
        <v/>
      </c>
    </row>
    <row r="847" ht="15" customHeight="1" s="87">
      <c r="AL847" s="94">
        <f>IF(A847="","",IF(COUNTIF(A847:A$2001,A847)=1,1,0))</f>
        <v/>
      </c>
      <c r="AM847" s="94">
        <f>IF(I847="","",TODAY()-I847)</f>
        <v/>
      </c>
      <c r="AN847" s="94">
        <f>IF(A847="","",IF(AND(E847&lt;&gt;"33 確認済",E847&lt;&gt;"36 送付中"),1,0))</f>
        <v/>
      </c>
      <c r="AO847" s="94">
        <f>IF(A847="","",IF(AG847&lt;&gt;"",1,0))</f>
        <v/>
      </c>
      <c r="AP847" s="220">
        <f>IF(P847&lt;&gt;"","・添待ち","")&amp;IF(Q847&lt;&gt;"","・住民票","")&amp;IF(R847&lt;&gt;"","・発信","")&amp;IF(S847&lt;&gt;"","・確認事項","")&amp;IF(T847&lt;&gt;"","・管","")&amp;IF(U847&lt;&gt;"","・SV","")&amp;IF(V847&lt;&gt;"","・データ送付待ち","")&amp;IF(W847&lt;&gt;"","・削除","")</f>
        <v/>
      </c>
    </row>
    <row r="848" ht="15" customHeight="1" s="87">
      <c r="AL848" s="94">
        <f>IF(A848="","",IF(COUNTIF(A848:A$2001,A848)=1,1,0))</f>
        <v/>
      </c>
      <c r="AM848" s="94">
        <f>IF(I848="","",TODAY()-I848)</f>
        <v/>
      </c>
      <c r="AN848" s="94">
        <f>IF(A848="","",IF(AND(E848&lt;&gt;"33 確認済",E848&lt;&gt;"36 送付中"),1,0))</f>
        <v/>
      </c>
      <c r="AO848" s="94">
        <f>IF(A848="","",IF(AG848&lt;&gt;"",1,0))</f>
        <v/>
      </c>
      <c r="AP848" s="220">
        <f>IF(P848&lt;&gt;"","・添待ち","")&amp;IF(Q848&lt;&gt;"","・住民票","")&amp;IF(R848&lt;&gt;"","・発信","")&amp;IF(S848&lt;&gt;"","・確認事項","")&amp;IF(T848&lt;&gt;"","・管","")&amp;IF(U848&lt;&gt;"","・SV","")&amp;IF(V848&lt;&gt;"","・データ送付待ち","")&amp;IF(W848&lt;&gt;"","・削除","")</f>
        <v/>
      </c>
    </row>
    <row r="849" ht="15" customHeight="1" s="87">
      <c r="AL849" s="94">
        <f>IF(A849="","",IF(COUNTIF(A849:A$2001,A849)=1,1,0))</f>
        <v/>
      </c>
      <c r="AM849" s="94">
        <f>IF(I849="","",TODAY()-I849)</f>
        <v/>
      </c>
      <c r="AN849" s="94">
        <f>IF(A849="","",IF(AND(E849&lt;&gt;"33 確認済",E849&lt;&gt;"36 送付中"),1,0))</f>
        <v/>
      </c>
      <c r="AO849" s="94">
        <f>IF(A849="","",IF(AG849&lt;&gt;"",1,0))</f>
        <v/>
      </c>
      <c r="AP849" s="220">
        <f>IF(P849&lt;&gt;"","・添待ち","")&amp;IF(Q849&lt;&gt;"","・住民票","")&amp;IF(R849&lt;&gt;"","・発信","")&amp;IF(S849&lt;&gt;"","・確認事項","")&amp;IF(T849&lt;&gt;"","・管","")&amp;IF(U849&lt;&gt;"","・SV","")&amp;IF(V849&lt;&gt;"","・データ送付待ち","")&amp;IF(W849&lt;&gt;"","・削除","")</f>
        <v/>
      </c>
    </row>
    <row r="850" ht="15" customHeight="1" s="87">
      <c r="AL850" s="94">
        <f>IF(A850="","",IF(COUNTIF(A850:A$2001,A850)=1,1,0))</f>
        <v/>
      </c>
      <c r="AM850" s="94">
        <f>IF(I850="","",TODAY()-I850)</f>
        <v/>
      </c>
      <c r="AN850" s="94">
        <f>IF(A850="","",IF(AND(E850&lt;&gt;"33 確認済",E850&lt;&gt;"36 送付中"),1,0))</f>
        <v/>
      </c>
      <c r="AO850" s="94">
        <f>IF(A850="","",IF(AG850&lt;&gt;"",1,0))</f>
        <v/>
      </c>
      <c r="AP850" s="220">
        <f>IF(P850&lt;&gt;"","・添待ち","")&amp;IF(Q850&lt;&gt;"","・住民票","")&amp;IF(R850&lt;&gt;"","・発信","")&amp;IF(S850&lt;&gt;"","・確認事項","")&amp;IF(T850&lt;&gt;"","・管","")&amp;IF(U850&lt;&gt;"","・SV","")&amp;IF(V850&lt;&gt;"","・データ送付待ち","")&amp;IF(W850&lt;&gt;"","・削除","")</f>
        <v/>
      </c>
    </row>
    <row r="851" ht="15" customHeight="1" s="87">
      <c r="AL851" s="94">
        <f>IF(A851="","",IF(COUNTIF(A851:A$2001,A851)=1,1,0))</f>
        <v/>
      </c>
      <c r="AM851" s="94">
        <f>IF(I851="","",TODAY()-I851)</f>
        <v/>
      </c>
      <c r="AN851" s="94">
        <f>IF(A851="","",IF(AND(E851&lt;&gt;"33 確認済",E851&lt;&gt;"36 送付中"),1,0))</f>
        <v/>
      </c>
      <c r="AO851" s="94">
        <f>IF(A851="","",IF(AG851&lt;&gt;"",1,0))</f>
        <v/>
      </c>
      <c r="AP851" s="220">
        <f>IF(P851&lt;&gt;"","・添待ち","")&amp;IF(Q851&lt;&gt;"","・住民票","")&amp;IF(R851&lt;&gt;"","・発信","")&amp;IF(S851&lt;&gt;"","・確認事項","")&amp;IF(T851&lt;&gt;"","・管","")&amp;IF(U851&lt;&gt;"","・SV","")&amp;IF(V851&lt;&gt;"","・データ送付待ち","")&amp;IF(W851&lt;&gt;"","・削除","")</f>
        <v/>
      </c>
    </row>
    <row r="852" ht="15" customHeight="1" s="87">
      <c r="AL852" s="94">
        <f>IF(A852="","",IF(COUNTIF(A852:A$2001,A852)=1,1,0))</f>
        <v/>
      </c>
      <c r="AM852" s="94">
        <f>IF(I852="","",TODAY()-I852)</f>
        <v/>
      </c>
      <c r="AN852" s="94">
        <f>IF(A852="","",IF(AND(E852&lt;&gt;"33 確認済",E852&lt;&gt;"36 送付中"),1,0))</f>
        <v/>
      </c>
      <c r="AO852" s="94">
        <f>IF(A852="","",IF(AG852&lt;&gt;"",1,0))</f>
        <v/>
      </c>
      <c r="AP852" s="220">
        <f>IF(P852&lt;&gt;"","・添待ち","")&amp;IF(Q852&lt;&gt;"","・住民票","")&amp;IF(R852&lt;&gt;"","・発信","")&amp;IF(S852&lt;&gt;"","・確認事項","")&amp;IF(T852&lt;&gt;"","・管","")&amp;IF(U852&lt;&gt;"","・SV","")&amp;IF(V852&lt;&gt;"","・データ送付待ち","")&amp;IF(W852&lt;&gt;"","・削除","")</f>
        <v/>
      </c>
    </row>
    <row r="853" ht="15" customHeight="1" s="87">
      <c r="AL853" s="94">
        <f>IF(A853="","",IF(COUNTIF(A853:A$2001,A853)=1,1,0))</f>
        <v/>
      </c>
      <c r="AM853" s="94">
        <f>IF(I853="","",TODAY()-I853)</f>
        <v/>
      </c>
      <c r="AN853" s="94">
        <f>IF(A853="","",IF(AND(E853&lt;&gt;"33 確認済",E853&lt;&gt;"36 送付中"),1,0))</f>
        <v/>
      </c>
      <c r="AO853" s="94">
        <f>IF(A853="","",IF(AG853&lt;&gt;"",1,0))</f>
        <v/>
      </c>
      <c r="AP853" s="220">
        <f>IF(P853&lt;&gt;"","・添待ち","")&amp;IF(Q853&lt;&gt;"","・住民票","")&amp;IF(R853&lt;&gt;"","・発信","")&amp;IF(S853&lt;&gt;"","・確認事項","")&amp;IF(T853&lt;&gt;"","・管","")&amp;IF(U853&lt;&gt;"","・SV","")&amp;IF(V853&lt;&gt;"","・データ送付待ち","")&amp;IF(W853&lt;&gt;"","・削除","")</f>
        <v/>
      </c>
    </row>
    <row r="854" ht="15" customHeight="1" s="87">
      <c r="AL854" s="94">
        <f>IF(A854="","",IF(COUNTIF(A854:A$2001,A854)=1,1,0))</f>
        <v/>
      </c>
      <c r="AM854" s="94">
        <f>IF(I854="","",TODAY()-I854)</f>
        <v/>
      </c>
      <c r="AN854" s="94">
        <f>IF(A854="","",IF(AND(E854&lt;&gt;"33 確認済",E854&lt;&gt;"36 送付中"),1,0))</f>
        <v/>
      </c>
      <c r="AO854" s="94">
        <f>IF(A854="","",IF(AG854&lt;&gt;"",1,0))</f>
        <v/>
      </c>
      <c r="AP854" s="220">
        <f>IF(P854&lt;&gt;"","・添待ち","")&amp;IF(Q854&lt;&gt;"","・住民票","")&amp;IF(R854&lt;&gt;"","・発信","")&amp;IF(S854&lt;&gt;"","・確認事項","")&amp;IF(T854&lt;&gt;"","・管","")&amp;IF(U854&lt;&gt;"","・SV","")&amp;IF(V854&lt;&gt;"","・データ送付待ち","")&amp;IF(W854&lt;&gt;"","・削除","")</f>
        <v/>
      </c>
    </row>
    <row r="855" ht="15" customHeight="1" s="87">
      <c r="AL855" s="94">
        <f>IF(A855="","",IF(COUNTIF(A855:A$2001,A855)=1,1,0))</f>
        <v/>
      </c>
      <c r="AM855" s="94">
        <f>IF(I855="","",TODAY()-I855)</f>
        <v/>
      </c>
      <c r="AN855" s="94">
        <f>IF(A855="","",IF(AND(E855&lt;&gt;"33 確認済",E855&lt;&gt;"36 送付中"),1,0))</f>
        <v/>
      </c>
      <c r="AO855" s="94">
        <f>IF(A855="","",IF(AG855&lt;&gt;"",1,0))</f>
        <v/>
      </c>
      <c r="AP855" s="220">
        <f>IF(P855&lt;&gt;"","・添待ち","")&amp;IF(Q855&lt;&gt;"","・住民票","")&amp;IF(R855&lt;&gt;"","・発信","")&amp;IF(S855&lt;&gt;"","・確認事項","")&amp;IF(T855&lt;&gt;"","・管","")&amp;IF(U855&lt;&gt;"","・SV","")&amp;IF(V855&lt;&gt;"","・データ送付待ち","")&amp;IF(W855&lt;&gt;"","・削除","")</f>
        <v/>
      </c>
    </row>
    <row r="856" ht="15" customHeight="1" s="87">
      <c r="AL856" s="94">
        <f>IF(A856="","",IF(COUNTIF(A856:A$2001,A856)=1,1,0))</f>
        <v/>
      </c>
      <c r="AM856" s="94">
        <f>IF(I856="","",TODAY()-I856)</f>
        <v/>
      </c>
      <c r="AN856" s="94">
        <f>IF(A856="","",IF(AND(E856&lt;&gt;"33 確認済",E856&lt;&gt;"36 送付中"),1,0))</f>
        <v/>
      </c>
      <c r="AO856" s="94">
        <f>IF(A856="","",IF(AG856&lt;&gt;"",1,0))</f>
        <v/>
      </c>
      <c r="AP856" s="220">
        <f>IF(P856&lt;&gt;"","・添待ち","")&amp;IF(Q856&lt;&gt;"","・住民票","")&amp;IF(R856&lt;&gt;"","・発信","")&amp;IF(S856&lt;&gt;"","・確認事項","")&amp;IF(T856&lt;&gt;"","・管","")&amp;IF(U856&lt;&gt;"","・SV","")&amp;IF(V856&lt;&gt;"","・データ送付待ち","")&amp;IF(W856&lt;&gt;"","・削除","")</f>
        <v/>
      </c>
    </row>
    <row r="857" ht="15" customHeight="1" s="87">
      <c r="AL857" s="94">
        <f>IF(A857="","",IF(COUNTIF(A857:A$2001,A857)=1,1,0))</f>
        <v/>
      </c>
      <c r="AM857" s="94">
        <f>IF(I857="","",TODAY()-I857)</f>
        <v/>
      </c>
      <c r="AN857" s="94">
        <f>IF(A857="","",IF(AND(E857&lt;&gt;"33 確認済",E857&lt;&gt;"36 送付中"),1,0))</f>
        <v/>
      </c>
      <c r="AO857" s="94">
        <f>IF(A857="","",IF(AG857&lt;&gt;"",1,0))</f>
        <v/>
      </c>
      <c r="AP857" s="220">
        <f>IF(P857&lt;&gt;"","・添待ち","")&amp;IF(Q857&lt;&gt;"","・住民票","")&amp;IF(R857&lt;&gt;"","・発信","")&amp;IF(S857&lt;&gt;"","・確認事項","")&amp;IF(T857&lt;&gt;"","・管","")&amp;IF(U857&lt;&gt;"","・SV","")&amp;IF(V857&lt;&gt;"","・データ送付待ち","")&amp;IF(W857&lt;&gt;"","・削除","")</f>
        <v/>
      </c>
    </row>
    <row r="858" ht="15" customHeight="1" s="87">
      <c r="AL858" s="94">
        <f>IF(A858="","",IF(COUNTIF(A858:A$2001,A858)=1,1,0))</f>
        <v/>
      </c>
      <c r="AM858" s="94">
        <f>IF(I858="","",TODAY()-I858)</f>
        <v/>
      </c>
      <c r="AN858" s="94">
        <f>IF(A858="","",IF(AND(E858&lt;&gt;"33 確認済",E858&lt;&gt;"36 送付中"),1,0))</f>
        <v/>
      </c>
      <c r="AO858" s="94">
        <f>IF(A858="","",IF(AG858&lt;&gt;"",1,0))</f>
        <v/>
      </c>
      <c r="AP858" s="220">
        <f>IF(P858&lt;&gt;"","・添待ち","")&amp;IF(Q858&lt;&gt;"","・住民票","")&amp;IF(R858&lt;&gt;"","・発信","")&amp;IF(S858&lt;&gt;"","・確認事項","")&amp;IF(T858&lt;&gt;"","・管","")&amp;IF(U858&lt;&gt;"","・SV","")&amp;IF(V858&lt;&gt;"","・データ送付待ち","")&amp;IF(W858&lt;&gt;"","・削除","")</f>
        <v/>
      </c>
    </row>
    <row r="859" ht="15" customHeight="1" s="87">
      <c r="AL859" s="94">
        <f>IF(A859="","",IF(COUNTIF(A859:A$2001,A859)=1,1,0))</f>
        <v/>
      </c>
      <c r="AM859" s="94">
        <f>IF(I859="","",TODAY()-I859)</f>
        <v/>
      </c>
      <c r="AN859" s="94">
        <f>IF(A859="","",IF(AND(E859&lt;&gt;"33 確認済",E859&lt;&gt;"36 送付中"),1,0))</f>
        <v/>
      </c>
      <c r="AO859" s="94">
        <f>IF(A859="","",IF(AG859&lt;&gt;"",1,0))</f>
        <v/>
      </c>
      <c r="AP859" s="220">
        <f>IF(P859&lt;&gt;"","・添待ち","")&amp;IF(Q859&lt;&gt;"","・住民票","")&amp;IF(R859&lt;&gt;"","・発信","")&amp;IF(S859&lt;&gt;"","・確認事項","")&amp;IF(T859&lt;&gt;"","・管","")&amp;IF(U859&lt;&gt;"","・SV","")&amp;IF(V859&lt;&gt;"","・データ送付待ち","")&amp;IF(W859&lt;&gt;"","・削除","")</f>
        <v/>
      </c>
    </row>
    <row r="860" ht="15" customHeight="1" s="87">
      <c r="AL860" s="94">
        <f>IF(A860="","",IF(COUNTIF(A860:A$2001,A860)=1,1,0))</f>
        <v/>
      </c>
      <c r="AM860" s="94">
        <f>IF(I860="","",TODAY()-I860)</f>
        <v/>
      </c>
      <c r="AN860" s="94">
        <f>IF(A860="","",IF(AND(E860&lt;&gt;"33 確認済",E860&lt;&gt;"36 送付中"),1,0))</f>
        <v/>
      </c>
      <c r="AO860" s="94">
        <f>IF(A860="","",IF(AG860&lt;&gt;"",1,0))</f>
        <v/>
      </c>
      <c r="AP860" s="220">
        <f>IF(P860&lt;&gt;"","・添待ち","")&amp;IF(Q860&lt;&gt;"","・住民票","")&amp;IF(R860&lt;&gt;"","・発信","")&amp;IF(S860&lt;&gt;"","・確認事項","")&amp;IF(T860&lt;&gt;"","・管","")&amp;IF(U860&lt;&gt;"","・SV","")&amp;IF(V860&lt;&gt;"","・データ送付待ち","")&amp;IF(W860&lt;&gt;"","・削除","")</f>
        <v/>
      </c>
    </row>
    <row r="861" ht="15" customHeight="1" s="87">
      <c r="AL861" s="94">
        <f>IF(A861="","",IF(COUNTIF(A861:A$2001,A861)=1,1,0))</f>
        <v/>
      </c>
      <c r="AM861" s="94">
        <f>IF(I861="","",TODAY()-I861)</f>
        <v/>
      </c>
      <c r="AN861" s="94">
        <f>IF(A861="","",IF(AND(E861&lt;&gt;"33 確認済",E861&lt;&gt;"36 送付中"),1,0))</f>
        <v/>
      </c>
      <c r="AO861" s="94">
        <f>IF(A861="","",IF(AG861&lt;&gt;"",1,0))</f>
        <v/>
      </c>
      <c r="AP861" s="220">
        <f>IF(P861&lt;&gt;"","・添待ち","")&amp;IF(Q861&lt;&gt;"","・住民票","")&amp;IF(R861&lt;&gt;"","・発信","")&amp;IF(S861&lt;&gt;"","・確認事項","")&amp;IF(T861&lt;&gt;"","・管","")&amp;IF(U861&lt;&gt;"","・SV","")&amp;IF(V861&lt;&gt;"","・データ送付待ち","")&amp;IF(W861&lt;&gt;"","・削除","")</f>
        <v/>
      </c>
    </row>
    <row r="862" ht="15" customHeight="1" s="87">
      <c r="AL862" s="94">
        <f>IF(A862="","",IF(COUNTIF(A862:A$2001,A862)=1,1,0))</f>
        <v/>
      </c>
      <c r="AM862" s="94">
        <f>IF(I862="","",TODAY()-I862)</f>
        <v/>
      </c>
      <c r="AN862" s="94">
        <f>IF(A862="","",IF(AND(E862&lt;&gt;"33 確認済",E862&lt;&gt;"36 送付中"),1,0))</f>
        <v/>
      </c>
      <c r="AO862" s="94">
        <f>IF(A862="","",IF(AG862&lt;&gt;"",1,0))</f>
        <v/>
      </c>
      <c r="AP862" s="220">
        <f>IF(P862&lt;&gt;"","・添待ち","")&amp;IF(Q862&lt;&gt;"","・住民票","")&amp;IF(R862&lt;&gt;"","・発信","")&amp;IF(S862&lt;&gt;"","・確認事項","")&amp;IF(T862&lt;&gt;"","・管","")&amp;IF(U862&lt;&gt;"","・SV","")&amp;IF(V862&lt;&gt;"","・データ送付待ち","")&amp;IF(W862&lt;&gt;"","・削除","")</f>
        <v/>
      </c>
    </row>
    <row r="863" ht="15" customHeight="1" s="87">
      <c r="AL863" s="94">
        <f>IF(A863="","",IF(COUNTIF(A863:A$2001,A863)=1,1,0))</f>
        <v/>
      </c>
      <c r="AM863" s="94">
        <f>IF(I863="","",TODAY()-I863)</f>
        <v/>
      </c>
      <c r="AN863" s="94">
        <f>IF(A863="","",IF(AND(E863&lt;&gt;"33 確認済",E863&lt;&gt;"36 送付中"),1,0))</f>
        <v/>
      </c>
      <c r="AO863" s="94">
        <f>IF(A863="","",IF(AG863&lt;&gt;"",1,0))</f>
        <v/>
      </c>
      <c r="AP863" s="220">
        <f>IF(P863&lt;&gt;"","・添待ち","")&amp;IF(Q863&lt;&gt;"","・住民票","")&amp;IF(R863&lt;&gt;"","・発信","")&amp;IF(S863&lt;&gt;"","・確認事項","")&amp;IF(T863&lt;&gt;"","・管","")&amp;IF(U863&lt;&gt;"","・SV","")&amp;IF(V863&lt;&gt;"","・データ送付待ち","")&amp;IF(W863&lt;&gt;"","・削除","")</f>
        <v/>
      </c>
    </row>
    <row r="864" ht="15" customHeight="1" s="87">
      <c r="AL864" s="94">
        <f>IF(A864="","",IF(COUNTIF(A864:A$2001,A864)=1,1,0))</f>
        <v/>
      </c>
      <c r="AM864" s="94">
        <f>IF(I864="","",TODAY()-I864)</f>
        <v/>
      </c>
      <c r="AN864" s="94">
        <f>IF(A864="","",IF(AND(E864&lt;&gt;"33 確認済",E864&lt;&gt;"36 送付中"),1,0))</f>
        <v/>
      </c>
      <c r="AO864" s="94">
        <f>IF(A864="","",IF(AG864&lt;&gt;"",1,0))</f>
        <v/>
      </c>
      <c r="AP864" s="220">
        <f>IF(P864&lt;&gt;"","・添待ち","")&amp;IF(Q864&lt;&gt;"","・住民票","")&amp;IF(R864&lt;&gt;"","・発信","")&amp;IF(S864&lt;&gt;"","・確認事項","")&amp;IF(T864&lt;&gt;"","・管","")&amp;IF(U864&lt;&gt;"","・SV","")&amp;IF(V864&lt;&gt;"","・データ送付待ち","")&amp;IF(W864&lt;&gt;"","・削除","")</f>
        <v/>
      </c>
    </row>
    <row r="865" ht="15" customHeight="1" s="87">
      <c r="AL865" s="94">
        <f>IF(A865="","",IF(COUNTIF(A865:A$2001,A865)=1,1,0))</f>
        <v/>
      </c>
      <c r="AM865" s="94">
        <f>IF(I865="","",TODAY()-I865)</f>
        <v/>
      </c>
      <c r="AN865" s="94">
        <f>IF(A865="","",IF(AND(E865&lt;&gt;"33 確認済",E865&lt;&gt;"36 送付中"),1,0))</f>
        <v/>
      </c>
      <c r="AO865" s="94">
        <f>IF(A865="","",IF(AG865&lt;&gt;"",1,0))</f>
        <v/>
      </c>
      <c r="AP865" s="220">
        <f>IF(P865&lt;&gt;"","・添待ち","")&amp;IF(Q865&lt;&gt;"","・住民票","")&amp;IF(R865&lt;&gt;"","・発信","")&amp;IF(S865&lt;&gt;"","・確認事項","")&amp;IF(T865&lt;&gt;"","・管","")&amp;IF(U865&lt;&gt;"","・SV","")&amp;IF(V865&lt;&gt;"","・データ送付待ち","")&amp;IF(W865&lt;&gt;"","・削除","")</f>
        <v/>
      </c>
    </row>
    <row r="866" ht="15" customHeight="1" s="87">
      <c r="AL866" s="94">
        <f>IF(A866="","",IF(COUNTIF(A866:A$2001,A866)=1,1,0))</f>
        <v/>
      </c>
      <c r="AM866" s="94">
        <f>IF(I866="","",TODAY()-I866)</f>
        <v/>
      </c>
      <c r="AN866" s="94">
        <f>IF(A866="","",IF(AND(E866&lt;&gt;"33 確認済",E866&lt;&gt;"36 送付中"),1,0))</f>
        <v/>
      </c>
      <c r="AO866" s="94">
        <f>IF(A866="","",IF(AG866&lt;&gt;"",1,0))</f>
        <v/>
      </c>
      <c r="AP866" s="220">
        <f>IF(P866&lt;&gt;"","・添待ち","")&amp;IF(Q866&lt;&gt;"","・住民票","")&amp;IF(R866&lt;&gt;"","・発信","")&amp;IF(S866&lt;&gt;"","・確認事項","")&amp;IF(T866&lt;&gt;"","・管","")&amp;IF(U866&lt;&gt;"","・SV","")&amp;IF(V866&lt;&gt;"","・データ送付待ち","")&amp;IF(W866&lt;&gt;"","・削除","")</f>
        <v/>
      </c>
    </row>
    <row r="867" ht="15" customHeight="1" s="87">
      <c r="AL867" s="94">
        <f>IF(A867="","",IF(COUNTIF(A867:A$2001,A867)=1,1,0))</f>
        <v/>
      </c>
      <c r="AM867" s="94">
        <f>IF(I867="","",TODAY()-I867)</f>
        <v/>
      </c>
      <c r="AN867" s="94">
        <f>IF(A867="","",IF(AND(E867&lt;&gt;"33 確認済",E867&lt;&gt;"36 送付中"),1,0))</f>
        <v/>
      </c>
      <c r="AO867" s="94">
        <f>IF(A867="","",IF(AG867&lt;&gt;"",1,0))</f>
        <v/>
      </c>
      <c r="AP867" s="220">
        <f>IF(P867&lt;&gt;"","・添待ち","")&amp;IF(Q867&lt;&gt;"","・住民票","")&amp;IF(R867&lt;&gt;"","・発信","")&amp;IF(S867&lt;&gt;"","・確認事項","")&amp;IF(T867&lt;&gt;"","・管","")&amp;IF(U867&lt;&gt;"","・SV","")&amp;IF(V867&lt;&gt;"","・データ送付待ち","")&amp;IF(W867&lt;&gt;"","・削除","")</f>
        <v/>
      </c>
    </row>
    <row r="868" ht="15" customHeight="1" s="87">
      <c r="AL868" s="94">
        <f>IF(A868="","",IF(COUNTIF(A868:A$2001,A868)=1,1,0))</f>
        <v/>
      </c>
      <c r="AM868" s="94">
        <f>IF(I868="","",TODAY()-I868)</f>
        <v/>
      </c>
      <c r="AN868" s="94">
        <f>IF(A868="","",IF(AND(E868&lt;&gt;"33 確認済",E868&lt;&gt;"36 送付中"),1,0))</f>
        <v/>
      </c>
      <c r="AO868" s="94">
        <f>IF(A868="","",IF(AG868&lt;&gt;"",1,0))</f>
        <v/>
      </c>
      <c r="AP868" s="220">
        <f>IF(P868&lt;&gt;"","・添待ち","")&amp;IF(Q868&lt;&gt;"","・住民票","")&amp;IF(R868&lt;&gt;"","・発信","")&amp;IF(S868&lt;&gt;"","・確認事項","")&amp;IF(T868&lt;&gt;"","・管","")&amp;IF(U868&lt;&gt;"","・SV","")&amp;IF(V868&lt;&gt;"","・データ送付待ち","")&amp;IF(W868&lt;&gt;"","・削除","")</f>
        <v/>
      </c>
    </row>
    <row r="869" ht="15" customHeight="1" s="87">
      <c r="AL869" s="94">
        <f>IF(A869="","",IF(COUNTIF(A869:A$2001,A869)=1,1,0))</f>
        <v/>
      </c>
      <c r="AM869" s="94">
        <f>IF(I869="","",TODAY()-I869)</f>
        <v/>
      </c>
      <c r="AN869" s="94">
        <f>IF(A869="","",IF(AND(E869&lt;&gt;"33 確認済",E869&lt;&gt;"36 送付中"),1,0))</f>
        <v/>
      </c>
      <c r="AO869" s="94">
        <f>IF(A869="","",IF(AG869&lt;&gt;"",1,0))</f>
        <v/>
      </c>
      <c r="AP869" s="220">
        <f>IF(P869&lt;&gt;"","・添待ち","")&amp;IF(Q869&lt;&gt;"","・住民票","")&amp;IF(R869&lt;&gt;"","・発信","")&amp;IF(S869&lt;&gt;"","・確認事項","")&amp;IF(T869&lt;&gt;"","・管","")&amp;IF(U869&lt;&gt;"","・SV","")&amp;IF(V869&lt;&gt;"","・データ送付待ち","")&amp;IF(W869&lt;&gt;"","・削除","")</f>
        <v/>
      </c>
    </row>
    <row r="870" ht="15" customHeight="1" s="87">
      <c r="AL870" s="94">
        <f>IF(A870="","",IF(COUNTIF(A870:A$2001,A870)=1,1,0))</f>
        <v/>
      </c>
      <c r="AM870" s="94">
        <f>IF(I870="","",TODAY()-I870)</f>
        <v/>
      </c>
      <c r="AN870" s="94">
        <f>IF(A870="","",IF(AND(E870&lt;&gt;"33 確認済",E870&lt;&gt;"36 送付中"),1,0))</f>
        <v/>
      </c>
      <c r="AO870" s="94">
        <f>IF(A870="","",IF(AG870&lt;&gt;"",1,0))</f>
        <v/>
      </c>
      <c r="AP870" s="220">
        <f>IF(P870&lt;&gt;"","・添待ち","")&amp;IF(Q870&lt;&gt;"","・住民票","")&amp;IF(R870&lt;&gt;"","・発信","")&amp;IF(S870&lt;&gt;"","・確認事項","")&amp;IF(T870&lt;&gt;"","・管","")&amp;IF(U870&lt;&gt;"","・SV","")&amp;IF(V870&lt;&gt;"","・データ送付待ち","")&amp;IF(W870&lt;&gt;"","・削除","")</f>
        <v/>
      </c>
    </row>
    <row r="871" ht="15" customHeight="1" s="87">
      <c r="AL871" s="94">
        <f>IF(A871="","",IF(COUNTIF(A871:A$2001,A871)=1,1,0))</f>
        <v/>
      </c>
      <c r="AM871" s="94">
        <f>IF(I871="","",TODAY()-I871)</f>
        <v/>
      </c>
      <c r="AN871" s="94">
        <f>IF(A871="","",IF(AND(E871&lt;&gt;"33 確認済",E871&lt;&gt;"36 送付中"),1,0))</f>
        <v/>
      </c>
      <c r="AO871" s="94">
        <f>IF(A871="","",IF(AG871&lt;&gt;"",1,0))</f>
        <v/>
      </c>
      <c r="AP871" s="220">
        <f>IF(P871&lt;&gt;"","・添待ち","")&amp;IF(Q871&lt;&gt;"","・住民票","")&amp;IF(R871&lt;&gt;"","・発信","")&amp;IF(S871&lt;&gt;"","・確認事項","")&amp;IF(T871&lt;&gt;"","・管","")&amp;IF(U871&lt;&gt;"","・SV","")&amp;IF(V871&lt;&gt;"","・データ送付待ち","")&amp;IF(W871&lt;&gt;"","・削除","")</f>
        <v/>
      </c>
    </row>
    <row r="872" ht="15" customHeight="1" s="87">
      <c r="AL872" s="94">
        <f>IF(A872="","",IF(COUNTIF(A872:A$2001,A872)=1,1,0))</f>
        <v/>
      </c>
      <c r="AM872" s="94">
        <f>IF(I872="","",TODAY()-I872)</f>
        <v/>
      </c>
      <c r="AN872" s="94">
        <f>IF(A872="","",IF(AND(E872&lt;&gt;"33 確認済",E872&lt;&gt;"36 送付中"),1,0))</f>
        <v/>
      </c>
      <c r="AO872" s="94">
        <f>IF(A872="","",IF(AG872&lt;&gt;"",1,0))</f>
        <v/>
      </c>
      <c r="AP872" s="220">
        <f>IF(P872&lt;&gt;"","・添待ち","")&amp;IF(Q872&lt;&gt;"","・住民票","")&amp;IF(R872&lt;&gt;"","・発信","")&amp;IF(S872&lt;&gt;"","・確認事項","")&amp;IF(T872&lt;&gt;"","・管","")&amp;IF(U872&lt;&gt;"","・SV","")&amp;IF(V872&lt;&gt;"","・データ送付待ち","")&amp;IF(W872&lt;&gt;"","・削除","")</f>
        <v/>
      </c>
    </row>
    <row r="873" ht="15" customHeight="1" s="87">
      <c r="AL873" s="94">
        <f>IF(A873="","",IF(COUNTIF(A873:A$2001,A873)=1,1,0))</f>
        <v/>
      </c>
      <c r="AM873" s="94">
        <f>IF(I873="","",TODAY()-I873)</f>
        <v/>
      </c>
      <c r="AN873" s="94">
        <f>IF(A873="","",IF(AND(E873&lt;&gt;"33 確認済",E873&lt;&gt;"36 送付中"),1,0))</f>
        <v/>
      </c>
      <c r="AO873" s="94">
        <f>IF(A873="","",IF(AG873&lt;&gt;"",1,0))</f>
        <v/>
      </c>
      <c r="AP873" s="220">
        <f>IF(P873&lt;&gt;"","・添待ち","")&amp;IF(Q873&lt;&gt;"","・住民票","")&amp;IF(R873&lt;&gt;"","・発信","")&amp;IF(S873&lt;&gt;"","・確認事項","")&amp;IF(T873&lt;&gt;"","・管","")&amp;IF(U873&lt;&gt;"","・SV","")&amp;IF(V873&lt;&gt;"","・データ送付待ち","")&amp;IF(W873&lt;&gt;"","・削除","")</f>
        <v/>
      </c>
    </row>
    <row r="874" ht="15" customHeight="1" s="87">
      <c r="AL874" s="94">
        <f>IF(A874="","",IF(COUNTIF(A874:A$2001,A874)=1,1,0))</f>
        <v/>
      </c>
      <c r="AM874" s="94">
        <f>IF(I874="","",TODAY()-I874)</f>
        <v/>
      </c>
      <c r="AN874" s="94">
        <f>IF(A874="","",IF(AND(E874&lt;&gt;"33 確認済",E874&lt;&gt;"36 送付中"),1,0))</f>
        <v/>
      </c>
      <c r="AO874" s="94">
        <f>IF(A874="","",IF(AG874&lt;&gt;"",1,0))</f>
        <v/>
      </c>
      <c r="AP874" s="220">
        <f>IF(P874&lt;&gt;"","・添待ち","")&amp;IF(Q874&lt;&gt;"","・住民票","")&amp;IF(R874&lt;&gt;"","・発信","")&amp;IF(S874&lt;&gt;"","・確認事項","")&amp;IF(T874&lt;&gt;"","・管","")&amp;IF(U874&lt;&gt;"","・SV","")&amp;IF(V874&lt;&gt;"","・データ送付待ち","")&amp;IF(W874&lt;&gt;"","・削除","")</f>
        <v/>
      </c>
    </row>
    <row r="875" ht="15" customHeight="1" s="87">
      <c r="AL875" s="94">
        <f>IF(A875="","",IF(COUNTIF(A875:A$2001,A875)=1,1,0))</f>
        <v/>
      </c>
      <c r="AM875" s="94">
        <f>IF(I875="","",TODAY()-I875)</f>
        <v/>
      </c>
      <c r="AN875" s="94">
        <f>IF(A875="","",IF(AND(E875&lt;&gt;"33 確認済",E875&lt;&gt;"36 送付中"),1,0))</f>
        <v/>
      </c>
      <c r="AO875" s="94">
        <f>IF(A875="","",IF(AG875&lt;&gt;"",1,0))</f>
        <v/>
      </c>
      <c r="AP875" s="220">
        <f>IF(P875&lt;&gt;"","・添待ち","")&amp;IF(Q875&lt;&gt;"","・住民票","")&amp;IF(R875&lt;&gt;"","・発信","")&amp;IF(S875&lt;&gt;"","・確認事項","")&amp;IF(T875&lt;&gt;"","・管","")&amp;IF(U875&lt;&gt;"","・SV","")&amp;IF(V875&lt;&gt;"","・データ送付待ち","")&amp;IF(W875&lt;&gt;"","・削除","")</f>
        <v/>
      </c>
    </row>
    <row r="876" ht="15" customHeight="1" s="87">
      <c r="AL876" s="94">
        <f>IF(A876="","",IF(COUNTIF(A876:A$2001,A876)=1,1,0))</f>
        <v/>
      </c>
      <c r="AM876" s="94">
        <f>IF(I876="","",TODAY()-I876)</f>
        <v/>
      </c>
      <c r="AN876" s="94">
        <f>IF(A876="","",IF(AND(E876&lt;&gt;"33 確認済",E876&lt;&gt;"36 送付中"),1,0))</f>
        <v/>
      </c>
      <c r="AO876" s="94">
        <f>IF(A876="","",IF(AG876&lt;&gt;"",1,0))</f>
        <v/>
      </c>
      <c r="AP876" s="220">
        <f>IF(P876&lt;&gt;"","・添待ち","")&amp;IF(Q876&lt;&gt;"","・住民票","")&amp;IF(R876&lt;&gt;"","・発信","")&amp;IF(S876&lt;&gt;"","・確認事項","")&amp;IF(T876&lt;&gt;"","・管","")&amp;IF(U876&lt;&gt;"","・SV","")&amp;IF(V876&lt;&gt;"","・データ送付待ち","")&amp;IF(W876&lt;&gt;"","・削除","")</f>
        <v/>
      </c>
    </row>
    <row r="877" ht="15" customHeight="1" s="87">
      <c r="AL877" s="94">
        <f>IF(A877="","",IF(COUNTIF(A877:A$2001,A877)=1,1,0))</f>
        <v/>
      </c>
      <c r="AM877" s="94">
        <f>IF(I877="","",TODAY()-I877)</f>
        <v/>
      </c>
      <c r="AN877" s="94">
        <f>IF(A877="","",IF(AND(E877&lt;&gt;"33 確認済",E877&lt;&gt;"36 送付中"),1,0))</f>
        <v/>
      </c>
      <c r="AO877" s="94">
        <f>IF(A877="","",IF(AG877&lt;&gt;"",1,0))</f>
        <v/>
      </c>
      <c r="AP877" s="220">
        <f>IF(P877&lt;&gt;"","・添待ち","")&amp;IF(Q877&lt;&gt;"","・住民票","")&amp;IF(R877&lt;&gt;"","・発信","")&amp;IF(S877&lt;&gt;"","・確認事項","")&amp;IF(T877&lt;&gt;"","・管","")&amp;IF(U877&lt;&gt;"","・SV","")&amp;IF(V877&lt;&gt;"","・データ送付待ち","")&amp;IF(W877&lt;&gt;"","・削除","")</f>
        <v/>
      </c>
    </row>
    <row r="878" ht="15" customHeight="1" s="87">
      <c r="AL878" s="94">
        <f>IF(A878="","",IF(COUNTIF(A878:A$2001,A878)=1,1,0))</f>
        <v/>
      </c>
      <c r="AM878" s="94">
        <f>IF(I878="","",TODAY()-I878)</f>
        <v/>
      </c>
      <c r="AN878" s="94">
        <f>IF(A878="","",IF(AND(E878&lt;&gt;"33 確認済",E878&lt;&gt;"36 送付中"),1,0))</f>
        <v/>
      </c>
      <c r="AO878" s="94">
        <f>IF(A878="","",IF(AG878&lt;&gt;"",1,0))</f>
        <v/>
      </c>
      <c r="AP878" s="220">
        <f>IF(P878&lt;&gt;"","・添待ち","")&amp;IF(Q878&lt;&gt;"","・住民票","")&amp;IF(R878&lt;&gt;"","・発信","")&amp;IF(S878&lt;&gt;"","・確認事項","")&amp;IF(T878&lt;&gt;"","・管","")&amp;IF(U878&lt;&gt;"","・SV","")&amp;IF(V878&lt;&gt;"","・データ送付待ち","")&amp;IF(W878&lt;&gt;"","・削除","")</f>
        <v/>
      </c>
    </row>
    <row r="879" ht="15" customHeight="1" s="87">
      <c r="AL879" s="94">
        <f>IF(A879="","",IF(COUNTIF(A879:A$2001,A879)=1,1,0))</f>
        <v/>
      </c>
      <c r="AM879" s="94">
        <f>IF(I879="","",TODAY()-I879)</f>
        <v/>
      </c>
      <c r="AN879" s="94">
        <f>IF(A879="","",IF(AND(E879&lt;&gt;"33 確認済",E879&lt;&gt;"36 送付中"),1,0))</f>
        <v/>
      </c>
      <c r="AO879" s="94">
        <f>IF(A879="","",IF(AG879&lt;&gt;"",1,0))</f>
        <v/>
      </c>
      <c r="AP879" s="220">
        <f>IF(P879&lt;&gt;"","・添待ち","")&amp;IF(Q879&lt;&gt;"","・住民票","")&amp;IF(R879&lt;&gt;"","・発信","")&amp;IF(S879&lt;&gt;"","・確認事項","")&amp;IF(T879&lt;&gt;"","・管","")&amp;IF(U879&lt;&gt;"","・SV","")&amp;IF(V879&lt;&gt;"","・データ送付待ち","")&amp;IF(W879&lt;&gt;"","・削除","")</f>
        <v/>
      </c>
    </row>
    <row r="880" ht="15" customHeight="1" s="87">
      <c r="AL880" s="94">
        <f>IF(A880="","",IF(COUNTIF(A880:A$2001,A880)=1,1,0))</f>
        <v/>
      </c>
      <c r="AM880" s="94">
        <f>IF(I880="","",TODAY()-I880)</f>
        <v/>
      </c>
      <c r="AN880" s="94">
        <f>IF(A880="","",IF(AND(E880&lt;&gt;"33 確認済",E880&lt;&gt;"36 送付中"),1,0))</f>
        <v/>
      </c>
      <c r="AO880" s="94">
        <f>IF(A880="","",IF(AG880&lt;&gt;"",1,0))</f>
        <v/>
      </c>
      <c r="AP880" s="220">
        <f>IF(P880&lt;&gt;"","・添待ち","")&amp;IF(Q880&lt;&gt;"","・住民票","")&amp;IF(R880&lt;&gt;"","・発信","")&amp;IF(S880&lt;&gt;"","・確認事項","")&amp;IF(T880&lt;&gt;"","・管","")&amp;IF(U880&lt;&gt;"","・SV","")&amp;IF(V880&lt;&gt;"","・データ送付待ち","")&amp;IF(W880&lt;&gt;"","・削除","")</f>
        <v/>
      </c>
    </row>
    <row r="881" ht="15" customHeight="1" s="87">
      <c r="AL881" s="94">
        <f>IF(A881="","",IF(COUNTIF(A881:A$2001,A881)=1,1,0))</f>
        <v/>
      </c>
      <c r="AM881" s="94">
        <f>IF(I881="","",TODAY()-I881)</f>
        <v/>
      </c>
      <c r="AN881" s="94">
        <f>IF(A881="","",IF(AND(E881&lt;&gt;"33 確認済",E881&lt;&gt;"36 送付中"),1,0))</f>
        <v/>
      </c>
      <c r="AO881" s="94">
        <f>IF(A881="","",IF(AG881&lt;&gt;"",1,0))</f>
        <v/>
      </c>
      <c r="AP881" s="220">
        <f>IF(P881&lt;&gt;"","・添待ち","")&amp;IF(Q881&lt;&gt;"","・住民票","")&amp;IF(R881&lt;&gt;"","・発信","")&amp;IF(S881&lt;&gt;"","・確認事項","")&amp;IF(T881&lt;&gt;"","・管","")&amp;IF(U881&lt;&gt;"","・SV","")&amp;IF(V881&lt;&gt;"","・データ送付待ち","")&amp;IF(W881&lt;&gt;"","・削除","")</f>
        <v/>
      </c>
    </row>
    <row r="882" ht="15" customHeight="1" s="87">
      <c r="AL882" s="94">
        <f>IF(A882="","",IF(COUNTIF(A882:A$2001,A882)=1,1,0))</f>
        <v/>
      </c>
      <c r="AM882" s="94">
        <f>IF(I882="","",TODAY()-I882)</f>
        <v/>
      </c>
      <c r="AN882" s="94">
        <f>IF(A882="","",IF(AND(E882&lt;&gt;"33 確認済",E882&lt;&gt;"36 送付中"),1,0))</f>
        <v/>
      </c>
      <c r="AO882" s="94">
        <f>IF(A882="","",IF(AG882&lt;&gt;"",1,0))</f>
        <v/>
      </c>
      <c r="AP882" s="220">
        <f>IF(P882&lt;&gt;"","・添待ち","")&amp;IF(Q882&lt;&gt;"","・住民票","")&amp;IF(R882&lt;&gt;"","・発信","")&amp;IF(S882&lt;&gt;"","・確認事項","")&amp;IF(T882&lt;&gt;"","・管","")&amp;IF(U882&lt;&gt;"","・SV","")&amp;IF(V882&lt;&gt;"","・データ送付待ち","")&amp;IF(W882&lt;&gt;"","・削除","")</f>
        <v/>
      </c>
    </row>
    <row r="883" ht="15" customHeight="1" s="87">
      <c r="AL883" s="94">
        <f>IF(A883="","",IF(COUNTIF(A883:A$2001,A883)=1,1,0))</f>
        <v/>
      </c>
      <c r="AM883" s="94">
        <f>IF(I883="","",TODAY()-I883)</f>
        <v/>
      </c>
      <c r="AN883" s="94">
        <f>IF(A883="","",IF(AND(E883&lt;&gt;"33 確認済",E883&lt;&gt;"36 送付中"),1,0))</f>
        <v/>
      </c>
      <c r="AO883" s="94">
        <f>IF(A883="","",IF(AG883&lt;&gt;"",1,0))</f>
        <v/>
      </c>
      <c r="AP883" s="220">
        <f>IF(P883&lt;&gt;"","・添待ち","")&amp;IF(Q883&lt;&gt;"","・住民票","")&amp;IF(R883&lt;&gt;"","・発信","")&amp;IF(S883&lt;&gt;"","・確認事項","")&amp;IF(T883&lt;&gt;"","・管","")&amp;IF(U883&lt;&gt;"","・SV","")&amp;IF(V883&lt;&gt;"","・データ送付待ち","")&amp;IF(W883&lt;&gt;"","・削除","")</f>
        <v/>
      </c>
    </row>
    <row r="884" ht="15" customHeight="1" s="87">
      <c r="AL884" s="94">
        <f>IF(A884="","",IF(COUNTIF(A884:A$2001,A884)=1,1,0))</f>
        <v/>
      </c>
      <c r="AM884" s="94">
        <f>IF(I884="","",TODAY()-I884)</f>
        <v/>
      </c>
      <c r="AN884" s="94">
        <f>IF(A884="","",IF(AND(E884&lt;&gt;"33 確認済",E884&lt;&gt;"36 送付中"),1,0))</f>
        <v/>
      </c>
      <c r="AO884" s="94">
        <f>IF(A884="","",IF(AG884&lt;&gt;"",1,0))</f>
        <v/>
      </c>
      <c r="AP884" s="220">
        <f>IF(P884&lt;&gt;"","・添待ち","")&amp;IF(Q884&lt;&gt;"","・住民票","")&amp;IF(R884&lt;&gt;"","・発信","")&amp;IF(S884&lt;&gt;"","・確認事項","")&amp;IF(T884&lt;&gt;"","・管","")&amp;IF(U884&lt;&gt;"","・SV","")&amp;IF(V884&lt;&gt;"","・データ送付待ち","")&amp;IF(W884&lt;&gt;"","・削除","")</f>
        <v/>
      </c>
    </row>
    <row r="885" ht="15" customHeight="1" s="87">
      <c r="AL885" s="94">
        <f>IF(A885="","",IF(COUNTIF(A885:A$2001,A885)=1,1,0))</f>
        <v/>
      </c>
      <c r="AM885" s="94">
        <f>IF(I885="","",TODAY()-I885)</f>
        <v/>
      </c>
      <c r="AN885" s="94">
        <f>IF(A885="","",IF(AND(E885&lt;&gt;"33 確認済",E885&lt;&gt;"36 送付中"),1,0))</f>
        <v/>
      </c>
      <c r="AO885" s="94">
        <f>IF(A885="","",IF(AG885&lt;&gt;"",1,0))</f>
        <v/>
      </c>
      <c r="AP885" s="220">
        <f>IF(P885&lt;&gt;"","・添待ち","")&amp;IF(Q885&lt;&gt;"","・住民票","")&amp;IF(R885&lt;&gt;"","・発信","")&amp;IF(S885&lt;&gt;"","・確認事項","")&amp;IF(T885&lt;&gt;"","・管","")&amp;IF(U885&lt;&gt;"","・SV","")&amp;IF(V885&lt;&gt;"","・データ送付待ち","")&amp;IF(W885&lt;&gt;"","・削除","")</f>
        <v/>
      </c>
    </row>
    <row r="886" ht="15" customHeight="1" s="87">
      <c r="AL886" s="94">
        <f>IF(A886="","",IF(COUNTIF(A886:A$2001,A886)=1,1,0))</f>
        <v/>
      </c>
      <c r="AM886" s="94">
        <f>IF(I886="","",TODAY()-I886)</f>
        <v/>
      </c>
      <c r="AN886" s="94">
        <f>IF(A886="","",IF(AND(E886&lt;&gt;"33 確認済",E886&lt;&gt;"36 送付中"),1,0))</f>
        <v/>
      </c>
      <c r="AO886" s="94">
        <f>IF(A886="","",IF(AG886&lt;&gt;"",1,0))</f>
        <v/>
      </c>
      <c r="AP886" s="220">
        <f>IF(P886&lt;&gt;"","・添待ち","")&amp;IF(Q886&lt;&gt;"","・住民票","")&amp;IF(R886&lt;&gt;"","・発信","")&amp;IF(S886&lt;&gt;"","・確認事項","")&amp;IF(T886&lt;&gt;"","・管","")&amp;IF(U886&lt;&gt;"","・SV","")&amp;IF(V886&lt;&gt;"","・データ送付待ち","")&amp;IF(W886&lt;&gt;"","・削除","")</f>
        <v/>
      </c>
    </row>
    <row r="887" ht="15" customHeight="1" s="87">
      <c r="AL887" s="94">
        <f>IF(A887="","",IF(COUNTIF(A887:A$2001,A887)=1,1,0))</f>
        <v/>
      </c>
      <c r="AM887" s="94">
        <f>IF(I887="","",TODAY()-I887)</f>
        <v/>
      </c>
      <c r="AN887" s="94">
        <f>IF(A887="","",IF(AND(E887&lt;&gt;"33 確認済",E887&lt;&gt;"36 送付中"),1,0))</f>
        <v/>
      </c>
      <c r="AO887" s="94">
        <f>IF(A887="","",IF(AG887&lt;&gt;"",1,0))</f>
        <v/>
      </c>
      <c r="AP887" s="220">
        <f>IF(P887&lt;&gt;"","・添待ち","")&amp;IF(Q887&lt;&gt;"","・住民票","")&amp;IF(R887&lt;&gt;"","・発信","")&amp;IF(S887&lt;&gt;"","・確認事項","")&amp;IF(T887&lt;&gt;"","・管","")&amp;IF(U887&lt;&gt;"","・SV","")&amp;IF(V887&lt;&gt;"","・データ送付待ち","")&amp;IF(W887&lt;&gt;"","・削除","")</f>
        <v/>
      </c>
    </row>
    <row r="888" ht="15" customHeight="1" s="87">
      <c r="AL888" s="94">
        <f>IF(A888="","",IF(COUNTIF(A888:A$2001,A888)=1,1,0))</f>
        <v/>
      </c>
      <c r="AM888" s="94">
        <f>IF(I888="","",TODAY()-I888)</f>
        <v/>
      </c>
      <c r="AN888" s="94">
        <f>IF(A888="","",IF(AND(E888&lt;&gt;"33 確認済",E888&lt;&gt;"36 送付中"),1,0))</f>
        <v/>
      </c>
      <c r="AO888" s="94">
        <f>IF(A888="","",IF(AG888&lt;&gt;"",1,0))</f>
        <v/>
      </c>
      <c r="AP888" s="220">
        <f>IF(P888&lt;&gt;"","・添待ち","")&amp;IF(Q888&lt;&gt;"","・住民票","")&amp;IF(R888&lt;&gt;"","・発信","")&amp;IF(S888&lt;&gt;"","・確認事項","")&amp;IF(T888&lt;&gt;"","・管","")&amp;IF(U888&lt;&gt;"","・SV","")&amp;IF(V888&lt;&gt;"","・データ送付待ち","")&amp;IF(W888&lt;&gt;"","・削除","")</f>
        <v/>
      </c>
    </row>
    <row r="889" ht="15" customHeight="1" s="87">
      <c r="AL889" s="94">
        <f>IF(A889="","",IF(COUNTIF(A889:A$2001,A889)=1,1,0))</f>
        <v/>
      </c>
      <c r="AM889" s="94">
        <f>IF(I889="","",TODAY()-I889)</f>
        <v/>
      </c>
      <c r="AN889" s="94">
        <f>IF(A889="","",IF(AND(E889&lt;&gt;"33 確認済",E889&lt;&gt;"36 送付中"),1,0))</f>
        <v/>
      </c>
      <c r="AO889" s="94">
        <f>IF(A889="","",IF(AG889&lt;&gt;"",1,0))</f>
        <v/>
      </c>
      <c r="AP889" s="220">
        <f>IF(P889&lt;&gt;"","・添待ち","")&amp;IF(Q889&lt;&gt;"","・住民票","")&amp;IF(R889&lt;&gt;"","・発信","")&amp;IF(S889&lt;&gt;"","・確認事項","")&amp;IF(T889&lt;&gt;"","・管","")&amp;IF(U889&lt;&gt;"","・SV","")&amp;IF(V889&lt;&gt;"","・データ送付待ち","")&amp;IF(W889&lt;&gt;"","・削除","")</f>
        <v/>
      </c>
    </row>
    <row r="890" ht="15" customHeight="1" s="87">
      <c r="AL890" s="94">
        <f>IF(A890="","",IF(COUNTIF(A890:A$2001,A890)=1,1,0))</f>
        <v/>
      </c>
      <c r="AM890" s="94">
        <f>IF(I890="","",TODAY()-I890)</f>
        <v/>
      </c>
      <c r="AN890" s="94">
        <f>IF(A890="","",IF(AND(E890&lt;&gt;"33 確認済",E890&lt;&gt;"36 送付中"),1,0))</f>
        <v/>
      </c>
      <c r="AO890" s="94">
        <f>IF(A890="","",IF(AG890&lt;&gt;"",1,0))</f>
        <v/>
      </c>
      <c r="AP890" s="220">
        <f>IF(P890&lt;&gt;"","・添待ち","")&amp;IF(Q890&lt;&gt;"","・住民票","")&amp;IF(R890&lt;&gt;"","・発信","")&amp;IF(S890&lt;&gt;"","・確認事項","")&amp;IF(T890&lt;&gt;"","・管","")&amp;IF(U890&lt;&gt;"","・SV","")&amp;IF(V890&lt;&gt;"","・データ送付待ち","")&amp;IF(W890&lt;&gt;"","・削除","")</f>
        <v/>
      </c>
    </row>
    <row r="891" ht="15" customHeight="1" s="87">
      <c r="AL891" s="94">
        <f>IF(A891="","",IF(COUNTIF(A891:A$2001,A891)=1,1,0))</f>
        <v/>
      </c>
      <c r="AM891" s="94">
        <f>IF(I891="","",TODAY()-I891)</f>
        <v/>
      </c>
      <c r="AN891" s="94">
        <f>IF(A891="","",IF(AND(E891&lt;&gt;"33 確認済",E891&lt;&gt;"36 送付中"),1,0))</f>
        <v/>
      </c>
      <c r="AO891" s="94">
        <f>IF(A891="","",IF(AG891&lt;&gt;"",1,0))</f>
        <v/>
      </c>
      <c r="AP891" s="220">
        <f>IF(P891&lt;&gt;"","・添待ち","")&amp;IF(Q891&lt;&gt;"","・住民票","")&amp;IF(R891&lt;&gt;"","・発信","")&amp;IF(S891&lt;&gt;"","・確認事項","")&amp;IF(T891&lt;&gt;"","・管","")&amp;IF(U891&lt;&gt;"","・SV","")&amp;IF(V891&lt;&gt;"","・データ送付待ち","")&amp;IF(W891&lt;&gt;"","・削除","")</f>
        <v/>
      </c>
    </row>
    <row r="892" ht="15" customHeight="1" s="87">
      <c r="AL892" s="94">
        <f>IF(A892="","",IF(COUNTIF(A892:A$2001,A892)=1,1,0))</f>
        <v/>
      </c>
      <c r="AM892" s="94">
        <f>IF(I892="","",TODAY()-I892)</f>
        <v/>
      </c>
      <c r="AN892" s="94">
        <f>IF(A892="","",IF(AND(E892&lt;&gt;"33 確認済",E892&lt;&gt;"36 送付中"),1,0))</f>
        <v/>
      </c>
      <c r="AO892" s="94">
        <f>IF(A892="","",IF(AG892&lt;&gt;"",1,0))</f>
        <v/>
      </c>
      <c r="AP892" s="220">
        <f>IF(P892&lt;&gt;"","・添待ち","")&amp;IF(Q892&lt;&gt;"","・住民票","")&amp;IF(R892&lt;&gt;"","・発信","")&amp;IF(S892&lt;&gt;"","・確認事項","")&amp;IF(T892&lt;&gt;"","・管","")&amp;IF(U892&lt;&gt;"","・SV","")&amp;IF(V892&lt;&gt;"","・データ送付待ち","")&amp;IF(W892&lt;&gt;"","・削除","")</f>
        <v/>
      </c>
    </row>
    <row r="893" ht="15" customHeight="1" s="87">
      <c r="AL893" s="94">
        <f>IF(A893="","",IF(COUNTIF(A893:A$2001,A893)=1,1,0))</f>
        <v/>
      </c>
      <c r="AM893" s="94">
        <f>IF(I893="","",TODAY()-I893)</f>
        <v/>
      </c>
      <c r="AN893" s="94">
        <f>IF(A893="","",IF(AND(E893&lt;&gt;"33 確認済",E893&lt;&gt;"36 送付中"),1,0))</f>
        <v/>
      </c>
      <c r="AO893" s="94">
        <f>IF(A893="","",IF(AG893&lt;&gt;"",1,0))</f>
        <v/>
      </c>
      <c r="AP893" s="220">
        <f>IF(P893&lt;&gt;"","・添待ち","")&amp;IF(Q893&lt;&gt;"","・住民票","")&amp;IF(R893&lt;&gt;"","・発信","")&amp;IF(S893&lt;&gt;"","・確認事項","")&amp;IF(T893&lt;&gt;"","・管","")&amp;IF(U893&lt;&gt;"","・SV","")&amp;IF(V893&lt;&gt;"","・データ送付待ち","")&amp;IF(W893&lt;&gt;"","・削除","")</f>
        <v/>
      </c>
    </row>
    <row r="894" ht="15" customHeight="1" s="87">
      <c r="AL894" s="94">
        <f>IF(A894="","",IF(COUNTIF(A894:A$2001,A894)=1,1,0))</f>
        <v/>
      </c>
      <c r="AM894" s="94">
        <f>IF(I894="","",TODAY()-I894)</f>
        <v/>
      </c>
      <c r="AN894" s="94">
        <f>IF(A894="","",IF(AND(E894&lt;&gt;"33 確認済",E894&lt;&gt;"36 送付中"),1,0))</f>
        <v/>
      </c>
      <c r="AO894" s="94">
        <f>IF(A894="","",IF(AG894&lt;&gt;"",1,0))</f>
        <v/>
      </c>
      <c r="AP894" s="220">
        <f>IF(P894&lt;&gt;"","・添待ち","")&amp;IF(Q894&lt;&gt;"","・住民票","")&amp;IF(R894&lt;&gt;"","・発信","")&amp;IF(S894&lt;&gt;"","・確認事項","")&amp;IF(T894&lt;&gt;"","・管","")&amp;IF(U894&lt;&gt;"","・SV","")&amp;IF(V894&lt;&gt;"","・データ送付待ち","")&amp;IF(W894&lt;&gt;"","・削除","")</f>
        <v/>
      </c>
    </row>
    <row r="895" ht="15" customHeight="1" s="87">
      <c r="AL895" s="94">
        <f>IF(A895="","",IF(COUNTIF(A895:A$2001,A895)=1,1,0))</f>
        <v/>
      </c>
      <c r="AM895" s="94">
        <f>IF(I895="","",TODAY()-I895)</f>
        <v/>
      </c>
      <c r="AN895" s="94">
        <f>IF(A895="","",IF(AND(E895&lt;&gt;"33 確認済",E895&lt;&gt;"36 送付中"),1,0))</f>
        <v/>
      </c>
      <c r="AO895" s="94">
        <f>IF(A895="","",IF(AG895&lt;&gt;"",1,0))</f>
        <v/>
      </c>
      <c r="AP895" s="220">
        <f>IF(P895&lt;&gt;"","・添待ち","")&amp;IF(Q895&lt;&gt;"","・住民票","")&amp;IF(R895&lt;&gt;"","・発信","")&amp;IF(S895&lt;&gt;"","・確認事項","")&amp;IF(T895&lt;&gt;"","・管","")&amp;IF(U895&lt;&gt;"","・SV","")&amp;IF(V895&lt;&gt;"","・データ送付待ち","")&amp;IF(W895&lt;&gt;"","・削除","")</f>
        <v/>
      </c>
    </row>
    <row r="896" ht="15" customHeight="1" s="87">
      <c r="AL896" s="94">
        <f>IF(A896="","",IF(COUNTIF(A896:A$2001,A896)=1,1,0))</f>
        <v/>
      </c>
      <c r="AM896" s="94">
        <f>IF(I896="","",TODAY()-I896)</f>
        <v/>
      </c>
      <c r="AN896" s="94">
        <f>IF(A896="","",IF(AND(E896&lt;&gt;"33 確認済",E896&lt;&gt;"36 送付中"),1,0))</f>
        <v/>
      </c>
      <c r="AO896" s="94">
        <f>IF(A896="","",IF(AG896&lt;&gt;"",1,0))</f>
        <v/>
      </c>
      <c r="AP896" s="220">
        <f>IF(P896&lt;&gt;"","・添待ち","")&amp;IF(Q896&lt;&gt;"","・住民票","")&amp;IF(R896&lt;&gt;"","・発信","")&amp;IF(S896&lt;&gt;"","・確認事項","")&amp;IF(T896&lt;&gt;"","・管","")&amp;IF(U896&lt;&gt;"","・SV","")&amp;IF(V896&lt;&gt;"","・データ送付待ち","")&amp;IF(W896&lt;&gt;"","・削除","")</f>
        <v/>
      </c>
    </row>
    <row r="897" ht="15" customHeight="1" s="87">
      <c r="AL897" s="94">
        <f>IF(A897="","",IF(COUNTIF(A897:A$2001,A897)=1,1,0))</f>
        <v/>
      </c>
      <c r="AM897" s="94">
        <f>IF(I897="","",TODAY()-I897)</f>
        <v/>
      </c>
      <c r="AN897" s="94">
        <f>IF(A897="","",IF(AND(E897&lt;&gt;"33 確認済",E897&lt;&gt;"36 送付中"),1,0))</f>
        <v/>
      </c>
      <c r="AO897" s="94">
        <f>IF(A897="","",IF(AG897&lt;&gt;"",1,0))</f>
        <v/>
      </c>
      <c r="AP897" s="220">
        <f>IF(P897&lt;&gt;"","・添待ち","")&amp;IF(Q897&lt;&gt;"","・住民票","")&amp;IF(R897&lt;&gt;"","・発信","")&amp;IF(S897&lt;&gt;"","・確認事項","")&amp;IF(T897&lt;&gt;"","・管","")&amp;IF(U897&lt;&gt;"","・SV","")&amp;IF(V897&lt;&gt;"","・データ送付待ち","")&amp;IF(W897&lt;&gt;"","・削除","")</f>
        <v/>
      </c>
    </row>
    <row r="898" ht="15" customHeight="1" s="87">
      <c r="AL898" s="94">
        <f>IF(A898="","",IF(COUNTIF(A898:A$2001,A898)=1,1,0))</f>
        <v/>
      </c>
      <c r="AM898" s="94">
        <f>IF(I898="","",TODAY()-I898)</f>
        <v/>
      </c>
      <c r="AN898" s="94">
        <f>IF(A898="","",IF(AND(E898&lt;&gt;"33 確認済",E898&lt;&gt;"36 送付中"),1,0))</f>
        <v/>
      </c>
      <c r="AO898" s="94">
        <f>IF(A898="","",IF(AG898&lt;&gt;"",1,0))</f>
        <v/>
      </c>
      <c r="AP898" s="220">
        <f>IF(P898&lt;&gt;"","・添待ち","")&amp;IF(Q898&lt;&gt;"","・住民票","")&amp;IF(R898&lt;&gt;"","・発信","")&amp;IF(S898&lt;&gt;"","・確認事項","")&amp;IF(T898&lt;&gt;"","・管","")&amp;IF(U898&lt;&gt;"","・SV","")&amp;IF(V898&lt;&gt;"","・データ送付待ち","")&amp;IF(W898&lt;&gt;"","・削除","")</f>
        <v/>
      </c>
    </row>
    <row r="899" ht="15" customHeight="1" s="87">
      <c r="AL899" s="94">
        <f>IF(A899="","",IF(COUNTIF(A899:A$2001,A899)=1,1,0))</f>
        <v/>
      </c>
      <c r="AM899" s="94">
        <f>IF(I899="","",TODAY()-I899)</f>
        <v/>
      </c>
      <c r="AN899" s="94">
        <f>IF(A899="","",IF(AND(E899&lt;&gt;"33 確認済",E899&lt;&gt;"36 送付中"),1,0))</f>
        <v/>
      </c>
      <c r="AO899" s="94">
        <f>IF(A899="","",IF(AG899&lt;&gt;"",1,0))</f>
        <v/>
      </c>
      <c r="AP899" s="220">
        <f>IF(P899&lt;&gt;"","・添待ち","")&amp;IF(Q899&lt;&gt;"","・住民票","")&amp;IF(R899&lt;&gt;"","・発信","")&amp;IF(S899&lt;&gt;"","・確認事項","")&amp;IF(T899&lt;&gt;"","・管","")&amp;IF(U899&lt;&gt;"","・SV","")&amp;IF(V899&lt;&gt;"","・データ送付待ち","")&amp;IF(W899&lt;&gt;"","・削除","")</f>
        <v/>
      </c>
    </row>
    <row r="900" ht="15" customHeight="1" s="87">
      <c r="AL900" s="94">
        <f>IF(A900="","",IF(COUNTIF(A900:A$2001,A900)=1,1,0))</f>
        <v/>
      </c>
      <c r="AM900" s="94">
        <f>IF(I900="","",TODAY()-I900)</f>
        <v/>
      </c>
      <c r="AN900" s="94">
        <f>IF(A900="","",IF(AND(E900&lt;&gt;"33 確認済",E900&lt;&gt;"36 送付中"),1,0))</f>
        <v/>
      </c>
      <c r="AO900" s="94">
        <f>IF(A900="","",IF(AG900&lt;&gt;"",1,0))</f>
        <v/>
      </c>
      <c r="AP900" s="220">
        <f>IF(P900&lt;&gt;"","・添待ち","")&amp;IF(Q900&lt;&gt;"","・住民票","")&amp;IF(R900&lt;&gt;"","・発信","")&amp;IF(S900&lt;&gt;"","・確認事項","")&amp;IF(T900&lt;&gt;"","・管","")&amp;IF(U900&lt;&gt;"","・SV","")&amp;IF(V900&lt;&gt;"","・データ送付待ち","")&amp;IF(W900&lt;&gt;"","・削除","")</f>
        <v/>
      </c>
    </row>
    <row r="901" ht="15" customHeight="1" s="87">
      <c r="AL901" s="94">
        <f>IF(A901="","",IF(COUNTIF(A901:A$2001,A901)=1,1,0))</f>
        <v/>
      </c>
      <c r="AM901" s="94">
        <f>IF(I901="","",TODAY()-I901)</f>
        <v/>
      </c>
      <c r="AN901" s="94">
        <f>IF(A901="","",IF(AND(E901&lt;&gt;"33 確認済",E901&lt;&gt;"36 送付中"),1,0))</f>
        <v/>
      </c>
      <c r="AO901" s="94">
        <f>IF(A901="","",IF(AG901&lt;&gt;"",1,0))</f>
        <v/>
      </c>
      <c r="AP901" s="220">
        <f>IF(P901&lt;&gt;"","・添待ち","")&amp;IF(Q901&lt;&gt;"","・住民票","")&amp;IF(R901&lt;&gt;"","・発信","")&amp;IF(S901&lt;&gt;"","・確認事項","")&amp;IF(T901&lt;&gt;"","・管","")&amp;IF(U901&lt;&gt;"","・SV","")&amp;IF(V901&lt;&gt;"","・データ送付待ち","")&amp;IF(W901&lt;&gt;"","・削除","")</f>
        <v/>
      </c>
    </row>
    <row r="902" ht="15" customHeight="1" s="87">
      <c r="AL902" s="94">
        <f>IF(A902="","",IF(COUNTIF(A902:A$2001,A902)=1,1,0))</f>
        <v/>
      </c>
      <c r="AM902" s="94">
        <f>IF(I902="","",TODAY()-I902)</f>
        <v/>
      </c>
      <c r="AN902" s="94">
        <f>IF(A902="","",IF(AND(E902&lt;&gt;"33 確認済",E902&lt;&gt;"36 送付中"),1,0))</f>
        <v/>
      </c>
      <c r="AO902" s="94">
        <f>IF(A902="","",IF(AG902&lt;&gt;"",1,0))</f>
        <v/>
      </c>
      <c r="AP902" s="220">
        <f>IF(P902&lt;&gt;"","・添待ち","")&amp;IF(Q902&lt;&gt;"","・住民票","")&amp;IF(R902&lt;&gt;"","・発信","")&amp;IF(S902&lt;&gt;"","・確認事項","")&amp;IF(T902&lt;&gt;"","・管","")&amp;IF(U902&lt;&gt;"","・SV","")&amp;IF(V902&lt;&gt;"","・データ送付待ち","")&amp;IF(W902&lt;&gt;"","・削除","")</f>
        <v/>
      </c>
    </row>
    <row r="903" ht="15" customHeight="1" s="87">
      <c r="AL903" s="94">
        <f>IF(A903="","",IF(COUNTIF(A903:A$2001,A903)=1,1,0))</f>
        <v/>
      </c>
      <c r="AM903" s="94">
        <f>IF(I903="","",TODAY()-I903)</f>
        <v/>
      </c>
      <c r="AN903" s="94">
        <f>IF(A903="","",IF(AND(E903&lt;&gt;"33 確認済",E903&lt;&gt;"36 送付中"),1,0))</f>
        <v/>
      </c>
      <c r="AO903" s="94">
        <f>IF(A903="","",IF(AG903&lt;&gt;"",1,0))</f>
        <v/>
      </c>
      <c r="AP903" s="220">
        <f>IF(P903&lt;&gt;"","・添待ち","")&amp;IF(Q903&lt;&gt;"","・住民票","")&amp;IF(R903&lt;&gt;"","・発信","")&amp;IF(S903&lt;&gt;"","・確認事項","")&amp;IF(T903&lt;&gt;"","・管","")&amp;IF(U903&lt;&gt;"","・SV","")&amp;IF(V903&lt;&gt;"","・データ送付待ち","")&amp;IF(W903&lt;&gt;"","・削除","")</f>
        <v/>
      </c>
    </row>
    <row r="904" ht="15" customHeight="1" s="87">
      <c r="AL904" s="94">
        <f>IF(A904="","",IF(COUNTIF(A904:A$2001,A904)=1,1,0))</f>
        <v/>
      </c>
      <c r="AM904" s="94">
        <f>IF(I904="","",TODAY()-I904)</f>
        <v/>
      </c>
      <c r="AN904" s="94">
        <f>IF(A904="","",IF(AND(E904&lt;&gt;"33 確認済",E904&lt;&gt;"36 送付中"),1,0))</f>
        <v/>
      </c>
      <c r="AO904" s="94">
        <f>IF(A904="","",IF(AG904&lt;&gt;"",1,0))</f>
        <v/>
      </c>
      <c r="AP904" s="220">
        <f>IF(P904&lt;&gt;"","・添待ち","")&amp;IF(Q904&lt;&gt;"","・住民票","")&amp;IF(R904&lt;&gt;"","・発信","")&amp;IF(S904&lt;&gt;"","・確認事項","")&amp;IF(T904&lt;&gt;"","・管","")&amp;IF(U904&lt;&gt;"","・SV","")&amp;IF(V904&lt;&gt;"","・データ送付待ち","")&amp;IF(W904&lt;&gt;"","・削除","")</f>
        <v/>
      </c>
    </row>
    <row r="905" ht="15" customHeight="1" s="87">
      <c r="AL905" s="94">
        <f>IF(A905="","",IF(COUNTIF(A905:A$2001,A905)=1,1,0))</f>
        <v/>
      </c>
      <c r="AM905" s="94">
        <f>IF(I905="","",TODAY()-I905)</f>
        <v/>
      </c>
      <c r="AN905" s="94">
        <f>IF(A905="","",IF(AND(E905&lt;&gt;"33 確認済",E905&lt;&gt;"36 送付中"),1,0))</f>
        <v/>
      </c>
      <c r="AO905" s="94">
        <f>IF(A905="","",IF(AG905&lt;&gt;"",1,0))</f>
        <v/>
      </c>
      <c r="AP905" s="220">
        <f>IF(P905&lt;&gt;"","・添待ち","")&amp;IF(Q905&lt;&gt;"","・住民票","")&amp;IF(R905&lt;&gt;"","・発信","")&amp;IF(S905&lt;&gt;"","・確認事項","")&amp;IF(T905&lt;&gt;"","・管","")&amp;IF(U905&lt;&gt;"","・SV","")&amp;IF(V905&lt;&gt;"","・データ送付待ち","")&amp;IF(W905&lt;&gt;"","・削除","")</f>
        <v/>
      </c>
    </row>
    <row r="906" ht="15" customHeight="1" s="87">
      <c r="AL906" s="94">
        <f>IF(A906="","",IF(COUNTIF(A906:A$2001,A906)=1,1,0))</f>
        <v/>
      </c>
      <c r="AM906" s="94">
        <f>IF(I906="","",TODAY()-I906)</f>
        <v/>
      </c>
      <c r="AN906" s="94">
        <f>IF(A906="","",IF(AND(E906&lt;&gt;"33 確認済",E906&lt;&gt;"36 送付中"),1,0))</f>
        <v/>
      </c>
      <c r="AO906" s="94">
        <f>IF(A906="","",IF(AG906&lt;&gt;"",1,0))</f>
        <v/>
      </c>
      <c r="AP906" s="220">
        <f>IF(P906&lt;&gt;"","・添待ち","")&amp;IF(Q906&lt;&gt;"","・住民票","")&amp;IF(R906&lt;&gt;"","・発信","")&amp;IF(S906&lt;&gt;"","・確認事項","")&amp;IF(T906&lt;&gt;"","・管","")&amp;IF(U906&lt;&gt;"","・SV","")&amp;IF(V906&lt;&gt;"","・データ送付待ち","")&amp;IF(W906&lt;&gt;"","・削除","")</f>
        <v/>
      </c>
    </row>
    <row r="907" ht="15" customHeight="1" s="87">
      <c r="AL907" s="94">
        <f>IF(A907="","",IF(COUNTIF(A907:A$2001,A907)=1,1,0))</f>
        <v/>
      </c>
      <c r="AM907" s="94">
        <f>IF(I907="","",TODAY()-I907)</f>
        <v/>
      </c>
      <c r="AN907" s="94">
        <f>IF(A907="","",IF(AND(E907&lt;&gt;"33 確認済",E907&lt;&gt;"36 送付中"),1,0))</f>
        <v/>
      </c>
      <c r="AO907" s="94">
        <f>IF(A907="","",IF(AG907&lt;&gt;"",1,0))</f>
        <v/>
      </c>
      <c r="AP907" s="220">
        <f>IF(P907&lt;&gt;"","・添待ち","")&amp;IF(Q907&lt;&gt;"","・住民票","")&amp;IF(R907&lt;&gt;"","・発信","")&amp;IF(S907&lt;&gt;"","・確認事項","")&amp;IF(T907&lt;&gt;"","・管","")&amp;IF(U907&lt;&gt;"","・SV","")&amp;IF(V907&lt;&gt;"","・データ送付待ち","")&amp;IF(W907&lt;&gt;"","・削除","")</f>
        <v/>
      </c>
    </row>
    <row r="908" ht="15" customHeight="1" s="87">
      <c r="AL908" s="94">
        <f>IF(A908="","",IF(COUNTIF(A908:A$2001,A908)=1,1,0))</f>
        <v/>
      </c>
      <c r="AM908" s="94">
        <f>IF(I908="","",TODAY()-I908)</f>
        <v/>
      </c>
      <c r="AN908" s="94">
        <f>IF(A908="","",IF(AND(E908&lt;&gt;"33 確認済",E908&lt;&gt;"36 送付中"),1,0))</f>
        <v/>
      </c>
      <c r="AO908" s="94">
        <f>IF(A908="","",IF(AG908&lt;&gt;"",1,0))</f>
        <v/>
      </c>
      <c r="AP908" s="220">
        <f>IF(P908&lt;&gt;"","・添待ち","")&amp;IF(Q908&lt;&gt;"","・住民票","")&amp;IF(R908&lt;&gt;"","・発信","")&amp;IF(S908&lt;&gt;"","・確認事項","")&amp;IF(T908&lt;&gt;"","・管","")&amp;IF(U908&lt;&gt;"","・SV","")&amp;IF(V908&lt;&gt;"","・データ送付待ち","")&amp;IF(W908&lt;&gt;"","・削除","")</f>
        <v/>
      </c>
    </row>
    <row r="909" ht="15" customHeight="1" s="87">
      <c r="AL909" s="94">
        <f>IF(A909="","",IF(COUNTIF(A909:A$2001,A909)=1,1,0))</f>
        <v/>
      </c>
      <c r="AM909" s="94">
        <f>IF(I909="","",TODAY()-I909)</f>
        <v/>
      </c>
      <c r="AN909" s="94">
        <f>IF(A909="","",IF(AND(E909&lt;&gt;"33 確認済",E909&lt;&gt;"36 送付中"),1,0))</f>
        <v/>
      </c>
      <c r="AO909" s="94">
        <f>IF(A909="","",IF(AG909&lt;&gt;"",1,0))</f>
        <v/>
      </c>
      <c r="AP909" s="220">
        <f>IF(P909&lt;&gt;"","・添待ち","")&amp;IF(Q909&lt;&gt;"","・住民票","")&amp;IF(R909&lt;&gt;"","・発信","")&amp;IF(S909&lt;&gt;"","・確認事項","")&amp;IF(T909&lt;&gt;"","・管","")&amp;IF(U909&lt;&gt;"","・SV","")&amp;IF(V909&lt;&gt;"","・データ送付待ち","")&amp;IF(W909&lt;&gt;"","・削除","")</f>
        <v/>
      </c>
    </row>
    <row r="910" ht="15" customHeight="1" s="87">
      <c r="AL910" s="94">
        <f>IF(A910="","",IF(COUNTIF(A910:A$2001,A910)=1,1,0))</f>
        <v/>
      </c>
      <c r="AM910" s="94">
        <f>IF(I910="","",TODAY()-I910)</f>
        <v/>
      </c>
      <c r="AN910" s="94">
        <f>IF(A910="","",IF(AND(E910&lt;&gt;"33 確認済",E910&lt;&gt;"36 送付中"),1,0))</f>
        <v/>
      </c>
      <c r="AO910" s="94">
        <f>IF(A910="","",IF(AG910&lt;&gt;"",1,0))</f>
        <v/>
      </c>
      <c r="AP910" s="220">
        <f>IF(P910&lt;&gt;"","・添待ち","")&amp;IF(Q910&lt;&gt;"","・住民票","")&amp;IF(R910&lt;&gt;"","・発信","")&amp;IF(S910&lt;&gt;"","・確認事項","")&amp;IF(T910&lt;&gt;"","・管","")&amp;IF(U910&lt;&gt;"","・SV","")&amp;IF(V910&lt;&gt;"","・データ送付待ち","")&amp;IF(W910&lt;&gt;"","・削除","")</f>
        <v/>
      </c>
    </row>
    <row r="911" ht="15" customHeight="1" s="87">
      <c r="AL911" s="94">
        <f>IF(A911="","",IF(COUNTIF(A911:A$2001,A911)=1,1,0))</f>
        <v/>
      </c>
      <c r="AM911" s="94">
        <f>IF(I911="","",TODAY()-I911)</f>
        <v/>
      </c>
      <c r="AN911" s="94">
        <f>IF(A911="","",IF(AND(E911&lt;&gt;"33 確認済",E911&lt;&gt;"36 送付中"),1,0))</f>
        <v/>
      </c>
      <c r="AO911" s="94">
        <f>IF(A911="","",IF(AG911&lt;&gt;"",1,0))</f>
        <v/>
      </c>
      <c r="AP911" s="220">
        <f>IF(P911&lt;&gt;"","・添待ち","")&amp;IF(Q911&lt;&gt;"","・住民票","")&amp;IF(R911&lt;&gt;"","・発信","")&amp;IF(S911&lt;&gt;"","・確認事項","")&amp;IF(T911&lt;&gt;"","・管","")&amp;IF(U911&lt;&gt;"","・SV","")&amp;IF(V911&lt;&gt;"","・データ送付待ち","")&amp;IF(W911&lt;&gt;"","・削除","")</f>
        <v/>
      </c>
    </row>
    <row r="912" ht="15" customHeight="1" s="87">
      <c r="AL912" s="94">
        <f>IF(A912="","",IF(COUNTIF(A912:A$2001,A912)=1,1,0))</f>
        <v/>
      </c>
      <c r="AM912" s="94">
        <f>IF(I912="","",TODAY()-I912)</f>
        <v/>
      </c>
      <c r="AN912" s="94">
        <f>IF(A912="","",IF(AND(E912&lt;&gt;"33 確認済",E912&lt;&gt;"36 送付中"),1,0))</f>
        <v/>
      </c>
      <c r="AO912" s="94">
        <f>IF(A912="","",IF(AG912&lt;&gt;"",1,0))</f>
        <v/>
      </c>
      <c r="AP912" s="220">
        <f>IF(P912&lt;&gt;"","・添待ち","")&amp;IF(Q912&lt;&gt;"","・住民票","")&amp;IF(R912&lt;&gt;"","・発信","")&amp;IF(S912&lt;&gt;"","・確認事項","")&amp;IF(T912&lt;&gt;"","・管","")&amp;IF(U912&lt;&gt;"","・SV","")&amp;IF(V912&lt;&gt;"","・データ送付待ち","")&amp;IF(W912&lt;&gt;"","・削除","")</f>
        <v/>
      </c>
    </row>
    <row r="913" ht="15" customHeight="1" s="87">
      <c r="AL913" s="94">
        <f>IF(A913="","",IF(COUNTIF(A913:A$2001,A913)=1,1,0))</f>
        <v/>
      </c>
      <c r="AM913" s="94">
        <f>IF(I913="","",TODAY()-I913)</f>
        <v/>
      </c>
      <c r="AN913" s="94">
        <f>IF(A913="","",IF(AND(E913&lt;&gt;"33 確認済",E913&lt;&gt;"36 送付中"),1,0))</f>
        <v/>
      </c>
      <c r="AO913" s="94">
        <f>IF(A913="","",IF(AG913&lt;&gt;"",1,0))</f>
        <v/>
      </c>
      <c r="AP913" s="220">
        <f>IF(P913&lt;&gt;"","・添待ち","")&amp;IF(Q913&lt;&gt;"","・住民票","")&amp;IF(R913&lt;&gt;"","・発信","")&amp;IF(S913&lt;&gt;"","・確認事項","")&amp;IF(T913&lt;&gt;"","・管","")&amp;IF(U913&lt;&gt;"","・SV","")&amp;IF(V913&lt;&gt;"","・データ送付待ち","")&amp;IF(W913&lt;&gt;"","・削除","")</f>
        <v/>
      </c>
    </row>
    <row r="914" ht="15" customHeight="1" s="87">
      <c r="AL914" s="94">
        <f>IF(A914="","",IF(COUNTIF(A914:A$2001,A914)=1,1,0))</f>
        <v/>
      </c>
      <c r="AM914" s="94">
        <f>IF(I914="","",TODAY()-I914)</f>
        <v/>
      </c>
      <c r="AN914" s="94">
        <f>IF(A914="","",IF(AND(E914&lt;&gt;"33 確認済",E914&lt;&gt;"36 送付中"),1,0))</f>
        <v/>
      </c>
      <c r="AO914" s="94">
        <f>IF(A914="","",IF(AG914&lt;&gt;"",1,0))</f>
        <v/>
      </c>
      <c r="AP914" s="220">
        <f>IF(P914&lt;&gt;"","・添待ち","")&amp;IF(Q914&lt;&gt;"","・住民票","")&amp;IF(R914&lt;&gt;"","・発信","")&amp;IF(S914&lt;&gt;"","・確認事項","")&amp;IF(T914&lt;&gt;"","・管","")&amp;IF(U914&lt;&gt;"","・SV","")&amp;IF(V914&lt;&gt;"","・データ送付待ち","")&amp;IF(W914&lt;&gt;"","・削除","")</f>
        <v/>
      </c>
    </row>
    <row r="915" ht="15" customHeight="1" s="87">
      <c r="AL915" s="94">
        <f>IF(A915="","",IF(COUNTIF(A915:A$2001,A915)=1,1,0))</f>
        <v/>
      </c>
      <c r="AM915" s="94">
        <f>IF(I915="","",TODAY()-I915)</f>
        <v/>
      </c>
      <c r="AN915" s="94">
        <f>IF(A915="","",IF(AND(E915&lt;&gt;"33 確認済",E915&lt;&gt;"36 送付中"),1,0))</f>
        <v/>
      </c>
      <c r="AO915" s="94">
        <f>IF(A915="","",IF(AG915&lt;&gt;"",1,0))</f>
        <v/>
      </c>
      <c r="AP915" s="220">
        <f>IF(P915&lt;&gt;"","・添待ち","")&amp;IF(Q915&lt;&gt;"","・住民票","")&amp;IF(R915&lt;&gt;"","・発信","")&amp;IF(S915&lt;&gt;"","・確認事項","")&amp;IF(T915&lt;&gt;"","・管","")&amp;IF(U915&lt;&gt;"","・SV","")&amp;IF(V915&lt;&gt;"","・データ送付待ち","")&amp;IF(W915&lt;&gt;"","・削除","")</f>
        <v/>
      </c>
    </row>
    <row r="916" ht="15" customHeight="1" s="87">
      <c r="AL916" s="94">
        <f>IF(A916="","",IF(COUNTIF(A916:A$2001,A916)=1,1,0))</f>
        <v/>
      </c>
      <c r="AM916" s="94">
        <f>IF(I916="","",TODAY()-I916)</f>
        <v/>
      </c>
      <c r="AN916" s="94">
        <f>IF(A916="","",IF(AND(E916&lt;&gt;"33 確認済",E916&lt;&gt;"36 送付中"),1,0))</f>
        <v/>
      </c>
      <c r="AO916" s="94">
        <f>IF(A916="","",IF(AG916&lt;&gt;"",1,0))</f>
        <v/>
      </c>
      <c r="AP916" s="220">
        <f>IF(P916&lt;&gt;"","・添待ち","")&amp;IF(Q916&lt;&gt;"","・住民票","")&amp;IF(R916&lt;&gt;"","・発信","")&amp;IF(S916&lt;&gt;"","・確認事項","")&amp;IF(T916&lt;&gt;"","・管","")&amp;IF(U916&lt;&gt;"","・SV","")&amp;IF(V916&lt;&gt;"","・データ送付待ち","")&amp;IF(W916&lt;&gt;"","・削除","")</f>
        <v/>
      </c>
    </row>
    <row r="917" ht="15" customHeight="1" s="87">
      <c r="AL917" s="94">
        <f>IF(A917="","",IF(COUNTIF(A917:A$2001,A917)=1,1,0))</f>
        <v/>
      </c>
      <c r="AM917" s="94">
        <f>IF(I917="","",TODAY()-I917)</f>
        <v/>
      </c>
      <c r="AN917" s="94">
        <f>IF(A917="","",IF(AND(E917&lt;&gt;"33 確認済",E917&lt;&gt;"36 送付中"),1,0))</f>
        <v/>
      </c>
      <c r="AO917" s="94">
        <f>IF(A917="","",IF(AG917&lt;&gt;"",1,0))</f>
        <v/>
      </c>
      <c r="AP917" s="220">
        <f>IF(P917&lt;&gt;"","・添待ち","")&amp;IF(Q917&lt;&gt;"","・住民票","")&amp;IF(R917&lt;&gt;"","・発信","")&amp;IF(S917&lt;&gt;"","・確認事項","")&amp;IF(T917&lt;&gt;"","・管","")&amp;IF(U917&lt;&gt;"","・SV","")&amp;IF(V917&lt;&gt;"","・データ送付待ち","")&amp;IF(W917&lt;&gt;"","・削除","")</f>
        <v/>
      </c>
    </row>
    <row r="918" ht="15" customHeight="1" s="87">
      <c r="AL918" s="94">
        <f>IF(A918="","",IF(COUNTIF(A918:A$2001,A918)=1,1,0))</f>
        <v/>
      </c>
      <c r="AM918" s="94">
        <f>IF(I918="","",TODAY()-I918)</f>
        <v/>
      </c>
      <c r="AN918" s="94">
        <f>IF(A918="","",IF(AND(E918&lt;&gt;"33 確認済",E918&lt;&gt;"36 送付中"),1,0))</f>
        <v/>
      </c>
      <c r="AO918" s="94">
        <f>IF(A918="","",IF(AG918&lt;&gt;"",1,0))</f>
        <v/>
      </c>
      <c r="AP918" s="220">
        <f>IF(P918&lt;&gt;"","・添待ち","")&amp;IF(Q918&lt;&gt;"","・住民票","")&amp;IF(R918&lt;&gt;"","・発信","")&amp;IF(S918&lt;&gt;"","・確認事項","")&amp;IF(T918&lt;&gt;"","・管","")&amp;IF(U918&lt;&gt;"","・SV","")&amp;IF(V918&lt;&gt;"","・データ送付待ち","")&amp;IF(W918&lt;&gt;"","・削除","")</f>
        <v/>
      </c>
    </row>
    <row r="919" ht="15" customHeight="1" s="87">
      <c r="AL919" s="94">
        <f>IF(A919="","",IF(COUNTIF(A919:A$2001,A919)=1,1,0))</f>
        <v/>
      </c>
      <c r="AM919" s="94">
        <f>IF(I919="","",TODAY()-I919)</f>
        <v/>
      </c>
      <c r="AN919" s="94">
        <f>IF(A919="","",IF(AND(E919&lt;&gt;"33 確認済",E919&lt;&gt;"36 送付中"),1,0))</f>
        <v/>
      </c>
      <c r="AO919" s="94">
        <f>IF(A919="","",IF(AG919&lt;&gt;"",1,0))</f>
        <v/>
      </c>
      <c r="AP919" s="220">
        <f>IF(P919&lt;&gt;"","・添待ち","")&amp;IF(Q919&lt;&gt;"","・住民票","")&amp;IF(R919&lt;&gt;"","・発信","")&amp;IF(S919&lt;&gt;"","・確認事項","")&amp;IF(T919&lt;&gt;"","・管","")&amp;IF(U919&lt;&gt;"","・SV","")&amp;IF(V919&lt;&gt;"","・データ送付待ち","")&amp;IF(W919&lt;&gt;"","・削除","")</f>
        <v/>
      </c>
    </row>
    <row r="920" ht="15" customHeight="1" s="87">
      <c r="AL920" s="94">
        <f>IF(A920="","",IF(COUNTIF(A920:A$2001,A920)=1,1,0))</f>
        <v/>
      </c>
      <c r="AM920" s="94">
        <f>IF(I920="","",TODAY()-I920)</f>
        <v/>
      </c>
      <c r="AN920" s="94">
        <f>IF(A920="","",IF(AND(E920&lt;&gt;"33 確認済",E920&lt;&gt;"36 送付中"),1,0))</f>
        <v/>
      </c>
      <c r="AO920" s="94">
        <f>IF(A920="","",IF(AG920&lt;&gt;"",1,0))</f>
        <v/>
      </c>
      <c r="AP920" s="220">
        <f>IF(P920&lt;&gt;"","・添待ち","")&amp;IF(Q920&lt;&gt;"","・住民票","")&amp;IF(R920&lt;&gt;"","・発信","")&amp;IF(S920&lt;&gt;"","・確認事項","")&amp;IF(T920&lt;&gt;"","・管","")&amp;IF(U920&lt;&gt;"","・SV","")&amp;IF(V920&lt;&gt;"","・データ送付待ち","")&amp;IF(W920&lt;&gt;"","・削除","")</f>
        <v/>
      </c>
    </row>
    <row r="921" ht="15" customHeight="1" s="87">
      <c r="AL921" s="94">
        <f>IF(A921="","",IF(COUNTIF(A921:A$2001,A921)=1,1,0))</f>
        <v/>
      </c>
      <c r="AM921" s="94">
        <f>IF(I921="","",TODAY()-I921)</f>
        <v/>
      </c>
      <c r="AN921" s="94">
        <f>IF(A921="","",IF(AND(E921&lt;&gt;"33 確認済",E921&lt;&gt;"36 送付中"),1,0))</f>
        <v/>
      </c>
      <c r="AO921" s="94">
        <f>IF(A921="","",IF(AG921&lt;&gt;"",1,0))</f>
        <v/>
      </c>
      <c r="AP921" s="220">
        <f>IF(P921&lt;&gt;"","・添待ち","")&amp;IF(Q921&lt;&gt;"","・住民票","")&amp;IF(R921&lt;&gt;"","・発信","")&amp;IF(S921&lt;&gt;"","・確認事項","")&amp;IF(T921&lt;&gt;"","・管","")&amp;IF(U921&lt;&gt;"","・SV","")&amp;IF(V921&lt;&gt;"","・データ送付待ち","")&amp;IF(W921&lt;&gt;"","・削除","")</f>
        <v/>
      </c>
    </row>
    <row r="922" ht="15" customHeight="1" s="87">
      <c r="AL922" s="94">
        <f>IF(A922="","",IF(COUNTIF(A922:A$2001,A922)=1,1,0))</f>
        <v/>
      </c>
      <c r="AM922" s="94">
        <f>IF(I922="","",TODAY()-I922)</f>
        <v/>
      </c>
      <c r="AN922" s="94">
        <f>IF(A922="","",IF(AND(E922&lt;&gt;"33 確認済",E922&lt;&gt;"36 送付中"),1,0))</f>
        <v/>
      </c>
      <c r="AO922" s="94">
        <f>IF(A922="","",IF(AG922&lt;&gt;"",1,0))</f>
        <v/>
      </c>
      <c r="AP922" s="220">
        <f>IF(P922&lt;&gt;"","・添待ち","")&amp;IF(Q922&lt;&gt;"","・住民票","")&amp;IF(R922&lt;&gt;"","・発信","")&amp;IF(S922&lt;&gt;"","・確認事項","")&amp;IF(T922&lt;&gt;"","・管","")&amp;IF(U922&lt;&gt;"","・SV","")&amp;IF(V922&lt;&gt;"","・データ送付待ち","")&amp;IF(W922&lt;&gt;"","・削除","")</f>
        <v/>
      </c>
    </row>
    <row r="923" ht="15" customHeight="1" s="87">
      <c r="AL923" s="94">
        <f>IF(A923="","",IF(COUNTIF(A923:A$2001,A923)=1,1,0))</f>
        <v/>
      </c>
      <c r="AM923" s="94">
        <f>IF(I923="","",TODAY()-I923)</f>
        <v/>
      </c>
      <c r="AN923" s="94">
        <f>IF(A923="","",IF(AND(E923&lt;&gt;"33 確認済",E923&lt;&gt;"36 送付中"),1,0))</f>
        <v/>
      </c>
      <c r="AO923" s="94">
        <f>IF(A923="","",IF(AG923&lt;&gt;"",1,0))</f>
        <v/>
      </c>
      <c r="AP923" s="220">
        <f>IF(P923&lt;&gt;"","・添待ち","")&amp;IF(Q923&lt;&gt;"","・住民票","")&amp;IF(R923&lt;&gt;"","・発信","")&amp;IF(S923&lt;&gt;"","・確認事項","")&amp;IF(T923&lt;&gt;"","・管","")&amp;IF(U923&lt;&gt;"","・SV","")&amp;IF(V923&lt;&gt;"","・データ送付待ち","")&amp;IF(W923&lt;&gt;"","・削除","")</f>
        <v/>
      </c>
    </row>
    <row r="924" ht="15" customHeight="1" s="87">
      <c r="AL924" s="94">
        <f>IF(A924="","",IF(COUNTIF(A924:A$2001,A924)=1,1,0))</f>
        <v/>
      </c>
      <c r="AM924" s="94">
        <f>IF(I924="","",TODAY()-I924)</f>
        <v/>
      </c>
      <c r="AN924" s="94">
        <f>IF(A924="","",IF(AND(E924&lt;&gt;"33 確認済",E924&lt;&gt;"36 送付中"),1,0))</f>
        <v/>
      </c>
      <c r="AO924" s="94">
        <f>IF(A924="","",IF(AG924&lt;&gt;"",1,0))</f>
        <v/>
      </c>
      <c r="AP924" s="220">
        <f>IF(P924&lt;&gt;"","・添待ち","")&amp;IF(Q924&lt;&gt;"","・住民票","")&amp;IF(R924&lt;&gt;"","・発信","")&amp;IF(S924&lt;&gt;"","・確認事項","")&amp;IF(T924&lt;&gt;"","・管","")&amp;IF(U924&lt;&gt;"","・SV","")&amp;IF(V924&lt;&gt;"","・データ送付待ち","")&amp;IF(W924&lt;&gt;"","・削除","")</f>
        <v/>
      </c>
    </row>
    <row r="925" ht="15" customHeight="1" s="87">
      <c r="AL925" s="94">
        <f>IF(A925="","",IF(COUNTIF(A925:A$2001,A925)=1,1,0))</f>
        <v/>
      </c>
      <c r="AM925" s="94">
        <f>IF(I925="","",TODAY()-I925)</f>
        <v/>
      </c>
      <c r="AN925" s="94">
        <f>IF(A925="","",IF(AND(E925&lt;&gt;"33 確認済",E925&lt;&gt;"36 送付中"),1,0))</f>
        <v/>
      </c>
      <c r="AO925" s="94">
        <f>IF(A925="","",IF(AG925&lt;&gt;"",1,0))</f>
        <v/>
      </c>
      <c r="AP925" s="220">
        <f>IF(P925&lt;&gt;"","・添待ち","")&amp;IF(Q925&lt;&gt;"","・住民票","")&amp;IF(R925&lt;&gt;"","・発信","")&amp;IF(S925&lt;&gt;"","・確認事項","")&amp;IF(T925&lt;&gt;"","・管","")&amp;IF(U925&lt;&gt;"","・SV","")&amp;IF(V925&lt;&gt;"","・データ送付待ち","")&amp;IF(W925&lt;&gt;"","・削除","")</f>
        <v/>
      </c>
    </row>
    <row r="926" ht="15" customHeight="1" s="87">
      <c r="AL926" s="94">
        <f>IF(A926="","",IF(COUNTIF(A926:A$2001,A926)=1,1,0))</f>
        <v/>
      </c>
      <c r="AM926" s="94">
        <f>IF(I926="","",TODAY()-I926)</f>
        <v/>
      </c>
      <c r="AN926" s="94">
        <f>IF(A926="","",IF(AND(E926&lt;&gt;"33 確認済",E926&lt;&gt;"36 送付中"),1,0))</f>
        <v/>
      </c>
      <c r="AO926" s="94">
        <f>IF(A926="","",IF(AG926&lt;&gt;"",1,0))</f>
        <v/>
      </c>
      <c r="AP926" s="220">
        <f>IF(P926&lt;&gt;"","・添待ち","")&amp;IF(Q926&lt;&gt;"","・住民票","")&amp;IF(R926&lt;&gt;"","・発信","")&amp;IF(S926&lt;&gt;"","・確認事項","")&amp;IF(T926&lt;&gt;"","・管","")&amp;IF(U926&lt;&gt;"","・SV","")&amp;IF(V926&lt;&gt;"","・データ送付待ち","")&amp;IF(W926&lt;&gt;"","・削除","")</f>
        <v/>
      </c>
    </row>
    <row r="927" ht="15" customHeight="1" s="87">
      <c r="AL927" s="94">
        <f>IF(A927="","",IF(COUNTIF(A927:A$2001,A927)=1,1,0))</f>
        <v/>
      </c>
      <c r="AM927" s="94">
        <f>IF(I927="","",TODAY()-I927)</f>
        <v/>
      </c>
      <c r="AN927" s="94">
        <f>IF(A927="","",IF(AND(E927&lt;&gt;"33 確認済",E927&lt;&gt;"36 送付中"),1,0))</f>
        <v/>
      </c>
      <c r="AO927" s="94">
        <f>IF(A927="","",IF(AG927&lt;&gt;"",1,0))</f>
        <v/>
      </c>
      <c r="AP927" s="220">
        <f>IF(P927&lt;&gt;"","・添待ち","")&amp;IF(Q927&lt;&gt;"","・住民票","")&amp;IF(R927&lt;&gt;"","・発信","")&amp;IF(S927&lt;&gt;"","・確認事項","")&amp;IF(T927&lt;&gt;"","・管","")&amp;IF(U927&lt;&gt;"","・SV","")&amp;IF(V927&lt;&gt;"","・データ送付待ち","")&amp;IF(W927&lt;&gt;"","・削除","")</f>
        <v/>
      </c>
    </row>
    <row r="928" ht="15" customHeight="1" s="87">
      <c r="AL928" s="94">
        <f>IF(A928="","",IF(COUNTIF(A928:A$2001,A928)=1,1,0))</f>
        <v/>
      </c>
      <c r="AM928" s="94">
        <f>IF(I928="","",TODAY()-I928)</f>
        <v/>
      </c>
      <c r="AN928" s="94">
        <f>IF(A928="","",IF(AND(E928&lt;&gt;"33 確認済",E928&lt;&gt;"36 送付中"),1,0))</f>
        <v/>
      </c>
      <c r="AO928" s="94">
        <f>IF(A928="","",IF(AG928&lt;&gt;"",1,0))</f>
        <v/>
      </c>
      <c r="AP928" s="220">
        <f>IF(P928&lt;&gt;"","・添待ち","")&amp;IF(Q928&lt;&gt;"","・住民票","")&amp;IF(R928&lt;&gt;"","・発信","")&amp;IF(S928&lt;&gt;"","・確認事項","")&amp;IF(T928&lt;&gt;"","・管","")&amp;IF(U928&lt;&gt;"","・SV","")&amp;IF(V928&lt;&gt;"","・データ送付待ち","")&amp;IF(W928&lt;&gt;"","・削除","")</f>
        <v/>
      </c>
    </row>
    <row r="929" ht="15" customHeight="1" s="87">
      <c r="AL929" s="94">
        <f>IF(A929="","",IF(COUNTIF(A929:A$2001,A929)=1,1,0))</f>
        <v/>
      </c>
      <c r="AM929" s="94">
        <f>IF(I929="","",TODAY()-I929)</f>
        <v/>
      </c>
      <c r="AN929" s="94">
        <f>IF(A929="","",IF(AND(E929&lt;&gt;"33 確認済",E929&lt;&gt;"36 送付中"),1,0))</f>
        <v/>
      </c>
      <c r="AO929" s="94">
        <f>IF(A929="","",IF(AG929&lt;&gt;"",1,0))</f>
        <v/>
      </c>
      <c r="AP929" s="220">
        <f>IF(P929&lt;&gt;"","・添待ち","")&amp;IF(Q929&lt;&gt;"","・住民票","")&amp;IF(R929&lt;&gt;"","・発信","")&amp;IF(S929&lt;&gt;"","・確認事項","")&amp;IF(T929&lt;&gt;"","・管","")&amp;IF(U929&lt;&gt;"","・SV","")&amp;IF(V929&lt;&gt;"","・データ送付待ち","")&amp;IF(W929&lt;&gt;"","・削除","")</f>
        <v/>
      </c>
    </row>
    <row r="930" ht="15" customHeight="1" s="87">
      <c r="AL930" s="94">
        <f>IF(A930="","",IF(COUNTIF(A930:A$2001,A930)=1,1,0))</f>
        <v/>
      </c>
      <c r="AM930" s="94">
        <f>IF(I930="","",TODAY()-I930)</f>
        <v/>
      </c>
      <c r="AN930" s="94">
        <f>IF(A930="","",IF(AND(E930&lt;&gt;"33 確認済",E930&lt;&gt;"36 送付中"),1,0))</f>
        <v/>
      </c>
      <c r="AO930" s="94">
        <f>IF(A930="","",IF(AG930&lt;&gt;"",1,0))</f>
        <v/>
      </c>
      <c r="AP930" s="220">
        <f>IF(P930&lt;&gt;"","・添待ち","")&amp;IF(Q930&lt;&gt;"","・住民票","")&amp;IF(R930&lt;&gt;"","・発信","")&amp;IF(S930&lt;&gt;"","・確認事項","")&amp;IF(T930&lt;&gt;"","・管","")&amp;IF(U930&lt;&gt;"","・SV","")&amp;IF(V930&lt;&gt;"","・データ送付待ち","")&amp;IF(W930&lt;&gt;"","・削除","")</f>
        <v/>
      </c>
    </row>
    <row r="931" ht="15" customHeight="1" s="87">
      <c r="AL931" s="94">
        <f>IF(A931="","",IF(COUNTIF(A931:A$2001,A931)=1,1,0))</f>
        <v/>
      </c>
      <c r="AM931" s="94">
        <f>IF(I931="","",TODAY()-I931)</f>
        <v/>
      </c>
      <c r="AN931" s="94">
        <f>IF(A931="","",IF(AND(E931&lt;&gt;"33 確認済",E931&lt;&gt;"36 送付中"),1,0))</f>
        <v/>
      </c>
      <c r="AO931" s="94">
        <f>IF(A931="","",IF(AG931&lt;&gt;"",1,0))</f>
        <v/>
      </c>
      <c r="AP931" s="220">
        <f>IF(P931&lt;&gt;"","・添待ち","")&amp;IF(Q931&lt;&gt;"","・住民票","")&amp;IF(R931&lt;&gt;"","・発信","")&amp;IF(S931&lt;&gt;"","・確認事項","")&amp;IF(T931&lt;&gt;"","・管","")&amp;IF(U931&lt;&gt;"","・SV","")&amp;IF(V931&lt;&gt;"","・データ送付待ち","")&amp;IF(W931&lt;&gt;"","・削除","")</f>
        <v/>
      </c>
    </row>
    <row r="932" ht="15" customHeight="1" s="87">
      <c r="AL932" s="94">
        <f>IF(A932="","",IF(COUNTIF(A932:A$2001,A932)=1,1,0))</f>
        <v/>
      </c>
      <c r="AM932" s="94">
        <f>IF(I932="","",TODAY()-I932)</f>
        <v/>
      </c>
      <c r="AN932" s="94">
        <f>IF(A932="","",IF(AND(E932&lt;&gt;"33 確認済",E932&lt;&gt;"36 送付中"),1,0))</f>
        <v/>
      </c>
      <c r="AO932" s="94">
        <f>IF(A932="","",IF(AG932&lt;&gt;"",1,0))</f>
        <v/>
      </c>
      <c r="AP932" s="220">
        <f>IF(P932&lt;&gt;"","・添待ち","")&amp;IF(Q932&lt;&gt;"","・住民票","")&amp;IF(R932&lt;&gt;"","・発信","")&amp;IF(S932&lt;&gt;"","・確認事項","")&amp;IF(T932&lt;&gt;"","・管","")&amp;IF(U932&lt;&gt;"","・SV","")&amp;IF(V932&lt;&gt;"","・データ送付待ち","")&amp;IF(W932&lt;&gt;"","・削除","")</f>
        <v/>
      </c>
    </row>
    <row r="933" ht="15" customHeight="1" s="87">
      <c r="AL933" s="94">
        <f>IF(A933="","",IF(COUNTIF(A933:A$2001,A933)=1,1,0))</f>
        <v/>
      </c>
      <c r="AM933" s="94">
        <f>IF(I933="","",TODAY()-I933)</f>
        <v/>
      </c>
      <c r="AN933" s="94">
        <f>IF(A933="","",IF(AND(E933&lt;&gt;"33 確認済",E933&lt;&gt;"36 送付中"),1,0))</f>
        <v/>
      </c>
      <c r="AO933" s="94">
        <f>IF(A933="","",IF(AG933&lt;&gt;"",1,0))</f>
        <v/>
      </c>
      <c r="AP933" s="220">
        <f>IF(P933&lt;&gt;"","・添待ち","")&amp;IF(Q933&lt;&gt;"","・住民票","")&amp;IF(R933&lt;&gt;"","・発信","")&amp;IF(S933&lt;&gt;"","・確認事項","")&amp;IF(T933&lt;&gt;"","・管","")&amp;IF(U933&lt;&gt;"","・SV","")&amp;IF(V933&lt;&gt;"","・データ送付待ち","")&amp;IF(W933&lt;&gt;"","・削除","")</f>
        <v/>
      </c>
    </row>
    <row r="934" ht="15" customHeight="1" s="87">
      <c r="AL934" s="94">
        <f>IF(A934="","",IF(COUNTIF(A934:A$2001,A934)=1,1,0))</f>
        <v/>
      </c>
      <c r="AM934" s="94">
        <f>IF(I934="","",TODAY()-I934)</f>
        <v/>
      </c>
      <c r="AN934" s="94">
        <f>IF(A934="","",IF(AND(E934&lt;&gt;"33 確認済",E934&lt;&gt;"36 送付中"),1,0))</f>
        <v/>
      </c>
      <c r="AO934" s="94">
        <f>IF(A934="","",IF(AG934&lt;&gt;"",1,0))</f>
        <v/>
      </c>
      <c r="AP934" s="220">
        <f>IF(P934&lt;&gt;"","・添待ち","")&amp;IF(Q934&lt;&gt;"","・住民票","")&amp;IF(R934&lt;&gt;"","・発信","")&amp;IF(S934&lt;&gt;"","・確認事項","")&amp;IF(T934&lt;&gt;"","・管","")&amp;IF(U934&lt;&gt;"","・SV","")&amp;IF(V934&lt;&gt;"","・データ送付待ち","")&amp;IF(W934&lt;&gt;"","・削除","")</f>
        <v/>
      </c>
    </row>
    <row r="935" ht="15" customHeight="1" s="87">
      <c r="AL935" s="94">
        <f>IF(A935="","",IF(COUNTIF(A935:A$2001,A935)=1,1,0))</f>
        <v/>
      </c>
      <c r="AM935" s="94">
        <f>IF(I935="","",TODAY()-I935)</f>
        <v/>
      </c>
      <c r="AN935" s="94">
        <f>IF(A935="","",IF(AND(E935&lt;&gt;"33 確認済",E935&lt;&gt;"36 送付中"),1,0))</f>
        <v/>
      </c>
      <c r="AO935" s="94">
        <f>IF(A935="","",IF(AG935&lt;&gt;"",1,0))</f>
        <v/>
      </c>
      <c r="AP935" s="220">
        <f>IF(P935&lt;&gt;"","・添待ち","")&amp;IF(Q935&lt;&gt;"","・住民票","")&amp;IF(R935&lt;&gt;"","・発信","")&amp;IF(S935&lt;&gt;"","・確認事項","")&amp;IF(T935&lt;&gt;"","・管","")&amp;IF(U935&lt;&gt;"","・SV","")&amp;IF(V935&lt;&gt;"","・データ送付待ち","")&amp;IF(W935&lt;&gt;"","・削除","")</f>
        <v/>
      </c>
    </row>
    <row r="936" ht="15" customHeight="1" s="87">
      <c r="AL936" s="94">
        <f>IF(A936="","",IF(COUNTIF(A936:A$2001,A936)=1,1,0))</f>
        <v/>
      </c>
      <c r="AM936" s="94">
        <f>IF(I936="","",TODAY()-I936)</f>
        <v/>
      </c>
      <c r="AN936" s="94">
        <f>IF(A936="","",IF(AND(E936&lt;&gt;"33 確認済",E936&lt;&gt;"36 送付中"),1,0))</f>
        <v/>
      </c>
      <c r="AO936" s="94">
        <f>IF(A936="","",IF(AG936&lt;&gt;"",1,0))</f>
        <v/>
      </c>
      <c r="AP936" s="220">
        <f>IF(P936&lt;&gt;"","・添待ち","")&amp;IF(Q936&lt;&gt;"","・住民票","")&amp;IF(R936&lt;&gt;"","・発信","")&amp;IF(S936&lt;&gt;"","・確認事項","")&amp;IF(T936&lt;&gt;"","・管","")&amp;IF(U936&lt;&gt;"","・SV","")&amp;IF(V936&lt;&gt;"","・データ送付待ち","")&amp;IF(W936&lt;&gt;"","・削除","")</f>
        <v/>
      </c>
    </row>
    <row r="937" ht="15" customHeight="1" s="87">
      <c r="AL937" s="94">
        <f>IF(A937="","",IF(COUNTIF(A937:A$2001,A937)=1,1,0))</f>
        <v/>
      </c>
      <c r="AM937" s="94">
        <f>IF(I937="","",TODAY()-I937)</f>
        <v/>
      </c>
      <c r="AN937" s="94">
        <f>IF(A937="","",IF(AND(E937&lt;&gt;"33 確認済",E937&lt;&gt;"36 送付中"),1,0))</f>
        <v/>
      </c>
      <c r="AO937" s="94">
        <f>IF(A937="","",IF(AG937&lt;&gt;"",1,0))</f>
        <v/>
      </c>
      <c r="AP937" s="220">
        <f>IF(P937&lt;&gt;"","・添待ち","")&amp;IF(Q937&lt;&gt;"","・住民票","")&amp;IF(R937&lt;&gt;"","・発信","")&amp;IF(S937&lt;&gt;"","・確認事項","")&amp;IF(T937&lt;&gt;"","・管","")&amp;IF(U937&lt;&gt;"","・SV","")&amp;IF(V937&lt;&gt;"","・データ送付待ち","")&amp;IF(W937&lt;&gt;"","・削除","")</f>
        <v/>
      </c>
    </row>
    <row r="938" ht="15" customHeight="1" s="87">
      <c r="AL938" s="94">
        <f>IF(A938="","",IF(COUNTIF(A938:A$2001,A938)=1,1,0))</f>
        <v/>
      </c>
      <c r="AM938" s="94">
        <f>IF(I938="","",TODAY()-I938)</f>
        <v/>
      </c>
      <c r="AN938" s="94">
        <f>IF(A938="","",IF(AND(E938&lt;&gt;"33 確認済",E938&lt;&gt;"36 送付中"),1,0))</f>
        <v/>
      </c>
      <c r="AO938" s="94">
        <f>IF(A938="","",IF(AG938&lt;&gt;"",1,0))</f>
        <v/>
      </c>
      <c r="AP938" s="220">
        <f>IF(P938&lt;&gt;"","・添待ち","")&amp;IF(Q938&lt;&gt;"","・住民票","")&amp;IF(R938&lt;&gt;"","・発信","")&amp;IF(S938&lt;&gt;"","・確認事項","")&amp;IF(T938&lt;&gt;"","・管","")&amp;IF(U938&lt;&gt;"","・SV","")&amp;IF(V938&lt;&gt;"","・データ送付待ち","")&amp;IF(W938&lt;&gt;"","・削除","")</f>
        <v/>
      </c>
    </row>
    <row r="939" ht="15" customHeight="1" s="87">
      <c r="AL939" s="94">
        <f>IF(A939="","",IF(COUNTIF(A939:A$2001,A939)=1,1,0))</f>
        <v/>
      </c>
      <c r="AM939" s="94">
        <f>IF(I939="","",TODAY()-I939)</f>
        <v/>
      </c>
      <c r="AN939" s="94">
        <f>IF(A939="","",IF(AND(E939&lt;&gt;"33 確認済",E939&lt;&gt;"36 送付中"),1,0))</f>
        <v/>
      </c>
      <c r="AO939" s="94">
        <f>IF(A939="","",IF(AG939&lt;&gt;"",1,0))</f>
        <v/>
      </c>
      <c r="AP939" s="220">
        <f>IF(P939&lt;&gt;"","・添待ち","")&amp;IF(Q939&lt;&gt;"","・住民票","")&amp;IF(R939&lt;&gt;"","・発信","")&amp;IF(S939&lt;&gt;"","・確認事項","")&amp;IF(T939&lt;&gt;"","・管","")&amp;IF(U939&lt;&gt;"","・SV","")&amp;IF(V939&lt;&gt;"","・データ送付待ち","")&amp;IF(W939&lt;&gt;"","・削除","")</f>
        <v/>
      </c>
    </row>
    <row r="940" ht="15" customHeight="1" s="87">
      <c r="AL940" s="94">
        <f>IF(A940="","",IF(COUNTIF(A940:A$2001,A940)=1,1,0))</f>
        <v/>
      </c>
      <c r="AM940" s="94">
        <f>IF(I940="","",TODAY()-I940)</f>
        <v/>
      </c>
      <c r="AN940" s="94">
        <f>IF(A940="","",IF(AND(E940&lt;&gt;"33 確認済",E940&lt;&gt;"36 送付中"),1,0))</f>
        <v/>
      </c>
      <c r="AO940" s="94">
        <f>IF(A940="","",IF(AG940&lt;&gt;"",1,0))</f>
        <v/>
      </c>
      <c r="AP940" s="220">
        <f>IF(P940&lt;&gt;"","・添待ち","")&amp;IF(Q940&lt;&gt;"","・住民票","")&amp;IF(R940&lt;&gt;"","・発信","")&amp;IF(S940&lt;&gt;"","・確認事項","")&amp;IF(T940&lt;&gt;"","・管","")&amp;IF(U940&lt;&gt;"","・SV","")&amp;IF(V940&lt;&gt;"","・データ送付待ち","")&amp;IF(W940&lt;&gt;"","・削除","")</f>
        <v/>
      </c>
    </row>
    <row r="941" ht="15" customHeight="1" s="87">
      <c r="AL941" s="94">
        <f>IF(A941="","",IF(COUNTIF(A941:A$2001,A941)=1,1,0))</f>
        <v/>
      </c>
      <c r="AM941" s="94">
        <f>IF(I941="","",TODAY()-I941)</f>
        <v/>
      </c>
      <c r="AN941" s="94">
        <f>IF(A941="","",IF(AND(E941&lt;&gt;"33 確認済",E941&lt;&gt;"36 送付中"),1,0))</f>
        <v/>
      </c>
      <c r="AO941" s="94">
        <f>IF(A941="","",IF(AG941&lt;&gt;"",1,0))</f>
        <v/>
      </c>
      <c r="AP941" s="220">
        <f>IF(P941&lt;&gt;"","・添待ち","")&amp;IF(Q941&lt;&gt;"","・住民票","")&amp;IF(R941&lt;&gt;"","・発信","")&amp;IF(S941&lt;&gt;"","・確認事項","")&amp;IF(T941&lt;&gt;"","・管","")&amp;IF(U941&lt;&gt;"","・SV","")&amp;IF(V941&lt;&gt;"","・データ送付待ち","")&amp;IF(W941&lt;&gt;"","・削除","")</f>
        <v/>
      </c>
    </row>
    <row r="942" ht="15" customHeight="1" s="87">
      <c r="AL942" s="94">
        <f>IF(A942="","",IF(COUNTIF(A942:A$2001,A942)=1,1,0))</f>
        <v/>
      </c>
      <c r="AM942" s="94">
        <f>IF(I942="","",TODAY()-I942)</f>
        <v/>
      </c>
      <c r="AN942" s="94">
        <f>IF(A942="","",IF(AND(E942&lt;&gt;"33 確認済",E942&lt;&gt;"36 送付中"),1,0))</f>
        <v/>
      </c>
      <c r="AO942" s="94">
        <f>IF(A942="","",IF(AG942&lt;&gt;"",1,0))</f>
        <v/>
      </c>
      <c r="AP942" s="220">
        <f>IF(P942&lt;&gt;"","・添待ち","")&amp;IF(Q942&lt;&gt;"","・住民票","")&amp;IF(R942&lt;&gt;"","・発信","")&amp;IF(S942&lt;&gt;"","・確認事項","")&amp;IF(T942&lt;&gt;"","・管","")&amp;IF(U942&lt;&gt;"","・SV","")&amp;IF(V942&lt;&gt;"","・データ送付待ち","")&amp;IF(W942&lt;&gt;"","・削除","")</f>
        <v/>
      </c>
    </row>
    <row r="943" ht="15" customHeight="1" s="87">
      <c r="AL943" s="94">
        <f>IF(A943="","",IF(COUNTIF(A943:A$2001,A943)=1,1,0))</f>
        <v/>
      </c>
      <c r="AM943" s="94">
        <f>IF(I943="","",TODAY()-I943)</f>
        <v/>
      </c>
      <c r="AN943" s="94">
        <f>IF(A943="","",IF(AND(E943&lt;&gt;"33 確認済",E943&lt;&gt;"36 送付中"),1,0))</f>
        <v/>
      </c>
      <c r="AO943" s="94">
        <f>IF(A943="","",IF(AG943&lt;&gt;"",1,0))</f>
        <v/>
      </c>
      <c r="AP943" s="220">
        <f>IF(P943&lt;&gt;"","・添待ち","")&amp;IF(Q943&lt;&gt;"","・住民票","")&amp;IF(R943&lt;&gt;"","・発信","")&amp;IF(S943&lt;&gt;"","・確認事項","")&amp;IF(T943&lt;&gt;"","・管","")&amp;IF(U943&lt;&gt;"","・SV","")&amp;IF(V943&lt;&gt;"","・データ送付待ち","")&amp;IF(W943&lt;&gt;"","・削除","")</f>
        <v/>
      </c>
    </row>
    <row r="944" ht="15" customHeight="1" s="87">
      <c r="AL944" s="94">
        <f>IF(A944="","",IF(COUNTIF(A944:A$2001,A944)=1,1,0))</f>
        <v/>
      </c>
      <c r="AM944" s="94">
        <f>IF(I944="","",TODAY()-I944)</f>
        <v/>
      </c>
      <c r="AN944" s="94">
        <f>IF(A944="","",IF(AND(E944&lt;&gt;"33 確認済",E944&lt;&gt;"36 送付中"),1,0))</f>
        <v/>
      </c>
      <c r="AO944" s="94">
        <f>IF(A944="","",IF(AG944&lt;&gt;"",1,0))</f>
        <v/>
      </c>
      <c r="AP944" s="220">
        <f>IF(P944&lt;&gt;"","・添待ち","")&amp;IF(Q944&lt;&gt;"","・住民票","")&amp;IF(R944&lt;&gt;"","・発信","")&amp;IF(S944&lt;&gt;"","・確認事項","")&amp;IF(T944&lt;&gt;"","・管","")&amp;IF(U944&lt;&gt;"","・SV","")&amp;IF(V944&lt;&gt;"","・データ送付待ち","")&amp;IF(W944&lt;&gt;"","・削除","")</f>
        <v/>
      </c>
    </row>
    <row r="945" ht="15" customHeight="1" s="87">
      <c r="AL945" s="94">
        <f>IF(A945="","",IF(COUNTIF(A945:A$2001,A945)=1,1,0))</f>
        <v/>
      </c>
      <c r="AM945" s="94">
        <f>IF(I945="","",TODAY()-I945)</f>
        <v/>
      </c>
      <c r="AN945" s="94">
        <f>IF(A945="","",IF(AND(E945&lt;&gt;"33 確認済",E945&lt;&gt;"36 送付中"),1,0))</f>
        <v/>
      </c>
      <c r="AO945" s="94">
        <f>IF(A945="","",IF(AG945&lt;&gt;"",1,0))</f>
        <v/>
      </c>
      <c r="AP945" s="220">
        <f>IF(P945&lt;&gt;"","・添待ち","")&amp;IF(Q945&lt;&gt;"","・住民票","")&amp;IF(R945&lt;&gt;"","・発信","")&amp;IF(S945&lt;&gt;"","・確認事項","")&amp;IF(T945&lt;&gt;"","・管","")&amp;IF(U945&lt;&gt;"","・SV","")&amp;IF(V945&lt;&gt;"","・データ送付待ち","")&amp;IF(W945&lt;&gt;"","・削除","")</f>
        <v/>
      </c>
    </row>
    <row r="946" ht="15" customHeight="1" s="87">
      <c r="AL946" s="94">
        <f>IF(A946="","",IF(COUNTIF(A946:A$2001,A946)=1,1,0))</f>
        <v/>
      </c>
      <c r="AM946" s="94">
        <f>IF(I946="","",TODAY()-I946)</f>
        <v/>
      </c>
      <c r="AN946" s="94">
        <f>IF(A946="","",IF(AND(E946&lt;&gt;"33 確認済",E946&lt;&gt;"36 送付中"),1,0))</f>
        <v/>
      </c>
      <c r="AO946" s="94">
        <f>IF(A946="","",IF(AG946&lt;&gt;"",1,0))</f>
        <v/>
      </c>
      <c r="AP946" s="220">
        <f>IF(P946&lt;&gt;"","・添待ち","")&amp;IF(Q946&lt;&gt;"","・住民票","")&amp;IF(R946&lt;&gt;"","・発信","")&amp;IF(S946&lt;&gt;"","・確認事項","")&amp;IF(T946&lt;&gt;"","・管","")&amp;IF(U946&lt;&gt;"","・SV","")&amp;IF(V946&lt;&gt;"","・データ送付待ち","")&amp;IF(W946&lt;&gt;"","・削除","")</f>
        <v/>
      </c>
    </row>
    <row r="947" ht="15" customHeight="1" s="87">
      <c r="AL947" s="94">
        <f>IF(A947="","",IF(COUNTIF(A947:A$2001,A947)=1,1,0))</f>
        <v/>
      </c>
      <c r="AM947" s="94">
        <f>IF(I947="","",TODAY()-I947)</f>
        <v/>
      </c>
      <c r="AN947" s="94">
        <f>IF(A947="","",IF(AND(E947&lt;&gt;"33 確認済",E947&lt;&gt;"36 送付中"),1,0))</f>
        <v/>
      </c>
      <c r="AO947" s="94">
        <f>IF(A947="","",IF(AG947&lt;&gt;"",1,0))</f>
        <v/>
      </c>
      <c r="AP947" s="220">
        <f>IF(P947&lt;&gt;"","・添待ち","")&amp;IF(Q947&lt;&gt;"","・住民票","")&amp;IF(R947&lt;&gt;"","・発信","")&amp;IF(S947&lt;&gt;"","・確認事項","")&amp;IF(T947&lt;&gt;"","・管","")&amp;IF(U947&lt;&gt;"","・SV","")&amp;IF(V947&lt;&gt;"","・データ送付待ち","")&amp;IF(W947&lt;&gt;"","・削除","")</f>
        <v/>
      </c>
    </row>
    <row r="948" ht="15" customHeight="1" s="87">
      <c r="AL948" s="94">
        <f>IF(A948="","",IF(COUNTIF(A948:A$2001,A948)=1,1,0))</f>
        <v/>
      </c>
      <c r="AM948" s="94">
        <f>IF(I948="","",TODAY()-I948)</f>
        <v/>
      </c>
      <c r="AN948" s="94">
        <f>IF(A948="","",IF(AND(E948&lt;&gt;"33 確認済",E948&lt;&gt;"36 送付中"),1,0))</f>
        <v/>
      </c>
      <c r="AO948" s="94">
        <f>IF(A948="","",IF(AG948&lt;&gt;"",1,0))</f>
        <v/>
      </c>
      <c r="AP948" s="220">
        <f>IF(P948&lt;&gt;"","・添待ち","")&amp;IF(Q948&lt;&gt;"","・住民票","")&amp;IF(R948&lt;&gt;"","・発信","")&amp;IF(S948&lt;&gt;"","・確認事項","")&amp;IF(T948&lt;&gt;"","・管","")&amp;IF(U948&lt;&gt;"","・SV","")&amp;IF(V948&lt;&gt;"","・データ送付待ち","")&amp;IF(W948&lt;&gt;"","・削除","")</f>
        <v/>
      </c>
    </row>
    <row r="949" ht="15" customHeight="1" s="87">
      <c r="AL949" s="94">
        <f>IF(A949="","",IF(COUNTIF(A949:A$2001,A949)=1,1,0))</f>
        <v/>
      </c>
      <c r="AM949" s="94">
        <f>IF(I949="","",TODAY()-I949)</f>
        <v/>
      </c>
      <c r="AN949" s="94">
        <f>IF(A949="","",IF(AND(E949&lt;&gt;"33 確認済",E949&lt;&gt;"36 送付中"),1,0))</f>
        <v/>
      </c>
      <c r="AO949" s="94">
        <f>IF(A949="","",IF(AG949&lt;&gt;"",1,0))</f>
        <v/>
      </c>
      <c r="AP949" s="220">
        <f>IF(P949&lt;&gt;"","・添待ち","")&amp;IF(Q949&lt;&gt;"","・住民票","")&amp;IF(R949&lt;&gt;"","・発信","")&amp;IF(S949&lt;&gt;"","・確認事項","")&amp;IF(T949&lt;&gt;"","・管","")&amp;IF(U949&lt;&gt;"","・SV","")&amp;IF(V949&lt;&gt;"","・データ送付待ち","")&amp;IF(W949&lt;&gt;"","・削除","")</f>
        <v/>
      </c>
    </row>
    <row r="950" ht="15" customHeight="1" s="87">
      <c r="AL950" s="94">
        <f>IF(A950="","",IF(COUNTIF(A950:A$2001,A950)=1,1,0))</f>
        <v/>
      </c>
      <c r="AM950" s="94">
        <f>IF(I950="","",TODAY()-I950)</f>
        <v/>
      </c>
      <c r="AN950" s="94">
        <f>IF(A950="","",IF(AND(E950&lt;&gt;"33 確認済",E950&lt;&gt;"36 送付中"),1,0))</f>
        <v/>
      </c>
      <c r="AO950" s="94">
        <f>IF(A950="","",IF(AG950&lt;&gt;"",1,0))</f>
        <v/>
      </c>
      <c r="AP950" s="220">
        <f>IF(P950&lt;&gt;"","・添待ち","")&amp;IF(Q950&lt;&gt;"","・住民票","")&amp;IF(R950&lt;&gt;"","・発信","")&amp;IF(S950&lt;&gt;"","・確認事項","")&amp;IF(T950&lt;&gt;"","・管","")&amp;IF(U950&lt;&gt;"","・SV","")&amp;IF(V950&lt;&gt;"","・データ送付待ち","")&amp;IF(W950&lt;&gt;"","・削除","")</f>
        <v/>
      </c>
    </row>
    <row r="951" ht="15" customHeight="1" s="87">
      <c r="AL951" s="94">
        <f>IF(A951="","",IF(COUNTIF(A951:A$2001,A951)=1,1,0))</f>
        <v/>
      </c>
      <c r="AM951" s="94">
        <f>IF(I951="","",TODAY()-I951)</f>
        <v/>
      </c>
      <c r="AN951" s="94">
        <f>IF(A951="","",IF(AND(E951&lt;&gt;"33 確認済",E951&lt;&gt;"36 送付中"),1,0))</f>
        <v/>
      </c>
      <c r="AO951" s="94">
        <f>IF(A951="","",IF(AG951&lt;&gt;"",1,0))</f>
        <v/>
      </c>
      <c r="AP951" s="220">
        <f>IF(P951&lt;&gt;"","・添待ち","")&amp;IF(Q951&lt;&gt;"","・住民票","")&amp;IF(R951&lt;&gt;"","・発信","")&amp;IF(S951&lt;&gt;"","・確認事項","")&amp;IF(T951&lt;&gt;"","・管","")&amp;IF(U951&lt;&gt;"","・SV","")&amp;IF(V951&lt;&gt;"","・データ送付待ち","")&amp;IF(W951&lt;&gt;"","・削除","")</f>
        <v/>
      </c>
    </row>
    <row r="952" ht="15" customHeight="1" s="87">
      <c r="AL952" s="94">
        <f>IF(A952="","",IF(COUNTIF(A952:A$2001,A952)=1,1,0))</f>
        <v/>
      </c>
      <c r="AM952" s="94">
        <f>IF(I952="","",TODAY()-I952)</f>
        <v/>
      </c>
      <c r="AN952" s="94">
        <f>IF(A952="","",IF(AND(E952&lt;&gt;"33 確認済",E952&lt;&gt;"36 送付中"),1,0))</f>
        <v/>
      </c>
      <c r="AO952" s="94">
        <f>IF(A952="","",IF(AG952&lt;&gt;"",1,0))</f>
        <v/>
      </c>
      <c r="AP952" s="220">
        <f>IF(P952&lt;&gt;"","・添待ち","")&amp;IF(Q952&lt;&gt;"","・住民票","")&amp;IF(R952&lt;&gt;"","・発信","")&amp;IF(S952&lt;&gt;"","・確認事項","")&amp;IF(T952&lt;&gt;"","・管","")&amp;IF(U952&lt;&gt;"","・SV","")&amp;IF(V952&lt;&gt;"","・データ送付待ち","")&amp;IF(W952&lt;&gt;"","・削除","")</f>
        <v/>
      </c>
    </row>
    <row r="953" ht="15" customHeight="1" s="87">
      <c r="AL953" s="94">
        <f>IF(A953="","",IF(COUNTIF(A953:A$2001,A953)=1,1,0))</f>
        <v/>
      </c>
      <c r="AM953" s="94">
        <f>IF(I953="","",TODAY()-I953)</f>
        <v/>
      </c>
      <c r="AN953" s="94">
        <f>IF(A953="","",IF(AND(E953&lt;&gt;"33 確認済",E953&lt;&gt;"36 送付中"),1,0))</f>
        <v/>
      </c>
      <c r="AO953" s="94">
        <f>IF(A953="","",IF(AG953&lt;&gt;"",1,0))</f>
        <v/>
      </c>
      <c r="AP953" s="220">
        <f>IF(P953&lt;&gt;"","・添待ち","")&amp;IF(Q953&lt;&gt;"","・住民票","")&amp;IF(R953&lt;&gt;"","・発信","")&amp;IF(S953&lt;&gt;"","・確認事項","")&amp;IF(T953&lt;&gt;"","・管","")&amp;IF(U953&lt;&gt;"","・SV","")&amp;IF(V953&lt;&gt;"","・データ送付待ち","")&amp;IF(W953&lt;&gt;"","・削除","")</f>
        <v/>
      </c>
    </row>
    <row r="954" ht="15" customHeight="1" s="87">
      <c r="AL954" s="94">
        <f>IF(A954="","",IF(COUNTIF(A954:A$2001,A954)=1,1,0))</f>
        <v/>
      </c>
      <c r="AM954" s="94">
        <f>IF(I954="","",TODAY()-I954)</f>
        <v/>
      </c>
      <c r="AN954" s="94">
        <f>IF(A954="","",IF(AND(E954&lt;&gt;"33 確認済",E954&lt;&gt;"36 送付中"),1,0))</f>
        <v/>
      </c>
      <c r="AO954" s="94">
        <f>IF(A954="","",IF(AG954&lt;&gt;"",1,0))</f>
        <v/>
      </c>
      <c r="AP954" s="220">
        <f>IF(P954&lt;&gt;"","・添待ち","")&amp;IF(Q954&lt;&gt;"","・住民票","")&amp;IF(R954&lt;&gt;"","・発信","")&amp;IF(S954&lt;&gt;"","・確認事項","")&amp;IF(T954&lt;&gt;"","・管","")&amp;IF(U954&lt;&gt;"","・SV","")&amp;IF(V954&lt;&gt;"","・データ送付待ち","")&amp;IF(W954&lt;&gt;"","・削除","")</f>
        <v/>
      </c>
    </row>
    <row r="955" ht="15" customHeight="1" s="87">
      <c r="AL955" s="94">
        <f>IF(A955="","",IF(COUNTIF(A955:A$2001,A955)=1,1,0))</f>
        <v/>
      </c>
      <c r="AM955" s="94">
        <f>IF(I955="","",TODAY()-I955)</f>
        <v/>
      </c>
      <c r="AN955" s="94">
        <f>IF(A955="","",IF(AND(E955&lt;&gt;"33 確認済",E955&lt;&gt;"36 送付中"),1,0))</f>
        <v/>
      </c>
      <c r="AO955" s="94">
        <f>IF(A955="","",IF(AG955&lt;&gt;"",1,0))</f>
        <v/>
      </c>
      <c r="AP955" s="220">
        <f>IF(P955&lt;&gt;"","・添待ち","")&amp;IF(Q955&lt;&gt;"","・住民票","")&amp;IF(R955&lt;&gt;"","・発信","")&amp;IF(S955&lt;&gt;"","・確認事項","")&amp;IF(T955&lt;&gt;"","・管","")&amp;IF(U955&lt;&gt;"","・SV","")&amp;IF(V955&lt;&gt;"","・データ送付待ち","")&amp;IF(W955&lt;&gt;"","・削除","")</f>
        <v/>
      </c>
    </row>
    <row r="956" ht="15" customHeight="1" s="87">
      <c r="AL956" s="94">
        <f>IF(A956="","",IF(COUNTIF(A956:A$2001,A956)=1,1,0))</f>
        <v/>
      </c>
      <c r="AM956" s="94">
        <f>IF(I956="","",TODAY()-I956)</f>
        <v/>
      </c>
      <c r="AN956" s="94">
        <f>IF(A956="","",IF(AND(E956&lt;&gt;"33 確認済",E956&lt;&gt;"36 送付中"),1,0))</f>
        <v/>
      </c>
      <c r="AO956" s="94">
        <f>IF(A956="","",IF(AG956&lt;&gt;"",1,0))</f>
        <v/>
      </c>
      <c r="AP956" s="220">
        <f>IF(P956&lt;&gt;"","・添待ち","")&amp;IF(Q956&lt;&gt;"","・住民票","")&amp;IF(R956&lt;&gt;"","・発信","")&amp;IF(S956&lt;&gt;"","・確認事項","")&amp;IF(T956&lt;&gt;"","・管","")&amp;IF(U956&lt;&gt;"","・SV","")&amp;IF(V956&lt;&gt;"","・データ送付待ち","")&amp;IF(W956&lt;&gt;"","・削除","")</f>
        <v/>
      </c>
    </row>
    <row r="957" ht="15" customHeight="1" s="87">
      <c r="AL957" s="94">
        <f>IF(A957="","",IF(COUNTIF(A957:A$2001,A957)=1,1,0))</f>
        <v/>
      </c>
      <c r="AM957" s="94">
        <f>IF(I957="","",TODAY()-I957)</f>
        <v/>
      </c>
      <c r="AN957" s="94">
        <f>IF(A957="","",IF(AND(E957&lt;&gt;"33 確認済",E957&lt;&gt;"36 送付中"),1,0))</f>
        <v/>
      </c>
      <c r="AO957" s="94">
        <f>IF(A957="","",IF(AG957&lt;&gt;"",1,0))</f>
        <v/>
      </c>
      <c r="AP957" s="220">
        <f>IF(P957&lt;&gt;"","・添待ち","")&amp;IF(Q957&lt;&gt;"","・住民票","")&amp;IF(R957&lt;&gt;"","・発信","")&amp;IF(S957&lt;&gt;"","・確認事項","")&amp;IF(T957&lt;&gt;"","・管","")&amp;IF(U957&lt;&gt;"","・SV","")&amp;IF(V957&lt;&gt;"","・データ送付待ち","")&amp;IF(W957&lt;&gt;"","・削除","")</f>
        <v/>
      </c>
    </row>
    <row r="958" ht="15" customHeight="1" s="87">
      <c r="AL958" s="94">
        <f>IF(A958="","",IF(COUNTIF(A958:A$2001,A958)=1,1,0))</f>
        <v/>
      </c>
      <c r="AM958" s="94">
        <f>IF(I958="","",TODAY()-I958)</f>
        <v/>
      </c>
      <c r="AN958" s="94">
        <f>IF(A958="","",IF(AND(E958&lt;&gt;"33 確認済",E958&lt;&gt;"36 送付中"),1,0))</f>
        <v/>
      </c>
      <c r="AO958" s="94">
        <f>IF(A958="","",IF(AG958&lt;&gt;"",1,0))</f>
        <v/>
      </c>
      <c r="AP958" s="220">
        <f>IF(P958&lt;&gt;"","・添待ち","")&amp;IF(Q958&lt;&gt;"","・住民票","")&amp;IF(R958&lt;&gt;"","・発信","")&amp;IF(S958&lt;&gt;"","・確認事項","")&amp;IF(T958&lt;&gt;"","・管","")&amp;IF(U958&lt;&gt;"","・SV","")&amp;IF(V958&lt;&gt;"","・データ送付待ち","")&amp;IF(W958&lt;&gt;"","・削除","")</f>
        <v/>
      </c>
    </row>
    <row r="959" ht="15" customHeight="1" s="87">
      <c r="AL959" s="94">
        <f>IF(A959="","",IF(COUNTIF(A959:A$2001,A959)=1,1,0))</f>
        <v/>
      </c>
      <c r="AM959" s="94">
        <f>IF(I959="","",TODAY()-I959)</f>
        <v/>
      </c>
      <c r="AN959" s="94">
        <f>IF(A959="","",IF(AND(E959&lt;&gt;"33 確認済",E959&lt;&gt;"36 送付中"),1,0))</f>
        <v/>
      </c>
      <c r="AO959" s="94">
        <f>IF(A959="","",IF(AG959&lt;&gt;"",1,0))</f>
        <v/>
      </c>
      <c r="AP959" s="220">
        <f>IF(P959&lt;&gt;"","・添待ち","")&amp;IF(Q959&lt;&gt;"","・住民票","")&amp;IF(R959&lt;&gt;"","・発信","")&amp;IF(S959&lt;&gt;"","・確認事項","")&amp;IF(T959&lt;&gt;"","・管","")&amp;IF(U959&lt;&gt;"","・SV","")&amp;IF(V959&lt;&gt;"","・データ送付待ち","")&amp;IF(W959&lt;&gt;"","・削除","")</f>
        <v/>
      </c>
    </row>
    <row r="960" ht="15" customHeight="1" s="87">
      <c r="AL960" s="94">
        <f>IF(A960="","",IF(COUNTIF(A960:A$2001,A960)=1,1,0))</f>
        <v/>
      </c>
      <c r="AM960" s="94">
        <f>IF(I960="","",TODAY()-I960)</f>
        <v/>
      </c>
      <c r="AN960" s="94">
        <f>IF(A960="","",IF(AND(E960&lt;&gt;"33 確認済",E960&lt;&gt;"36 送付中"),1,0))</f>
        <v/>
      </c>
      <c r="AO960" s="94">
        <f>IF(A960="","",IF(AG960&lt;&gt;"",1,0))</f>
        <v/>
      </c>
      <c r="AP960" s="220">
        <f>IF(P960&lt;&gt;"","・添待ち","")&amp;IF(Q960&lt;&gt;"","・住民票","")&amp;IF(R960&lt;&gt;"","・発信","")&amp;IF(S960&lt;&gt;"","・確認事項","")&amp;IF(T960&lt;&gt;"","・管","")&amp;IF(U960&lt;&gt;"","・SV","")&amp;IF(V960&lt;&gt;"","・データ送付待ち","")&amp;IF(W960&lt;&gt;"","・削除","")</f>
        <v/>
      </c>
    </row>
    <row r="961" ht="15" customHeight="1" s="87">
      <c r="AL961" s="94">
        <f>IF(A961="","",IF(COUNTIF(A961:A$2001,A961)=1,1,0))</f>
        <v/>
      </c>
      <c r="AM961" s="94">
        <f>IF(I961="","",TODAY()-I961)</f>
        <v/>
      </c>
      <c r="AN961" s="94">
        <f>IF(A961="","",IF(AND(E961&lt;&gt;"33 確認済",E961&lt;&gt;"36 送付中"),1,0))</f>
        <v/>
      </c>
      <c r="AO961" s="94">
        <f>IF(A961="","",IF(AG961&lt;&gt;"",1,0))</f>
        <v/>
      </c>
      <c r="AP961" s="220">
        <f>IF(P961&lt;&gt;"","・添待ち","")&amp;IF(Q961&lt;&gt;"","・住民票","")&amp;IF(R961&lt;&gt;"","・発信","")&amp;IF(S961&lt;&gt;"","・確認事項","")&amp;IF(T961&lt;&gt;"","・管","")&amp;IF(U961&lt;&gt;"","・SV","")&amp;IF(V961&lt;&gt;"","・データ送付待ち","")&amp;IF(W961&lt;&gt;"","・削除","")</f>
        <v/>
      </c>
    </row>
    <row r="962" ht="15" customHeight="1" s="87">
      <c r="AL962" s="94">
        <f>IF(A962="","",IF(COUNTIF(A962:A$2001,A962)=1,1,0))</f>
        <v/>
      </c>
      <c r="AM962" s="94">
        <f>IF(I962="","",TODAY()-I962)</f>
        <v/>
      </c>
      <c r="AN962" s="94">
        <f>IF(A962="","",IF(AND(E962&lt;&gt;"33 確認済",E962&lt;&gt;"36 送付中"),1,0))</f>
        <v/>
      </c>
      <c r="AO962" s="94">
        <f>IF(A962="","",IF(AG962&lt;&gt;"",1,0))</f>
        <v/>
      </c>
      <c r="AP962" s="220">
        <f>IF(P962&lt;&gt;"","・添待ち","")&amp;IF(Q962&lt;&gt;"","・住民票","")&amp;IF(R962&lt;&gt;"","・発信","")&amp;IF(S962&lt;&gt;"","・確認事項","")&amp;IF(T962&lt;&gt;"","・管","")&amp;IF(U962&lt;&gt;"","・SV","")&amp;IF(V962&lt;&gt;"","・データ送付待ち","")&amp;IF(W962&lt;&gt;"","・削除","")</f>
        <v/>
      </c>
    </row>
    <row r="963" ht="15" customHeight="1" s="87">
      <c r="AL963" s="94">
        <f>IF(A963="","",IF(COUNTIF(A963:A$2001,A963)=1,1,0))</f>
        <v/>
      </c>
      <c r="AM963" s="94">
        <f>IF(I963="","",TODAY()-I963)</f>
        <v/>
      </c>
      <c r="AN963" s="94">
        <f>IF(A963="","",IF(AND(E963&lt;&gt;"33 確認済",E963&lt;&gt;"36 送付中"),1,0))</f>
        <v/>
      </c>
      <c r="AO963" s="94">
        <f>IF(A963="","",IF(AG963&lt;&gt;"",1,0))</f>
        <v/>
      </c>
      <c r="AP963" s="220">
        <f>IF(P963&lt;&gt;"","・添待ち","")&amp;IF(Q963&lt;&gt;"","・住民票","")&amp;IF(R963&lt;&gt;"","・発信","")&amp;IF(S963&lt;&gt;"","・確認事項","")&amp;IF(T963&lt;&gt;"","・管","")&amp;IF(U963&lt;&gt;"","・SV","")&amp;IF(V963&lt;&gt;"","・データ送付待ち","")&amp;IF(W963&lt;&gt;"","・削除","")</f>
        <v/>
      </c>
    </row>
    <row r="964" ht="15" customHeight="1" s="87">
      <c r="AL964" s="94">
        <f>IF(A964="","",IF(COUNTIF(A964:A$2001,A964)=1,1,0))</f>
        <v/>
      </c>
      <c r="AM964" s="94">
        <f>IF(I964="","",TODAY()-I964)</f>
        <v/>
      </c>
      <c r="AN964" s="94">
        <f>IF(A964="","",IF(AND(E964&lt;&gt;"33 確認済",E964&lt;&gt;"36 送付中"),1,0))</f>
        <v/>
      </c>
      <c r="AO964" s="94">
        <f>IF(A964="","",IF(AG964&lt;&gt;"",1,0))</f>
        <v/>
      </c>
      <c r="AP964" s="220">
        <f>IF(P964&lt;&gt;"","・添待ち","")&amp;IF(Q964&lt;&gt;"","・住民票","")&amp;IF(R964&lt;&gt;"","・発信","")&amp;IF(S964&lt;&gt;"","・確認事項","")&amp;IF(T964&lt;&gt;"","・管","")&amp;IF(U964&lt;&gt;"","・SV","")&amp;IF(V964&lt;&gt;"","・データ送付待ち","")&amp;IF(W964&lt;&gt;"","・削除","")</f>
        <v/>
      </c>
    </row>
    <row r="965" ht="15" customHeight="1" s="87">
      <c r="AL965" s="94">
        <f>IF(A965="","",IF(COUNTIF(A965:A$2001,A965)=1,1,0))</f>
        <v/>
      </c>
      <c r="AM965" s="94">
        <f>IF(I965="","",TODAY()-I965)</f>
        <v/>
      </c>
      <c r="AN965" s="94">
        <f>IF(A965="","",IF(AND(E965&lt;&gt;"33 確認済",E965&lt;&gt;"36 送付中"),1,0))</f>
        <v/>
      </c>
      <c r="AO965" s="94">
        <f>IF(A965="","",IF(AG965&lt;&gt;"",1,0))</f>
        <v/>
      </c>
      <c r="AP965" s="220">
        <f>IF(P965&lt;&gt;"","・添待ち","")&amp;IF(Q965&lt;&gt;"","・住民票","")&amp;IF(R965&lt;&gt;"","・発信","")&amp;IF(S965&lt;&gt;"","・確認事項","")&amp;IF(T965&lt;&gt;"","・管","")&amp;IF(U965&lt;&gt;"","・SV","")&amp;IF(V965&lt;&gt;"","・データ送付待ち","")&amp;IF(W965&lt;&gt;"","・削除","")</f>
        <v/>
      </c>
    </row>
    <row r="966" ht="15" customHeight="1" s="87">
      <c r="AL966" s="94">
        <f>IF(A966="","",IF(COUNTIF(A966:A$2001,A966)=1,1,0))</f>
        <v/>
      </c>
      <c r="AM966" s="94">
        <f>IF(I966="","",TODAY()-I966)</f>
        <v/>
      </c>
      <c r="AN966" s="94">
        <f>IF(A966="","",IF(AND(E966&lt;&gt;"33 確認済",E966&lt;&gt;"36 送付中"),1,0))</f>
        <v/>
      </c>
      <c r="AO966" s="94">
        <f>IF(A966="","",IF(AG966&lt;&gt;"",1,0))</f>
        <v/>
      </c>
      <c r="AP966" s="220">
        <f>IF(P966&lt;&gt;"","・添待ち","")&amp;IF(Q966&lt;&gt;"","・住民票","")&amp;IF(R966&lt;&gt;"","・発信","")&amp;IF(S966&lt;&gt;"","・確認事項","")&amp;IF(T966&lt;&gt;"","・管","")&amp;IF(U966&lt;&gt;"","・SV","")&amp;IF(V966&lt;&gt;"","・データ送付待ち","")&amp;IF(W966&lt;&gt;"","・削除","")</f>
        <v/>
      </c>
    </row>
    <row r="967" ht="15" customHeight="1" s="87">
      <c r="AL967" s="94">
        <f>IF(A967="","",IF(COUNTIF(A967:A$2001,A967)=1,1,0))</f>
        <v/>
      </c>
      <c r="AM967" s="94">
        <f>IF(I967="","",TODAY()-I967)</f>
        <v/>
      </c>
      <c r="AN967" s="94">
        <f>IF(A967="","",IF(AND(E967&lt;&gt;"33 確認済",E967&lt;&gt;"36 送付中"),1,0))</f>
        <v/>
      </c>
      <c r="AO967" s="94">
        <f>IF(A967="","",IF(AG967&lt;&gt;"",1,0))</f>
        <v/>
      </c>
      <c r="AP967" s="220">
        <f>IF(P967&lt;&gt;"","・添待ち","")&amp;IF(Q967&lt;&gt;"","・住民票","")&amp;IF(R967&lt;&gt;"","・発信","")&amp;IF(S967&lt;&gt;"","・確認事項","")&amp;IF(T967&lt;&gt;"","・管","")&amp;IF(U967&lt;&gt;"","・SV","")&amp;IF(V967&lt;&gt;"","・データ送付待ち","")&amp;IF(W967&lt;&gt;"","・削除","")</f>
        <v/>
      </c>
    </row>
    <row r="968" ht="15" customHeight="1" s="87">
      <c r="AL968" s="94">
        <f>IF(A968="","",IF(COUNTIF(A968:A$2001,A968)=1,1,0))</f>
        <v/>
      </c>
      <c r="AM968" s="94">
        <f>IF(I968="","",TODAY()-I968)</f>
        <v/>
      </c>
      <c r="AN968" s="94">
        <f>IF(A968="","",IF(AND(E968&lt;&gt;"33 確認済",E968&lt;&gt;"36 送付中"),1,0))</f>
        <v/>
      </c>
      <c r="AO968" s="94">
        <f>IF(A968="","",IF(AG968&lt;&gt;"",1,0))</f>
        <v/>
      </c>
      <c r="AP968" s="220">
        <f>IF(P968&lt;&gt;"","・添待ち","")&amp;IF(Q968&lt;&gt;"","・住民票","")&amp;IF(R968&lt;&gt;"","・発信","")&amp;IF(S968&lt;&gt;"","・確認事項","")&amp;IF(T968&lt;&gt;"","・管","")&amp;IF(U968&lt;&gt;"","・SV","")&amp;IF(V968&lt;&gt;"","・データ送付待ち","")&amp;IF(W968&lt;&gt;"","・削除","")</f>
        <v/>
      </c>
    </row>
    <row r="969" ht="15" customHeight="1" s="87">
      <c r="AL969" s="94">
        <f>IF(A969="","",IF(COUNTIF(A969:A$2001,A969)=1,1,0))</f>
        <v/>
      </c>
      <c r="AM969" s="94">
        <f>IF(I969="","",TODAY()-I969)</f>
        <v/>
      </c>
      <c r="AN969" s="94">
        <f>IF(A969="","",IF(AND(E969&lt;&gt;"33 確認済",E969&lt;&gt;"36 送付中"),1,0))</f>
        <v/>
      </c>
      <c r="AO969" s="94">
        <f>IF(A969="","",IF(AG969&lt;&gt;"",1,0))</f>
        <v/>
      </c>
      <c r="AP969" s="220">
        <f>IF(P969&lt;&gt;"","・添待ち","")&amp;IF(Q969&lt;&gt;"","・住民票","")&amp;IF(R969&lt;&gt;"","・発信","")&amp;IF(S969&lt;&gt;"","・確認事項","")&amp;IF(T969&lt;&gt;"","・管","")&amp;IF(U969&lt;&gt;"","・SV","")&amp;IF(V969&lt;&gt;"","・データ送付待ち","")&amp;IF(W969&lt;&gt;"","・削除","")</f>
        <v/>
      </c>
    </row>
    <row r="970" ht="15" customHeight="1" s="87">
      <c r="AL970" s="94">
        <f>IF(A970="","",IF(COUNTIF(A970:A$2001,A970)=1,1,0))</f>
        <v/>
      </c>
      <c r="AM970" s="94">
        <f>IF(I970="","",TODAY()-I970)</f>
        <v/>
      </c>
      <c r="AN970" s="94">
        <f>IF(A970="","",IF(AND(E970&lt;&gt;"33 確認済",E970&lt;&gt;"36 送付中"),1,0))</f>
        <v/>
      </c>
      <c r="AO970" s="94">
        <f>IF(A970="","",IF(AG970&lt;&gt;"",1,0))</f>
        <v/>
      </c>
      <c r="AP970" s="220">
        <f>IF(P970&lt;&gt;"","・添待ち","")&amp;IF(Q970&lt;&gt;"","・住民票","")&amp;IF(R970&lt;&gt;"","・発信","")&amp;IF(S970&lt;&gt;"","・確認事項","")&amp;IF(T970&lt;&gt;"","・管","")&amp;IF(U970&lt;&gt;"","・SV","")&amp;IF(V970&lt;&gt;"","・データ送付待ち","")&amp;IF(W970&lt;&gt;"","・削除","")</f>
        <v/>
      </c>
    </row>
    <row r="971" ht="15" customHeight="1" s="87">
      <c r="AL971" s="94">
        <f>IF(A971="","",IF(COUNTIF(A971:A$2001,A971)=1,1,0))</f>
        <v/>
      </c>
      <c r="AM971" s="94">
        <f>IF(I971="","",TODAY()-I971)</f>
        <v/>
      </c>
      <c r="AN971" s="94">
        <f>IF(A971="","",IF(AND(E971&lt;&gt;"33 確認済",E971&lt;&gt;"36 送付中"),1,0))</f>
        <v/>
      </c>
      <c r="AO971" s="94">
        <f>IF(A971="","",IF(AG971&lt;&gt;"",1,0))</f>
        <v/>
      </c>
      <c r="AP971" s="220">
        <f>IF(P971&lt;&gt;"","・添待ち","")&amp;IF(Q971&lt;&gt;"","・住民票","")&amp;IF(R971&lt;&gt;"","・発信","")&amp;IF(S971&lt;&gt;"","・確認事項","")&amp;IF(T971&lt;&gt;"","・管","")&amp;IF(U971&lt;&gt;"","・SV","")&amp;IF(V971&lt;&gt;"","・データ送付待ち","")&amp;IF(W971&lt;&gt;"","・削除","")</f>
        <v/>
      </c>
    </row>
    <row r="972" ht="15" customHeight="1" s="87">
      <c r="AL972" s="94">
        <f>IF(A972="","",IF(COUNTIF(A972:A$2001,A972)=1,1,0))</f>
        <v/>
      </c>
      <c r="AM972" s="94">
        <f>IF(I972="","",TODAY()-I972)</f>
        <v/>
      </c>
      <c r="AN972" s="94">
        <f>IF(A972="","",IF(AND(E972&lt;&gt;"33 確認済",E972&lt;&gt;"36 送付中"),1,0))</f>
        <v/>
      </c>
      <c r="AO972" s="94">
        <f>IF(A972="","",IF(AG972&lt;&gt;"",1,0))</f>
        <v/>
      </c>
      <c r="AP972" s="220">
        <f>IF(P972&lt;&gt;"","・添待ち","")&amp;IF(Q972&lt;&gt;"","・住民票","")&amp;IF(R972&lt;&gt;"","・発信","")&amp;IF(S972&lt;&gt;"","・確認事項","")&amp;IF(T972&lt;&gt;"","・管","")&amp;IF(U972&lt;&gt;"","・SV","")&amp;IF(V972&lt;&gt;"","・データ送付待ち","")&amp;IF(W972&lt;&gt;"","・削除","")</f>
        <v/>
      </c>
    </row>
    <row r="973" ht="15" customHeight="1" s="87">
      <c r="AL973" s="94">
        <f>IF(A973="","",IF(COUNTIF(A973:A$2001,A973)=1,1,0))</f>
        <v/>
      </c>
      <c r="AM973" s="94">
        <f>IF(I973="","",TODAY()-I973)</f>
        <v/>
      </c>
      <c r="AN973" s="94">
        <f>IF(A973="","",IF(AND(E973&lt;&gt;"33 確認済",E973&lt;&gt;"36 送付中"),1,0))</f>
        <v/>
      </c>
      <c r="AO973" s="94">
        <f>IF(A973="","",IF(AG973&lt;&gt;"",1,0))</f>
        <v/>
      </c>
      <c r="AP973" s="220">
        <f>IF(P973&lt;&gt;"","・添待ち","")&amp;IF(Q973&lt;&gt;"","・住民票","")&amp;IF(R973&lt;&gt;"","・発信","")&amp;IF(S973&lt;&gt;"","・確認事項","")&amp;IF(T973&lt;&gt;"","・管","")&amp;IF(U973&lt;&gt;"","・SV","")&amp;IF(V973&lt;&gt;"","・データ送付待ち","")&amp;IF(W973&lt;&gt;"","・削除","")</f>
        <v/>
      </c>
    </row>
    <row r="974" ht="15" customHeight="1" s="87">
      <c r="AL974" s="94">
        <f>IF(A974="","",IF(COUNTIF(A974:A$2001,A974)=1,1,0))</f>
        <v/>
      </c>
      <c r="AM974" s="94">
        <f>IF(I974="","",TODAY()-I974)</f>
        <v/>
      </c>
      <c r="AN974" s="94">
        <f>IF(A974="","",IF(AND(E974&lt;&gt;"33 確認済",E974&lt;&gt;"36 送付中"),1,0))</f>
        <v/>
      </c>
      <c r="AO974" s="94">
        <f>IF(A974="","",IF(AG974&lt;&gt;"",1,0))</f>
        <v/>
      </c>
      <c r="AP974" s="220">
        <f>IF(P974&lt;&gt;"","・添待ち","")&amp;IF(Q974&lt;&gt;"","・住民票","")&amp;IF(R974&lt;&gt;"","・発信","")&amp;IF(S974&lt;&gt;"","・確認事項","")&amp;IF(T974&lt;&gt;"","・管","")&amp;IF(U974&lt;&gt;"","・SV","")&amp;IF(V974&lt;&gt;"","・データ送付待ち","")&amp;IF(W974&lt;&gt;"","・削除","")</f>
        <v/>
      </c>
    </row>
    <row r="975" ht="15" customHeight="1" s="87">
      <c r="AL975" s="94">
        <f>IF(A975="","",IF(COUNTIF(A975:A$2001,A975)=1,1,0))</f>
        <v/>
      </c>
      <c r="AM975" s="94">
        <f>IF(I975="","",TODAY()-I975)</f>
        <v/>
      </c>
      <c r="AN975" s="94">
        <f>IF(A975="","",IF(AND(E975&lt;&gt;"33 確認済",E975&lt;&gt;"36 送付中"),1,0))</f>
        <v/>
      </c>
      <c r="AO975" s="94">
        <f>IF(A975="","",IF(AG975&lt;&gt;"",1,0))</f>
        <v/>
      </c>
      <c r="AP975" s="220">
        <f>IF(P975&lt;&gt;"","・添待ち","")&amp;IF(Q975&lt;&gt;"","・住民票","")&amp;IF(R975&lt;&gt;"","・発信","")&amp;IF(S975&lt;&gt;"","・確認事項","")&amp;IF(T975&lt;&gt;"","・管","")&amp;IF(U975&lt;&gt;"","・SV","")&amp;IF(V975&lt;&gt;"","・データ送付待ち","")&amp;IF(W975&lt;&gt;"","・削除","")</f>
        <v/>
      </c>
    </row>
    <row r="976" ht="15" customHeight="1" s="87">
      <c r="AL976" s="94">
        <f>IF(A976="","",IF(COUNTIF(A976:A$2001,A976)=1,1,0))</f>
        <v/>
      </c>
      <c r="AM976" s="94">
        <f>IF(I976="","",TODAY()-I976)</f>
        <v/>
      </c>
      <c r="AN976" s="94">
        <f>IF(A976="","",IF(AND(E976&lt;&gt;"33 確認済",E976&lt;&gt;"36 送付中"),1,0))</f>
        <v/>
      </c>
      <c r="AO976" s="94">
        <f>IF(A976="","",IF(AG976&lt;&gt;"",1,0))</f>
        <v/>
      </c>
      <c r="AP976" s="220">
        <f>IF(P976&lt;&gt;"","・添待ち","")&amp;IF(Q976&lt;&gt;"","・住民票","")&amp;IF(R976&lt;&gt;"","・発信","")&amp;IF(S976&lt;&gt;"","・確認事項","")&amp;IF(T976&lt;&gt;"","・管","")&amp;IF(U976&lt;&gt;"","・SV","")&amp;IF(V976&lt;&gt;"","・データ送付待ち","")&amp;IF(W976&lt;&gt;"","・削除","")</f>
        <v/>
      </c>
    </row>
    <row r="977" ht="15" customHeight="1" s="87">
      <c r="AL977" s="94">
        <f>IF(A977="","",IF(COUNTIF(A977:A$2001,A977)=1,1,0))</f>
        <v/>
      </c>
      <c r="AM977" s="94">
        <f>IF(I977="","",TODAY()-I977)</f>
        <v/>
      </c>
      <c r="AN977" s="94">
        <f>IF(A977="","",IF(AND(E977&lt;&gt;"33 確認済",E977&lt;&gt;"36 送付中"),1,0))</f>
        <v/>
      </c>
      <c r="AO977" s="94">
        <f>IF(A977="","",IF(AG977&lt;&gt;"",1,0))</f>
        <v/>
      </c>
      <c r="AP977" s="220">
        <f>IF(P977&lt;&gt;"","・添待ち","")&amp;IF(Q977&lt;&gt;"","・住民票","")&amp;IF(R977&lt;&gt;"","・発信","")&amp;IF(S977&lt;&gt;"","・確認事項","")&amp;IF(T977&lt;&gt;"","・管","")&amp;IF(U977&lt;&gt;"","・SV","")&amp;IF(V977&lt;&gt;"","・データ送付待ち","")&amp;IF(W977&lt;&gt;"","・削除","")</f>
        <v/>
      </c>
    </row>
    <row r="978" ht="15" customHeight="1" s="87">
      <c r="AL978" s="94">
        <f>IF(A978="","",IF(COUNTIF(A978:A$2001,A978)=1,1,0))</f>
        <v/>
      </c>
      <c r="AM978" s="94">
        <f>IF(I978="","",TODAY()-I978)</f>
        <v/>
      </c>
      <c r="AN978" s="94">
        <f>IF(A978="","",IF(AND(E978&lt;&gt;"33 確認済",E978&lt;&gt;"36 送付中"),1,0))</f>
        <v/>
      </c>
      <c r="AO978" s="94">
        <f>IF(A978="","",IF(AG978&lt;&gt;"",1,0))</f>
        <v/>
      </c>
      <c r="AP978" s="220">
        <f>IF(P978&lt;&gt;"","・添待ち","")&amp;IF(Q978&lt;&gt;"","・住民票","")&amp;IF(R978&lt;&gt;"","・発信","")&amp;IF(S978&lt;&gt;"","・確認事項","")&amp;IF(T978&lt;&gt;"","・管","")&amp;IF(U978&lt;&gt;"","・SV","")&amp;IF(V978&lt;&gt;"","・データ送付待ち","")&amp;IF(W978&lt;&gt;"","・削除","")</f>
        <v/>
      </c>
    </row>
    <row r="979" ht="15" customHeight="1" s="87">
      <c r="AL979" s="94">
        <f>IF(A979="","",IF(COUNTIF(A979:A$2001,A979)=1,1,0))</f>
        <v/>
      </c>
      <c r="AM979" s="94">
        <f>IF(I979="","",TODAY()-I979)</f>
        <v/>
      </c>
      <c r="AN979" s="94">
        <f>IF(A979="","",IF(AND(E979&lt;&gt;"33 確認済",E979&lt;&gt;"36 送付中"),1,0))</f>
        <v/>
      </c>
      <c r="AO979" s="94">
        <f>IF(A979="","",IF(AG979&lt;&gt;"",1,0))</f>
        <v/>
      </c>
      <c r="AP979" s="220">
        <f>IF(P979&lt;&gt;"","・添待ち","")&amp;IF(Q979&lt;&gt;"","・住民票","")&amp;IF(R979&lt;&gt;"","・発信","")&amp;IF(S979&lt;&gt;"","・確認事項","")&amp;IF(T979&lt;&gt;"","・管","")&amp;IF(U979&lt;&gt;"","・SV","")&amp;IF(V979&lt;&gt;"","・データ送付待ち","")&amp;IF(W979&lt;&gt;"","・削除","")</f>
        <v/>
      </c>
    </row>
    <row r="980" ht="15" customHeight="1" s="87">
      <c r="AL980" s="94">
        <f>IF(A980="","",IF(COUNTIF(A980:A$2001,A980)=1,1,0))</f>
        <v/>
      </c>
      <c r="AM980" s="94">
        <f>IF(I980="","",TODAY()-I980)</f>
        <v/>
      </c>
      <c r="AN980" s="94">
        <f>IF(A980="","",IF(AND(E980&lt;&gt;"33 確認済",E980&lt;&gt;"36 送付中"),1,0))</f>
        <v/>
      </c>
      <c r="AO980" s="94">
        <f>IF(A980="","",IF(AG980&lt;&gt;"",1,0))</f>
        <v/>
      </c>
      <c r="AP980" s="220">
        <f>IF(P980&lt;&gt;"","・添待ち","")&amp;IF(Q980&lt;&gt;"","・住民票","")&amp;IF(R980&lt;&gt;"","・発信","")&amp;IF(S980&lt;&gt;"","・確認事項","")&amp;IF(T980&lt;&gt;"","・管","")&amp;IF(U980&lt;&gt;"","・SV","")&amp;IF(V980&lt;&gt;"","・データ送付待ち","")&amp;IF(W980&lt;&gt;"","・削除","")</f>
        <v/>
      </c>
    </row>
    <row r="981" ht="15" customHeight="1" s="87">
      <c r="AL981" s="94">
        <f>IF(A981="","",IF(COUNTIF(A981:A$2001,A981)=1,1,0))</f>
        <v/>
      </c>
      <c r="AM981" s="94">
        <f>IF(I981="","",TODAY()-I981)</f>
        <v/>
      </c>
      <c r="AN981" s="94">
        <f>IF(A981="","",IF(AND(E981&lt;&gt;"33 確認済",E981&lt;&gt;"36 送付中"),1,0))</f>
        <v/>
      </c>
      <c r="AO981" s="94">
        <f>IF(A981="","",IF(AG981&lt;&gt;"",1,0))</f>
        <v/>
      </c>
      <c r="AP981" s="220">
        <f>IF(P981&lt;&gt;"","・添待ち","")&amp;IF(Q981&lt;&gt;"","・住民票","")&amp;IF(R981&lt;&gt;"","・発信","")&amp;IF(S981&lt;&gt;"","・確認事項","")&amp;IF(T981&lt;&gt;"","・管","")&amp;IF(U981&lt;&gt;"","・SV","")&amp;IF(V981&lt;&gt;"","・データ送付待ち","")&amp;IF(W981&lt;&gt;"","・削除","")</f>
        <v/>
      </c>
    </row>
    <row r="982" ht="15" customHeight="1" s="87">
      <c r="AL982" s="94">
        <f>IF(A982="","",IF(COUNTIF(A982:A$2001,A982)=1,1,0))</f>
        <v/>
      </c>
      <c r="AM982" s="94">
        <f>IF(I982="","",TODAY()-I982)</f>
        <v/>
      </c>
      <c r="AN982" s="94">
        <f>IF(A982="","",IF(AND(E982&lt;&gt;"33 確認済",E982&lt;&gt;"36 送付中"),1,0))</f>
        <v/>
      </c>
      <c r="AO982" s="94">
        <f>IF(A982="","",IF(AG982&lt;&gt;"",1,0))</f>
        <v/>
      </c>
      <c r="AP982" s="220">
        <f>IF(P982&lt;&gt;"","・添待ち","")&amp;IF(Q982&lt;&gt;"","・住民票","")&amp;IF(R982&lt;&gt;"","・発信","")&amp;IF(S982&lt;&gt;"","・確認事項","")&amp;IF(T982&lt;&gt;"","・管","")&amp;IF(U982&lt;&gt;"","・SV","")&amp;IF(V982&lt;&gt;"","・データ送付待ち","")&amp;IF(W982&lt;&gt;"","・削除","")</f>
        <v/>
      </c>
    </row>
    <row r="983" ht="15" customHeight="1" s="87">
      <c r="AL983" s="94">
        <f>IF(A983="","",IF(COUNTIF(A983:A$2001,A983)=1,1,0))</f>
        <v/>
      </c>
      <c r="AM983" s="94">
        <f>IF(I983="","",TODAY()-I983)</f>
        <v/>
      </c>
      <c r="AN983" s="94">
        <f>IF(A983="","",IF(AND(E983&lt;&gt;"33 確認済",E983&lt;&gt;"36 送付中"),1,0))</f>
        <v/>
      </c>
      <c r="AO983" s="94">
        <f>IF(A983="","",IF(AG983&lt;&gt;"",1,0))</f>
        <v/>
      </c>
      <c r="AP983" s="220">
        <f>IF(P983&lt;&gt;"","・添待ち","")&amp;IF(Q983&lt;&gt;"","・住民票","")&amp;IF(R983&lt;&gt;"","・発信","")&amp;IF(S983&lt;&gt;"","・確認事項","")&amp;IF(T983&lt;&gt;"","・管","")&amp;IF(U983&lt;&gt;"","・SV","")&amp;IF(V983&lt;&gt;"","・データ送付待ち","")&amp;IF(W983&lt;&gt;"","・削除","")</f>
        <v/>
      </c>
    </row>
    <row r="984" ht="15" customHeight="1" s="87">
      <c r="AL984" s="94">
        <f>IF(A984="","",IF(COUNTIF(A984:A$2001,A984)=1,1,0))</f>
        <v/>
      </c>
      <c r="AM984" s="94">
        <f>IF(I984="","",TODAY()-I984)</f>
        <v/>
      </c>
      <c r="AN984" s="94">
        <f>IF(A984="","",IF(AND(E984&lt;&gt;"33 確認済",E984&lt;&gt;"36 送付中"),1,0))</f>
        <v/>
      </c>
      <c r="AO984" s="94">
        <f>IF(A984="","",IF(AG984&lt;&gt;"",1,0))</f>
        <v/>
      </c>
      <c r="AP984" s="220">
        <f>IF(P984&lt;&gt;"","・添待ち","")&amp;IF(Q984&lt;&gt;"","・住民票","")&amp;IF(R984&lt;&gt;"","・発信","")&amp;IF(S984&lt;&gt;"","・確認事項","")&amp;IF(T984&lt;&gt;"","・管","")&amp;IF(U984&lt;&gt;"","・SV","")&amp;IF(V984&lt;&gt;"","・データ送付待ち","")&amp;IF(W984&lt;&gt;"","・削除","")</f>
        <v/>
      </c>
    </row>
    <row r="985" ht="15" customHeight="1" s="87">
      <c r="AL985" s="94">
        <f>IF(A985="","",IF(COUNTIF(A985:A$2001,A985)=1,1,0))</f>
        <v/>
      </c>
      <c r="AM985" s="94">
        <f>IF(I985="","",TODAY()-I985)</f>
        <v/>
      </c>
      <c r="AN985" s="94">
        <f>IF(A985="","",IF(AND(E985&lt;&gt;"33 確認済",E985&lt;&gt;"36 送付中"),1,0))</f>
        <v/>
      </c>
      <c r="AO985" s="94">
        <f>IF(A985="","",IF(AG985&lt;&gt;"",1,0))</f>
        <v/>
      </c>
      <c r="AP985" s="220">
        <f>IF(P985&lt;&gt;"","・添待ち","")&amp;IF(Q985&lt;&gt;"","・住民票","")&amp;IF(R985&lt;&gt;"","・発信","")&amp;IF(S985&lt;&gt;"","・確認事項","")&amp;IF(T985&lt;&gt;"","・管","")&amp;IF(U985&lt;&gt;"","・SV","")&amp;IF(V985&lt;&gt;"","・データ送付待ち","")&amp;IF(W985&lt;&gt;"","・削除","")</f>
        <v/>
      </c>
    </row>
    <row r="986" ht="15" customHeight="1" s="87">
      <c r="AL986" s="94">
        <f>IF(A986="","",IF(COUNTIF(A986:A$2001,A986)=1,1,0))</f>
        <v/>
      </c>
      <c r="AM986" s="94">
        <f>IF(I986="","",TODAY()-I986)</f>
        <v/>
      </c>
      <c r="AN986" s="94">
        <f>IF(A986="","",IF(AND(E986&lt;&gt;"33 確認済",E986&lt;&gt;"36 送付中"),1,0))</f>
        <v/>
      </c>
      <c r="AO986" s="94">
        <f>IF(A986="","",IF(AG986&lt;&gt;"",1,0))</f>
        <v/>
      </c>
      <c r="AP986" s="220">
        <f>IF(P986&lt;&gt;"","・添待ち","")&amp;IF(Q986&lt;&gt;"","・住民票","")&amp;IF(R986&lt;&gt;"","・発信","")&amp;IF(S986&lt;&gt;"","・確認事項","")&amp;IF(T986&lt;&gt;"","・管","")&amp;IF(U986&lt;&gt;"","・SV","")&amp;IF(V986&lt;&gt;"","・データ送付待ち","")&amp;IF(W986&lt;&gt;"","・削除","")</f>
        <v/>
      </c>
    </row>
    <row r="987" ht="15" customHeight="1" s="87">
      <c r="AL987" s="94">
        <f>IF(A987="","",IF(COUNTIF(A987:A$2001,A987)=1,1,0))</f>
        <v/>
      </c>
      <c r="AM987" s="94">
        <f>IF(I987="","",TODAY()-I987)</f>
        <v/>
      </c>
      <c r="AN987" s="94">
        <f>IF(A987="","",IF(AND(E987&lt;&gt;"33 確認済",E987&lt;&gt;"36 送付中"),1,0))</f>
        <v/>
      </c>
      <c r="AO987" s="94">
        <f>IF(A987="","",IF(AG987&lt;&gt;"",1,0))</f>
        <v/>
      </c>
      <c r="AP987" s="220">
        <f>IF(P987&lt;&gt;"","・添待ち","")&amp;IF(Q987&lt;&gt;"","・住民票","")&amp;IF(R987&lt;&gt;"","・発信","")&amp;IF(S987&lt;&gt;"","・確認事項","")&amp;IF(T987&lt;&gt;"","・管","")&amp;IF(U987&lt;&gt;"","・SV","")&amp;IF(V987&lt;&gt;"","・データ送付待ち","")&amp;IF(W987&lt;&gt;"","・削除","")</f>
        <v/>
      </c>
    </row>
    <row r="988" ht="15" customHeight="1" s="87">
      <c r="AL988" s="94">
        <f>IF(A988="","",IF(COUNTIF(A988:A$2001,A988)=1,1,0))</f>
        <v/>
      </c>
      <c r="AM988" s="94">
        <f>IF(I988="","",TODAY()-I988)</f>
        <v/>
      </c>
      <c r="AN988" s="94">
        <f>IF(A988="","",IF(AND(E988&lt;&gt;"33 確認済",E988&lt;&gt;"36 送付中"),1,0))</f>
        <v/>
      </c>
      <c r="AO988" s="94">
        <f>IF(A988="","",IF(AG988&lt;&gt;"",1,0))</f>
        <v/>
      </c>
      <c r="AP988" s="220">
        <f>IF(P988&lt;&gt;"","・添待ち","")&amp;IF(Q988&lt;&gt;"","・住民票","")&amp;IF(R988&lt;&gt;"","・発信","")&amp;IF(S988&lt;&gt;"","・確認事項","")&amp;IF(T988&lt;&gt;"","・管","")&amp;IF(U988&lt;&gt;"","・SV","")&amp;IF(V988&lt;&gt;"","・データ送付待ち","")&amp;IF(W988&lt;&gt;"","・削除","")</f>
        <v/>
      </c>
    </row>
    <row r="989" ht="15" customHeight="1" s="87">
      <c r="AL989" s="94">
        <f>IF(A989="","",IF(COUNTIF(A989:A$2001,A989)=1,1,0))</f>
        <v/>
      </c>
      <c r="AM989" s="94">
        <f>IF(I989="","",TODAY()-I989)</f>
        <v/>
      </c>
      <c r="AN989" s="94">
        <f>IF(A989="","",IF(AND(E989&lt;&gt;"33 確認済",E989&lt;&gt;"36 送付中"),1,0))</f>
        <v/>
      </c>
      <c r="AO989" s="94">
        <f>IF(A989="","",IF(AG989&lt;&gt;"",1,0))</f>
        <v/>
      </c>
      <c r="AP989" s="220">
        <f>IF(P989&lt;&gt;"","・添待ち","")&amp;IF(Q989&lt;&gt;"","・住民票","")&amp;IF(R989&lt;&gt;"","・発信","")&amp;IF(S989&lt;&gt;"","・確認事項","")&amp;IF(T989&lt;&gt;"","・管","")&amp;IF(U989&lt;&gt;"","・SV","")&amp;IF(V989&lt;&gt;"","・データ送付待ち","")&amp;IF(W989&lt;&gt;"","・削除","")</f>
        <v/>
      </c>
    </row>
    <row r="990" ht="15" customHeight="1" s="87">
      <c r="AL990" s="94">
        <f>IF(A990="","",IF(COUNTIF(A990:A$2001,A990)=1,1,0))</f>
        <v/>
      </c>
      <c r="AM990" s="94">
        <f>IF(I990="","",TODAY()-I990)</f>
        <v/>
      </c>
      <c r="AN990" s="94">
        <f>IF(A990="","",IF(AND(E990&lt;&gt;"33 確認済",E990&lt;&gt;"36 送付中"),1,0))</f>
        <v/>
      </c>
      <c r="AO990" s="94">
        <f>IF(A990="","",IF(AG990&lt;&gt;"",1,0))</f>
        <v/>
      </c>
      <c r="AP990" s="220">
        <f>IF(P990&lt;&gt;"","・添待ち","")&amp;IF(Q990&lt;&gt;"","・住民票","")&amp;IF(R990&lt;&gt;"","・発信","")&amp;IF(S990&lt;&gt;"","・確認事項","")&amp;IF(T990&lt;&gt;"","・管","")&amp;IF(U990&lt;&gt;"","・SV","")&amp;IF(V990&lt;&gt;"","・データ送付待ち","")&amp;IF(W990&lt;&gt;"","・削除","")</f>
        <v/>
      </c>
    </row>
    <row r="991" ht="15" customHeight="1" s="87">
      <c r="AL991" s="94">
        <f>IF(A991="","",IF(COUNTIF(A991:A$2001,A991)=1,1,0))</f>
        <v/>
      </c>
      <c r="AM991" s="94">
        <f>IF(I991="","",TODAY()-I991)</f>
        <v/>
      </c>
      <c r="AN991" s="94">
        <f>IF(A991="","",IF(AND(E991&lt;&gt;"33 確認済",E991&lt;&gt;"36 送付中"),1,0))</f>
        <v/>
      </c>
      <c r="AO991" s="94">
        <f>IF(A991="","",IF(AG991&lt;&gt;"",1,0))</f>
        <v/>
      </c>
      <c r="AP991" s="220">
        <f>IF(P991&lt;&gt;"","・添待ち","")&amp;IF(Q991&lt;&gt;"","・住民票","")&amp;IF(R991&lt;&gt;"","・発信","")&amp;IF(S991&lt;&gt;"","・確認事項","")&amp;IF(T991&lt;&gt;"","・管","")&amp;IF(U991&lt;&gt;"","・SV","")&amp;IF(V991&lt;&gt;"","・データ送付待ち","")&amp;IF(W991&lt;&gt;"","・削除","")</f>
        <v/>
      </c>
    </row>
    <row r="992" ht="15" customHeight="1" s="87">
      <c r="AL992" s="94">
        <f>IF(A992="","",IF(COUNTIF(A992:A$2001,A992)=1,1,0))</f>
        <v/>
      </c>
      <c r="AM992" s="94">
        <f>IF(I992="","",TODAY()-I992)</f>
        <v/>
      </c>
      <c r="AN992" s="94">
        <f>IF(A992="","",IF(AND(E992&lt;&gt;"33 確認済",E992&lt;&gt;"36 送付中"),1,0))</f>
        <v/>
      </c>
      <c r="AO992" s="94">
        <f>IF(A992="","",IF(AG992&lt;&gt;"",1,0))</f>
        <v/>
      </c>
      <c r="AP992" s="220">
        <f>IF(P992&lt;&gt;"","・添待ち","")&amp;IF(Q992&lt;&gt;"","・住民票","")&amp;IF(R992&lt;&gt;"","・発信","")&amp;IF(S992&lt;&gt;"","・確認事項","")&amp;IF(T992&lt;&gt;"","・管","")&amp;IF(U992&lt;&gt;"","・SV","")&amp;IF(V992&lt;&gt;"","・データ送付待ち","")&amp;IF(W992&lt;&gt;"","・削除","")</f>
        <v/>
      </c>
    </row>
    <row r="993" ht="15" customHeight="1" s="87">
      <c r="AL993" s="94">
        <f>IF(A993="","",IF(COUNTIF(A993:A$2001,A993)=1,1,0))</f>
        <v/>
      </c>
      <c r="AM993" s="94">
        <f>IF(I993="","",TODAY()-I993)</f>
        <v/>
      </c>
      <c r="AN993" s="94">
        <f>IF(A993="","",IF(AND(E993&lt;&gt;"33 確認済",E993&lt;&gt;"36 送付中"),1,0))</f>
        <v/>
      </c>
      <c r="AO993" s="94">
        <f>IF(A993="","",IF(AG993&lt;&gt;"",1,0))</f>
        <v/>
      </c>
      <c r="AP993" s="220">
        <f>IF(P993&lt;&gt;"","・添待ち","")&amp;IF(Q993&lt;&gt;"","・住民票","")&amp;IF(R993&lt;&gt;"","・発信","")&amp;IF(S993&lt;&gt;"","・確認事項","")&amp;IF(T993&lt;&gt;"","・管","")&amp;IF(U993&lt;&gt;"","・SV","")&amp;IF(V993&lt;&gt;"","・データ送付待ち","")&amp;IF(W993&lt;&gt;"","・削除","")</f>
        <v/>
      </c>
    </row>
    <row r="994" ht="15" customHeight="1" s="87">
      <c r="AL994" s="94">
        <f>IF(A994="","",IF(COUNTIF(A994:A$2001,A994)=1,1,0))</f>
        <v/>
      </c>
      <c r="AM994" s="94">
        <f>IF(I994="","",TODAY()-I994)</f>
        <v/>
      </c>
      <c r="AN994" s="94">
        <f>IF(A994="","",IF(AND(E994&lt;&gt;"33 確認済",E994&lt;&gt;"36 送付中"),1,0))</f>
        <v/>
      </c>
      <c r="AO994" s="94">
        <f>IF(A994="","",IF(AG994&lt;&gt;"",1,0))</f>
        <v/>
      </c>
      <c r="AP994" s="220">
        <f>IF(P994&lt;&gt;"","・添待ち","")&amp;IF(Q994&lt;&gt;"","・住民票","")&amp;IF(R994&lt;&gt;"","・発信","")&amp;IF(S994&lt;&gt;"","・確認事項","")&amp;IF(T994&lt;&gt;"","・管","")&amp;IF(U994&lt;&gt;"","・SV","")&amp;IF(V994&lt;&gt;"","・データ送付待ち","")&amp;IF(W994&lt;&gt;"","・削除","")</f>
        <v/>
      </c>
    </row>
    <row r="995" ht="15" customHeight="1" s="87">
      <c r="AL995" s="94">
        <f>IF(A995="","",IF(COUNTIF(A995:A$2001,A995)=1,1,0))</f>
        <v/>
      </c>
      <c r="AM995" s="94">
        <f>IF(I995="","",TODAY()-I995)</f>
        <v/>
      </c>
      <c r="AN995" s="94">
        <f>IF(A995="","",IF(AND(E995&lt;&gt;"33 確認済",E995&lt;&gt;"36 送付中"),1,0))</f>
        <v/>
      </c>
      <c r="AO995" s="94">
        <f>IF(A995="","",IF(AG995&lt;&gt;"",1,0))</f>
        <v/>
      </c>
      <c r="AP995" s="220">
        <f>IF(P995&lt;&gt;"","・添待ち","")&amp;IF(Q995&lt;&gt;"","・住民票","")&amp;IF(R995&lt;&gt;"","・発信","")&amp;IF(S995&lt;&gt;"","・確認事項","")&amp;IF(T995&lt;&gt;"","・管","")&amp;IF(U995&lt;&gt;"","・SV","")&amp;IF(V995&lt;&gt;"","・データ送付待ち","")&amp;IF(W995&lt;&gt;"","・削除","")</f>
        <v/>
      </c>
    </row>
    <row r="996" ht="15" customHeight="1" s="87">
      <c r="AL996" s="94">
        <f>IF(A996="","",IF(COUNTIF(A996:A$2001,A996)=1,1,0))</f>
        <v/>
      </c>
      <c r="AM996" s="94">
        <f>IF(I996="","",TODAY()-I996)</f>
        <v/>
      </c>
      <c r="AN996" s="94">
        <f>IF(A996="","",IF(AND(E996&lt;&gt;"33 確認済",E996&lt;&gt;"36 送付中"),1,0))</f>
        <v/>
      </c>
      <c r="AO996" s="94">
        <f>IF(A996="","",IF(AG996&lt;&gt;"",1,0))</f>
        <v/>
      </c>
      <c r="AP996" s="220">
        <f>IF(P996&lt;&gt;"","・添待ち","")&amp;IF(Q996&lt;&gt;"","・住民票","")&amp;IF(R996&lt;&gt;"","・発信","")&amp;IF(S996&lt;&gt;"","・確認事項","")&amp;IF(T996&lt;&gt;"","・管","")&amp;IF(U996&lt;&gt;"","・SV","")&amp;IF(V996&lt;&gt;"","・データ送付待ち","")&amp;IF(W996&lt;&gt;"","・削除","")</f>
        <v/>
      </c>
    </row>
    <row r="997" ht="15" customHeight="1" s="87">
      <c r="AL997" s="94">
        <f>IF(A997="","",IF(COUNTIF(A997:A$2001,A997)=1,1,0))</f>
        <v/>
      </c>
      <c r="AM997" s="94">
        <f>IF(I997="","",TODAY()-I997)</f>
        <v/>
      </c>
      <c r="AN997" s="94">
        <f>IF(A997="","",IF(AND(E997&lt;&gt;"33 確認済",E997&lt;&gt;"36 送付中"),1,0))</f>
        <v/>
      </c>
      <c r="AO997" s="94">
        <f>IF(A997="","",IF(AG997&lt;&gt;"",1,0))</f>
        <v/>
      </c>
      <c r="AP997" s="220">
        <f>IF(P997&lt;&gt;"","・添待ち","")&amp;IF(Q997&lt;&gt;"","・住民票","")&amp;IF(R997&lt;&gt;"","・発信","")&amp;IF(S997&lt;&gt;"","・確認事項","")&amp;IF(T997&lt;&gt;"","・管","")&amp;IF(U997&lt;&gt;"","・SV","")&amp;IF(V997&lt;&gt;"","・データ送付待ち","")&amp;IF(W997&lt;&gt;"","・削除","")</f>
        <v/>
      </c>
    </row>
    <row r="998" ht="15" customHeight="1" s="87">
      <c r="AL998" s="94">
        <f>IF(A998="","",IF(COUNTIF(A998:A$2001,A998)=1,1,0))</f>
        <v/>
      </c>
      <c r="AM998" s="94">
        <f>IF(I998="","",TODAY()-I998)</f>
        <v/>
      </c>
      <c r="AN998" s="94">
        <f>IF(A998="","",IF(AND(E998&lt;&gt;"33 確認済",E998&lt;&gt;"36 送付中"),1,0))</f>
        <v/>
      </c>
      <c r="AO998" s="94">
        <f>IF(A998="","",IF(AG998&lt;&gt;"",1,0))</f>
        <v/>
      </c>
      <c r="AP998" s="220">
        <f>IF(P998&lt;&gt;"","・添待ち","")&amp;IF(Q998&lt;&gt;"","・住民票","")&amp;IF(R998&lt;&gt;"","・発信","")&amp;IF(S998&lt;&gt;"","・確認事項","")&amp;IF(T998&lt;&gt;"","・管","")&amp;IF(U998&lt;&gt;"","・SV","")&amp;IF(V998&lt;&gt;"","・データ送付待ち","")&amp;IF(W998&lt;&gt;"","・削除","")</f>
        <v/>
      </c>
    </row>
    <row r="999" ht="15" customHeight="1" s="87">
      <c r="AL999" s="94">
        <f>IF(A999="","",IF(COUNTIF(A999:A$2001,A999)=1,1,0))</f>
        <v/>
      </c>
      <c r="AM999" s="94">
        <f>IF(I999="","",TODAY()-I999)</f>
        <v/>
      </c>
      <c r="AN999" s="94">
        <f>IF(A999="","",IF(AND(E999&lt;&gt;"33 確認済",E999&lt;&gt;"36 送付中"),1,0))</f>
        <v/>
      </c>
      <c r="AO999" s="94">
        <f>IF(A999="","",IF(AG999&lt;&gt;"",1,0))</f>
        <v/>
      </c>
      <c r="AP999" s="220">
        <f>IF(P999&lt;&gt;"","・添待ち","")&amp;IF(Q999&lt;&gt;"","・住民票","")&amp;IF(R999&lt;&gt;"","・発信","")&amp;IF(S999&lt;&gt;"","・確認事項","")&amp;IF(T999&lt;&gt;"","・管","")&amp;IF(U999&lt;&gt;"","・SV","")&amp;IF(V999&lt;&gt;"","・データ送付待ち","")&amp;IF(W999&lt;&gt;"","・削除","")</f>
        <v/>
      </c>
    </row>
    <row r="1000" ht="15" customHeight="1" s="87">
      <c r="AL1000" s="94">
        <f>IF(A1000="","",IF(COUNTIF(A1000:A$2001,A1000)=1,1,0))</f>
        <v/>
      </c>
      <c r="AM1000" s="94">
        <f>IF(I1000="","",TODAY()-I1000)</f>
        <v/>
      </c>
      <c r="AN1000" s="94">
        <f>IF(A1000="","",IF(AND(E1000&lt;&gt;"33 確認済",E1000&lt;&gt;"36 送付中"),1,0))</f>
        <v/>
      </c>
      <c r="AO1000" s="94">
        <f>IF(A1000="","",IF(AG1000&lt;&gt;"",1,0))</f>
        <v/>
      </c>
      <c r="AP1000" s="220">
        <f>IF(P1000&lt;&gt;"","・添待ち","")&amp;IF(Q1000&lt;&gt;"","・住民票","")&amp;IF(R1000&lt;&gt;"","・発信","")&amp;IF(S1000&lt;&gt;"","・確認事項","")&amp;IF(T1000&lt;&gt;"","・管","")&amp;IF(U1000&lt;&gt;"","・SV","")&amp;IF(V1000&lt;&gt;"","・データ送付待ち","")&amp;IF(W1000&lt;&gt;"","・削除","")</f>
        <v/>
      </c>
    </row>
    <row r="1001" ht="15" customHeight="1" s="87">
      <c r="AL1001" s="94">
        <f>IF(A1001="","",IF(COUNTIF(A1001:A$2001,A1001)=1,1,0))</f>
        <v/>
      </c>
      <c r="AM1001" s="94">
        <f>IF(I1001="","",TODAY()-I1001)</f>
        <v/>
      </c>
      <c r="AN1001" s="94">
        <f>IF(A1001="","",IF(AND(E1001&lt;&gt;"33 確認済",E1001&lt;&gt;"36 送付中"),1,0))</f>
        <v/>
      </c>
      <c r="AO1001" s="94">
        <f>IF(A1001="","",IF(AG1001&lt;&gt;"",1,0))</f>
        <v/>
      </c>
      <c r="AP1001" s="220">
        <f>IF(P1001&lt;&gt;"","・添待ち","")&amp;IF(Q1001&lt;&gt;"","・住民票","")&amp;IF(R1001&lt;&gt;"","・発信","")&amp;IF(S1001&lt;&gt;"","・確認事項","")&amp;IF(T1001&lt;&gt;"","・管","")&amp;IF(U1001&lt;&gt;"","・SV","")&amp;IF(V1001&lt;&gt;"","・データ送付待ち","")&amp;IF(W1001&lt;&gt;"","・削除","")</f>
        <v/>
      </c>
    </row>
    <row r="1002" ht="15" customHeight="1" s="87">
      <c r="AL1002" s="94">
        <f>IF(A1002="","",IF(COUNTIF(A1002:A$2001,A1002)=1,1,0))</f>
        <v/>
      </c>
      <c r="AM1002" s="94">
        <f>IF(I1002="","",TODAY()-I1002)</f>
        <v/>
      </c>
      <c r="AN1002" s="94">
        <f>IF(A1002="","",IF(AND(E1002&lt;&gt;"33 確認済",E1002&lt;&gt;"36 送付中"),1,0))</f>
        <v/>
      </c>
      <c r="AO1002" s="94">
        <f>IF(A1002="","",IF(AG1002&lt;&gt;"",1,0))</f>
        <v/>
      </c>
      <c r="AP1002" s="220">
        <f>IF(P1002&lt;&gt;"","・添待ち","")&amp;IF(Q1002&lt;&gt;"","・住民票","")&amp;IF(R1002&lt;&gt;"","・発信","")&amp;IF(S1002&lt;&gt;"","・確認事項","")&amp;IF(T1002&lt;&gt;"","・管","")&amp;IF(U1002&lt;&gt;"","・SV","")&amp;IF(V1002&lt;&gt;"","・データ送付待ち","")&amp;IF(W1002&lt;&gt;"","・削除","")</f>
        <v/>
      </c>
    </row>
    <row r="1003" ht="15" customHeight="1" s="87">
      <c r="AL1003" s="94">
        <f>IF(A1003="","",IF(COUNTIF(A1003:A$2001,A1003)=1,1,0))</f>
        <v/>
      </c>
      <c r="AM1003" s="94">
        <f>IF(I1003="","",TODAY()-I1003)</f>
        <v/>
      </c>
      <c r="AN1003" s="94">
        <f>IF(A1003="","",IF(AND(E1003&lt;&gt;"33 確認済",E1003&lt;&gt;"36 送付中"),1,0))</f>
        <v/>
      </c>
      <c r="AO1003" s="94">
        <f>IF(A1003="","",IF(AG1003&lt;&gt;"",1,0))</f>
        <v/>
      </c>
      <c r="AP1003" s="220">
        <f>IF(P1003&lt;&gt;"","・添待ち","")&amp;IF(Q1003&lt;&gt;"","・住民票","")&amp;IF(R1003&lt;&gt;"","・発信","")&amp;IF(S1003&lt;&gt;"","・確認事項","")&amp;IF(T1003&lt;&gt;"","・管","")&amp;IF(U1003&lt;&gt;"","・SV","")&amp;IF(V1003&lt;&gt;"","・データ送付待ち","")&amp;IF(W1003&lt;&gt;"","・削除","")</f>
        <v/>
      </c>
    </row>
    <row r="1004" ht="15" customHeight="1" s="87">
      <c r="AL1004" s="94">
        <f>IF(A1004="","",IF(COUNTIF(A1004:A$2001,A1004)=1,1,0))</f>
        <v/>
      </c>
      <c r="AM1004" s="94">
        <f>IF(I1004="","",TODAY()-I1004)</f>
        <v/>
      </c>
      <c r="AN1004" s="94">
        <f>IF(A1004="","",IF(AND(E1004&lt;&gt;"33 確認済",E1004&lt;&gt;"36 送付中"),1,0))</f>
        <v/>
      </c>
      <c r="AO1004" s="94">
        <f>IF(A1004="","",IF(AG1004&lt;&gt;"",1,0))</f>
        <v/>
      </c>
      <c r="AP1004" s="220">
        <f>IF(P1004&lt;&gt;"","・添待ち","")&amp;IF(Q1004&lt;&gt;"","・住民票","")&amp;IF(R1004&lt;&gt;"","・発信","")&amp;IF(S1004&lt;&gt;"","・確認事項","")&amp;IF(T1004&lt;&gt;"","・管","")&amp;IF(U1004&lt;&gt;"","・SV","")&amp;IF(V1004&lt;&gt;"","・データ送付待ち","")&amp;IF(W1004&lt;&gt;"","・削除","")</f>
        <v/>
      </c>
    </row>
    <row r="1005" ht="15" customHeight="1" s="87">
      <c r="AL1005" s="94">
        <f>IF(A1005="","",IF(COUNTIF(A1005:A$2001,A1005)=1,1,0))</f>
        <v/>
      </c>
      <c r="AM1005" s="94">
        <f>IF(I1005="","",TODAY()-I1005)</f>
        <v/>
      </c>
      <c r="AN1005" s="94">
        <f>IF(A1005="","",IF(AND(E1005&lt;&gt;"33 確認済",E1005&lt;&gt;"36 送付中"),1,0))</f>
        <v/>
      </c>
      <c r="AO1005" s="94">
        <f>IF(A1005="","",IF(AG1005&lt;&gt;"",1,0))</f>
        <v/>
      </c>
      <c r="AP1005" s="220">
        <f>IF(P1005&lt;&gt;"","・添待ち","")&amp;IF(Q1005&lt;&gt;"","・住民票","")&amp;IF(R1005&lt;&gt;"","・発信","")&amp;IF(S1005&lt;&gt;"","・確認事項","")&amp;IF(T1005&lt;&gt;"","・管","")&amp;IF(U1005&lt;&gt;"","・SV","")&amp;IF(V1005&lt;&gt;"","・データ送付待ち","")&amp;IF(W1005&lt;&gt;"","・削除","")</f>
        <v/>
      </c>
    </row>
    <row r="1006" ht="15" customHeight="1" s="87">
      <c r="AL1006" s="94">
        <f>IF(A1006="","",IF(COUNTIF(A1006:A$2001,A1006)=1,1,0))</f>
        <v/>
      </c>
      <c r="AM1006" s="94">
        <f>IF(I1006="","",TODAY()-I1006)</f>
        <v/>
      </c>
      <c r="AN1006" s="94">
        <f>IF(A1006="","",IF(AND(E1006&lt;&gt;"33 確認済",E1006&lt;&gt;"36 送付中"),1,0))</f>
        <v/>
      </c>
      <c r="AO1006" s="94">
        <f>IF(A1006="","",IF(AG1006&lt;&gt;"",1,0))</f>
        <v/>
      </c>
      <c r="AP1006" s="220">
        <f>IF(P1006&lt;&gt;"","・添待ち","")&amp;IF(Q1006&lt;&gt;"","・住民票","")&amp;IF(R1006&lt;&gt;"","・発信","")&amp;IF(S1006&lt;&gt;"","・確認事項","")&amp;IF(T1006&lt;&gt;"","・管","")&amp;IF(U1006&lt;&gt;"","・SV","")&amp;IF(V1006&lt;&gt;"","・データ送付待ち","")&amp;IF(W1006&lt;&gt;"","・削除","")</f>
        <v/>
      </c>
    </row>
    <row r="1007" ht="15" customHeight="1" s="87">
      <c r="AL1007" s="94">
        <f>IF(A1007="","",IF(COUNTIF(A1007:A$2001,A1007)=1,1,0))</f>
        <v/>
      </c>
      <c r="AM1007" s="94">
        <f>IF(I1007="","",TODAY()-I1007)</f>
        <v/>
      </c>
      <c r="AN1007" s="94">
        <f>IF(A1007="","",IF(AND(E1007&lt;&gt;"33 確認済",E1007&lt;&gt;"36 送付中"),1,0))</f>
        <v/>
      </c>
      <c r="AO1007" s="94">
        <f>IF(A1007="","",IF(AG1007&lt;&gt;"",1,0))</f>
        <v/>
      </c>
      <c r="AP1007" s="220">
        <f>IF(P1007&lt;&gt;"","・添待ち","")&amp;IF(Q1007&lt;&gt;"","・住民票","")&amp;IF(R1007&lt;&gt;"","・発信","")&amp;IF(S1007&lt;&gt;"","・確認事項","")&amp;IF(T1007&lt;&gt;"","・管","")&amp;IF(U1007&lt;&gt;"","・SV","")&amp;IF(V1007&lt;&gt;"","・データ送付待ち","")&amp;IF(W1007&lt;&gt;"","・削除","")</f>
        <v/>
      </c>
    </row>
    <row r="1008" ht="15" customHeight="1" s="87">
      <c r="AL1008" s="94">
        <f>IF(A1008="","",IF(COUNTIF(A1008:A$2001,A1008)=1,1,0))</f>
        <v/>
      </c>
      <c r="AM1008" s="94">
        <f>IF(I1008="","",TODAY()-I1008)</f>
        <v/>
      </c>
      <c r="AN1008" s="94">
        <f>IF(A1008="","",IF(AND(E1008&lt;&gt;"33 確認済",E1008&lt;&gt;"36 送付中"),1,0))</f>
        <v/>
      </c>
      <c r="AO1008" s="94">
        <f>IF(A1008="","",IF(AG1008&lt;&gt;"",1,0))</f>
        <v/>
      </c>
      <c r="AP1008" s="220">
        <f>IF(P1008&lt;&gt;"","・添待ち","")&amp;IF(Q1008&lt;&gt;"","・住民票","")&amp;IF(R1008&lt;&gt;"","・発信","")&amp;IF(S1008&lt;&gt;"","・確認事項","")&amp;IF(T1008&lt;&gt;"","・管","")&amp;IF(U1008&lt;&gt;"","・SV","")&amp;IF(V1008&lt;&gt;"","・データ送付待ち","")&amp;IF(W1008&lt;&gt;"","・削除","")</f>
        <v/>
      </c>
    </row>
    <row r="1009" ht="15" customHeight="1" s="87">
      <c r="AL1009" s="94">
        <f>IF(A1009="","",IF(COUNTIF(A1009:A$2001,A1009)=1,1,0))</f>
        <v/>
      </c>
      <c r="AM1009" s="94">
        <f>IF(I1009="","",TODAY()-I1009)</f>
        <v/>
      </c>
      <c r="AN1009" s="94">
        <f>IF(A1009="","",IF(AND(E1009&lt;&gt;"33 確認済",E1009&lt;&gt;"36 送付中"),1,0))</f>
        <v/>
      </c>
      <c r="AO1009" s="94">
        <f>IF(A1009="","",IF(AG1009&lt;&gt;"",1,0))</f>
        <v/>
      </c>
      <c r="AP1009" s="220">
        <f>IF(P1009&lt;&gt;"","・添待ち","")&amp;IF(Q1009&lt;&gt;"","・住民票","")&amp;IF(R1009&lt;&gt;"","・発信","")&amp;IF(S1009&lt;&gt;"","・確認事項","")&amp;IF(T1009&lt;&gt;"","・管","")&amp;IF(U1009&lt;&gt;"","・SV","")&amp;IF(V1009&lt;&gt;"","・データ送付待ち","")&amp;IF(W1009&lt;&gt;"","・削除","")</f>
        <v/>
      </c>
    </row>
    <row r="1010" ht="15" customHeight="1" s="87">
      <c r="AL1010" s="94">
        <f>IF(A1010="","",IF(COUNTIF(A1010:A$2001,A1010)=1,1,0))</f>
        <v/>
      </c>
      <c r="AM1010" s="94">
        <f>IF(I1010="","",TODAY()-I1010)</f>
        <v/>
      </c>
      <c r="AN1010" s="94">
        <f>IF(A1010="","",IF(AND(E1010&lt;&gt;"33 確認済",E1010&lt;&gt;"36 送付中"),1,0))</f>
        <v/>
      </c>
      <c r="AO1010" s="94">
        <f>IF(A1010="","",IF(AG1010&lt;&gt;"",1,0))</f>
        <v/>
      </c>
      <c r="AP1010" s="220">
        <f>IF(P1010&lt;&gt;"","・添待ち","")&amp;IF(Q1010&lt;&gt;"","・住民票","")&amp;IF(R1010&lt;&gt;"","・発信","")&amp;IF(S1010&lt;&gt;"","・確認事項","")&amp;IF(T1010&lt;&gt;"","・管","")&amp;IF(U1010&lt;&gt;"","・SV","")&amp;IF(V1010&lt;&gt;"","・データ送付待ち","")&amp;IF(W1010&lt;&gt;"","・削除","")</f>
        <v/>
      </c>
    </row>
    <row r="1011" ht="15" customHeight="1" s="87">
      <c r="AL1011" s="94">
        <f>IF(A1011="","",IF(COUNTIF(A1011:A$2001,A1011)=1,1,0))</f>
        <v/>
      </c>
      <c r="AM1011" s="94">
        <f>IF(I1011="","",TODAY()-I1011)</f>
        <v/>
      </c>
      <c r="AN1011" s="94">
        <f>IF(A1011="","",IF(AND(E1011&lt;&gt;"33 確認済",E1011&lt;&gt;"36 送付中"),1,0))</f>
        <v/>
      </c>
      <c r="AO1011" s="94">
        <f>IF(A1011="","",IF(AG1011&lt;&gt;"",1,0))</f>
        <v/>
      </c>
      <c r="AP1011" s="220">
        <f>IF(P1011&lt;&gt;"","・添待ち","")&amp;IF(Q1011&lt;&gt;"","・住民票","")&amp;IF(R1011&lt;&gt;"","・発信","")&amp;IF(S1011&lt;&gt;"","・確認事項","")&amp;IF(T1011&lt;&gt;"","・管","")&amp;IF(U1011&lt;&gt;"","・SV","")&amp;IF(V1011&lt;&gt;"","・データ送付待ち","")&amp;IF(W1011&lt;&gt;"","・削除","")</f>
        <v/>
      </c>
    </row>
    <row r="1012" ht="15" customHeight="1" s="87">
      <c r="AL1012" s="94">
        <f>IF(A1012="","",IF(COUNTIF(A1012:A$2001,A1012)=1,1,0))</f>
        <v/>
      </c>
      <c r="AM1012" s="94">
        <f>IF(I1012="","",TODAY()-I1012)</f>
        <v/>
      </c>
      <c r="AN1012" s="94">
        <f>IF(A1012="","",IF(AND(E1012&lt;&gt;"33 確認済",E1012&lt;&gt;"36 送付中"),1,0))</f>
        <v/>
      </c>
      <c r="AO1012" s="94">
        <f>IF(A1012="","",IF(AG1012&lt;&gt;"",1,0))</f>
        <v/>
      </c>
      <c r="AP1012" s="220">
        <f>IF(P1012&lt;&gt;"","・添待ち","")&amp;IF(Q1012&lt;&gt;"","・住民票","")&amp;IF(R1012&lt;&gt;"","・発信","")&amp;IF(S1012&lt;&gt;"","・確認事項","")&amp;IF(T1012&lt;&gt;"","・管","")&amp;IF(U1012&lt;&gt;"","・SV","")&amp;IF(V1012&lt;&gt;"","・データ送付待ち","")&amp;IF(W1012&lt;&gt;"","・削除","")</f>
        <v/>
      </c>
    </row>
    <row r="1013" ht="15" customHeight="1" s="87">
      <c r="AL1013" s="94">
        <f>IF(A1013="","",IF(COUNTIF(A1013:A$2001,A1013)=1,1,0))</f>
        <v/>
      </c>
      <c r="AM1013" s="94">
        <f>IF(I1013="","",TODAY()-I1013)</f>
        <v/>
      </c>
      <c r="AN1013" s="94">
        <f>IF(A1013="","",IF(AND(E1013&lt;&gt;"33 確認済",E1013&lt;&gt;"36 送付中"),1,0))</f>
        <v/>
      </c>
      <c r="AO1013" s="94">
        <f>IF(A1013="","",IF(AG1013&lt;&gt;"",1,0))</f>
        <v/>
      </c>
      <c r="AP1013" s="220">
        <f>IF(P1013&lt;&gt;"","・添待ち","")&amp;IF(Q1013&lt;&gt;"","・住民票","")&amp;IF(R1013&lt;&gt;"","・発信","")&amp;IF(S1013&lt;&gt;"","・確認事項","")&amp;IF(T1013&lt;&gt;"","・管","")&amp;IF(U1013&lt;&gt;"","・SV","")&amp;IF(V1013&lt;&gt;"","・データ送付待ち","")&amp;IF(W1013&lt;&gt;"","・削除","")</f>
        <v/>
      </c>
    </row>
    <row r="1014" ht="15" customHeight="1" s="87">
      <c r="AL1014" s="94">
        <f>IF(A1014="","",IF(COUNTIF(A1014:A$2001,A1014)=1,1,0))</f>
        <v/>
      </c>
      <c r="AM1014" s="94">
        <f>IF(I1014="","",TODAY()-I1014)</f>
        <v/>
      </c>
      <c r="AN1014" s="94">
        <f>IF(A1014="","",IF(AND(E1014&lt;&gt;"33 確認済",E1014&lt;&gt;"36 送付中"),1,0))</f>
        <v/>
      </c>
      <c r="AO1014" s="94">
        <f>IF(A1014="","",IF(AG1014&lt;&gt;"",1,0))</f>
        <v/>
      </c>
      <c r="AP1014" s="220">
        <f>IF(P1014&lt;&gt;"","・添待ち","")&amp;IF(Q1014&lt;&gt;"","・住民票","")&amp;IF(R1014&lt;&gt;"","・発信","")&amp;IF(S1014&lt;&gt;"","・確認事項","")&amp;IF(T1014&lt;&gt;"","・管","")&amp;IF(U1014&lt;&gt;"","・SV","")&amp;IF(V1014&lt;&gt;"","・データ送付待ち","")&amp;IF(W1014&lt;&gt;"","・削除","")</f>
        <v/>
      </c>
    </row>
    <row r="1015" ht="15" customHeight="1" s="87">
      <c r="AL1015" s="94">
        <f>IF(A1015="","",IF(COUNTIF(A1015:A$2001,A1015)=1,1,0))</f>
        <v/>
      </c>
      <c r="AM1015" s="94">
        <f>IF(I1015="","",TODAY()-I1015)</f>
        <v/>
      </c>
      <c r="AN1015" s="94">
        <f>IF(A1015="","",IF(AND(E1015&lt;&gt;"33 確認済",E1015&lt;&gt;"36 送付中"),1,0))</f>
        <v/>
      </c>
      <c r="AO1015" s="94">
        <f>IF(A1015="","",IF(AG1015&lt;&gt;"",1,0))</f>
        <v/>
      </c>
      <c r="AP1015" s="220">
        <f>IF(P1015&lt;&gt;"","・添待ち","")&amp;IF(Q1015&lt;&gt;"","・住民票","")&amp;IF(R1015&lt;&gt;"","・発信","")&amp;IF(S1015&lt;&gt;"","・確認事項","")&amp;IF(T1015&lt;&gt;"","・管","")&amp;IF(U1015&lt;&gt;"","・SV","")&amp;IF(V1015&lt;&gt;"","・データ送付待ち","")&amp;IF(W1015&lt;&gt;"","・削除","")</f>
        <v/>
      </c>
    </row>
    <row r="1016" ht="15" customHeight="1" s="87">
      <c r="AL1016" s="94">
        <f>IF(A1016="","",IF(COUNTIF(A1016:A$2001,A1016)=1,1,0))</f>
        <v/>
      </c>
      <c r="AM1016" s="94">
        <f>IF(I1016="","",TODAY()-I1016)</f>
        <v/>
      </c>
      <c r="AN1016" s="94">
        <f>IF(A1016="","",IF(AND(E1016&lt;&gt;"33 確認済",E1016&lt;&gt;"36 送付中"),1,0))</f>
        <v/>
      </c>
      <c r="AO1016" s="94">
        <f>IF(A1016="","",IF(AG1016&lt;&gt;"",1,0))</f>
        <v/>
      </c>
      <c r="AP1016" s="220">
        <f>IF(P1016&lt;&gt;"","・添待ち","")&amp;IF(Q1016&lt;&gt;"","・住民票","")&amp;IF(R1016&lt;&gt;"","・発信","")&amp;IF(S1016&lt;&gt;"","・確認事項","")&amp;IF(T1016&lt;&gt;"","・管","")&amp;IF(U1016&lt;&gt;"","・SV","")&amp;IF(V1016&lt;&gt;"","・データ送付待ち","")&amp;IF(W1016&lt;&gt;"","・削除","")</f>
        <v/>
      </c>
    </row>
    <row r="1017" ht="15" customHeight="1" s="87">
      <c r="AL1017" s="94">
        <f>IF(A1017="","",IF(COUNTIF(A1017:A$2001,A1017)=1,1,0))</f>
        <v/>
      </c>
      <c r="AM1017" s="94">
        <f>IF(I1017="","",TODAY()-I1017)</f>
        <v/>
      </c>
      <c r="AN1017" s="94">
        <f>IF(A1017="","",IF(AND(E1017&lt;&gt;"33 確認済",E1017&lt;&gt;"36 送付中"),1,0))</f>
        <v/>
      </c>
      <c r="AO1017" s="94">
        <f>IF(A1017="","",IF(AG1017&lt;&gt;"",1,0))</f>
        <v/>
      </c>
      <c r="AP1017" s="220">
        <f>IF(P1017&lt;&gt;"","・添待ち","")&amp;IF(Q1017&lt;&gt;"","・住民票","")&amp;IF(R1017&lt;&gt;"","・発信","")&amp;IF(S1017&lt;&gt;"","・確認事項","")&amp;IF(T1017&lt;&gt;"","・管","")&amp;IF(U1017&lt;&gt;"","・SV","")&amp;IF(V1017&lt;&gt;"","・データ送付待ち","")&amp;IF(W1017&lt;&gt;"","・削除","")</f>
        <v/>
      </c>
    </row>
    <row r="1018" ht="15" customHeight="1" s="87">
      <c r="AL1018" s="94">
        <f>IF(A1018="","",IF(COUNTIF(A1018:A$2001,A1018)=1,1,0))</f>
        <v/>
      </c>
      <c r="AM1018" s="94">
        <f>IF(I1018="","",TODAY()-I1018)</f>
        <v/>
      </c>
      <c r="AN1018" s="94">
        <f>IF(A1018="","",IF(AND(E1018&lt;&gt;"33 確認済",E1018&lt;&gt;"36 送付中"),1,0))</f>
        <v/>
      </c>
      <c r="AO1018" s="94">
        <f>IF(A1018="","",IF(AG1018&lt;&gt;"",1,0))</f>
        <v/>
      </c>
      <c r="AP1018" s="220">
        <f>IF(P1018&lt;&gt;"","・添待ち","")&amp;IF(Q1018&lt;&gt;"","・住民票","")&amp;IF(R1018&lt;&gt;"","・発信","")&amp;IF(S1018&lt;&gt;"","・確認事項","")&amp;IF(T1018&lt;&gt;"","・管","")&amp;IF(U1018&lt;&gt;"","・SV","")&amp;IF(V1018&lt;&gt;"","・データ送付待ち","")&amp;IF(W1018&lt;&gt;"","・削除","")</f>
        <v/>
      </c>
    </row>
    <row r="1019" ht="15" customHeight="1" s="87">
      <c r="AL1019" s="94">
        <f>IF(A1019="","",IF(COUNTIF(A1019:A$2001,A1019)=1,1,0))</f>
        <v/>
      </c>
      <c r="AM1019" s="94">
        <f>IF(I1019="","",TODAY()-I1019)</f>
        <v/>
      </c>
      <c r="AN1019" s="94">
        <f>IF(A1019="","",IF(AND(E1019&lt;&gt;"33 確認済",E1019&lt;&gt;"36 送付中"),1,0))</f>
        <v/>
      </c>
      <c r="AO1019" s="94">
        <f>IF(A1019="","",IF(AG1019&lt;&gt;"",1,0))</f>
        <v/>
      </c>
      <c r="AP1019" s="220">
        <f>IF(P1019&lt;&gt;"","・添待ち","")&amp;IF(Q1019&lt;&gt;"","・住民票","")&amp;IF(R1019&lt;&gt;"","・発信","")&amp;IF(S1019&lt;&gt;"","・確認事項","")&amp;IF(T1019&lt;&gt;"","・管","")&amp;IF(U1019&lt;&gt;"","・SV","")&amp;IF(V1019&lt;&gt;"","・データ送付待ち","")&amp;IF(W1019&lt;&gt;"","・削除","")</f>
        <v/>
      </c>
    </row>
    <row r="1020" ht="15" customHeight="1" s="87">
      <c r="AL1020" s="94">
        <f>IF(A1020="","",IF(COUNTIF(A1020:A$2001,A1020)=1,1,0))</f>
        <v/>
      </c>
      <c r="AM1020" s="94">
        <f>IF(I1020="","",TODAY()-I1020)</f>
        <v/>
      </c>
      <c r="AN1020" s="94">
        <f>IF(A1020="","",IF(AND(E1020&lt;&gt;"33 確認済",E1020&lt;&gt;"36 送付中"),1,0))</f>
        <v/>
      </c>
      <c r="AO1020" s="94">
        <f>IF(A1020="","",IF(AG1020&lt;&gt;"",1,0))</f>
        <v/>
      </c>
      <c r="AP1020" s="220">
        <f>IF(P1020&lt;&gt;"","・添待ち","")&amp;IF(Q1020&lt;&gt;"","・住民票","")&amp;IF(R1020&lt;&gt;"","・発信","")&amp;IF(S1020&lt;&gt;"","・確認事項","")&amp;IF(T1020&lt;&gt;"","・管","")&amp;IF(U1020&lt;&gt;"","・SV","")&amp;IF(V1020&lt;&gt;"","・データ送付待ち","")&amp;IF(W1020&lt;&gt;"","・削除","")</f>
        <v/>
      </c>
    </row>
    <row r="1021" ht="15" customHeight="1" s="87">
      <c r="AL1021" s="94">
        <f>IF(A1021="","",IF(COUNTIF(A1021:A$2001,A1021)=1,1,0))</f>
        <v/>
      </c>
      <c r="AM1021" s="94">
        <f>IF(I1021="","",TODAY()-I1021)</f>
        <v/>
      </c>
      <c r="AN1021" s="94">
        <f>IF(A1021="","",IF(AND(E1021&lt;&gt;"33 確認済",E1021&lt;&gt;"36 送付中"),1,0))</f>
        <v/>
      </c>
      <c r="AO1021" s="94">
        <f>IF(A1021="","",IF(AG1021&lt;&gt;"",1,0))</f>
        <v/>
      </c>
      <c r="AP1021" s="220">
        <f>IF(P1021&lt;&gt;"","・添待ち","")&amp;IF(Q1021&lt;&gt;"","・住民票","")&amp;IF(R1021&lt;&gt;"","・発信","")&amp;IF(S1021&lt;&gt;"","・確認事項","")&amp;IF(T1021&lt;&gt;"","・管","")&amp;IF(U1021&lt;&gt;"","・SV","")&amp;IF(V1021&lt;&gt;"","・データ送付待ち","")&amp;IF(W1021&lt;&gt;"","・削除","")</f>
        <v/>
      </c>
    </row>
    <row r="1022" ht="15" customHeight="1" s="87">
      <c r="AL1022" s="94">
        <f>IF(A1022="","",IF(COUNTIF(A1022:A$2001,A1022)=1,1,0))</f>
        <v/>
      </c>
      <c r="AM1022" s="94">
        <f>IF(I1022="","",TODAY()-I1022)</f>
        <v/>
      </c>
      <c r="AN1022" s="94">
        <f>IF(A1022="","",IF(AND(E1022&lt;&gt;"33 確認済",E1022&lt;&gt;"36 送付中"),1,0))</f>
        <v/>
      </c>
      <c r="AO1022" s="94">
        <f>IF(A1022="","",IF(AG1022&lt;&gt;"",1,0))</f>
        <v/>
      </c>
      <c r="AP1022" s="220">
        <f>IF(P1022&lt;&gt;"","・添待ち","")&amp;IF(Q1022&lt;&gt;"","・住民票","")&amp;IF(R1022&lt;&gt;"","・発信","")&amp;IF(S1022&lt;&gt;"","・確認事項","")&amp;IF(T1022&lt;&gt;"","・管","")&amp;IF(U1022&lt;&gt;"","・SV","")&amp;IF(V1022&lt;&gt;"","・データ送付待ち","")&amp;IF(W1022&lt;&gt;"","・削除","")</f>
        <v/>
      </c>
    </row>
    <row r="1023" ht="15" customHeight="1" s="87">
      <c r="AL1023" s="94">
        <f>IF(A1023="","",IF(COUNTIF(A1023:A$2001,A1023)=1,1,0))</f>
        <v/>
      </c>
      <c r="AM1023" s="94">
        <f>IF(I1023="","",TODAY()-I1023)</f>
        <v/>
      </c>
      <c r="AN1023" s="94">
        <f>IF(A1023="","",IF(AND(E1023&lt;&gt;"33 確認済",E1023&lt;&gt;"36 送付中"),1,0))</f>
        <v/>
      </c>
      <c r="AO1023" s="94">
        <f>IF(A1023="","",IF(AG1023&lt;&gt;"",1,0))</f>
        <v/>
      </c>
      <c r="AP1023" s="220">
        <f>IF(P1023&lt;&gt;"","・添待ち","")&amp;IF(Q1023&lt;&gt;"","・住民票","")&amp;IF(R1023&lt;&gt;"","・発信","")&amp;IF(S1023&lt;&gt;"","・確認事項","")&amp;IF(T1023&lt;&gt;"","・管","")&amp;IF(U1023&lt;&gt;"","・SV","")&amp;IF(V1023&lt;&gt;"","・データ送付待ち","")&amp;IF(W1023&lt;&gt;"","・削除","")</f>
        <v/>
      </c>
    </row>
    <row r="1024" ht="15" customHeight="1" s="87">
      <c r="AL1024" s="94">
        <f>IF(A1024="","",IF(COUNTIF(A1024:A$2001,A1024)=1,1,0))</f>
        <v/>
      </c>
      <c r="AM1024" s="94">
        <f>IF(I1024="","",TODAY()-I1024)</f>
        <v/>
      </c>
      <c r="AN1024" s="94">
        <f>IF(A1024="","",IF(AND(E1024&lt;&gt;"33 確認済",E1024&lt;&gt;"36 送付中"),1,0))</f>
        <v/>
      </c>
      <c r="AO1024" s="94">
        <f>IF(A1024="","",IF(AG1024&lt;&gt;"",1,0))</f>
        <v/>
      </c>
      <c r="AP1024" s="220">
        <f>IF(P1024&lt;&gt;"","・添待ち","")&amp;IF(Q1024&lt;&gt;"","・住民票","")&amp;IF(R1024&lt;&gt;"","・発信","")&amp;IF(S1024&lt;&gt;"","・確認事項","")&amp;IF(T1024&lt;&gt;"","・管","")&amp;IF(U1024&lt;&gt;"","・SV","")&amp;IF(V1024&lt;&gt;"","・データ送付待ち","")&amp;IF(W1024&lt;&gt;"","・削除","")</f>
        <v/>
      </c>
    </row>
    <row r="1025" ht="15" customHeight="1" s="87">
      <c r="AL1025" s="94">
        <f>IF(A1025="","",IF(COUNTIF(A1025:A$2001,A1025)=1,1,0))</f>
        <v/>
      </c>
      <c r="AM1025" s="94">
        <f>IF(I1025="","",TODAY()-I1025)</f>
        <v/>
      </c>
      <c r="AN1025" s="94">
        <f>IF(A1025="","",IF(AND(E1025&lt;&gt;"33 確認済",E1025&lt;&gt;"36 送付中"),1,0))</f>
        <v/>
      </c>
      <c r="AO1025" s="94">
        <f>IF(A1025="","",IF(AG1025&lt;&gt;"",1,0))</f>
        <v/>
      </c>
      <c r="AP1025" s="220">
        <f>IF(P1025&lt;&gt;"","・添待ち","")&amp;IF(Q1025&lt;&gt;"","・住民票","")&amp;IF(R1025&lt;&gt;"","・発信","")&amp;IF(S1025&lt;&gt;"","・確認事項","")&amp;IF(T1025&lt;&gt;"","・管","")&amp;IF(U1025&lt;&gt;"","・SV","")&amp;IF(V1025&lt;&gt;"","・データ送付待ち","")&amp;IF(W1025&lt;&gt;"","・削除","")</f>
        <v/>
      </c>
    </row>
    <row r="1026" ht="15" customHeight="1" s="87">
      <c r="AL1026" s="94">
        <f>IF(A1026="","",IF(COUNTIF(A1026:A$2001,A1026)=1,1,0))</f>
        <v/>
      </c>
      <c r="AM1026" s="94">
        <f>IF(I1026="","",TODAY()-I1026)</f>
        <v/>
      </c>
      <c r="AN1026" s="94">
        <f>IF(A1026="","",IF(AND(E1026&lt;&gt;"33 確認済",E1026&lt;&gt;"36 送付中"),1,0))</f>
        <v/>
      </c>
      <c r="AO1026" s="94">
        <f>IF(A1026="","",IF(AG1026&lt;&gt;"",1,0))</f>
        <v/>
      </c>
      <c r="AP1026" s="220">
        <f>IF(P1026&lt;&gt;"","・添待ち","")&amp;IF(Q1026&lt;&gt;"","・住民票","")&amp;IF(R1026&lt;&gt;"","・発信","")&amp;IF(S1026&lt;&gt;"","・確認事項","")&amp;IF(T1026&lt;&gt;"","・管","")&amp;IF(U1026&lt;&gt;"","・SV","")&amp;IF(V1026&lt;&gt;"","・データ送付待ち","")&amp;IF(W1026&lt;&gt;"","・削除","")</f>
        <v/>
      </c>
    </row>
    <row r="1027" ht="15" customHeight="1" s="87">
      <c r="AL1027" s="94">
        <f>IF(A1027="","",IF(COUNTIF(A1027:A$2001,A1027)=1,1,0))</f>
        <v/>
      </c>
      <c r="AM1027" s="94">
        <f>IF(I1027="","",TODAY()-I1027)</f>
        <v/>
      </c>
      <c r="AN1027" s="94">
        <f>IF(A1027="","",IF(AND(E1027&lt;&gt;"33 確認済",E1027&lt;&gt;"36 送付中"),1,0))</f>
        <v/>
      </c>
      <c r="AO1027" s="94">
        <f>IF(A1027="","",IF(AG1027&lt;&gt;"",1,0))</f>
        <v/>
      </c>
      <c r="AP1027" s="220">
        <f>IF(P1027&lt;&gt;"","・添待ち","")&amp;IF(Q1027&lt;&gt;"","・住民票","")&amp;IF(R1027&lt;&gt;"","・発信","")&amp;IF(S1027&lt;&gt;"","・確認事項","")&amp;IF(T1027&lt;&gt;"","・管","")&amp;IF(U1027&lt;&gt;"","・SV","")&amp;IF(V1027&lt;&gt;"","・データ送付待ち","")&amp;IF(W1027&lt;&gt;"","・削除","")</f>
        <v/>
      </c>
    </row>
    <row r="1028" ht="15" customHeight="1" s="87">
      <c r="AL1028" s="94">
        <f>IF(A1028="","",IF(COUNTIF(A1028:A$2001,A1028)=1,1,0))</f>
        <v/>
      </c>
      <c r="AM1028" s="94">
        <f>IF(I1028="","",TODAY()-I1028)</f>
        <v/>
      </c>
      <c r="AN1028" s="94">
        <f>IF(A1028="","",IF(AND(E1028&lt;&gt;"33 確認済",E1028&lt;&gt;"36 送付中"),1,0))</f>
        <v/>
      </c>
      <c r="AO1028" s="94">
        <f>IF(A1028="","",IF(AG1028&lt;&gt;"",1,0))</f>
        <v/>
      </c>
      <c r="AP1028" s="220">
        <f>IF(P1028&lt;&gt;"","・添待ち","")&amp;IF(Q1028&lt;&gt;"","・住民票","")&amp;IF(R1028&lt;&gt;"","・発信","")&amp;IF(S1028&lt;&gt;"","・確認事項","")&amp;IF(T1028&lt;&gt;"","・管","")&amp;IF(U1028&lt;&gt;"","・SV","")&amp;IF(V1028&lt;&gt;"","・データ送付待ち","")&amp;IF(W1028&lt;&gt;"","・削除","")</f>
        <v/>
      </c>
    </row>
    <row r="1029" ht="15" customHeight="1" s="87">
      <c r="AL1029" s="94">
        <f>IF(A1029="","",IF(COUNTIF(A1029:A$2001,A1029)=1,1,0))</f>
        <v/>
      </c>
      <c r="AM1029" s="94">
        <f>IF(I1029="","",TODAY()-I1029)</f>
        <v/>
      </c>
      <c r="AN1029" s="94">
        <f>IF(A1029="","",IF(AND(E1029&lt;&gt;"33 確認済",E1029&lt;&gt;"36 送付中"),1,0))</f>
        <v/>
      </c>
      <c r="AO1029" s="94">
        <f>IF(A1029="","",IF(AG1029&lt;&gt;"",1,0))</f>
        <v/>
      </c>
      <c r="AP1029" s="220">
        <f>IF(P1029&lt;&gt;"","・添待ち","")&amp;IF(Q1029&lt;&gt;"","・住民票","")&amp;IF(R1029&lt;&gt;"","・発信","")&amp;IF(S1029&lt;&gt;"","・確認事項","")&amp;IF(T1029&lt;&gt;"","・管","")&amp;IF(U1029&lt;&gt;"","・SV","")&amp;IF(V1029&lt;&gt;"","・データ送付待ち","")&amp;IF(W1029&lt;&gt;"","・削除","")</f>
        <v/>
      </c>
    </row>
    <row r="1030" ht="15" customHeight="1" s="87">
      <c r="AL1030" s="94">
        <f>IF(A1030="","",IF(COUNTIF(A1030:A$2001,A1030)=1,1,0))</f>
        <v/>
      </c>
      <c r="AM1030" s="94">
        <f>IF(I1030="","",TODAY()-I1030)</f>
        <v/>
      </c>
      <c r="AN1030" s="94">
        <f>IF(A1030="","",IF(AND(E1030&lt;&gt;"33 確認済",E1030&lt;&gt;"36 送付中"),1,0))</f>
        <v/>
      </c>
      <c r="AO1030" s="94">
        <f>IF(A1030="","",IF(AG1030&lt;&gt;"",1,0))</f>
        <v/>
      </c>
      <c r="AP1030" s="220">
        <f>IF(P1030&lt;&gt;"","・添待ち","")&amp;IF(Q1030&lt;&gt;"","・住民票","")&amp;IF(R1030&lt;&gt;"","・発信","")&amp;IF(S1030&lt;&gt;"","・確認事項","")&amp;IF(T1030&lt;&gt;"","・管","")&amp;IF(U1030&lt;&gt;"","・SV","")&amp;IF(V1030&lt;&gt;"","・データ送付待ち","")&amp;IF(W1030&lt;&gt;"","・削除","")</f>
        <v/>
      </c>
    </row>
    <row r="1031" ht="15" customHeight="1" s="87">
      <c r="AL1031" s="94">
        <f>IF(A1031="","",IF(COUNTIF(A1031:A$2001,A1031)=1,1,0))</f>
        <v/>
      </c>
      <c r="AM1031" s="94">
        <f>IF(I1031="","",TODAY()-I1031)</f>
        <v/>
      </c>
      <c r="AN1031" s="94">
        <f>IF(A1031="","",IF(AND(E1031&lt;&gt;"33 確認済",E1031&lt;&gt;"36 送付中"),1,0))</f>
        <v/>
      </c>
      <c r="AO1031" s="94">
        <f>IF(A1031="","",IF(AG1031&lt;&gt;"",1,0))</f>
        <v/>
      </c>
      <c r="AP1031" s="220">
        <f>IF(P1031&lt;&gt;"","・添待ち","")&amp;IF(Q1031&lt;&gt;"","・住民票","")&amp;IF(R1031&lt;&gt;"","・発信","")&amp;IF(S1031&lt;&gt;"","・確認事項","")&amp;IF(T1031&lt;&gt;"","・管","")&amp;IF(U1031&lt;&gt;"","・SV","")&amp;IF(V1031&lt;&gt;"","・データ送付待ち","")&amp;IF(W1031&lt;&gt;"","・削除","")</f>
        <v/>
      </c>
    </row>
    <row r="1032" ht="15" customHeight="1" s="87">
      <c r="AL1032" s="94">
        <f>IF(A1032="","",IF(COUNTIF(A1032:A$2001,A1032)=1,1,0))</f>
        <v/>
      </c>
      <c r="AM1032" s="94">
        <f>IF(I1032="","",TODAY()-I1032)</f>
        <v/>
      </c>
      <c r="AN1032" s="94">
        <f>IF(A1032="","",IF(AND(E1032&lt;&gt;"33 確認済",E1032&lt;&gt;"36 送付中"),1,0))</f>
        <v/>
      </c>
      <c r="AO1032" s="94">
        <f>IF(A1032="","",IF(AG1032&lt;&gt;"",1,0))</f>
        <v/>
      </c>
      <c r="AP1032" s="220">
        <f>IF(P1032&lt;&gt;"","・添待ち","")&amp;IF(Q1032&lt;&gt;"","・住民票","")&amp;IF(R1032&lt;&gt;"","・発信","")&amp;IF(S1032&lt;&gt;"","・確認事項","")&amp;IF(T1032&lt;&gt;"","・管","")&amp;IF(U1032&lt;&gt;"","・SV","")&amp;IF(V1032&lt;&gt;"","・データ送付待ち","")&amp;IF(W1032&lt;&gt;"","・削除","")</f>
        <v/>
      </c>
    </row>
    <row r="1033" ht="15" customHeight="1" s="87">
      <c r="AL1033" s="94">
        <f>IF(A1033="","",IF(COUNTIF(A1033:A$2001,A1033)=1,1,0))</f>
        <v/>
      </c>
      <c r="AM1033" s="94">
        <f>IF(I1033="","",TODAY()-I1033)</f>
        <v/>
      </c>
      <c r="AN1033" s="94">
        <f>IF(A1033="","",IF(AND(E1033&lt;&gt;"33 確認済",E1033&lt;&gt;"36 送付中"),1,0))</f>
        <v/>
      </c>
      <c r="AO1033" s="94">
        <f>IF(A1033="","",IF(AG1033&lt;&gt;"",1,0))</f>
        <v/>
      </c>
      <c r="AP1033" s="220">
        <f>IF(P1033&lt;&gt;"","・添待ち","")&amp;IF(Q1033&lt;&gt;"","・住民票","")&amp;IF(R1033&lt;&gt;"","・発信","")&amp;IF(S1033&lt;&gt;"","・確認事項","")&amp;IF(T1033&lt;&gt;"","・管","")&amp;IF(U1033&lt;&gt;"","・SV","")&amp;IF(V1033&lt;&gt;"","・データ送付待ち","")&amp;IF(W1033&lt;&gt;"","・削除","")</f>
        <v/>
      </c>
    </row>
    <row r="1034" ht="15" customHeight="1" s="87">
      <c r="AL1034" s="94">
        <f>IF(A1034="","",IF(COUNTIF(A1034:A$2001,A1034)=1,1,0))</f>
        <v/>
      </c>
      <c r="AM1034" s="94">
        <f>IF(I1034="","",TODAY()-I1034)</f>
        <v/>
      </c>
      <c r="AN1034" s="94">
        <f>IF(A1034="","",IF(AND(E1034&lt;&gt;"33 確認済",E1034&lt;&gt;"36 送付中"),1,0))</f>
        <v/>
      </c>
      <c r="AO1034" s="94">
        <f>IF(A1034="","",IF(AG1034&lt;&gt;"",1,0))</f>
        <v/>
      </c>
      <c r="AP1034" s="220">
        <f>IF(P1034&lt;&gt;"","・添待ち","")&amp;IF(Q1034&lt;&gt;"","・住民票","")&amp;IF(R1034&lt;&gt;"","・発信","")&amp;IF(S1034&lt;&gt;"","・確認事項","")&amp;IF(T1034&lt;&gt;"","・管","")&amp;IF(U1034&lt;&gt;"","・SV","")&amp;IF(V1034&lt;&gt;"","・データ送付待ち","")&amp;IF(W1034&lt;&gt;"","・削除","")</f>
        <v/>
      </c>
    </row>
    <row r="1035" ht="15" customHeight="1" s="87">
      <c r="AL1035" s="94">
        <f>IF(A1035="","",IF(COUNTIF(A1035:A$2001,A1035)=1,1,0))</f>
        <v/>
      </c>
      <c r="AM1035" s="94">
        <f>IF(I1035="","",TODAY()-I1035)</f>
        <v/>
      </c>
      <c r="AN1035" s="94">
        <f>IF(A1035="","",IF(AND(E1035&lt;&gt;"33 確認済",E1035&lt;&gt;"36 送付中"),1,0))</f>
        <v/>
      </c>
      <c r="AO1035" s="94">
        <f>IF(A1035="","",IF(AG1035&lt;&gt;"",1,0))</f>
        <v/>
      </c>
      <c r="AP1035" s="220">
        <f>IF(P1035&lt;&gt;"","・添待ち","")&amp;IF(Q1035&lt;&gt;"","・住民票","")&amp;IF(R1035&lt;&gt;"","・発信","")&amp;IF(S1035&lt;&gt;"","・確認事項","")&amp;IF(T1035&lt;&gt;"","・管","")&amp;IF(U1035&lt;&gt;"","・SV","")&amp;IF(V1035&lt;&gt;"","・データ送付待ち","")&amp;IF(W1035&lt;&gt;"","・削除","")</f>
        <v/>
      </c>
    </row>
    <row r="1036" ht="15" customHeight="1" s="87">
      <c r="AL1036" s="94">
        <f>IF(A1036="","",IF(COUNTIF(A1036:A$2001,A1036)=1,1,0))</f>
        <v/>
      </c>
      <c r="AM1036" s="94">
        <f>IF(I1036="","",TODAY()-I1036)</f>
        <v/>
      </c>
      <c r="AN1036" s="94">
        <f>IF(A1036="","",IF(AND(E1036&lt;&gt;"33 確認済",E1036&lt;&gt;"36 送付中"),1,0))</f>
        <v/>
      </c>
      <c r="AO1036" s="94">
        <f>IF(A1036="","",IF(AG1036&lt;&gt;"",1,0))</f>
        <v/>
      </c>
      <c r="AP1036" s="220">
        <f>IF(P1036&lt;&gt;"","・添待ち","")&amp;IF(Q1036&lt;&gt;"","・住民票","")&amp;IF(R1036&lt;&gt;"","・発信","")&amp;IF(S1036&lt;&gt;"","・確認事項","")&amp;IF(T1036&lt;&gt;"","・管","")&amp;IF(U1036&lt;&gt;"","・SV","")&amp;IF(V1036&lt;&gt;"","・データ送付待ち","")&amp;IF(W1036&lt;&gt;"","・削除","")</f>
        <v/>
      </c>
    </row>
    <row r="1037" ht="15" customHeight="1" s="87">
      <c r="AL1037" s="94">
        <f>IF(A1037="","",IF(COUNTIF(A1037:A$2001,A1037)=1,1,0))</f>
        <v/>
      </c>
      <c r="AM1037" s="94">
        <f>IF(I1037="","",TODAY()-I1037)</f>
        <v/>
      </c>
      <c r="AN1037" s="94">
        <f>IF(A1037="","",IF(AND(E1037&lt;&gt;"33 確認済",E1037&lt;&gt;"36 送付中"),1,0))</f>
        <v/>
      </c>
      <c r="AO1037" s="94">
        <f>IF(A1037="","",IF(AG1037&lt;&gt;"",1,0))</f>
        <v/>
      </c>
      <c r="AP1037" s="220">
        <f>IF(P1037&lt;&gt;"","・添待ち","")&amp;IF(Q1037&lt;&gt;"","・住民票","")&amp;IF(R1037&lt;&gt;"","・発信","")&amp;IF(S1037&lt;&gt;"","・確認事項","")&amp;IF(T1037&lt;&gt;"","・管","")&amp;IF(U1037&lt;&gt;"","・SV","")&amp;IF(V1037&lt;&gt;"","・データ送付待ち","")&amp;IF(W1037&lt;&gt;"","・削除","")</f>
        <v/>
      </c>
    </row>
    <row r="1038" ht="15" customHeight="1" s="87">
      <c r="AL1038" s="94">
        <f>IF(A1038="","",IF(COUNTIF(A1038:A$2001,A1038)=1,1,0))</f>
        <v/>
      </c>
      <c r="AM1038" s="94">
        <f>IF(I1038="","",TODAY()-I1038)</f>
        <v/>
      </c>
      <c r="AN1038" s="94">
        <f>IF(A1038="","",IF(AND(E1038&lt;&gt;"33 確認済",E1038&lt;&gt;"36 送付中"),1,0))</f>
        <v/>
      </c>
      <c r="AO1038" s="94">
        <f>IF(A1038="","",IF(AG1038&lt;&gt;"",1,0))</f>
        <v/>
      </c>
      <c r="AP1038" s="220">
        <f>IF(P1038&lt;&gt;"","・添待ち","")&amp;IF(Q1038&lt;&gt;"","・住民票","")&amp;IF(R1038&lt;&gt;"","・発信","")&amp;IF(S1038&lt;&gt;"","・確認事項","")&amp;IF(T1038&lt;&gt;"","・管","")&amp;IF(U1038&lt;&gt;"","・SV","")&amp;IF(V1038&lt;&gt;"","・データ送付待ち","")&amp;IF(W1038&lt;&gt;"","・削除","")</f>
        <v/>
      </c>
    </row>
    <row r="1039" ht="15" customHeight="1" s="87">
      <c r="AL1039" s="94">
        <f>IF(A1039="","",IF(COUNTIF(A1039:A$2001,A1039)=1,1,0))</f>
        <v/>
      </c>
      <c r="AM1039" s="94">
        <f>IF(I1039="","",TODAY()-I1039)</f>
        <v/>
      </c>
      <c r="AN1039" s="94">
        <f>IF(A1039="","",IF(AND(E1039&lt;&gt;"33 確認済",E1039&lt;&gt;"36 送付中"),1,0))</f>
        <v/>
      </c>
      <c r="AO1039" s="94">
        <f>IF(A1039="","",IF(AG1039&lt;&gt;"",1,0))</f>
        <v/>
      </c>
      <c r="AP1039" s="220">
        <f>IF(P1039&lt;&gt;"","・添待ち","")&amp;IF(Q1039&lt;&gt;"","・住民票","")&amp;IF(R1039&lt;&gt;"","・発信","")&amp;IF(S1039&lt;&gt;"","・確認事項","")&amp;IF(T1039&lt;&gt;"","・管","")&amp;IF(U1039&lt;&gt;"","・SV","")&amp;IF(V1039&lt;&gt;"","・データ送付待ち","")&amp;IF(W1039&lt;&gt;"","・削除","")</f>
        <v/>
      </c>
    </row>
    <row r="1040" ht="15" customHeight="1" s="87">
      <c r="AL1040" s="94">
        <f>IF(A1040="","",IF(COUNTIF(A1040:A$2001,A1040)=1,1,0))</f>
        <v/>
      </c>
      <c r="AM1040" s="94">
        <f>IF(I1040="","",TODAY()-I1040)</f>
        <v/>
      </c>
      <c r="AN1040" s="94">
        <f>IF(A1040="","",IF(AND(E1040&lt;&gt;"33 確認済",E1040&lt;&gt;"36 送付中"),1,0))</f>
        <v/>
      </c>
      <c r="AO1040" s="94">
        <f>IF(A1040="","",IF(AG1040&lt;&gt;"",1,0))</f>
        <v/>
      </c>
      <c r="AP1040" s="220">
        <f>IF(P1040&lt;&gt;"","・添待ち","")&amp;IF(Q1040&lt;&gt;"","・住民票","")&amp;IF(R1040&lt;&gt;"","・発信","")&amp;IF(S1040&lt;&gt;"","・確認事項","")&amp;IF(T1040&lt;&gt;"","・管","")&amp;IF(U1040&lt;&gt;"","・SV","")&amp;IF(V1040&lt;&gt;"","・データ送付待ち","")&amp;IF(W1040&lt;&gt;"","・削除","")</f>
        <v/>
      </c>
    </row>
    <row r="1041" ht="15" customHeight="1" s="87">
      <c r="AL1041" s="94">
        <f>IF(A1041="","",IF(COUNTIF(A1041:A$2001,A1041)=1,1,0))</f>
        <v/>
      </c>
      <c r="AM1041" s="94">
        <f>IF(I1041="","",TODAY()-I1041)</f>
        <v/>
      </c>
      <c r="AN1041" s="94">
        <f>IF(A1041="","",IF(AND(E1041&lt;&gt;"33 確認済",E1041&lt;&gt;"36 送付中"),1,0))</f>
        <v/>
      </c>
      <c r="AO1041" s="94">
        <f>IF(A1041="","",IF(AG1041&lt;&gt;"",1,0))</f>
        <v/>
      </c>
      <c r="AP1041" s="220">
        <f>IF(P1041&lt;&gt;"","・添待ち","")&amp;IF(Q1041&lt;&gt;"","・住民票","")&amp;IF(R1041&lt;&gt;"","・発信","")&amp;IF(S1041&lt;&gt;"","・確認事項","")&amp;IF(T1041&lt;&gt;"","・管","")&amp;IF(U1041&lt;&gt;"","・SV","")&amp;IF(V1041&lt;&gt;"","・データ送付待ち","")&amp;IF(W1041&lt;&gt;"","・削除","")</f>
        <v/>
      </c>
    </row>
    <row r="1042" ht="15" customHeight="1" s="87">
      <c r="AL1042" s="94">
        <f>IF(A1042="","",IF(COUNTIF(A1042:A$2001,A1042)=1,1,0))</f>
        <v/>
      </c>
      <c r="AM1042" s="94">
        <f>IF(I1042="","",TODAY()-I1042)</f>
        <v/>
      </c>
      <c r="AN1042" s="94">
        <f>IF(A1042="","",IF(AND(E1042&lt;&gt;"33 確認済",E1042&lt;&gt;"36 送付中"),1,0))</f>
        <v/>
      </c>
      <c r="AO1042" s="94">
        <f>IF(A1042="","",IF(AG1042&lt;&gt;"",1,0))</f>
        <v/>
      </c>
      <c r="AP1042" s="220">
        <f>IF(P1042&lt;&gt;"","・添待ち","")&amp;IF(Q1042&lt;&gt;"","・住民票","")&amp;IF(R1042&lt;&gt;"","・発信","")&amp;IF(S1042&lt;&gt;"","・確認事項","")&amp;IF(T1042&lt;&gt;"","・管","")&amp;IF(U1042&lt;&gt;"","・SV","")&amp;IF(V1042&lt;&gt;"","・データ送付待ち","")&amp;IF(W1042&lt;&gt;"","・削除","")</f>
        <v/>
      </c>
    </row>
    <row r="1043" ht="15" customHeight="1" s="87">
      <c r="AL1043" s="94">
        <f>IF(A1043="","",IF(COUNTIF(A1043:A$2001,A1043)=1,1,0))</f>
        <v/>
      </c>
      <c r="AM1043" s="94">
        <f>IF(I1043="","",TODAY()-I1043)</f>
        <v/>
      </c>
      <c r="AN1043" s="94">
        <f>IF(A1043="","",IF(AND(E1043&lt;&gt;"33 確認済",E1043&lt;&gt;"36 送付中"),1,0))</f>
        <v/>
      </c>
      <c r="AO1043" s="94">
        <f>IF(A1043="","",IF(AG1043&lt;&gt;"",1,0))</f>
        <v/>
      </c>
      <c r="AP1043" s="220">
        <f>IF(P1043&lt;&gt;"","・添待ち","")&amp;IF(Q1043&lt;&gt;"","・住民票","")&amp;IF(R1043&lt;&gt;"","・発信","")&amp;IF(S1043&lt;&gt;"","・確認事項","")&amp;IF(T1043&lt;&gt;"","・管","")&amp;IF(U1043&lt;&gt;"","・SV","")&amp;IF(V1043&lt;&gt;"","・データ送付待ち","")&amp;IF(W1043&lt;&gt;"","・削除","")</f>
        <v/>
      </c>
    </row>
    <row r="1044" ht="15" customHeight="1" s="87">
      <c r="AL1044" s="94">
        <f>IF(A1044="","",IF(COUNTIF(A1044:A$2001,A1044)=1,1,0))</f>
        <v/>
      </c>
      <c r="AM1044" s="94">
        <f>IF(I1044="","",TODAY()-I1044)</f>
        <v/>
      </c>
      <c r="AN1044" s="94">
        <f>IF(A1044="","",IF(AND(E1044&lt;&gt;"33 確認済",E1044&lt;&gt;"36 送付中"),1,0))</f>
        <v/>
      </c>
      <c r="AO1044" s="94">
        <f>IF(A1044="","",IF(AG1044&lt;&gt;"",1,0))</f>
        <v/>
      </c>
      <c r="AP1044" s="220">
        <f>IF(P1044&lt;&gt;"","・添待ち","")&amp;IF(Q1044&lt;&gt;"","・住民票","")&amp;IF(R1044&lt;&gt;"","・発信","")&amp;IF(S1044&lt;&gt;"","・確認事項","")&amp;IF(T1044&lt;&gt;"","・管","")&amp;IF(U1044&lt;&gt;"","・SV","")&amp;IF(V1044&lt;&gt;"","・データ送付待ち","")&amp;IF(W1044&lt;&gt;"","・削除","")</f>
        <v/>
      </c>
    </row>
    <row r="1045" ht="15" customHeight="1" s="87">
      <c r="AL1045" s="94">
        <f>IF(A1045="","",IF(COUNTIF(A1045:A$2001,A1045)=1,1,0))</f>
        <v/>
      </c>
      <c r="AM1045" s="94">
        <f>IF(I1045="","",TODAY()-I1045)</f>
        <v/>
      </c>
      <c r="AN1045" s="94">
        <f>IF(A1045="","",IF(AND(E1045&lt;&gt;"33 確認済",E1045&lt;&gt;"36 送付中"),1,0))</f>
        <v/>
      </c>
      <c r="AO1045" s="94">
        <f>IF(A1045="","",IF(AG1045&lt;&gt;"",1,0))</f>
        <v/>
      </c>
      <c r="AP1045" s="220">
        <f>IF(P1045&lt;&gt;"","・添待ち","")&amp;IF(Q1045&lt;&gt;"","・住民票","")&amp;IF(R1045&lt;&gt;"","・発信","")&amp;IF(S1045&lt;&gt;"","・確認事項","")&amp;IF(T1045&lt;&gt;"","・管","")&amp;IF(U1045&lt;&gt;"","・SV","")&amp;IF(V1045&lt;&gt;"","・データ送付待ち","")&amp;IF(W1045&lt;&gt;"","・削除","")</f>
        <v/>
      </c>
    </row>
    <row r="1046" ht="15" customHeight="1" s="87">
      <c r="AL1046" s="94">
        <f>IF(A1046="","",IF(COUNTIF(A1046:A$2001,A1046)=1,1,0))</f>
        <v/>
      </c>
      <c r="AM1046" s="94">
        <f>IF(I1046="","",TODAY()-I1046)</f>
        <v/>
      </c>
      <c r="AN1046" s="94">
        <f>IF(A1046="","",IF(AND(E1046&lt;&gt;"33 確認済",E1046&lt;&gt;"36 送付中"),1,0))</f>
        <v/>
      </c>
      <c r="AO1046" s="94">
        <f>IF(A1046="","",IF(AG1046&lt;&gt;"",1,0))</f>
        <v/>
      </c>
      <c r="AP1046" s="220">
        <f>IF(P1046&lt;&gt;"","・添待ち","")&amp;IF(Q1046&lt;&gt;"","・住民票","")&amp;IF(R1046&lt;&gt;"","・発信","")&amp;IF(S1046&lt;&gt;"","・確認事項","")&amp;IF(T1046&lt;&gt;"","・管","")&amp;IF(U1046&lt;&gt;"","・SV","")&amp;IF(V1046&lt;&gt;"","・データ送付待ち","")&amp;IF(W1046&lt;&gt;"","・削除","")</f>
        <v/>
      </c>
    </row>
    <row r="1047" ht="15" customHeight="1" s="87">
      <c r="AL1047" s="94">
        <f>IF(A1047="","",IF(COUNTIF(A1047:A$2001,A1047)=1,1,0))</f>
        <v/>
      </c>
      <c r="AM1047" s="94">
        <f>IF(I1047="","",TODAY()-I1047)</f>
        <v/>
      </c>
      <c r="AN1047" s="94">
        <f>IF(A1047="","",IF(AND(E1047&lt;&gt;"33 確認済",E1047&lt;&gt;"36 送付中"),1,0))</f>
        <v/>
      </c>
      <c r="AO1047" s="94">
        <f>IF(A1047="","",IF(AG1047&lt;&gt;"",1,0))</f>
        <v/>
      </c>
      <c r="AP1047" s="220">
        <f>IF(P1047&lt;&gt;"","・添待ち","")&amp;IF(Q1047&lt;&gt;"","・住民票","")&amp;IF(R1047&lt;&gt;"","・発信","")&amp;IF(S1047&lt;&gt;"","・確認事項","")&amp;IF(T1047&lt;&gt;"","・管","")&amp;IF(U1047&lt;&gt;"","・SV","")&amp;IF(V1047&lt;&gt;"","・データ送付待ち","")&amp;IF(W1047&lt;&gt;"","・削除","")</f>
        <v/>
      </c>
    </row>
    <row r="1048" ht="15" customHeight="1" s="87">
      <c r="AL1048" s="94">
        <f>IF(A1048="","",IF(COUNTIF(A1048:A$2001,A1048)=1,1,0))</f>
        <v/>
      </c>
      <c r="AM1048" s="94">
        <f>IF(I1048="","",TODAY()-I1048)</f>
        <v/>
      </c>
      <c r="AN1048" s="94">
        <f>IF(A1048="","",IF(AND(E1048&lt;&gt;"33 確認済",E1048&lt;&gt;"36 送付中"),1,0))</f>
        <v/>
      </c>
      <c r="AO1048" s="94">
        <f>IF(A1048="","",IF(AG1048&lt;&gt;"",1,0))</f>
        <v/>
      </c>
      <c r="AP1048" s="220">
        <f>IF(P1048&lt;&gt;"","・添待ち","")&amp;IF(Q1048&lt;&gt;"","・住民票","")&amp;IF(R1048&lt;&gt;"","・発信","")&amp;IF(S1048&lt;&gt;"","・確認事項","")&amp;IF(T1048&lt;&gt;"","・管","")&amp;IF(U1048&lt;&gt;"","・SV","")&amp;IF(V1048&lt;&gt;"","・データ送付待ち","")&amp;IF(W1048&lt;&gt;"","・削除","")</f>
        <v/>
      </c>
    </row>
    <row r="1049" ht="15" customHeight="1" s="87">
      <c r="AL1049" s="94">
        <f>IF(A1049="","",IF(COUNTIF(A1049:A$2001,A1049)=1,1,0))</f>
        <v/>
      </c>
      <c r="AM1049" s="94">
        <f>IF(I1049="","",TODAY()-I1049)</f>
        <v/>
      </c>
      <c r="AN1049" s="94">
        <f>IF(A1049="","",IF(AND(E1049&lt;&gt;"33 確認済",E1049&lt;&gt;"36 送付中"),1,0))</f>
        <v/>
      </c>
      <c r="AO1049" s="94">
        <f>IF(A1049="","",IF(AG1049&lt;&gt;"",1,0))</f>
        <v/>
      </c>
      <c r="AP1049" s="220">
        <f>IF(P1049&lt;&gt;"","・添待ち","")&amp;IF(Q1049&lt;&gt;"","・住民票","")&amp;IF(R1049&lt;&gt;"","・発信","")&amp;IF(S1049&lt;&gt;"","・確認事項","")&amp;IF(T1049&lt;&gt;"","・管","")&amp;IF(U1049&lt;&gt;"","・SV","")&amp;IF(V1049&lt;&gt;"","・データ送付待ち","")&amp;IF(W1049&lt;&gt;"","・削除","")</f>
        <v/>
      </c>
    </row>
    <row r="1050" ht="15" customHeight="1" s="87">
      <c r="AL1050" s="94">
        <f>IF(A1050="","",IF(COUNTIF(A1050:A$2001,A1050)=1,1,0))</f>
        <v/>
      </c>
      <c r="AM1050" s="94">
        <f>IF(I1050="","",TODAY()-I1050)</f>
        <v/>
      </c>
      <c r="AN1050" s="94">
        <f>IF(A1050="","",IF(AND(E1050&lt;&gt;"33 確認済",E1050&lt;&gt;"36 送付中"),1,0))</f>
        <v/>
      </c>
      <c r="AO1050" s="94">
        <f>IF(A1050="","",IF(AG1050&lt;&gt;"",1,0))</f>
        <v/>
      </c>
      <c r="AP1050" s="220">
        <f>IF(P1050&lt;&gt;"","・添待ち","")&amp;IF(Q1050&lt;&gt;"","・住民票","")&amp;IF(R1050&lt;&gt;"","・発信","")&amp;IF(S1050&lt;&gt;"","・確認事項","")&amp;IF(T1050&lt;&gt;"","・管","")&amp;IF(U1050&lt;&gt;"","・SV","")&amp;IF(V1050&lt;&gt;"","・データ送付待ち","")&amp;IF(W1050&lt;&gt;"","・削除","")</f>
        <v/>
      </c>
    </row>
    <row r="1051" ht="15" customHeight="1" s="87">
      <c r="AL1051" s="94">
        <f>IF(A1051="","",IF(COUNTIF(A1051:A$2001,A1051)=1,1,0))</f>
        <v/>
      </c>
      <c r="AM1051" s="94">
        <f>IF(I1051="","",TODAY()-I1051)</f>
        <v/>
      </c>
      <c r="AN1051" s="94">
        <f>IF(A1051="","",IF(AND(E1051&lt;&gt;"33 確認済",E1051&lt;&gt;"36 送付中"),1,0))</f>
        <v/>
      </c>
      <c r="AO1051" s="94">
        <f>IF(A1051="","",IF(AG1051&lt;&gt;"",1,0))</f>
        <v/>
      </c>
      <c r="AP1051" s="220">
        <f>IF(P1051&lt;&gt;"","・添待ち","")&amp;IF(Q1051&lt;&gt;"","・住民票","")&amp;IF(R1051&lt;&gt;"","・発信","")&amp;IF(S1051&lt;&gt;"","・確認事項","")&amp;IF(T1051&lt;&gt;"","・管","")&amp;IF(U1051&lt;&gt;"","・SV","")&amp;IF(V1051&lt;&gt;"","・データ送付待ち","")&amp;IF(W1051&lt;&gt;"","・削除","")</f>
        <v/>
      </c>
    </row>
    <row r="1052" ht="15" customHeight="1" s="87">
      <c r="AL1052" s="94">
        <f>IF(A1052="","",IF(COUNTIF(A1052:A$2001,A1052)=1,1,0))</f>
        <v/>
      </c>
      <c r="AM1052" s="94">
        <f>IF(I1052="","",TODAY()-I1052)</f>
        <v/>
      </c>
      <c r="AN1052" s="94">
        <f>IF(A1052="","",IF(AND(E1052&lt;&gt;"33 確認済",E1052&lt;&gt;"36 送付中"),1,0))</f>
        <v/>
      </c>
      <c r="AO1052" s="94">
        <f>IF(A1052="","",IF(AG1052&lt;&gt;"",1,0))</f>
        <v/>
      </c>
      <c r="AP1052" s="220">
        <f>IF(P1052&lt;&gt;"","・添待ち","")&amp;IF(Q1052&lt;&gt;"","・住民票","")&amp;IF(R1052&lt;&gt;"","・発信","")&amp;IF(S1052&lt;&gt;"","・確認事項","")&amp;IF(T1052&lt;&gt;"","・管","")&amp;IF(U1052&lt;&gt;"","・SV","")&amp;IF(V1052&lt;&gt;"","・データ送付待ち","")&amp;IF(W1052&lt;&gt;"","・削除","")</f>
        <v/>
      </c>
    </row>
    <row r="1053" ht="15" customHeight="1" s="87">
      <c r="AL1053" s="94">
        <f>IF(A1053="","",IF(COUNTIF(A1053:A$2001,A1053)=1,1,0))</f>
        <v/>
      </c>
      <c r="AM1053" s="94">
        <f>IF(I1053="","",TODAY()-I1053)</f>
        <v/>
      </c>
      <c r="AN1053" s="94">
        <f>IF(A1053="","",IF(AND(E1053&lt;&gt;"33 確認済",E1053&lt;&gt;"36 送付中"),1,0))</f>
        <v/>
      </c>
      <c r="AO1053" s="94">
        <f>IF(A1053="","",IF(AG1053&lt;&gt;"",1,0))</f>
        <v/>
      </c>
      <c r="AP1053" s="220">
        <f>IF(P1053&lt;&gt;"","・添待ち","")&amp;IF(Q1053&lt;&gt;"","・住民票","")&amp;IF(R1053&lt;&gt;"","・発信","")&amp;IF(S1053&lt;&gt;"","・確認事項","")&amp;IF(T1053&lt;&gt;"","・管","")&amp;IF(U1053&lt;&gt;"","・SV","")&amp;IF(V1053&lt;&gt;"","・データ送付待ち","")&amp;IF(W1053&lt;&gt;"","・削除","")</f>
        <v/>
      </c>
    </row>
    <row r="1054" ht="15" customHeight="1" s="87">
      <c r="AL1054" s="94">
        <f>IF(A1054="","",IF(COUNTIF(A1054:A$2001,A1054)=1,1,0))</f>
        <v/>
      </c>
      <c r="AM1054" s="94">
        <f>IF(I1054="","",TODAY()-I1054)</f>
        <v/>
      </c>
      <c r="AN1054" s="94">
        <f>IF(A1054="","",IF(AND(E1054&lt;&gt;"33 確認済",E1054&lt;&gt;"36 送付中"),1,0))</f>
        <v/>
      </c>
      <c r="AO1054" s="94">
        <f>IF(A1054="","",IF(AG1054&lt;&gt;"",1,0))</f>
        <v/>
      </c>
      <c r="AP1054" s="220">
        <f>IF(P1054&lt;&gt;"","・添待ち","")&amp;IF(Q1054&lt;&gt;"","・住民票","")&amp;IF(R1054&lt;&gt;"","・発信","")&amp;IF(S1054&lt;&gt;"","・確認事項","")&amp;IF(T1054&lt;&gt;"","・管","")&amp;IF(U1054&lt;&gt;"","・SV","")&amp;IF(V1054&lt;&gt;"","・データ送付待ち","")&amp;IF(W1054&lt;&gt;"","・削除","")</f>
        <v/>
      </c>
    </row>
    <row r="1055" ht="15" customHeight="1" s="87">
      <c r="AL1055" s="94">
        <f>IF(A1055="","",IF(COUNTIF(A1055:A$2001,A1055)=1,1,0))</f>
        <v/>
      </c>
      <c r="AM1055" s="94">
        <f>IF(I1055="","",TODAY()-I1055)</f>
        <v/>
      </c>
      <c r="AN1055" s="94">
        <f>IF(A1055="","",IF(AND(E1055&lt;&gt;"33 確認済",E1055&lt;&gt;"36 送付中"),1,0))</f>
        <v/>
      </c>
      <c r="AO1055" s="94">
        <f>IF(A1055="","",IF(AG1055&lt;&gt;"",1,0))</f>
        <v/>
      </c>
      <c r="AP1055" s="220">
        <f>IF(P1055&lt;&gt;"","・添待ち","")&amp;IF(Q1055&lt;&gt;"","・住民票","")&amp;IF(R1055&lt;&gt;"","・発信","")&amp;IF(S1055&lt;&gt;"","・確認事項","")&amp;IF(T1055&lt;&gt;"","・管","")&amp;IF(U1055&lt;&gt;"","・SV","")&amp;IF(V1055&lt;&gt;"","・データ送付待ち","")&amp;IF(W1055&lt;&gt;"","・削除","")</f>
        <v/>
      </c>
    </row>
    <row r="1056" ht="15" customHeight="1" s="87">
      <c r="AL1056" s="94">
        <f>IF(A1056="","",IF(COUNTIF(A1056:A$2001,A1056)=1,1,0))</f>
        <v/>
      </c>
      <c r="AM1056" s="94">
        <f>IF(I1056="","",TODAY()-I1056)</f>
        <v/>
      </c>
      <c r="AN1056" s="94">
        <f>IF(A1056="","",IF(AND(E1056&lt;&gt;"33 確認済",E1056&lt;&gt;"36 送付中"),1,0))</f>
        <v/>
      </c>
      <c r="AO1056" s="94">
        <f>IF(A1056="","",IF(AG1056&lt;&gt;"",1,0))</f>
        <v/>
      </c>
      <c r="AP1056" s="220">
        <f>IF(P1056&lt;&gt;"","・添待ち","")&amp;IF(Q1056&lt;&gt;"","・住民票","")&amp;IF(R1056&lt;&gt;"","・発信","")&amp;IF(S1056&lt;&gt;"","・確認事項","")&amp;IF(T1056&lt;&gt;"","・管","")&amp;IF(U1056&lt;&gt;"","・SV","")&amp;IF(V1056&lt;&gt;"","・データ送付待ち","")&amp;IF(W1056&lt;&gt;"","・削除","")</f>
        <v/>
      </c>
    </row>
    <row r="1057" ht="15" customHeight="1" s="87">
      <c r="AL1057" s="94">
        <f>IF(A1057="","",IF(COUNTIF(A1057:A$2001,A1057)=1,1,0))</f>
        <v/>
      </c>
      <c r="AM1057" s="94">
        <f>IF(I1057="","",TODAY()-I1057)</f>
        <v/>
      </c>
      <c r="AN1057" s="94">
        <f>IF(A1057="","",IF(AND(E1057&lt;&gt;"33 確認済",E1057&lt;&gt;"36 送付中"),1,0))</f>
        <v/>
      </c>
      <c r="AO1057" s="94">
        <f>IF(A1057="","",IF(AG1057&lt;&gt;"",1,0))</f>
        <v/>
      </c>
      <c r="AP1057" s="220">
        <f>IF(P1057&lt;&gt;"","・添待ち","")&amp;IF(Q1057&lt;&gt;"","・住民票","")&amp;IF(R1057&lt;&gt;"","・発信","")&amp;IF(S1057&lt;&gt;"","・確認事項","")&amp;IF(T1057&lt;&gt;"","・管","")&amp;IF(U1057&lt;&gt;"","・SV","")&amp;IF(V1057&lt;&gt;"","・データ送付待ち","")&amp;IF(W1057&lt;&gt;"","・削除","")</f>
        <v/>
      </c>
    </row>
    <row r="1058" ht="15" customHeight="1" s="87">
      <c r="AL1058" s="94">
        <f>IF(A1058="","",IF(COUNTIF(A1058:A$2001,A1058)=1,1,0))</f>
        <v/>
      </c>
      <c r="AM1058" s="94">
        <f>IF(I1058="","",TODAY()-I1058)</f>
        <v/>
      </c>
      <c r="AN1058" s="94">
        <f>IF(A1058="","",IF(AND(E1058&lt;&gt;"33 確認済",E1058&lt;&gt;"36 送付中"),1,0))</f>
        <v/>
      </c>
      <c r="AO1058" s="94">
        <f>IF(A1058="","",IF(AG1058&lt;&gt;"",1,0))</f>
        <v/>
      </c>
      <c r="AP1058" s="220">
        <f>IF(P1058&lt;&gt;"","・添待ち","")&amp;IF(Q1058&lt;&gt;"","・住民票","")&amp;IF(R1058&lt;&gt;"","・発信","")&amp;IF(S1058&lt;&gt;"","・確認事項","")&amp;IF(T1058&lt;&gt;"","・管","")&amp;IF(U1058&lt;&gt;"","・SV","")&amp;IF(V1058&lt;&gt;"","・データ送付待ち","")&amp;IF(W1058&lt;&gt;"","・削除","")</f>
        <v/>
      </c>
    </row>
    <row r="1059" ht="15" customHeight="1" s="87">
      <c r="AL1059" s="94">
        <f>IF(A1059="","",IF(COUNTIF(A1059:A$2001,A1059)=1,1,0))</f>
        <v/>
      </c>
      <c r="AM1059" s="94">
        <f>IF(I1059="","",TODAY()-I1059)</f>
        <v/>
      </c>
      <c r="AN1059" s="94">
        <f>IF(A1059="","",IF(AND(E1059&lt;&gt;"33 確認済",E1059&lt;&gt;"36 送付中"),1,0))</f>
        <v/>
      </c>
      <c r="AO1059" s="94">
        <f>IF(A1059="","",IF(AG1059&lt;&gt;"",1,0))</f>
        <v/>
      </c>
      <c r="AP1059" s="220">
        <f>IF(P1059&lt;&gt;"","・添待ち","")&amp;IF(Q1059&lt;&gt;"","・住民票","")&amp;IF(R1059&lt;&gt;"","・発信","")&amp;IF(S1059&lt;&gt;"","・確認事項","")&amp;IF(T1059&lt;&gt;"","・管","")&amp;IF(U1059&lt;&gt;"","・SV","")&amp;IF(V1059&lt;&gt;"","・データ送付待ち","")&amp;IF(W1059&lt;&gt;"","・削除","")</f>
        <v/>
      </c>
    </row>
    <row r="1060" ht="15" customHeight="1" s="87">
      <c r="AL1060" s="94">
        <f>IF(A1060="","",IF(COUNTIF(A1060:A$2001,A1060)=1,1,0))</f>
        <v/>
      </c>
      <c r="AM1060" s="94">
        <f>IF(I1060="","",TODAY()-I1060)</f>
        <v/>
      </c>
      <c r="AN1060" s="94">
        <f>IF(A1060="","",IF(AND(E1060&lt;&gt;"33 確認済",E1060&lt;&gt;"36 送付中"),1,0))</f>
        <v/>
      </c>
      <c r="AO1060" s="94">
        <f>IF(A1060="","",IF(AG1060&lt;&gt;"",1,0))</f>
        <v/>
      </c>
      <c r="AP1060" s="220">
        <f>IF(P1060&lt;&gt;"","・添待ち","")&amp;IF(Q1060&lt;&gt;"","・住民票","")&amp;IF(R1060&lt;&gt;"","・発信","")&amp;IF(S1060&lt;&gt;"","・確認事項","")&amp;IF(T1060&lt;&gt;"","・管","")&amp;IF(U1060&lt;&gt;"","・SV","")&amp;IF(V1060&lt;&gt;"","・データ送付待ち","")&amp;IF(W1060&lt;&gt;"","・削除","")</f>
        <v/>
      </c>
    </row>
    <row r="1061" ht="15" customHeight="1" s="87">
      <c r="AL1061" s="94">
        <f>IF(A1061="","",IF(COUNTIF(A1061:A$2001,A1061)=1,1,0))</f>
        <v/>
      </c>
      <c r="AM1061" s="94">
        <f>IF(I1061="","",TODAY()-I1061)</f>
        <v/>
      </c>
      <c r="AN1061" s="94">
        <f>IF(A1061="","",IF(AND(E1061&lt;&gt;"33 確認済",E1061&lt;&gt;"36 送付中"),1,0))</f>
        <v/>
      </c>
      <c r="AO1061" s="94">
        <f>IF(A1061="","",IF(AG1061&lt;&gt;"",1,0))</f>
        <v/>
      </c>
      <c r="AP1061" s="220">
        <f>IF(P1061&lt;&gt;"","・添待ち","")&amp;IF(Q1061&lt;&gt;"","・住民票","")&amp;IF(R1061&lt;&gt;"","・発信","")&amp;IF(S1061&lt;&gt;"","・確認事項","")&amp;IF(T1061&lt;&gt;"","・管","")&amp;IF(U1061&lt;&gt;"","・SV","")&amp;IF(V1061&lt;&gt;"","・データ送付待ち","")&amp;IF(W1061&lt;&gt;"","・削除","")</f>
        <v/>
      </c>
    </row>
    <row r="1062" ht="15" customHeight="1" s="87">
      <c r="AL1062" s="94">
        <f>IF(A1062="","",IF(COUNTIF(A1062:A$2001,A1062)=1,1,0))</f>
        <v/>
      </c>
      <c r="AM1062" s="94">
        <f>IF(I1062="","",TODAY()-I1062)</f>
        <v/>
      </c>
      <c r="AN1062" s="94">
        <f>IF(A1062="","",IF(AND(E1062&lt;&gt;"33 確認済",E1062&lt;&gt;"36 送付中"),1,0))</f>
        <v/>
      </c>
      <c r="AO1062" s="94">
        <f>IF(A1062="","",IF(AG1062&lt;&gt;"",1,0))</f>
        <v/>
      </c>
      <c r="AP1062" s="220">
        <f>IF(P1062&lt;&gt;"","・添待ち","")&amp;IF(Q1062&lt;&gt;"","・住民票","")&amp;IF(R1062&lt;&gt;"","・発信","")&amp;IF(S1062&lt;&gt;"","・確認事項","")&amp;IF(T1062&lt;&gt;"","・管","")&amp;IF(U1062&lt;&gt;"","・SV","")&amp;IF(V1062&lt;&gt;"","・データ送付待ち","")&amp;IF(W1062&lt;&gt;"","・削除","")</f>
        <v/>
      </c>
    </row>
    <row r="1063" ht="15" customHeight="1" s="87">
      <c r="AL1063" s="94">
        <f>IF(A1063="","",IF(COUNTIF(A1063:A$2001,A1063)=1,1,0))</f>
        <v/>
      </c>
      <c r="AM1063" s="94">
        <f>IF(I1063="","",TODAY()-I1063)</f>
        <v/>
      </c>
      <c r="AN1063" s="94">
        <f>IF(A1063="","",IF(AND(E1063&lt;&gt;"33 確認済",E1063&lt;&gt;"36 送付中"),1,0))</f>
        <v/>
      </c>
      <c r="AO1063" s="94">
        <f>IF(A1063="","",IF(AG1063&lt;&gt;"",1,0))</f>
        <v/>
      </c>
      <c r="AP1063" s="220">
        <f>IF(P1063&lt;&gt;"","・添待ち","")&amp;IF(Q1063&lt;&gt;"","・住民票","")&amp;IF(R1063&lt;&gt;"","・発信","")&amp;IF(S1063&lt;&gt;"","・確認事項","")&amp;IF(T1063&lt;&gt;"","・管","")&amp;IF(U1063&lt;&gt;"","・SV","")&amp;IF(V1063&lt;&gt;"","・データ送付待ち","")&amp;IF(W1063&lt;&gt;"","・削除","")</f>
        <v/>
      </c>
    </row>
    <row r="1064" ht="15" customHeight="1" s="87">
      <c r="AL1064" s="94">
        <f>IF(A1064="","",IF(COUNTIF(A1064:A$2001,A1064)=1,1,0))</f>
        <v/>
      </c>
      <c r="AM1064" s="94">
        <f>IF(I1064="","",TODAY()-I1064)</f>
        <v/>
      </c>
      <c r="AN1064" s="94">
        <f>IF(A1064="","",IF(AND(E1064&lt;&gt;"33 確認済",E1064&lt;&gt;"36 送付中"),1,0))</f>
        <v/>
      </c>
      <c r="AO1064" s="94">
        <f>IF(A1064="","",IF(AG1064&lt;&gt;"",1,0))</f>
        <v/>
      </c>
      <c r="AP1064" s="220">
        <f>IF(P1064&lt;&gt;"","・添待ち","")&amp;IF(Q1064&lt;&gt;"","・住民票","")&amp;IF(R1064&lt;&gt;"","・発信","")&amp;IF(S1064&lt;&gt;"","・確認事項","")&amp;IF(T1064&lt;&gt;"","・管","")&amp;IF(U1064&lt;&gt;"","・SV","")&amp;IF(V1064&lt;&gt;"","・データ送付待ち","")&amp;IF(W1064&lt;&gt;"","・削除","")</f>
        <v/>
      </c>
    </row>
    <row r="1065" ht="15" customHeight="1" s="87">
      <c r="AL1065" s="94">
        <f>IF(A1065="","",IF(COUNTIF(A1065:A$2001,A1065)=1,1,0))</f>
        <v/>
      </c>
      <c r="AM1065" s="94">
        <f>IF(I1065="","",TODAY()-I1065)</f>
        <v/>
      </c>
      <c r="AN1065" s="94">
        <f>IF(A1065="","",IF(AND(E1065&lt;&gt;"33 確認済",E1065&lt;&gt;"36 送付中"),1,0))</f>
        <v/>
      </c>
      <c r="AO1065" s="94">
        <f>IF(A1065="","",IF(AG1065&lt;&gt;"",1,0))</f>
        <v/>
      </c>
      <c r="AP1065" s="220">
        <f>IF(P1065&lt;&gt;"","・添待ち","")&amp;IF(Q1065&lt;&gt;"","・住民票","")&amp;IF(R1065&lt;&gt;"","・発信","")&amp;IF(S1065&lt;&gt;"","・確認事項","")&amp;IF(T1065&lt;&gt;"","・管","")&amp;IF(U1065&lt;&gt;"","・SV","")&amp;IF(V1065&lt;&gt;"","・データ送付待ち","")&amp;IF(W1065&lt;&gt;"","・削除","")</f>
        <v/>
      </c>
    </row>
    <row r="1066" ht="15" customHeight="1" s="87">
      <c r="AL1066" s="94">
        <f>IF(A1066="","",IF(COUNTIF(A1066:A$2001,A1066)=1,1,0))</f>
        <v/>
      </c>
      <c r="AM1066" s="94">
        <f>IF(I1066="","",TODAY()-I1066)</f>
        <v/>
      </c>
      <c r="AN1066" s="94">
        <f>IF(A1066="","",IF(AND(E1066&lt;&gt;"33 確認済",E1066&lt;&gt;"36 送付中"),1,0))</f>
        <v/>
      </c>
      <c r="AO1066" s="94">
        <f>IF(A1066="","",IF(AG1066&lt;&gt;"",1,0))</f>
        <v/>
      </c>
      <c r="AP1066" s="220">
        <f>IF(P1066&lt;&gt;"","・添待ち","")&amp;IF(Q1066&lt;&gt;"","・住民票","")&amp;IF(R1066&lt;&gt;"","・発信","")&amp;IF(S1066&lt;&gt;"","・確認事項","")&amp;IF(T1066&lt;&gt;"","・管","")&amp;IF(U1066&lt;&gt;"","・SV","")&amp;IF(V1066&lt;&gt;"","・データ送付待ち","")&amp;IF(W1066&lt;&gt;"","・削除","")</f>
        <v/>
      </c>
    </row>
    <row r="1067" ht="15" customHeight="1" s="87">
      <c r="AL1067" s="94">
        <f>IF(A1067="","",IF(COUNTIF(A1067:A$2001,A1067)=1,1,0))</f>
        <v/>
      </c>
      <c r="AM1067" s="94">
        <f>IF(I1067="","",TODAY()-I1067)</f>
        <v/>
      </c>
      <c r="AN1067" s="94">
        <f>IF(A1067="","",IF(AND(E1067&lt;&gt;"33 確認済",E1067&lt;&gt;"36 送付中"),1,0))</f>
        <v/>
      </c>
      <c r="AO1067" s="94">
        <f>IF(A1067="","",IF(AG1067&lt;&gt;"",1,0))</f>
        <v/>
      </c>
      <c r="AP1067" s="220">
        <f>IF(P1067&lt;&gt;"","・添待ち","")&amp;IF(Q1067&lt;&gt;"","・住民票","")&amp;IF(R1067&lt;&gt;"","・発信","")&amp;IF(S1067&lt;&gt;"","・確認事項","")&amp;IF(T1067&lt;&gt;"","・管","")&amp;IF(U1067&lt;&gt;"","・SV","")&amp;IF(V1067&lt;&gt;"","・データ送付待ち","")&amp;IF(W1067&lt;&gt;"","・削除","")</f>
        <v/>
      </c>
    </row>
    <row r="1068" ht="15" customHeight="1" s="87">
      <c r="AL1068" s="94">
        <f>IF(A1068="","",IF(COUNTIF(A1068:A$2001,A1068)=1,1,0))</f>
        <v/>
      </c>
      <c r="AM1068" s="94">
        <f>IF(I1068="","",TODAY()-I1068)</f>
        <v/>
      </c>
      <c r="AN1068" s="94">
        <f>IF(A1068="","",IF(AND(E1068&lt;&gt;"33 確認済",E1068&lt;&gt;"36 送付中"),1,0))</f>
        <v/>
      </c>
      <c r="AO1068" s="94">
        <f>IF(A1068="","",IF(AG1068&lt;&gt;"",1,0))</f>
        <v/>
      </c>
      <c r="AP1068" s="220">
        <f>IF(P1068&lt;&gt;"","・添待ち","")&amp;IF(Q1068&lt;&gt;"","・住民票","")&amp;IF(R1068&lt;&gt;"","・発信","")&amp;IF(S1068&lt;&gt;"","・確認事項","")&amp;IF(T1068&lt;&gt;"","・管","")&amp;IF(U1068&lt;&gt;"","・SV","")&amp;IF(V1068&lt;&gt;"","・データ送付待ち","")&amp;IF(W1068&lt;&gt;"","・削除","")</f>
        <v/>
      </c>
    </row>
    <row r="1069" ht="15" customHeight="1" s="87">
      <c r="AL1069" s="94">
        <f>IF(A1069="","",IF(COUNTIF(A1069:A$2001,A1069)=1,1,0))</f>
        <v/>
      </c>
      <c r="AM1069" s="94">
        <f>IF(I1069="","",TODAY()-I1069)</f>
        <v/>
      </c>
      <c r="AN1069" s="94">
        <f>IF(A1069="","",IF(AND(E1069&lt;&gt;"33 確認済",E1069&lt;&gt;"36 送付中"),1,0))</f>
        <v/>
      </c>
      <c r="AO1069" s="94">
        <f>IF(A1069="","",IF(AG1069&lt;&gt;"",1,0))</f>
        <v/>
      </c>
      <c r="AP1069" s="220">
        <f>IF(P1069&lt;&gt;"","・添待ち","")&amp;IF(Q1069&lt;&gt;"","・住民票","")&amp;IF(R1069&lt;&gt;"","・発信","")&amp;IF(S1069&lt;&gt;"","・確認事項","")&amp;IF(T1069&lt;&gt;"","・管","")&amp;IF(U1069&lt;&gt;"","・SV","")&amp;IF(V1069&lt;&gt;"","・データ送付待ち","")&amp;IF(W1069&lt;&gt;"","・削除","")</f>
        <v/>
      </c>
    </row>
    <row r="1070" ht="15" customHeight="1" s="87">
      <c r="AL1070" s="94">
        <f>IF(A1070="","",IF(COUNTIF(A1070:A$2001,A1070)=1,1,0))</f>
        <v/>
      </c>
      <c r="AM1070" s="94">
        <f>IF(I1070="","",TODAY()-I1070)</f>
        <v/>
      </c>
      <c r="AN1070" s="94">
        <f>IF(A1070="","",IF(AND(E1070&lt;&gt;"33 確認済",E1070&lt;&gt;"36 送付中"),1,0))</f>
        <v/>
      </c>
      <c r="AO1070" s="94">
        <f>IF(A1070="","",IF(AG1070&lt;&gt;"",1,0))</f>
        <v/>
      </c>
      <c r="AP1070" s="220">
        <f>IF(P1070&lt;&gt;"","・添待ち","")&amp;IF(Q1070&lt;&gt;"","・住民票","")&amp;IF(R1070&lt;&gt;"","・発信","")&amp;IF(S1070&lt;&gt;"","・確認事項","")&amp;IF(T1070&lt;&gt;"","・管","")&amp;IF(U1070&lt;&gt;"","・SV","")&amp;IF(V1070&lt;&gt;"","・データ送付待ち","")&amp;IF(W1070&lt;&gt;"","・削除","")</f>
        <v/>
      </c>
    </row>
    <row r="1071" ht="15" customHeight="1" s="87">
      <c r="AL1071" s="94">
        <f>IF(A1071="","",IF(COUNTIF(A1071:A$2001,A1071)=1,1,0))</f>
        <v/>
      </c>
      <c r="AM1071" s="94">
        <f>IF(I1071="","",TODAY()-I1071)</f>
        <v/>
      </c>
      <c r="AN1071" s="94">
        <f>IF(A1071="","",IF(AND(E1071&lt;&gt;"33 確認済",E1071&lt;&gt;"36 送付中"),1,0))</f>
        <v/>
      </c>
      <c r="AO1071" s="94">
        <f>IF(A1071="","",IF(AG1071&lt;&gt;"",1,0))</f>
        <v/>
      </c>
      <c r="AP1071" s="220">
        <f>IF(P1071&lt;&gt;"","・添待ち","")&amp;IF(Q1071&lt;&gt;"","・住民票","")&amp;IF(R1071&lt;&gt;"","・発信","")&amp;IF(S1071&lt;&gt;"","・確認事項","")&amp;IF(T1071&lt;&gt;"","・管","")&amp;IF(U1071&lt;&gt;"","・SV","")&amp;IF(V1071&lt;&gt;"","・データ送付待ち","")&amp;IF(W1071&lt;&gt;"","・削除","")</f>
        <v/>
      </c>
    </row>
    <row r="1072" ht="15" customHeight="1" s="87">
      <c r="AL1072" s="94">
        <f>IF(A1072="","",IF(COUNTIF(A1072:A$2001,A1072)=1,1,0))</f>
        <v/>
      </c>
      <c r="AM1072" s="94">
        <f>IF(I1072="","",TODAY()-I1072)</f>
        <v/>
      </c>
      <c r="AN1072" s="94">
        <f>IF(A1072="","",IF(AND(E1072&lt;&gt;"33 確認済",E1072&lt;&gt;"36 送付中"),1,0))</f>
        <v/>
      </c>
      <c r="AO1072" s="94">
        <f>IF(A1072="","",IF(AG1072&lt;&gt;"",1,0))</f>
        <v/>
      </c>
      <c r="AP1072" s="220">
        <f>IF(P1072&lt;&gt;"","・添待ち","")&amp;IF(Q1072&lt;&gt;"","・住民票","")&amp;IF(R1072&lt;&gt;"","・発信","")&amp;IF(S1072&lt;&gt;"","・確認事項","")&amp;IF(T1072&lt;&gt;"","・管","")&amp;IF(U1072&lt;&gt;"","・SV","")&amp;IF(V1072&lt;&gt;"","・データ送付待ち","")&amp;IF(W1072&lt;&gt;"","・削除","")</f>
        <v/>
      </c>
    </row>
    <row r="1073" ht="15" customHeight="1" s="87">
      <c r="AL1073" s="94">
        <f>IF(A1073="","",IF(COUNTIF(A1073:A$2001,A1073)=1,1,0))</f>
        <v/>
      </c>
      <c r="AM1073" s="94">
        <f>IF(I1073="","",TODAY()-I1073)</f>
        <v/>
      </c>
      <c r="AN1073" s="94">
        <f>IF(A1073="","",IF(AND(E1073&lt;&gt;"33 確認済",E1073&lt;&gt;"36 送付中"),1,0))</f>
        <v/>
      </c>
      <c r="AO1073" s="94">
        <f>IF(A1073="","",IF(AG1073&lt;&gt;"",1,0))</f>
        <v/>
      </c>
      <c r="AP1073" s="220">
        <f>IF(P1073&lt;&gt;"","・添待ち","")&amp;IF(Q1073&lt;&gt;"","・住民票","")&amp;IF(R1073&lt;&gt;"","・発信","")&amp;IF(S1073&lt;&gt;"","・確認事項","")&amp;IF(T1073&lt;&gt;"","・管","")&amp;IF(U1073&lt;&gt;"","・SV","")&amp;IF(V1073&lt;&gt;"","・データ送付待ち","")&amp;IF(W1073&lt;&gt;"","・削除","")</f>
        <v/>
      </c>
    </row>
    <row r="1074" ht="15" customHeight="1" s="87">
      <c r="AL1074" s="94">
        <f>IF(A1074="","",IF(COUNTIF(A1074:A$2001,A1074)=1,1,0))</f>
        <v/>
      </c>
      <c r="AM1074" s="94">
        <f>IF(I1074="","",TODAY()-I1074)</f>
        <v/>
      </c>
      <c r="AN1074" s="94">
        <f>IF(A1074="","",IF(AND(E1074&lt;&gt;"33 確認済",E1074&lt;&gt;"36 送付中"),1,0))</f>
        <v/>
      </c>
      <c r="AO1074" s="94">
        <f>IF(A1074="","",IF(AG1074&lt;&gt;"",1,0))</f>
        <v/>
      </c>
      <c r="AP1074" s="220">
        <f>IF(P1074&lt;&gt;"","・添待ち","")&amp;IF(Q1074&lt;&gt;"","・住民票","")&amp;IF(R1074&lt;&gt;"","・発信","")&amp;IF(S1074&lt;&gt;"","・確認事項","")&amp;IF(T1074&lt;&gt;"","・管","")&amp;IF(U1074&lt;&gt;"","・SV","")&amp;IF(V1074&lt;&gt;"","・データ送付待ち","")&amp;IF(W1074&lt;&gt;"","・削除","")</f>
        <v/>
      </c>
    </row>
    <row r="1075" ht="15" customHeight="1" s="87">
      <c r="AL1075" s="94">
        <f>IF(A1075="","",IF(COUNTIF(A1075:A$2001,A1075)=1,1,0))</f>
        <v/>
      </c>
      <c r="AM1075" s="94">
        <f>IF(I1075="","",TODAY()-I1075)</f>
        <v/>
      </c>
      <c r="AN1075" s="94">
        <f>IF(A1075="","",IF(AND(E1075&lt;&gt;"33 確認済",E1075&lt;&gt;"36 送付中"),1,0))</f>
        <v/>
      </c>
      <c r="AO1075" s="94">
        <f>IF(A1075="","",IF(AG1075&lt;&gt;"",1,0))</f>
        <v/>
      </c>
      <c r="AP1075" s="220">
        <f>IF(P1075&lt;&gt;"","・添待ち","")&amp;IF(Q1075&lt;&gt;"","・住民票","")&amp;IF(R1075&lt;&gt;"","・発信","")&amp;IF(S1075&lt;&gt;"","・確認事項","")&amp;IF(T1075&lt;&gt;"","・管","")&amp;IF(U1075&lt;&gt;"","・SV","")&amp;IF(V1075&lt;&gt;"","・データ送付待ち","")&amp;IF(W1075&lt;&gt;"","・削除","")</f>
        <v/>
      </c>
    </row>
    <row r="1076" ht="15" customHeight="1" s="87">
      <c r="AL1076" s="94">
        <f>IF(A1076="","",IF(COUNTIF(A1076:A$2001,A1076)=1,1,0))</f>
        <v/>
      </c>
      <c r="AM1076" s="94">
        <f>IF(I1076="","",TODAY()-I1076)</f>
        <v/>
      </c>
      <c r="AN1076" s="94">
        <f>IF(A1076="","",IF(AND(E1076&lt;&gt;"33 確認済",E1076&lt;&gt;"36 送付中"),1,0))</f>
        <v/>
      </c>
      <c r="AO1076" s="94">
        <f>IF(A1076="","",IF(AG1076&lt;&gt;"",1,0))</f>
        <v/>
      </c>
      <c r="AP1076" s="220">
        <f>IF(P1076&lt;&gt;"","・添待ち","")&amp;IF(Q1076&lt;&gt;"","・住民票","")&amp;IF(R1076&lt;&gt;"","・発信","")&amp;IF(S1076&lt;&gt;"","・確認事項","")&amp;IF(T1076&lt;&gt;"","・管","")&amp;IF(U1076&lt;&gt;"","・SV","")&amp;IF(V1076&lt;&gt;"","・データ送付待ち","")&amp;IF(W1076&lt;&gt;"","・削除","")</f>
        <v/>
      </c>
    </row>
    <row r="1077" ht="15" customHeight="1" s="87">
      <c r="AL1077" s="94">
        <f>IF(A1077="","",IF(COUNTIF(A1077:A$2001,A1077)=1,1,0))</f>
        <v/>
      </c>
      <c r="AM1077" s="94">
        <f>IF(I1077="","",TODAY()-I1077)</f>
        <v/>
      </c>
      <c r="AN1077" s="94">
        <f>IF(A1077="","",IF(AND(E1077&lt;&gt;"33 確認済",E1077&lt;&gt;"36 送付中"),1,0))</f>
        <v/>
      </c>
      <c r="AO1077" s="94">
        <f>IF(A1077="","",IF(AG1077&lt;&gt;"",1,0))</f>
        <v/>
      </c>
      <c r="AP1077" s="220">
        <f>IF(P1077&lt;&gt;"","・添待ち","")&amp;IF(Q1077&lt;&gt;"","・住民票","")&amp;IF(R1077&lt;&gt;"","・発信","")&amp;IF(S1077&lt;&gt;"","・確認事項","")&amp;IF(T1077&lt;&gt;"","・管","")&amp;IF(U1077&lt;&gt;"","・SV","")&amp;IF(V1077&lt;&gt;"","・データ送付待ち","")&amp;IF(W1077&lt;&gt;"","・削除","")</f>
        <v/>
      </c>
    </row>
    <row r="1078" ht="15" customHeight="1" s="87">
      <c r="AL1078" s="94">
        <f>IF(A1078="","",IF(COUNTIF(A1078:A$2001,A1078)=1,1,0))</f>
        <v/>
      </c>
      <c r="AM1078" s="94">
        <f>IF(I1078="","",TODAY()-I1078)</f>
        <v/>
      </c>
      <c r="AN1078" s="94">
        <f>IF(A1078="","",IF(AND(E1078&lt;&gt;"33 確認済",E1078&lt;&gt;"36 送付中"),1,0))</f>
        <v/>
      </c>
      <c r="AO1078" s="94">
        <f>IF(A1078="","",IF(AG1078&lt;&gt;"",1,0))</f>
        <v/>
      </c>
      <c r="AP1078" s="220">
        <f>IF(P1078&lt;&gt;"","・添待ち","")&amp;IF(Q1078&lt;&gt;"","・住民票","")&amp;IF(R1078&lt;&gt;"","・発信","")&amp;IF(S1078&lt;&gt;"","・確認事項","")&amp;IF(T1078&lt;&gt;"","・管","")&amp;IF(U1078&lt;&gt;"","・SV","")&amp;IF(V1078&lt;&gt;"","・データ送付待ち","")&amp;IF(W1078&lt;&gt;"","・削除","")</f>
        <v/>
      </c>
    </row>
    <row r="1079" ht="15" customHeight="1" s="87">
      <c r="AL1079" s="94">
        <f>IF(A1079="","",IF(COUNTIF(A1079:A$2001,A1079)=1,1,0))</f>
        <v/>
      </c>
      <c r="AM1079" s="94">
        <f>IF(I1079="","",TODAY()-I1079)</f>
        <v/>
      </c>
      <c r="AN1079" s="94">
        <f>IF(A1079="","",IF(AND(E1079&lt;&gt;"33 確認済",E1079&lt;&gt;"36 送付中"),1,0))</f>
        <v/>
      </c>
      <c r="AO1079" s="94">
        <f>IF(A1079="","",IF(AG1079&lt;&gt;"",1,0))</f>
        <v/>
      </c>
      <c r="AP1079" s="220">
        <f>IF(P1079&lt;&gt;"","・添待ち","")&amp;IF(Q1079&lt;&gt;"","・住民票","")&amp;IF(R1079&lt;&gt;"","・発信","")&amp;IF(S1079&lt;&gt;"","・確認事項","")&amp;IF(T1079&lt;&gt;"","・管","")&amp;IF(U1079&lt;&gt;"","・SV","")&amp;IF(V1079&lt;&gt;"","・データ送付待ち","")&amp;IF(W1079&lt;&gt;"","・削除","")</f>
        <v/>
      </c>
    </row>
    <row r="1080" ht="15" customHeight="1" s="87">
      <c r="AL1080" s="94">
        <f>IF(A1080="","",IF(COUNTIF(A1080:A$2001,A1080)=1,1,0))</f>
        <v/>
      </c>
      <c r="AM1080" s="94">
        <f>IF(I1080="","",TODAY()-I1080)</f>
        <v/>
      </c>
      <c r="AN1080" s="94">
        <f>IF(A1080="","",IF(AND(E1080&lt;&gt;"33 確認済",E1080&lt;&gt;"36 送付中"),1,0))</f>
        <v/>
      </c>
      <c r="AO1080" s="94">
        <f>IF(A1080="","",IF(AG1080&lt;&gt;"",1,0))</f>
        <v/>
      </c>
      <c r="AP1080" s="220">
        <f>IF(P1080&lt;&gt;"","・添待ち","")&amp;IF(Q1080&lt;&gt;"","・住民票","")&amp;IF(R1080&lt;&gt;"","・発信","")&amp;IF(S1080&lt;&gt;"","・確認事項","")&amp;IF(T1080&lt;&gt;"","・管","")&amp;IF(U1080&lt;&gt;"","・SV","")&amp;IF(V1080&lt;&gt;"","・データ送付待ち","")&amp;IF(W1080&lt;&gt;"","・削除","")</f>
        <v/>
      </c>
    </row>
    <row r="1081" ht="15" customHeight="1" s="87">
      <c r="AL1081" s="94">
        <f>IF(A1081="","",IF(COUNTIF(A1081:A$2001,A1081)=1,1,0))</f>
        <v/>
      </c>
      <c r="AM1081" s="94">
        <f>IF(I1081="","",TODAY()-I1081)</f>
        <v/>
      </c>
      <c r="AN1081" s="94">
        <f>IF(A1081="","",IF(AND(E1081&lt;&gt;"33 確認済",E1081&lt;&gt;"36 送付中"),1,0))</f>
        <v/>
      </c>
      <c r="AO1081" s="94">
        <f>IF(A1081="","",IF(AG1081&lt;&gt;"",1,0))</f>
        <v/>
      </c>
      <c r="AP1081" s="220">
        <f>IF(P1081&lt;&gt;"","・添待ち","")&amp;IF(Q1081&lt;&gt;"","・住民票","")&amp;IF(R1081&lt;&gt;"","・発信","")&amp;IF(S1081&lt;&gt;"","・確認事項","")&amp;IF(T1081&lt;&gt;"","・管","")&amp;IF(U1081&lt;&gt;"","・SV","")&amp;IF(V1081&lt;&gt;"","・データ送付待ち","")&amp;IF(W1081&lt;&gt;"","・削除","")</f>
        <v/>
      </c>
    </row>
    <row r="1082" ht="15" customHeight="1" s="87">
      <c r="AL1082" s="94">
        <f>IF(A1082="","",IF(COUNTIF(A1082:A$2001,A1082)=1,1,0))</f>
        <v/>
      </c>
      <c r="AM1082" s="94">
        <f>IF(I1082="","",TODAY()-I1082)</f>
        <v/>
      </c>
      <c r="AN1082" s="94">
        <f>IF(A1082="","",IF(AND(E1082&lt;&gt;"33 確認済",E1082&lt;&gt;"36 送付中"),1,0))</f>
        <v/>
      </c>
      <c r="AO1082" s="94">
        <f>IF(A1082="","",IF(AG1082&lt;&gt;"",1,0))</f>
        <v/>
      </c>
      <c r="AP1082" s="220">
        <f>IF(P1082&lt;&gt;"","・添待ち","")&amp;IF(Q1082&lt;&gt;"","・住民票","")&amp;IF(R1082&lt;&gt;"","・発信","")&amp;IF(S1082&lt;&gt;"","・確認事項","")&amp;IF(T1082&lt;&gt;"","・管","")&amp;IF(U1082&lt;&gt;"","・SV","")&amp;IF(V1082&lt;&gt;"","・データ送付待ち","")&amp;IF(W1082&lt;&gt;"","・削除","")</f>
        <v/>
      </c>
    </row>
    <row r="1083" ht="15" customHeight="1" s="87">
      <c r="AL1083" s="94">
        <f>IF(A1083="","",IF(COUNTIF(A1083:A$2001,A1083)=1,1,0))</f>
        <v/>
      </c>
      <c r="AM1083" s="94">
        <f>IF(I1083="","",TODAY()-I1083)</f>
        <v/>
      </c>
      <c r="AN1083" s="94">
        <f>IF(A1083="","",IF(AND(E1083&lt;&gt;"33 確認済",E1083&lt;&gt;"36 送付中"),1,0))</f>
        <v/>
      </c>
      <c r="AO1083" s="94">
        <f>IF(A1083="","",IF(AG1083&lt;&gt;"",1,0))</f>
        <v/>
      </c>
      <c r="AP1083" s="220">
        <f>IF(P1083&lt;&gt;"","・添待ち","")&amp;IF(Q1083&lt;&gt;"","・住民票","")&amp;IF(R1083&lt;&gt;"","・発信","")&amp;IF(S1083&lt;&gt;"","・確認事項","")&amp;IF(T1083&lt;&gt;"","・管","")&amp;IF(U1083&lt;&gt;"","・SV","")&amp;IF(V1083&lt;&gt;"","・データ送付待ち","")&amp;IF(W1083&lt;&gt;"","・削除","")</f>
        <v/>
      </c>
    </row>
    <row r="1084" ht="15" customHeight="1" s="87">
      <c r="AL1084" s="94">
        <f>IF(A1084="","",IF(COUNTIF(A1084:A$2001,A1084)=1,1,0))</f>
        <v/>
      </c>
      <c r="AM1084" s="94">
        <f>IF(I1084="","",TODAY()-I1084)</f>
        <v/>
      </c>
      <c r="AN1084" s="94">
        <f>IF(A1084="","",IF(AND(E1084&lt;&gt;"33 確認済",E1084&lt;&gt;"36 送付中"),1,0))</f>
        <v/>
      </c>
      <c r="AO1084" s="94">
        <f>IF(A1084="","",IF(AG1084&lt;&gt;"",1,0))</f>
        <v/>
      </c>
      <c r="AP1084" s="220">
        <f>IF(P1084&lt;&gt;"","・添待ち","")&amp;IF(Q1084&lt;&gt;"","・住民票","")&amp;IF(R1084&lt;&gt;"","・発信","")&amp;IF(S1084&lt;&gt;"","・確認事項","")&amp;IF(T1084&lt;&gt;"","・管","")&amp;IF(U1084&lt;&gt;"","・SV","")&amp;IF(V1084&lt;&gt;"","・データ送付待ち","")&amp;IF(W1084&lt;&gt;"","・削除","")</f>
        <v/>
      </c>
    </row>
    <row r="1085" ht="15" customHeight="1" s="87">
      <c r="AL1085" s="94">
        <f>IF(A1085="","",IF(COUNTIF(A1085:A$2001,A1085)=1,1,0))</f>
        <v/>
      </c>
      <c r="AM1085" s="94">
        <f>IF(I1085="","",TODAY()-I1085)</f>
        <v/>
      </c>
      <c r="AN1085" s="94">
        <f>IF(A1085="","",IF(AND(E1085&lt;&gt;"33 確認済",E1085&lt;&gt;"36 送付中"),1,0))</f>
        <v/>
      </c>
      <c r="AO1085" s="94">
        <f>IF(A1085="","",IF(AG1085&lt;&gt;"",1,0))</f>
        <v/>
      </c>
      <c r="AP1085" s="220">
        <f>IF(P1085&lt;&gt;"","・添待ち","")&amp;IF(Q1085&lt;&gt;"","・住民票","")&amp;IF(R1085&lt;&gt;"","・発信","")&amp;IF(S1085&lt;&gt;"","・確認事項","")&amp;IF(T1085&lt;&gt;"","・管","")&amp;IF(U1085&lt;&gt;"","・SV","")&amp;IF(V1085&lt;&gt;"","・データ送付待ち","")&amp;IF(W1085&lt;&gt;"","・削除","")</f>
        <v/>
      </c>
    </row>
    <row r="1086" ht="15" customHeight="1" s="87">
      <c r="AL1086" s="94">
        <f>IF(A1086="","",IF(COUNTIF(A1086:A$2001,A1086)=1,1,0))</f>
        <v/>
      </c>
      <c r="AM1086" s="94">
        <f>IF(I1086="","",TODAY()-I1086)</f>
        <v/>
      </c>
      <c r="AN1086" s="94">
        <f>IF(A1086="","",IF(AND(E1086&lt;&gt;"33 確認済",E1086&lt;&gt;"36 送付中"),1,0))</f>
        <v/>
      </c>
      <c r="AO1086" s="94">
        <f>IF(A1086="","",IF(AG1086&lt;&gt;"",1,0))</f>
        <v/>
      </c>
      <c r="AP1086" s="220">
        <f>IF(P1086&lt;&gt;"","・添待ち","")&amp;IF(Q1086&lt;&gt;"","・住民票","")&amp;IF(R1086&lt;&gt;"","・発信","")&amp;IF(S1086&lt;&gt;"","・確認事項","")&amp;IF(T1086&lt;&gt;"","・管","")&amp;IF(U1086&lt;&gt;"","・SV","")&amp;IF(V1086&lt;&gt;"","・データ送付待ち","")&amp;IF(W1086&lt;&gt;"","・削除","")</f>
        <v/>
      </c>
    </row>
    <row r="1087" ht="15" customHeight="1" s="87">
      <c r="AL1087" s="94">
        <f>IF(A1087="","",IF(COUNTIF(A1087:A$2001,A1087)=1,1,0))</f>
        <v/>
      </c>
      <c r="AM1087" s="94">
        <f>IF(I1087="","",TODAY()-I1087)</f>
        <v/>
      </c>
      <c r="AN1087" s="94">
        <f>IF(A1087="","",IF(AND(E1087&lt;&gt;"33 確認済",E1087&lt;&gt;"36 送付中"),1,0))</f>
        <v/>
      </c>
      <c r="AO1087" s="94">
        <f>IF(A1087="","",IF(AG1087&lt;&gt;"",1,0))</f>
        <v/>
      </c>
      <c r="AP1087" s="220">
        <f>IF(P1087&lt;&gt;"","・添待ち","")&amp;IF(Q1087&lt;&gt;"","・住民票","")&amp;IF(R1087&lt;&gt;"","・発信","")&amp;IF(S1087&lt;&gt;"","・確認事項","")&amp;IF(T1087&lt;&gt;"","・管","")&amp;IF(U1087&lt;&gt;"","・SV","")&amp;IF(V1087&lt;&gt;"","・データ送付待ち","")&amp;IF(W1087&lt;&gt;"","・削除","")</f>
        <v/>
      </c>
    </row>
    <row r="1088" ht="15" customHeight="1" s="87">
      <c r="AL1088" s="94">
        <f>IF(A1088="","",IF(COUNTIF(A1088:A$2001,A1088)=1,1,0))</f>
        <v/>
      </c>
      <c r="AM1088" s="94">
        <f>IF(I1088="","",TODAY()-I1088)</f>
        <v/>
      </c>
      <c r="AN1088" s="94">
        <f>IF(A1088="","",IF(AND(E1088&lt;&gt;"33 確認済",E1088&lt;&gt;"36 送付中"),1,0))</f>
        <v/>
      </c>
      <c r="AO1088" s="94">
        <f>IF(A1088="","",IF(AG1088&lt;&gt;"",1,0))</f>
        <v/>
      </c>
      <c r="AP1088" s="220">
        <f>IF(P1088&lt;&gt;"","・添待ち","")&amp;IF(Q1088&lt;&gt;"","・住民票","")&amp;IF(R1088&lt;&gt;"","・発信","")&amp;IF(S1088&lt;&gt;"","・確認事項","")&amp;IF(T1088&lt;&gt;"","・管","")&amp;IF(U1088&lt;&gt;"","・SV","")&amp;IF(V1088&lt;&gt;"","・データ送付待ち","")&amp;IF(W1088&lt;&gt;"","・削除","")</f>
        <v/>
      </c>
    </row>
    <row r="1089" ht="15" customHeight="1" s="87">
      <c r="AL1089" s="94">
        <f>IF(A1089="","",IF(COUNTIF(A1089:A$2001,A1089)=1,1,0))</f>
        <v/>
      </c>
      <c r="AM1089" s="94">
        <f>IF(I1089="","",TODAY()-I1089)</f>
        <v/>
      </c>
      <c r="AN1089" s="94">
        <f>IF(A1089="","",IF(AND(E1089&lt;&gt;"33 確認済",E1089&lt;&gt;"36 送付中"),1,0))</f>
        <v/>
      </c>
      <c r="AO1089" s="94">
        <f>IF(A1089="","",IF(AG1089&lt;&gt;"",1,0))</f>
        <v/>
      </c>
      <c r="AP1089" s="220">
        <f>IF(P1089&lt;&gt;"","・添待ち","")&amp;IF(Q1089&lt;&gt;"","・住民票","")&amp;IF(R1089&lt;&gt;"","・発信","")&amp;IF(S1089&lt;&gt;"","・確認事項","")&amp;IF(T1089&lt;&gt;"","・管","")&amp;IF(U1089&lt;&gt;"","・SV","")&amp;IF(V1089&lt;&gt;"","・データ送付待ち","")&amp;IF(W1089&lt;&gt;"","・削除","")</f>
        <v/>
      </c>
    </row>
    <row r="1090" ht="15" customHeight="1" s="87">
      <c r="AL1090" s="94">
        <f>IF(A1090="","",IF(COUNTIF(A1090:A$2001,A1090)=1,1,0))</f>
        <v/>
      </c>
      <c r="AM1090" s="94">
        <f>IF(I1090="","",TODAY()-I1090)</f>
        <v/>
      </c>
      <c r="AN1090" s="94">
        <f>IF(A1090="","",IF(AND(E1090&lt;&gt;"33 確認済",E1090&lt;&gt;"36 送付中"),1,0))</f>
        <v/>
      </c>
      <c r="AO1090" s="94">
        <f>IF(A1090="","",IF(AG1090&lt;&gt;"",1,0))</f>
        <v/>
      </c>
      <c r="AP1090" s="220">
        <f>IF(P1090&lt;&gt;"","・添待ち","")&amp;IF(Q1090&lt;&gt;"","・住民票","")&amp;IF(R1090&lt;&gt;"","・発信","")&amp;IF(S1090&lt;&gt;"","・確認事項","")&amp;IF(T1090&lt;&gt;"","・管","")&amp;IF(U1090&lt;&gt;"","・SV","")&amp;IF(V1090&lt;&gt;"","・データ送付待ち","")&amp;IF(W1090&lt;&gt;"","・削除","")</f>
        <v/>
      </c>
    </row>
    <row r="1091" ht="15" customHeight="1" s="87">
      <c r="AL1091" s="94">
        <f>IF(A1091="","",IF(COUNTIF(A1091:A$2001,A1091)=1,1,0))</f>
        <v/>
      </c>
      <c r="AM1091" s="94">
        <f>IF(I1091="","",TODAY()-I1091)</f>
        <v/>
      </c>
      <c r="AN1091" s="94">
        <f>IF(A1091="","",IF(AND(E1091&lt;&gt;"33 確認済",E1091&lt;&gt;"36 送付中"),1,0))</f>
        <v/>
      </c>
      <c r="AO1091" s="94">
        <f>IF(A1091="","",IF(AG1091&lt;&gt;"",1,0))</f>
        <v/>
      </c>
      <c r="AP1091" s="220">
        <f>IF(P1091&lt;&gt;"","・添待ち","")&amp;IF(Q1091&lt;&gt;"","・住民票","")&amp;IF(R1091&lt;&gt;"","・発信","")&amp;IF(S1091&lt;&gt;"","・確認事項","")&amp;IF(T1091&lt;&gt;"","・管","")&amp;IF(U1091&lt;&gt;"","・SV","")&amp;IF(V1091&lt;&gt;"","・データ送付待ち","")&amp;IF(W1091&lt;&gt;"","・削除","")</f>
        <v/>
      </c>
    </row>
    <row r="1092" ht="15" customHeight="1" s="87">
      <c r="AL1092" s="94">
        <f>IF(A1092="","",IF(COUNTIF(A1092:A$2001,A1092)=1,1,0))</f>
        <v/>
      </c>
      <c r="AM1092" s="94">
        <f>IF(I1092="","",TODAY()-I1092)</f>
        <v/>
      </c>
      <c r="AN1092" s="94">
        <f>IF(A1092="","",IF(AND(E1092&lt;&gt;"33 確認済",E1092&lt;&gt;"36 送付中"),1,0))</f>
        <v/>
      </c>
      <c r="AO1092" s="94">
        <f>IF(A1092="","",IF(AG1092&lt;&gt;"",1,0))</f>
        <v/>
      </c>
      <c r="AP1092" s="220">
        <f>IF(P1092&lt;&gt;"","・添待ち","")&amp;IF(Q1092&lt;&gt;"","・住民票","")&amp;IF(R1092&lt;&gt;"","・発信","")&amp;IF(S1092&lt;&gt;"","・確認事項","")&amp;IF(T1092&lt;&gt;"","・管","")&amp;IF(U1092&lt;&gt;"","・SV","")&amp;IF(V1092&lt;&gt;"","・データ送付待ち","")&amp;IF(W1092&lt;&gt;"","・削除","")</f>
        <v/>
      </c>
    </row>
    <row r="1093" ht="15" customHeight="1" s="87">
      <c r="AL1093" s="94">
        <f>IF(A1093="","",IF(COUNTIF(A1093:A$2001,A1093)=1,1,0))</f>
        <v/>
      </c>
      <c r="AM1093" s="94">
        <f>IF(I1093="","",TODAY()-I1093)</f>
        <v/>
      </c>
      <c r="AN1093" s="94">
        <f>IF(A1093="","",IF(AND(E1093&lt;&gt;"33 確認済",E1093&lt;&gt;"36 送付中"),1,0))</f>
        <v/>
      </c>
      <c r="AO1093" s="94">
        <f>IF(A1093="","",IF(AG1093&lt;&gt;"",1,0))</f>
        <v/>
      </c>
      <c r="AP1093" s="220">
        <f>IF(P1093&lt;&gt;"","・添待ち","")&amp;IF(Q1093&lt;&gt;"","・住民票","")&amp;IF(R1093&lt;&gt;"","・発信","")&amp;IF(S1093&lt;&gt;"","・確認事項","")&amp;IF(T1093&lt;&gt;"","・管","")&amp;IF(U1093&lt;&gt;"","・SV","")&amp;IF(V1093&lt;&gt;"","・データ送付待ち","")&amp;IF(W1093&lt;&gt;"","・削除","")</f>
        <v/>
      </c>
    </row>
    <row r="1094" ht="15" customHeight="1" s="87">
      <c r="AL1094" s="94">
        <f>IF(A1094="","",IF(COUNTIF(A1094:A$2001,A1094)=1,1,0))</f>
        <v/>
      </c>
      <c r="AM1094" s="94">
        <f>IF(I1094="","",TODAY()-I1094)</f>
        <v/>
      </c>
      <c r="AN1094" s="94">
        <f>IF(A1094="","",IF(AND(E1094&lt;&gt;"33 確認済",E1094&lt;&gt;"36 送付中"),1,0))</f>
        <v/>
      </c>
      <c r="AO1094" s="94">
        <f>IF(A1094="","",IF(AG1094&lt;&gt;"",1,0))</f>
        <v/>
      </c>
      <c r="AP1094" s="220">
        <f>IF(P1094&lt;&gt;"","・添待ち","")&amp;IF(Q1094&lt;&gt;"","・住民票","")&amp;IF(R1094&lt;&gt;"","・発信","")&amp;IF(S1094&lt;&gt;"","・確認事項","")&amp;IF(T1094&lt;&gt;"","・管","")&amp;IF(U1094&lt;&gt;"","・SV","")&amp;IF(V1094&lt;&gt;"","・データ送付待ち","")&amp;IF(W1094&lt;&gt;"","・削除","")</f>
        <v/>
      </c>
    </row>
    <row r="1095" ht="15" customHeight="1" s="87">
      <c r="AL1095" s="94">
        <f>IF(A1095="","",IF(COUNTIF(A1095:A$2001,A1095)=1,1,0))</f>
        <v/>
      </c>
      <c r="AM1095" s="94">
        <f>IF(I1095="","",TODAY()-I1095)</f>
        <v/>
      </c>
      <c r="AN1095" s="94">
        <f>IF(A1095="","",IF(AND(E1095&lt;&gt;"33 確認済",E1095&lt;&gt;"36 送付中"),1,0))</f>
        <v/>
      </c>
      <c r="AO1095" s="94">
        <f>IF(A1095="","",IF(AG1095&lt;&gt;"",1,0))</f>
        <v/>
      </c>
      <c r="AP1095" s="220">
        <f>IF(P1095&lt;&gt;"","・添待ち","")&amp;IF(Q1095&lt;&gt;"","・住民票","")&amp;IF(R1095&lt;&gt;"","・発信","")&amp;IF(S1095&lt;&gt;"","・確認事項","")&amp;IF(T1095&lt;&gt;"","・管","")&amp;IF(U1095&lt;&gt;"","・SV","")&amp;IF(V1095&lt;&gt;"","・データ送付待ち","")&amp;IF(W1095&lt;&gt;"","・削除","")</f>
        <v/>
      </c>
    </row>
    <row r="1096" ht="15" customHeight="1" s="87">
      <c r="AL1096" s="94">
        <f>IF(A1096="","",IF(COUNTIF(A1096:A$2001,A1096)=1,1,0))</f>
        <v/>
      </c>
      <c r="AM1096" s="94">
        <f>IF(I1096="","",TODAY()-I1096)</f>
        <v/>
      </c>
      <c r="AN1096" s="94">
        <f>IF(A1096="","",IF(AND(E1096&lt;&gt;"33 確認済",E1096&lt;&gt;"36 送付中"),1,0))</f>
        <v/>
      </c>
      <c r="AO1096" s="94">
        <f>IF(A1096="","",IF(AG1096&lt;&gt;"",1,0))</f>
        <v/>
      </c>
      <c r="AP1096" s="220">
        <f>IF(P1096&lt;&gt;"","・添待ち","")&amp;IF(Q1096&lt;&gt;"","・住民票","")&amp;IF(R1096&lt;&gt;"","・発信","")&amp;IF(S1096&lt;&gt;"","・確認事項","")&amp;IF(T1096&lt;&gt;"","・管","")&amp;IF(U1096&lt;&gt;"","・SV","")&amp;IF(V1096&lt;&gt;"","・データ送付待ち","")&amp;IF(W1096&lt;&gt;"","・削除","")</f>
        <v/>
      </c>
    </row>
    <row r="1097" ht="15" customHeight="1" s="87">
      <c r="AL1097" s="94">
        <f>IF(A1097="","",IF(COUNTIF(A1097:A$2001,A1097)=1,1,0))</f>
        <v/>
      </c>
      <c r="AM1097" s="94">
        <f>IF(I1097="","",TODAY()-I1097)</f>
        <v/>
      </c>
      <c r="AN1097" s="94">
        <f>IF(A1097="","",IF(AND(E1097&lt;&gt;"33 確認済",E1097&lt;&gt;"36 送付中"),1,0))</f>
        <v/>
      </c>
      <c r="AO1097" s="94">
        <f>IF(A1097="","",IF(AG1097&lt;&gt;"",1,0))</f>
        <v/>
      </c>
      <c r="AP1097" s="220">
        <f>IF(P1097&lt;&gt;"","・添待ち","")&amp;IF(Q1097&lt;&gt;"","・住民票","")&amp;IF(R1097&lt;&gt;"","・発信","")&amp;IF(S1097&lt;&gt;"","・確認事項","")&amp;IF(T1097&lt;&gt;"","・管","")&amp;IF(U1097&lt;&gt;"","・SV","")&amp;IF(V1097&lt;&gt;"","・データ送付待ち","")&amp;IF(W1097&lt;&gt;"","・削除","")</f>
        <v/>
      </c>
    </row>
    <row r="1098" ht="15" customHeight="1" s="87">
      <c r="AL1098" s="94">
        <f>IF(A1098="","",IF(COUNTIF(A1098:A$2001,A1098)=1,1,0))</f>
        <v/>
      </c>
      <c r="AM1098" s="94">
        <f>IF(I1098="","",TODAY()-I1098)</f>
        <v/>
      </c>
      <c r="AN1098" s="94">
        <f>IF(A1098="","",IF(AND(E1098&lt;&gt;"33 確認済",E1098&lt;&gt;"36 送付中"),1,0))</f>
        <v/>
      </c>
      <c r="AO1098" s="94">
        <f>IF(A1098="","",IF(AG1098&lt;&gt;"",1,0))</f>
        <v/>
      </c>
      <c r="AP1098" s="220">
        <f>IF(P1098&lt;&gt;"","・添待ち","")&amp;IF(Q1098&lt;&gt;"","・住民票","")&amp;IF(R1098&lt;&gt;"","・発信","")&amp;IF(S1098&lt;&gt;"","・確認事項","")&amp;IF(T1098&lt;&gt;"","・管","")&amp;IF(U1098&lt;&gt;"","・SV","")&amp;IF(V1098&lt;&gt;"","・データ送付待ち","")&amp;IF(W1098&lt;&gt;"","・削除","")</f>
        <v/>
      </c>
    </row>
    <row r="1099" ht="15" customHeight="1" s="87">
      <c r="AL1099" s="94">
        <f>IF(A1099="","",IF(COUNTIF(A1099:A$2001,A1099)=1,1,0))</f>
        <v/>
      </c>
      <c r="AM1099" s="94">
        <f>IF(I1099="","",TODAY()-I1099)</f>
        <v/>
      </c>
      <c r="AN1099" s="94">
        <f>IF(A1099="","",IF(AND(E1099&lt;&gt;"33 確認済",E1099&lt;&gt;"36 送付中"),1,0))</f>
        <v/>
      </c>
      <c r="AO1099" s="94">
        <f>IF(A1099="","",IF(AG1099&lt;&gt;"",1,0))</f>
        <v/>
      </c>
      <c r="AP1099" s="220">
        <f>IF(P1099&lt;&gt;"","・添待ち","")&amp;IF(Q1099&lt;&gt;"","・住民票","")&amp;IF(R1099&lt;&gt;"","・発信","")&amp;IF(S1099&lt;&gt;"","・確認事項","")&amp;IF(T1099&lt;&gt;"","・管","")&amp;IF(U1099&lt;&gt;"","・SV","")&amp;IF(V1099&lt;&gt;"","・データ送付待ち","")&amp;IF(W1099&lt;&gt;"","・削除","")</f>
        <v/>
      </c>
    </row>
    <row r="1100" ht="15" customHeight="1" s="87">
      <c r="AL1100" s="94">
        <f>IF(A1100="","",IF(COUNTIF(A1100:A$2001,A1100)=1,1,0))</f>
        <v/>
      </c>
      <c r="AM1100" s="94">
        <f>IF(I1100="","",TODAY()-I1100)</f>
        <v/>
      </c>
      <c r="AN1100" s="94">
        <f>IF(A1100="","",IF(AND(E1100&lt;&gt;"33 確認済",E1100&lt;&gt;"36 送付中"),1,0))</f>
        <v/>
      </c>
      <c r="AO1100" s="94">
        <f>IF(A1100="","",IF(AG1100&lt;&gt;"",1,0))</f>
        <v/>
      </c>
      <c r="AP1100" s="220">
        <f>IF(P1100&lt;&gt;"","・添待ち","")&amp;IF(Q1100&lt;&gt;"","・住民票","")&amp;IF(R1100&lt;&gt;"","・発信","")&amp;IF(S1100&lt;&gt;"","・確認事項","")&amp;IF(T1100&lt;&gt;"","・管","")&amp;IF(U1100&lt;&gt;"","・SV","")&amp;IF(V1100&lt;&gt;"","・データ送付待ち","")&amp;IF(W1100&lt;&gt;"","・削除","")</f>
        <v/>
      </c>
    </row>
    <row r="1101" ht="15" customHeight="1" s="87">
      <c r="AL1101" s="94">
        <f>IF(A1101="","",IF(COUNTIF(A1101:A$2001,A1101)=1,1,0))</f>
        <v/>
      </c>
      <c r="AM1101" s="94">
        <f>IF(I1101="","",TODAY()-I1101)</f>
        <v/>
      </c>
      <c r="AN1101" s="94">
        <f>IF(A1101="","",IF(AND(E1101&lt;&gt;"33 確認済",E1101&lt;&gt;"36 送付中"),1,0))</f>
        <v/>
      </c>
      <c r="AO1101" s="94">
        <f>IF(A1101="","",IF(AG1101&lt;&gt;"",1,0))</f>
        <v/>
      </c>
      <c r="AP1101" s="220">
        <f>IF(P1101&lt;&gt;"","・添待ち","")&amp;IF(Q1101&lt;&gt;"","・住民票","")&amp;IF(R1101&lt;&gt;"","・発信","")&amp;IF(S1101&lt;&gt;"","・確認事項","")&amp;IF(T1101&lt;&gt;"","・管","")&amp;IF(U1101&lt;&gt;"","・SV","")&amp;IF(V1101&lt;&gt;"","・データ送付待ち","")&amp;IF(W1101&lt;&gt;"","・削除","")</f>
        <v/>
      </c>
    </row>
    <row r="1102" ht="15" customHeight="1" s="87">
      <c r="AL1102" s="94">
        <f>IF(A1102="","",IF(COUNTIF(A1102:A$2001,A1102)=1,1,0))</f>
        <v/>
      </c>
      <c r="AM1102" s="94">
        <f>IF(I1102="","",TODAY()-I1102)</f>
        <v/>
      </c>
      <c r="AN1102" s="94">
        <f>IF(A1102="","",IF(AND(E1102&lt;&gt;"33 確認済",E1102&lt;&gt;"36 送付中"),1,0))</f>
        <v/>
      </c>
      <c r="AO1102" s="94">
        <f>IF(A1102="","",IF(AG1102&lt;&gt;"",1,0))</f>
        <v/>
      </c>
      <c r="AP1102" s="220">
        <f>IF(P1102&lt;&gt;"","・添待ち","")&amp;IF(Q1102&lt;&gt;"","・住民票","")&amp;IF(R1102&lt;&gt;"","・発信","")&amp;IF(S1102&lt;&gt;"","・確認事項","")&amp;IF(T1102&lt;&gt;"","・管","")&amp;IF(U1102&lt;&gt;"","・SV","")&amp;IF(V1102&lt;&gt;"","・データ送付待ち","")&amp;IF(W1102&lt;&gt;"","・削除","")</f>
        <v/>
      </c>
    </row>
    <row r="1103" ht="15" customHeight="1" s="87">
      <c r="AL1103" s="94">
        <f>IF(A1103="","",IF(COUNTIF(A1103:A$2001,A1103)=1,1,0))</f>
        <v/>
      </c>
      <c r="AM1103" s="94">
        <f>IF(I1103="","",TODAY()-I1103)</f>
        <v/>
      </c>
      <c r="AN1103" s="94">
        <f>IF(A1103="","",IF(AND(E1103&lt;&gt;"33 確認済",E1103&lt;&gt;"36 送付中"),1,0))</f>
        <v/>
      </c>
      <c r="AO1103" s="94">
        <f>IF(A1103="","",IF(AG1103&lt;&gt;"",1,0))</f>
        <v/>
      </c>
      <c r="AP1103" s="220">
        <f>IF(P1103&lt;&gt;"","・添待ち","")&amp;IF(Q1103&lt;&gt;"","・住民票","")&amp;IF(R1103&lt;&gt;"","・発信","")&amp;IF(S1103&lt;&gt;"","・確認事項","")&amp;IF(T1103&lt;&gt;"","・管","")&amp;IF(U1103&lt;&gt;"","・SV","")&amp;IF(V1103&lt;&gt;"","・データ送付待ち","")&amp;IF(W1103&lt;&gt;"","・削除","")</f>
        <v/>
      </c>
    </row>
    <row r="1104" ht="15" customHeight="1" s="87">
      <c r="AL1104" s="94">
        <f>IF(A1104="","",IF(COUNTIF(A1104:A$2001,A1104)=1,1,0))</f>
        <v/>
      </c>
      <c r="AM1104" s="94">
        <f>IF(I1104="","",TODAY()-I1104)</f>
        <v/>
      </c>
      <c r="AN1104" s="94">
        <f>IF(A1104="","",IF(AND(E1104&lt;&gt;"33 確認済",E1104&lt;&gt;"36 送付中"),1,0))</f>
        <v/>
      </c>
      <c r="AO1104" s="94">
        <f>IF(A1104="","",IF(AG1104&lt;&gt;"",1,0))</f>
        <v/>
      </c>
      <c r="AP1104" s="220">
        <f>IF(P1104&lt;&gt;"","・添待ち","")&amp;IF(Q1104&lt;&gt;"","・住民票","")&amp;IF(R1104&lt;&gt;"","・発信","")&amp;IF(S1104&lt;&gt;"","・確認事項","")&amp;IF(T1104&lt;&gt;"","・管","")&amp;IF(U1104&lt;&gt;"","・SV","")&amp;IF(V1104&lt;&gt;"","・データ送付待ち","")&amp;IF(W1104&lt;&gt;"","・削除","")</f>
        <v/>
      </c>
    </row>
    <row r="1105" ht="15" customHeight="1" s="87">
      <c r="AL1105" s="94">
        <f>IF(A1105="","",IF(COUNTIF(A1105:A$2001,A1105)=1,1,0))</f>
        <v/>
      </c>
      <c r="AM1105" s="94">
        <f>IF(I1105="","",TODAY()-I1105)</f>
        <v/>
      </c>
      <c r="AN1105" s="94">
        <f>IF(A1105="","",IF(AND(E1105&lt;&gt;"33 確認済",E1105&lt;&gt;"36 送付中"),1,0))</f>
        <v/>
      </c>
      <c r="AO1105" s="94">
        <f>IF(A1105="","",IF(AG1105&lt;&gt;"",1,0))</f>
        <v/>
      </c>
      <c r="AP1105" s="220">
        <f>IF(P1105&lt;&gt;"","・添待ち","")&amp;IF(Q1105&lt;&gt;"","・住民票","")&amp;IF(R1105&lt;&gt;"","・発信","")&amp;IF(S1105&lt;&gt;"","・確認事項","")&amp;IF(T1105&lt;&gt;"","・管","")&amp;IF(U1105&lt;&gt;"","・SV","")&amp;IF(V1105&lt;&gt;"","・データ送付待ち","")&amp;IF(W1105&lt;&gt;"","・削除","")</f>
        <v/>
      </c>
    </row>
    <row r="1106" ht="15" customHeight="1" s="87">
      <c r="AL1106" s="94">
        <f>IF(A1106="","",IF(COUNTIF(A1106:A$2001,A1106)=1,1,0))</f>
        <v/>
      </c>
      <c r="AM1106" s="94">
        <f>IF(I1106="","",TODAY()-I1106)</f>
        <v/>
      </c>
      <c r="AN1106" s="94">
        <f>IF(A1106="","",IF(AND(E1106&lt;&gt;"33 確認済",E1106&lt;&gt;"36 送付中"),1,0))</f>
        <v/>
      </c>
      <c r="AO1106" s="94">
        <f>IF(A1106="","",IF(AG1106&lt;&gt;"",1,0))</f>
        <v/>
      </c>
      <c r="AP1106" s="220">
        <f>IF(P1106&lt;&gt;"","・添待ち","")&amp;IF(Q1106&lt;&gt;"","・住民票","")&amp;IF(R1106&lt;&gt;"","・発信","")&amp;IF(S1106&lt;&gt;"","・確認事項","")&amp;IF(T1106&lt;&gt;"","・管","")&amp;IF(U1106&lt;&gt;"","・SV","")&amp;IF(V1106&lt;&gt;"","・データ送付待ち","")&amp;IF(W1106&lt;&gt;"","・削除","")</f>
        <v/>
      </c>
    </row>
    <row r="1107" ht="15" customHeight="1" s="87">
      <c r="AL1107" s="94">
        <f>IF(A1107="","",IF(COUNTIF(A1107:A$2001,A1107)=1,1,0))</f>
        <v/>
      </c>
      <c r="AM1107" s="94">
        <f>IF(I1107="","",TODAY()-I1107)</f>
        <v/>
      </c>
      <c r="AN1107" s="94">
        <f>IF(A1107="","",IF(AND(E1107&lt;&gt;"33 確認済",E1107&lt;&gt;"36 送付中"),1,0))</f>
        <v/>
      </c>
      <c r="AO1107" s="94">
        <f>IF(A1107="","",IF(AG1107&lt;&gt;"",1,0))</f>
        <v/>
      </c>
      <c r="AP1107" s="220">
        <f>IF(P1107&lt;&gt;"","・添待ち","")&amp;IF(Q1107&lt;&gt;"","・住民票","")&amp;IF(R1107&lt;&gt;"","・発信","")&amp;IF(S1107&lt;&gt;"","・確認事項","")&amp;IF(T1107&lt;&gt;"","・管","")&amp;IF(U1107&lt;&gt;"","・SV","")&amp;IF(V1107&lt;&gt;"","・データ送付待ち","")&amp;IF(W1107&lt;&gt;"","・削除","")</f>
        <v/>
      </c>
    </row>
    <row r="1108" ht="15" customHeight="1" s="87">
      <c r="AL1108" s="94">
        <f>IF(A1108="","",IF(COUNTIF(A1108:A$2001,A1108)=1,1,0))</f>
        <v/>
      </c>
      <c r="AM1108" s="94">
        <f>IF(I1108="","",TODAY()-I1108)</f>
        <v/>
      </c>
      <c r="AN1108" s="94">
        <f>IF(A1108="","",IF(AND(E1108&lt;&gt;"33 確認済",E1108&lt;&gt;"36 送付中"),1,0))</f>
        <v/>
      </c>
      <c r="AO1108" s="94">
        <f>IF(A1108="","",IF(AG1108&lt;&gt;"",1,0))</f>
        <v/>
      </c>
      <c r="AP1108" s="220">
        <f>IF(P1108&lt;&gt;"","・添待ち","")&amp;IF(Q1108&lt;&gt;"","・住民票","")&amp;IF(R1108&lt;&gt;"","・発信","")&amp;IF(S1108&lt;&gt;"","・確認事項","")&amp;IF(T1108&lt;&gt;"","・管","")&amp;IF(U1108&lt;&gt;"","・SV","")&amp;IF(V1108&lt;&gt;"","・データ送付待ち","")&amp;IF(W1108&lt;&gt;"","・削除","")</f>
        <v/>
      </c>
    </row>
    <row r="1109" ht="15" customHeight="1" s="87">
      <c r="AL1109" s="94">
        <f>IF(A1109="","",IF(COUNTIF(A1109:A$2001,A1109)=1,1,0))</f>
        <v/>
      </c>
      <c r="AM1109" s="94">
        <f>IF(I1109="","",TODAY()-I1109)</f>
        <v/>
      </c>
      <c r="AN1109" s="94">
        <f>IF(A1109="","",IF(AND(E1109&lt;&gt;"33 確認済",E1109&lt;&gt;"36 送付中"),1,0))</f>
        <v/>
      </c>
      <c r="AO1109" s="94">
        <f>IF(A1109="","",IF(AG1109&lt;&gt;"",1,0))</f>
        <v/>
      </c>
      <c r="AP1109" s="220">
        <f>IF(P1109&lt;&gt;"","・添待ち","")&amp;IF(Q1109&lt;&gt;"","・住民票","")&amp;IF(R1109&lt;&gt;"","・発信","")&amp;IF(S1109&lt;&gt;"","・確認事項","")&amp;IF(T1109&lt;&gt;"","・管","")&amp;IF(U1109&lt;&gt;"","・SV","")&amp;IF(V1109&lt;&gt;"","・データ送付待ち","")&amp;IF(W1109&lt;&gt;"","・削除","")</f>
        <v/>
      </c>
    </row>
    <row r="1110" ht="15" customHeight="1" s="87">
      <c r="AL1110" s="94">
        <f>IF(A1110="","",IF(COUNTIF(A1110:A$2001,A1110)=1,1,0))</f>
        <v/>
      </c>
      <c r="AM1110" s="94">
        <f>IF(I1110="","",TODAY()-I1110)</f>
        <v/>
      </c>
      <c r="AN1110" s="94">
        <f>IF(A1110="","",IF(AND(E1110&lt;&gt;"33 確認済",E1110&lt;&gt;"36 送付中"),1,0))</f>
        <v/>
      </c>
      <c r="AO1110" s="94">
        <f>IF(A1110="","",IF(AG1110&lt;&gt;"",1,0))</f>
        <v/>
      </c>
      <c r="AP1110" s="220">
        <f>IF(P1110&lt;&gt;"","・添待ち","")&amp;IF(Q1110&lt;&gt;"","・住民票","")&amp;IF(R1110&lt;&gt;"","・発信","")&amp;IF(S1110&lt;&gt;"","・確認事項","")&amp;IF(T1110&lt;&gt;"","・管","")&amp;IF(U1110&lt;&gt;"","・SV","")&amp;IF(V1110&lt;&gt;"","・データ送付待ち","")&amp;IF(W1110&lt;&gt;"","・削除","")</f>
        <v/>
      </c>
    </row>
    <row r="1111" ht="15" customHeight="1" s="87">
      <c r="AL1111" s="94">
        <f>IF(A1111="","",IF(COUNTIF(A1111:A$2001,A1111)=1,1,0))</f>
        <v/>
      </c>
      <c r="AM1111" s="94">
        <f>IF(I1111="","",TODAY()-I1111)</f>
        <v/>
      </c>
      <c r="AN1111" s="94">
        <f>IF(A1111="","",IF(AND(E1111&lt;&gt;"33 確認済",E1111&lt;&gt;"36 送付中"),1,0))</f>
        <v/>
      </c>
      <c r="AO1111" s="94">
        <f>IF(A1111="","",IF(AG1111&lt;&gt;"",1,0))</f>
        <v/>
      </c>
      <c r="AP1111" s="220">
        <f>IF(P1111&lt;&gt;"","・添待ち","")&amp;IF(Q1111&lt;&gt;"","・住民票","")&amp;IF(R1111&lt;&gt;"","・発信","")&amp;IF(S1111&lt;&gt;"","・確認事項","")&amp;IF(T1111&lt;&gt;"","・管","")&amp;IF(U1111&lt;&gt;"","・SV","")&amp;IF(V1111&lt;&gt;"","・データ送付待ち","")&amp;IF(W1111&lt;&gt;"","・削除","")</f>
        <v/>
      </c>
    </row>
    <row r="1112" ht="15" customHeight="1" s="87">
      <c r="AL1112" s="94">
        <f>IF(A1112="","",IF(COUNTIF(A1112:A$2001,A1112)=1,1,0))</f>
        <v/>
      </c>
      <c r="AM1112" s="94">
        <f>IF(I1112="","",TODAY()-I1112)</f>
        <v/>
      </c>
      <c r="AN1112" s="94">
        <f>IF(A1112="","",IF(AND(E1112&lt;&gt;"33 確認済",E1112&lt;&gt;"36 送付中"),1,0))</f>
        <v/>
      </c>
      <c r="AO1112" s="94">
        <f>IF(A1112="","",IF(AG1112&lt;&gt;"",1,0))</f>
        <v/>
      </c>
      <c r="AP1112" s="220">
        <f>IF(P1112&lt;&gt;"","・添待ち","")&amp;IF(Q1112&lt;&gt;"","・住民票","")&amp;IF(R1112&lt;&gt;"","・発信","")&amp;IF(S1112&lt;&gt;"","・確認事項","")&amp;IF(T1112&lt;&gt;"","・管","")&amp;IF(U1112&lt;&gt;"","・SV","")&amp;IF(V1112&lt;&gt;"","・データ送付待ち","")&amp;IF(W1112&lt;&gt;"","・削除","")</f>
        <v/>
      </c>
    </row>
    <row r="1113" ht="15" customHeight="1" s="87">
      <c r="AL1113" s="94">
        <f>IF(A1113="","",IF(COUNTIF(A1113:A$2001,A1113)=1,1,0))</f>
        <v/>
      </c>
      <c r="AM1113" s="94">
        <f>IF(I1113="","",TODAY()-I1113)</f>
        <v/>
      </c>
      <c r="AN1113" s="94">
        <f>IF(A1113="","",IF(AND(E1113&lt;&gt;"33 確認済",E1113&lt;&gt;"36 送付中"),1,0))</f>
        <v/>
      </c>
      <c r="AO1113" s="94">
        <f>IF(A1113="","",IF(AG1113&lt;&gt;"",1,0))</f>
        <v/>
      </c>
      <c r="AP1113" s="220">
        <f>IF(P1113&lt;&gt;"","・添待ち","")&amp;IF(Q1113&lt;&gt;"","・住民票","")&amp;IF(R1113&lt;&gt;"","・発信","")&amp;IF(S1113&lt;&gt;"","・確認事項","")&amp;IF(T1113&lt;&gt;"","・管","")&amp;IF(U1113&lt;&gt;"","・SV","")&amp;IF(V1113&lt;&gt;"","・データ送付待ち","")&amp;IF(W1113&lt;&gt;"","・削除","")</f>
        <v/>
      </c>
    </row>
    <row r="1114" ht="15" customHeight="1" s="87">
      <c r="AL1114" s="94">
        <f>IF(A1114="","",IF(COUNTIF(A1114:A$2001,A1114)=1,1,0))</f>
        <v/>
      </c>
      <c r="AM1114" s="94">
        <f>IF(I1114="","",TODAY()-I1114)</f>
        <v/>
      </c>
      <c r="AN1114" s="94">
        <f>IF(A1114="","",IF(AND(E1114&lt;&gt;"33 確認済",E1114&lt;&gt;"36 送付中"),1,0))</f>
        <v/>
      </c>
      <c r="AO1114" s="94">
        <f>IF(A1114="","",IF(AG1114&lt;&gt;"",1,0))</f>
        <v/>
      </c>
      <c r="AP1114" s="220">
        <f>IF(P1114&lt;&gt;"","・添待ち","")&amp;IF(Q1114&lt;&gt;"","・住民票","")&amp;IF(R1114&lt;&gt;"","・発信","")&amp;IF(S1114&lt;&gt;"","・確認事項","")&amp;IF(T1114&lt;&gt;"","・管","")&amp;IF(U1114&lt;&gt;"","・SV","")&amp;IF(V1114&lt;&gt;"","・データ送付待ち","")&amp;IF(W1114&lt;&gt;"","・削除","")</f>
        <v/>
      </c>
    </row>
    <row r="1115" ht="15" customHeight="1" s="87">
      <c r="AL1115" s="94">
        <f>IF(A1115="","",IF(COUNTIF(A1115:A$2001,A1115)=1,1,0))</f>
        <v/>
      </c>
      <c r="AM1115" s="94">
        <f>IF(I1115="","",TODAY()-I1115)</f>
        <v/>
      </c>
      <c r="AN1115" s="94">
        <f>IF(A1115="","",IF(AND(E1115&lt;&gt;"33 確認済",E1115&lt;&gt;"36 送付中"),1,0))</f>
        <v/>
      </c>
      <c r="AO1115" s="94">
        <f>IF(A1115="","",IF(AG1115&lt;&gt;"",1,0))</f>
        <v/>
      </c>
      <c r="AP1115" s="220">
        <f>IF(P1115&lt;&gt;"","・添待ち","")&amp;IF(Q1115&lt;&gt;"","・住民票","")&amp;IF(R1115&lt;&gt;"","・発信","")&amp;IF(S1115&lt;&gt;"","・確認事項","")&amp;IF(T1115&lt;&gt;"","・管","")&amp;IF(U1115&lt;&gt;"","・SV","")&amp;IF(V1115&lt;&gt;"","・データ送付待ち","")&amp;IF(W1115&lt;&gt;"","・削除","")</f>
        <v/>
      </c>
    </row>
    <row r="1116" ht="15" customHeight="1" s="87">
      <c r="AL1116" s="94">
        <f>IF(A1116="","",IF(COUNTIF(A1116:A$2001,A1116)=1,1,0))</f>
        <v/>
      </c>
      <c r="AM1116" s="94">
        <f>IF(I1116="","",TODAY()-I1116)</f>
        <v/>
      </c>
      <c r="AN1116" s="94">
        <f>IF(A1116="","",IF(AND(E1116&lt;&gt;"33 確認済",E1116&lt;&gt;"36 送付中"),1,0))</f>
        <v/>
      </c>
      <c r="AO1116" s="94">
        <f>IF(A1116="","",IF(AG1116&lt;&gt;"",1,0))</f>
        <v/>
      </c>
      <c r="AP1116" s="220">
        <f>IF(P1116&lt;&gt;"","・添待ち","")&amp;IF(Q1116&lt;&gt;"","・住民票","")&amp;IF(R1116&lt;&gt;"","・発信","")&amp;IF(S1116&lt;&gt;"","・確認事項","")&amp;IF(T1116&lt;&gt;"","・管","")&amp;IF(U1116&lt;&gt;"","・SV","")&amp;IF(V1116&lt;&gt;"","・データ送付待ち","")&amp;IF(W1116&lt;&gt;"","・削除","")</f>
        <v/>
      </c>
    </row>
    <row r="1117" ht="15" customHeight="1" s="87">
      <c r="AL1117" s="94">
        <f>IF(A1117="","",IF(COUNTIF(A1117:A$2001,A1117)=1,1,0))</f>
        <v/>
      </c>
      <c r="AM1117" s="94">
        <f>IF(I1117="","",TODAY()-I1117)</f>
        <v/>
      </c>
      <c r="AN1117" s="94">
        <f>IF(A1117="","",IF(AND(E1117&lt;&gt;"33 確認済",E1117&lt;&gt;"36 送付中"),1,0))</f>
        <v/>
      </c>
      <c r="AO1117" s="94">
        <f>IF(A1117="","",IF(AG1117&lt;&gt;"",1,0))</f>
        <v/>
      </c>
      <c r="AP1117" s="220">
        <f>IF(P1117&lt;&gt;"","・添待ち","")&amp;IF(Q1117&lt;&gt;"","・住民票","")&amp;IF(R1117&lt;&gt;"","・発信","")&amp;IF(S1117&lt;&gt;"","・確認事項","")&amp;IF(T1117&lt;&gt;"","・管","")&amp;IF(U1117&lt;&gt;"","・SV","")&amp;IF(V1117&lt;&gt;"","・データ送付待ち","")&amp;IF(W1117&lt;&gt;"","・削除","")</f>
        <v/>
      </c>
    </row>
    <row r="1118" ht="15" customHeight="1" s="87">
      <c r="AL1118" s="94">
        <f>IF(A1118="","",IF(COUNTIF(A1118:A$2001,A1118)=1,1,0))</f>
        <v/>
      </c>
      <c r="AM1118" s="94">
        <f>IF(I1118="","",TODAY()-I1118)</f>
        <v/>
      </c>
      <c r="AN1118" s="94">
        <f>IF(A1118="","",IF(AND(E1118&lt;&gt;"33 確認済",E1118&lt;&gt;"36 送付中"),1,0))</f>
        <v/>
      </c>
      <c r="AO1118" s="94">
        <f>IF(A1118="","",IF(AG1118&lt;&gt;"",1,0))</f>
        <v/>
      </c>
      <c r="AP1118" s="220">
        <f>IF(P1118&lt;&gt;"","・添待ち","")&amp;IF(Q1118&lt;&gt;"","・住民票","")&amp;IF(R1118&lt;&gt;"","・発信","")&amp;IF(S1118&lt;&gt;"","・確認事項","")&amp;IF(T1118&lt;&gt;"","・管","")&amp;IF(U1118&lt;&gt;"","・SV","")&amp;IF(V1118&lt;&gt;"","・データ送付待ち","")&amp;IF(W1118&lt;&gt;"","・削除","")</f>
        <v/>
      </c>
    </row>
    <row r="1119" ht="15" customHeight="1" s="87">
      <c r="AL1119" s="94">
        <f>IF(A1119="","",IF(COUNTIF(A1119:A$2001,A1119)=1,1,0))</f>
        <v/>
      </c>
      <c r="AM1119" s="94">
        <f>IF(I1119="","",TODAY()-I1119)</f>
        <v/>
      </c>
      <c r="AN1119" s="94">
        <f>IF(A1119="","",IF(AND(E1119&lt;&gt;"33 確認済",E1119&lt;&gt;"36 送付中"),1,0))</f>
        <v/>
      </c>
      <c r="AO1119" s="94">
        <f>IF(A1119="","",IF(AG1119&lt;&gt;"",1,0))</f>
        <v/>
      </c>
      <c r="AP1119" s="220">
        <f>IF(P1119&lt;&gt;"","・添待ち","")&amp;IF(Q1119&lt;&gt;"","・住民票","")&amp;IF(R1119&lt;&gt;"","・発信","")&amp;IF(S1119&lt;&gt;"","・確認事項","")&amp;IF(T1119&lt;&gt;"","・管","")&amp;IF(U1119&lt;&gt;"","・SV","")&amp;IF(V1119&lt;&gt;"","・データ送付待ち","")&amp;IF(W1119&lt;&gt;"","・削除","")</f>
        <v/>
      </c>
    </row>
    <row r="1120" ht="15" customHeight="1" s="87">
      <c r="AL1120" s="94">
        <f>IF(A1120="","",IF(COUNTIF(A1120:A$2001,A1120)=1,1,0))</f>
        <v/>
      </c>
      <c r="AM1120" s="94">
        <f>IF(I1120="","",TODAY()-I1120)</f>
        <v/>
      </c>
      <c r="AN1120" s="94">
        <f>IF(A1120="","",IF(AND(E1120&lt;&gt;"33 確認済",E1120&lt;&gt;"36 送付中"),1,0))</f>
        <v/>
      </c>
      <c r="AO1120" s="94">
        <f>IF(A1120="","",IF(AG1120&lt;&gt;"",1,0))</f>
        <v/>
      </c>
      <c r="AP1120" s="220">
        <f>IF(P1120&lt;&gt;"","・添待ち","")&amp;IF(Q1120&lt;&gt;"","・住民票","")&amp;IF(R1120&lt;&gt;"","・発信","")&amp;IF(S1120&lt;&gt;"","・確認事項","")&amp;IF(T1120&lt;&gt;"","・管","")&amp;IF(U1120&lt;&gt;"","・SV","")&amp;IF(V1120&lt;&gt;"","・データ送付待ち","")&amp;IF(W1120&lt;&gt;"","・削除","")</f>
        <v/>
      </c>
    </row>
    <row r="1121" ht="15" customHeight="1" s="87">
      <c r="AL1121" s="94">
        <f>IF(A1121="","",IF(COUNTIF(A1121:A$2001,A1121)=1,1,0))</f>
        <v/>
      </c>
      <c r="AM1121" s="94">
        <f>IF(I1121="","",TODAY()-I1121)</f>
        <v/>
      </c>
      <c r="AN1121" s="94">
        <f>IF(A1121="","",IF(AND(E1121&lt;&gt;"33 確認済",E1121&lt;&gt;"36 送付中"),1,0))</f>
        <v/>
      </c>
      <c r="AO1121" s="94">
        <f>IF(A1121="","",IF(AG1121&lt;&gt;"",1,0))</f>
        <v/>
      </c>
      <c r="AP1121" s="220">
        <f>IF(P1121&lt;&gt;"","・添待ち","")&amp;IF(Q1121&lt;&gt;"","・住民票","")&amp;IF(R1121&lt;&gt;"","・発信","")&amp;IF(S1121&lt;&gt;"","・確認事項","")&amp;IF(T1121&lt;&gt;"","・管","")&amp;IF(U1121&lt;&gt;"","・SV","")&amp;IF(V1121&lt;&gt;"","・データ送付待ち","")&amp;IF(W1121&lt;&gt;"","・削除","")</f>
        <v/>
      </c>
    </row>
    <row r="1122" ht="15" customHeight="1" s="87">
      <c r="AL1122" s="94">
        <f>IF(A1122="","",IF(COUNTIF(A1122:A$2001,A1122)=1,1,0))</f>
        <v/>
      </c>
      <c r="AM1122" s="94">
        <f>IF(I1122="","",TODAY()-I1122)</f>
        <v/>
      </c>
      <c r="AN1122" s="94">
        <f>IF(A1122="","",IF(AND(E1122&lt;&gt;"33 確認済",E1122&lt;&gt;"36 送付中"),1,0))</f>
        <v/>
      </c>
      <c r="AO1122" s="94">
        <f>IF(A1122="","",IF(AG1122&lt;&gt;"",1,0))</f>
        <v/>
      </c>
      <c r="AP1122" s="220">
        <f>IF(P1122&lt;&gt;"","・添待ち","")&amp;IF(Q1122&lt;&gt;"","・住民票","")&amp;IF(R1122&lt;&gt;"","・発信","")&amp;IF(S1122&lt;&gt;"","・確認事項","")&amp;IF(T1122&lt;&gt;"","・管","")&amp;IF(U1122&lt;&gt;"","・SV","")&amp;IF(V1122&lt;&gt;"","・データ送付待ち","")&amp;IF(W1122&lt;&gt;"","・削除","")</f>
        <v/>
      </c>
    </row>
    <row r="1123" ht="15" customHeight="1" s="87">
      <c r="AL1123" s="94">
        <f>IF(A1123="","",IF(COUNTIF(A1123:A$2001,A1123)=1,1,0))</f>
        <v/>
      </c>
      <c r="AM1123" s="94">
        <f>IF(I1123="","",TODAY()-I1123)</f>
        <v/>
      </c>
      <c r="AN1123" s="94">
        <f>IF(A1123="","",IF(AND(E1123&lt;&gt;"33 確認済",E1123&lt;&gt;"36 送付中"),1,0))</f>
        <v/>
      </c>
      <c r="AO1123" s="94">
        <f>IF(A1123="","",IF(AG1123&lt;&gt;"",1,0))</f>
        <v/>
      </c>
      <c r="AP1123" s="220">
        <f>IF(P1123&lt;&gt;"","・添待ち","")&amp;IF(Q1123&lt;&gt;"","・住民票","")&amp;IF(R1123&lt;&gt;"","・発信","")&amp;IF(S1123&lt;&gt;"","・確認事項","")&amp;IF(T1123&lt;&gt;"","・管","")&amp;IF(U1123&lt;&gt;"","・SV","")&amp;IF(V1123&lt;&gt;"","・データ送付待ち","")&amp;IF(W1123&lt;&gt;"","・削除","")</f>
        <v/>
      </c>
    </row>
    <row r="1124" ht="15" customHeight="1" s="87">
      <c r="AL1124" s="94">
        <f>IF(A1124="","",IF(COUNTIF(A1124:A$2001,A1124)=1,1,0))</f>
        <v/>
      </c>
      <c r="AM1124" s="94">
        <f>IF(I1124="","",TODAY()-I1124)</f>
        <v/>
      </c>
      <c r="AN1124" s="94">
        <f>IF(A1124="","",IF(AND(E1124&lt;&gt;"33 確認済",E1124&lt;&gt;"36 送付中"),1,0))</f>
        <v/>
      </c>
      <c r="AO1124" s="94">
        <f>IF(A1124="","",IF(AG1124&lt;&gt;"",1,0))</f>
        <v/>
      </c>
      <c r="AP1124" s="220">
        <f>IF(P1124&lt;&gt;"","・添待ち","")&amp;IF(Q1124&lt;&gt;"","・住民票","")&amp;IF(R1124&lt;&gt;"","・発信","")&amp;IF(S1124&lt;&gt;"","・確認事項","")&amp;IF(T1124&lt;&gt;"","・管","")&amp;IF(U1124&lt;&gt;"","・SV","")&amp;IF(V1124&lt;&gt;"","・データ送付待ち","")&amp;IF(W1124&lt;&gt;"","・削除","")</f>
        <v/>
      </c>
    </row>
    <row r="1125" ht="15" customHeight="1" s="87">
      <c r="AL1125" s="94">
        <f>IF(A1125="","",IF(COUNTIF(A1125:A$2001,A1125)=1,1,0))</f>
        <v/>
      </c>
      <c r="AM1125" s="94">
        <f>IF(I1125="","",TODAY()-I1125)</f>
        <v/>
      </c>
      <c r="AN1125" s="94">
        <f>IF(A1125="","",IF(AND(E1125&lt;&gt;"33 確認済",E1125&lt;&gt;"36 送付中"),1,0))</f>
        <v/>
      </c>
      <c r="AO1125" s="94">
        <f>IF(A1125="","",IF(AG1125&lt;&gt;"",1,0))</f>
        <v/>
      </c>
      <c r="AP1125" s="220">
        <f>IF(P1125&lt;&gt;"","・添待ち","")&amp;IF(Q1125&lt;&gt;"","・住民票","")&amp;IF(R1125&lt;&gt;"","・発信","")&amp;IF(S1125&lt;&gt;"","・確認事項","")&amp;IF(T1125&lt;&gt;"","・管","")&amp;IF(U1125&lt;&gt;"","・SV","")&amp;IF(V1125&lt;&gt;"","・データ送付待ち","")&amp;IF(W1125&lt;&gt;"","・削除","")</f>
        <v/>
      </c>
    </row>
    <row r="1126" ht="15" customHeight="1" s="87">
      <c r="AL1126" s="94">
        <f>IF(A1126="","",IF(COUNTIF(A1126:A$2001,A1126)=1,1,0))</f>
        <v/>
      </c>
      <c r="AM1126" s="94">
        <f>IF(I1126="","",TODAY()-I1126)</f>
        <v/>
      </c>
      <c r="AN1126" s="94">
        <f>IF(A1126="","",IF(AND(E1126&lt;&gt;"33 確認済",E1126&lt;&gt;"36 送付中"),1,0))</f>
        <v/>
      </c>
      <c r="AO1126" s="94">
        <f>IF(A1126="","",IF(AG1126&lt;&gt;"",1,0))</f>
        <v/>
      </c>
      <c r="AP1126" s="220">
        <f>IF(P1126&lt;&gt;"","・添待ち","")&amp;IF(Q1126&lt;&gt;"","・住民票","")&amp;IF(R1126&lt;&gt;"","・発信","")&amp;IF(S1126&lt;&gt;"","・確認事項","")&amp;IF(T1126&lt;&gt;"","・管","")&amp;IF(U1126&lt;&gt;"","・SV","")&amp;IF(V1126&lt;&gt;"","・データ送付待ち","")&amp;IF(W1126&lt;&gt;"","・削除","")</f>
        <v/>
      </c>
    </row>
    <row r="1127" ht="15" customHeight="1" s="87">
      <c r="AL1127" s="94">
        <f>IF(A1127="","",IF(COUNTIF(A1127:A$2001,A1127)=1,1,0))</f>
        <v/>
      </c>
      <c r="AM1127" s="94">
        <f>IF(I1127="","",TODAY()-I1127)</f>
        <v/>
      </c>
      <c r="AN1127" s="94">
        <f>IF(A1127="","",IF(AND(E1127&lt;&gt;"33 確認済",E1127&lt;&gt;"36 送付中"),1,0))</f>
        <v/>
      </c>
      <c r="AO1127" s="94">
        <f>IF(A1127="","",IF(AG1127&lt;&gt;"",1,0))</f>
        <v/>
      </c>
      <c r="AP1127" s="220">
        <f>IF(P1127&lt;&gt;"","・添待ち","")&amp;IF(Q1127&lt;&gt;"","・住民票","")&amp;IF(R1127&lt;&gt;"","・発信","")&amp;IF(S1127&lt;&gt;"","・確認事項","")&amp;IF(T1127&lt;&gt;"","・管","")&amp;IF(U1127&lt;&gt;"","・SV","")&amp;IF(V1127&lt;&gt;"","・データ送付待ち","")&amp;IF(W1127&lt;&gt;"","・削除","")</f>
        <v/>
      </c>
    </row>
    <row r="1128" ht="15" customHeight="1" s="87">
      <c r="AL1128" s="94">
        <f>IF(A1128="","",IF(COUNTIF(A1128:A$2001,A1128)=1,1,0))</f>
        <v/>
      </c>
      <c r="AM1128" s="94">
        <f>IF(I1128="","",TODAY()-I1128)</f>
        <v/>
      </c>
      <c r="AN1128" s="94">
        <f>IF(A1128="","",IF(AND(E1128&lt;&gt;"33 確認済",E1128&lt;&gt;"36 送付中"),1,0))</f>
        <v/>
      </c>
      <c r="AO1128" s="94">
        <f>IF(A1128="","",IF(AG1128&lt;&gt;"",1,0))</f>
        <v/>
      </c>
      <c r="AP1128" s="220">
        <f>IF(P1128&lt;&gt;"","・添待ち","")&amp;IF(Q1128&lt;&gt;"","・住民票","")&amp;IF(R1128&lt;&gt;"","・発信","")&amp;IF(S1128&lt;&gt;"","・確認事項","")&amp;IF(T1128&lt;&gt;"","・管","")&amp;IF(U1128&lt;&gt;"","・SV","")&amp;IF(V1128&lt;&gt;"","・データ送付待ち","")&amp;IF(W1128&lt;&gt;"","・削除","")</f>
        <v/>
      </c>
    </row>
    <row r="1129" ht="15" customHeight="1" s="87">
      <c r="AL1129" s="94">
        <f>IF(A1129="","",IF(COUNTIF(A1129:A$2001,A1129)=1,1,0))</f>
        <v/>
      </c>
      <c r="AM1129" s="94">
        <f>IF(I1129="","",TODAY()-I1129)</f>
        <v/>
      </c>
      <c r="AN1129" s="94">
        <f>IF(A1129="","",IF(AND(E1129&lt;&gt;"33 確認済",E1129&lt;&gt;"36 送付中"),1,0))</f>
        <v/>
      </c>
      <c r="AO1129" s="94">
        <f>IF(A1129="","",IF(AG1129&lt;&gt;"",1,0))</f>
        <v/>
      </c>
      <c r="AP1129" s="220">
        <f>IF(P1129&lt;&gt;"","・添待ち","")&amp;IF(Q1129&lt;&gt;"","・住民票","")&amp;IF(R1129&lt;&gt;"","・発信","")&amp;IF(S1129&lt;&gt;"","・確認事項","")&amp;IF(T1129&lt;&gt;"","・管","")&amp;IF(U1129&lt;&gt;"","・SV","")&amp;IF(V1129&lt;&gt;"","・データ送付待ち","")&amp;IF(W1129&lt;&gt;"","・削除","")</f>
        <v/>
      </c>
    </row>
    <row r="1130" ht="15" customHeight="1" s="87">
      <c r="AL1130" s="94">
        <f>IF(A1130="","",IF(COUNTIF(A1130:A$2001,A1130)=1,1,0))</f>
        <v/>
      </c>
      <c r="AM1130" s="94">
        <f>IF(I1130="","",TODAY()-I1130)</f>
        <v/>
      </c>
      <c r="AN1130" s="94">
        <f>IF(A1130="","",IF(AND(E1130&lt;&gt;"33 確認済",E1130&lt;&gt;"36 送付中"),1,0))</f>
        <v/>
      </c>
      <c r="AO1130" s="94">
        <f>IF(A1130="","",IF(AG1130&lt;&gt;"",1,0))</f>
        <v/>
      </c>
      <c r="AP1130" s="220">
        <f>IF(P1130&lt;&gt;"","・添待ち","")&amp;IF(Q1130&lt;&gt;"","・住民票","")&amp;IF(R1130&lt;&gt;"","・発信","")&amp;IF(S1130&lt;&gt;"","・確認事項","")&amp;IF(T1130&lt;&gt;"","・管","")&amp;IF(U1130&lt;&gt;"","・SV","")&amp;IF(V1130&lt;&gt;"","・データ送付待ち","")&amp;IF(W1130&lt;&gt;"","・削除","")</f>
        <v/>
      </c>
    </row>
    <row r="1131" ht="15" customHeight="1" s="87">
      <c r="AL1131" s="94">
        <f>IF(A1131="","",IF(COUNTIF(A1131:A$2001,A1131)=1,1,0))</f>
        <v/>
      </c>
      <c r="AM1131" s="94">
        <f>IF(I1131="","",TODAY()-I1131)</f>
        <v/>
      </c>
      <c r="AN1131" s="94">
        <f>IF(A1131="","",IF(AND(E1131&lt;&gt;"33 確認済",E1131&lt;&gt;"36 送付中"),1,0))</f>
        <v/>
      </c>
      <c r="AO1131" s="94">
        <f>IF(A1131="","",IF(AG1131&lt;&gt;"",1,0))</f>
        <v/>
      </c>
      <c r="AP1131" s="220">
        <f>IF(P1131&lt;&gt;"","・添待ち","")&amp;IF(Q1131&lt;&gt;"","・住民票","")&amp;IF(R1131&lt;&gt;"","・発信","")&amp;IF(S1131&lt;&gt;"","・確認事項","")&amp;IF(T1131&lt;&gt;"","・管","")&amp;IF(U1131&lt;&gt;"","・SV","")&amp;IF(V1131&lt;&gt;"","・データ送付待ち","")&amp;IF(W1131&lt;&gt;"","・削除","")</f>
        <v/>
      </c>
    </row>
    <row r="1132" ht="15" customHeight="1" s="87">
      <c r="AL1132" s="94">
        <f>IF(A1132="","",IF(COUNTIF(A1132:A$2001,A1132)=1,1,0))</f>
        <v/>
      </c>
      <c r="AM1132" s="94">
        <f>IF(I1132="","",TODAY()-I1132)</f>
        <v/>
      </c>
      <c r="AN1132" s="94">
        <f>IF(A1132="","",IF(AND(E1132&lt;&gt;"33 確認済",E1132&lt;&gt;"36 送付中"),1,0))</f>
        <v/>
      </c>
      <c r="AO1132" s="94">
        <f>IF(A1132="","",IF(AG1132&lt;&gt;"",1,0))</f>
        <v/>
      </c>
      <c r="AP1132" s="220">
        <f>IF(P1132&lt;&gt;"","・添待ち","")&amp;IF(Q1132&lt;&gt;"","・住民票","")&amp;IF(R1132&lt;&gt;"","・発信","")&amp;IF(S1132&lt;&gt;"","・確認事項","")&amp;IF(T1132&lt;&gt;"","・管","")&amp;IF(U1132&lt;&gt;"","・SV","")&amp;IF(V1132&lt;&gt;"","・データ送付待ち","")&amp;IF(W1132&lt;&gt;"","・削除","")</f>
        <v/>
      </c>
    </row>
    <row r="1133" ht="15" customHeight="1" s="87">
      <c r="AL1133" s="94">
        <f>IF(A1133="","",IF(COUNTIF(A1133:A$2001,A1133)=1,1,0))</f>
        <v/>
      </c>
      <c r="AM1133" s="94">
        <f>IF(I1133="","",TODAY()-I1133)</f>
        <v/>
      </c>
      <c r="AN1133" s="94">
        <f>IF(A1133="","",IF(AND(E1133&lt;&gt;"33 確認済",E1133&lt;&gt;"36 送付中"),1,0))</f>
        <v/>
      </c>
      <c r="AO1133" s="94">
        <f>IF(A1133="","",IF(AG1133&lt;&gt;"",1,0))</f>
        <v/>
      </c>
      <c r="AP1133" s="220">
        <f>IF(P1133&lt;&gt;"","・添待ち","")&amp;IF(Q1133&lt;&gt;"","・住民票","")&amp;IF(R1133&lt;&gt;"","・発信","")&amp;IF(S1133&lt;&gt;"","・確認事項","")&amp;IF(T1133&lt;&gt;"","・管","")&amp;IF(U1133&lt;&gt;"","・SV","")&amp;IF(V1133&lt;&gt;"","・データ送付待ち","")&amp;IF(W1133&lt;&gt;"","・削除","")</f>
        <v/>
      </c>
    </row>
    <row r="1134" ht="15" customHeight="1" s="87">
      <c r="AL1134" s="94">
        <f>IF(A1134="","",IF(COUNTIF(A1134:A$2001,A1134)=1,1,0))</f>
        <v/>
      </c>
      <c r="AM1134" s="94">
        <f>IF(I1134="","",TODAY()-I1134)</f>
        <v/>
      </c>
      <c r="AN1134" s="94">
        <f>IF(A1134="","",IF(AND(E1134&lt;&gt;"33 確認済",E1134&lt;&gt;"36 送付中"),1,0))</f>
        <v/>
      </c>
      <c r="AO1134" s="94">
        <f>IF(A1134="","",IF(AG1134&lt;&gt;"",1,0))</f>
        <v/>
      </c>
      <c r="AP1134" s="220">
        <f>IF(P1134&lt;&gt;"","・添待ち","")&amp;IF(Q1134&lt;&gt;"","・住民票","")&amp;IF(R1134&lt;&gt;"","・発信","")&amp;IF(S1134&lt;&gt;"","・確認事項","")&amp;IF(T1134&lt;&gt;"","・管","")&amp;IF(U1134&lt;&gt;"","・SV","")&amp;IF(V1134&lt;&gt;"","・データ送付待ち","")&amp;IF(W1134&lt;&gt;"","・削除","")</f>
        <v/>
      </c>
    </row>
    <row r="1135" ht="15" customHeight="1" s="87">
      <c r="AL1135" s="94">
        <f>IF(A1135="","",IF(COUNTIF(A1135:A$2001,A1135)=1,1,0))</f>
        <v/>
      </c>
      <c r="AM1135" s="94">
        <f>IF(I1135="","",TODAY()-I1135)</f>
        <v/>
      </c>
      <c r="AN1135" s="94">
        <f>IF(A1135="","",IF(AND(E1135&lt;&gt;"33 確認済",E1135&lt;&gt;"36 送付中"),1,0))</f>
        <v/>
      </c>
      <c r="AO1135" s="94">
        <f>IF(A1135="","",IF(AG1135&lt;&gt;"",1,0))</f>
        <v/>
      </c>
      <c r="AP1135" s="220">
        <f>IF(P1135&lt;&gt;"","・添待ち","")&amp;IF(Q1135&lt;&gt;"","・住民票","")&amp;IF(R1135&lt;&gt;"","・発信","")&amp;IF(S1135&lt;&gt;"","・確認事項","")&amp;IF(T1135&lt;&gt;"","・管","")&amp;IF(U1135&lt;&gt;"","・SV","")&amp;IF(V1135&lt;&gt;"","・データ送付待ち","")&amp;IF(W1135&lt;&gt;"","・削除","")</f>
        <v/>
      </c>
    </row>
    <row r="1136" ht="15" customHeight="1" s="87">
      <c r="AL1136" s="94">
        <f>IF(A1136="","",IF(COUNTIF(A1136:A$2001,A1136)=1,1,0))</f>
        <v/>
      </c>
      <c r="AM1136" s="94">
        <f>IF(I1136="","",TODAY()-I1136)</f>
        <v/>
      </c>
      <c r="AN1136" s="94">
        <f>IF(A1136="","",IF(AND(E1136&lt;&gt;"33 確認済",E1136&lt;&gt;"36 送付中"),1,0))</f>
        <v/>
      </c>
      <c r="AO1136" s="94">
        <f>IF(A1136="","",IF(AG1136&lt;&gt;"",1,0))</f>
        <v/>
      </c>
      <c r="AP1136" s="220">
        <f>IF(P1136&lt;&gt;"","・添待ち","")&amp;IF(Q1136&lt;&gt;"","・住民票","")&amp;IF(R1136&lt;&gt;"","・発信","")&amp;IF(S1136&lt;&gt;"","・確認事項","")&amp;IF(T1136&lt;&gt;"","・管","")&amp;IF(U1136&lt;&gt;"","・SV","")&amp;IF(V1136&lt;&gt;"","・データ送付待ち","")&amp;IF(W1136&lt;&gt;"","・削除","")</f>
        <v/>
      </c>
    </row>
    <row r="1137" ht="15" customHeight="1" s="87">
      <c r="AL1137" s="94">
        <f>IF(A1137="","",IF(COUNTIF(A1137:A$2001,A1137)=1,1,0))</f>
        <v/>
      </c>
      <c r="AM1137" s="94">
        <f>IF(I1137="","",TODAY()-I1137)</f>
        <v/>
      </c>
      <c r="AN1137" s="94">
        <f>IF(A1137="","",IF(AND(E1137&lt;&gt;"33 確認済",E1137&lt;&gt;"36 送付中"),1,0))</f>
        <v/>
      </c>
      <c r="AO1137" s="94">
        <f>IF(A1137="","",IF(AG1137&lt;&gt;"",1,0))</f>
        <v/>
      </c>
      <c r="AP1137" s="220">
        <f>IF(P1137&lt;&gt;"","・添待ち","")&amp;IF(Q1137&lt;&gt;"","・住民票","")&amp;IF(R1137&lt;&gt;"","・発信","")&amp;IF(S1137&lt;&gt;"","・確認事項","")&amp;IF(T1137&lt;&gt;"","・管","")&amp;IF(U1137&lt;&gt;"","・SV","")&amp;IF(V1137&lt;&gt;"","・データ送付待ち","")&amp;IF(W1137&lt;&gt;"","・削除","")</f>
        <v/>
      </c>
    </row>
    <row r="1138" ht="15" customHeight="1" s="87">
      <c r="AL1138" s="94">
        <f>IF(A1138="","",IF(COUNTIF(A1138:A$2001,A1138)=1,1,0))</f>
        <v/>
      </c>
      <c r="AM1138" s="94">
        <f>IF(I1138="","",TODAY()-I1138)</f>
        <v/>
      </c>
      <c r="AN1138" s="94">
        <f>IF(A1138="","",IF(AND(E1138&lt;&gt;"33 確認済",E1138&lt;&gt;"36 送付中"),1,0))</f>
        <v/>
      </c>
      <c r="AO1138" s="94">
        <f>IF(A1138="","",IF(AG1138&lt;&gt;"",1,0))</f>
        <v/>
      </c>
      <c r="AP1138" s="220">
        <f>IF(P1138&lt;&gt;"","・添待ち","")&amp;IF(Q1138&lt;&gt;"","・住民票","")&amp;IF(R1138&lt;&gt;"","・発信","")&amp;IF(S1138&lt;&gt;"","・確認事項","")&amp;IF(T1138&lt;&gt;"","・管","")&amp;IF(U1138&lt;&gt;"","・SV","")&amp;IF(V1138&lt;&gt;"","・データ送付待ち","")&amp;IF(W1138&lt;&gt;"","・削除","")</f>
        <v/>
      </c>
    </row>
    <row r="1139" ht="15" customHeight="1" s="87">
      <c r="AL1139" s="94">
        <f>IF(A1139="","",IF(COUNTIF(A1139:A$2001,A1139)=1,1,0))</f>
        <v/>
      </c>
      <c r="AM1139" s="94">
        <f>IF(I1139="","",TODAY()-I1139)</f>
        <v/>
      </c>
      <c r="AN1139" s="94">
        <f>IF(A1139="","",IF(AND(E1139&lt;&gt;"33 確認済",E1139&lt;&gt;"36 送付中"),1,0))</f>
        <v/>
      </c>
      <c r="AO1139" s="94">
        <f>IF(A1139="","",IF(AG1139&lt;&gt;"",1,0))</f>
        <v/>
      </c>
      <c r="AP1139" s="220">
        <f>IF(P1139&lt;&gt;"","・添待ち","")&amp;IF(Q1139&lt;&gt;"","・住民票","")&amp;IF(R1139&lt;&gt;"","・発信","")&amp;IF(S1139&lt;&gt;"","・確認事項","")&amp;IF(T1139&lt;&gt;"","・管","")&amp;IF(U1139&lt;&gt;"","・SV","")&amp;IF(V1139&lt;&gt;"","・データ送付待ち","")&amp;IF(W1139&lt;&gt;"","・削除","")</f>
        <v/>
      </c>
    </row>
    <row r="1140" ht="15" customHeight="1" s="87">
      <c r="AL1140" s="94">
        <f>IF(A1140="","",IF(COUNTIF(A1140:A$2001,A1140)=1,1,0))</f>
        <v/>
      </c>
      <c r="AM1140" s="94">
        <f>IF(I1140="","",TODAY()-I1140)</f>
        <v/>
      </c>
      <c r="AN1140" s="94">
        <f>IF(A1140="","",IF(AND(E1140&lt;&gt;"33 確認済",E1140&lt;&gt;"36 送付中"),1,0))</f>
        <v/>
      </c>
      <c r="AO1140" s="94">
        <f>IF(A1140="","",IF(AG1140&lt;&gt;"",1,0))</f>
        <v/>
      </c>
      <c r="AP1140" s="220">
        <f>IF(P1140&lt;&gt;"","・添待ち","")&amp;IF(Q1140&lt;&gt;"","・住民票","")&amp;IF(R1140&lt;&gt;"","・発信","")&amp;IF(S1140&lt;&gt;"","・確認事項","")&amp;IF(T1140&lt;&gt;"","・管","")&amp;IF(U1140&lt;&gt;"","・SV","")&amp;IF(V1140&lt;&gt;"","・データ送付待ち","")&amp;IF(W1140&lt;&gt;"","・削除","")</f>
        <v/>
      </c>
    </row>
    <row r="1141" ht="15" customHeight="1" s="87">
      <c r="AL1141" s="94">
        <f>IF(A1141="","",IF(COUNTIF(A1141:A$2001,A1141)=1,1,0))</f>
        <v/>
      </c>
      <c r="AM1141" s="94">
        <f>IF(I1141="","",TODAY()-I1141)</f>
        <v/>
      </c>
      <c r="AN1141" s="94">
        <f>IF(A1141="","",IF(AND(E1141&lt;&gt;"33 確認済",E1141&lt;&gt;"36 送付中"),1,0))</f>
        <v/>
      </c>
      <c r="AO1141" s="94">
        <f>IF(A1141="","",IF(AG1141&lt;&gt;"",1,0))</f>
        <v/>
      </c>
      <c r="AP1141" s="220">
        <f>IF(P1141&lt;&gt;"","・添待ち","")&amp;IF(Q1141&lt;&gt;"","・住民票","")&amp;IF(R1141&lt;&gt;"","・発信","")&amp;IF(S1141&lt;&gt;"","・確認事項","")&amp;IF(T1141&lt;&gt;"","・管","")&amp;IF(U1141&lt;&gt;"","・SV","")&amp;IF(V1141&lt;&gt;"","・データ送付待ち","")&amp;IF(W1141&lt;&gt;"","・削除","")</f>
        <v/>
      </c>
    </row>
    <row r="1142" ht="15" customHeight="1" s="87">
      <c r="AL1142" s="94">
        <f>IF(A1142="","",IF(COUNTIF(A1142:A$2001,A1142)=1,1,0))</f>
        <v/>
      </c>
      <c r="AM1142" s="94">
        <f>IF(I1142="","",TODAY()-I1142)</f>
        <v/>
      </c>
      <c r="AN1142" s="94">
        <f>IF(A1142="","",IF(AND(E1142&lt;&gt;"33 確認済",E1142&lt;&gt;"36 送付中"),1,0))</f>
        <v/>
      </c>
      <c r="AO1142" s="94">
        <f>IF(A1142="","",IF(AG1142&lt;&gt;"",1,0))</f>
        <v/>
      </c>
      <c r="AP1142" s="220">
        <f>IF(P1142&lt;&gt;"","・添待ち","")&amp;IF(Q1142&lt;&gt;"","・住民票","")&amp;IF(R1142&lt;&gt;"","・発信","")&amp;IF(S1142&lt;&gt;"","・確認事項","")&amp;IF(T1142&lt;&gt;"","・管","")&amp;IF(U1142&lt;&gt;"","・SV","")&amp;IF(V1142&lt;&gt;"","・データ送付待ち","")&amp;IF(W1142&lt;&gt;"","・削除","")</f>
        <v/>
      </c>
    </row>
    <row r="1143" ht="15" customHeight="1" s="87">
      <c r="AL1143" s="94">
        <f>IF(A1143="","",IF(COUNTIF(A1143:A$2001,A1143)=1,1,0))</f>
        <v/>
      </c>
      <c r="AM1143" s="94">
        <f>IF(I1143="","",TODAY()-I1143)</f>
        <v/>
      </c>
      <c r="AN1143" s="94">
        <f>IF(A1143="","",IF(AND(E1143&lt;&gt;"33 確認済",E1143&lt;&gt;"36 送付中"),1,0))</f>
        <v/>
      </c>
      <c r="AO1143" s="94">
        <f>IF(A1143="","",IF(AG1143&lt;&gt;"",1,0))</f>
        <v/>
      </c>
      <c r="AP1143" s="220">
        <f>IF(P1143&lt;&gt;"","・添待ち","")&amp;IF(Q1143&lt;&gt;"","・住民票","")&amp;IF(R1143&lt;&gt;"","・発信","")&amp;IF(S1143&lt;&gt;"","・確認事項","")&amp;IF(T1143&lt;&gt;"","・管","")&amp;IF(U1143&lt;&gt;"","・SV","")&amp;IF(V1143&lt;&gt;"","・データ送付待ち","")&amp;IF(W1143&lt;&gt;"","・削除","")</f>
        <v/>
      </c>
    </row>
    <row r="1144" ht="15" customHeight="1" s="87">
      <c r="AL1144" s="94">
        <f>IF(A1144="","",IF(COUNTIF(A1144:A$2001,A1144)=1,1,0))</f>
        <v/>
      </c>
      <c r="AM1144" s="94">
        <f>IF(I1144="","",TODAY()-I1144)</f>
        <v/>
      </c>
      <c r="AN1144" s="94">
        <f>IF(A1144="","",IF(AND(E1144&lt;&gt;"33 確認済",E1144&lt;&gt;"36 送付中"),1,0))</f>
        <v/>
      </c>
      <c r="AO1144" s="94">
        <f>IF(A1144="","",IF(AG1144&lt;&gt;"",1,0))</f>
        <v/>
      </c>
      <c r="AP1144" s="220">
        <f>IF(P1144&lt;&gt;"","・添待ち","")&amp;IF(Q1144&lt;&gt;"","・住民票","")&amp;IF(R1144&lt;&gt;"","・発信","")&amp;IF(S1144&lt;&gt;"","・確認事項","")&amp;IF(T1144&lt;&gt;"","・管","")&amp;IF(U1144&lt;&gt;"","・SV","")&amp;IF(V1144&lt;&gt;"","・データ送付待ち","")&amp;IF(W1144&lt;&gt;"","・削除","")</f>
        <v/>
      </c>
    </row>
    <row r="1145" ht="15" customHeight="1" s="87">
      <c r="AL1145" s="94">
        <f>IF(A1145="","",IF(COUNTIF(A1145:A$2001,A1145)=1,1,0))</f>
        <v/>
      </c>
      <c r="AM1145" s="94">
        <f>IF(I1145="","",TODAY()-I1145)</f>
        <v/>
      </c>
      <c r="AN1145" s="94">
        <f>IF(A1145="","",IF(AND(E1145&lt;&gt;"33 確認済",E1145&lt;&gt;"36 送付中"),1,0))</f>
        <v/>
      </c>
      <c r="AO1145" s="94">
        <f>IF(A1145="","",IF(AG1145&lt;&gt;"",1,0))</f>
        <v/>
      </c>
      <c r="AP1145" s="220">
        <f>IF(P1145&lt;&gt;"","・添待ち","")&amp;IF(Q1145&lt;&gt;"","・住民票","")&amp;IF(R1145&lt;&gt;"","・発信","")&amp;IF(S1145&lt;&gt;"","・確認事項","")&amp;IF(T1145&lt;&gt;"","・管","")&amp;IF(U1145&lt;&gt;"","・SV","")&amp;IF(V1145&lt;&gt;"","・データ送付待ち","")&amp;IF(W1145&lt;&gt;"","・削除","")</f>
        <v/>
      </c>
    </row>
    <row r="1146" ht="15" customHeight="1" s="87">
      <c r="AL1146" s="94">
        <f>IF(A1146="","",IF(COUNTIF(A1146:A$2001,A1146)=1,1,0))</f>
        <v/>
      </c>
      <c r="AM1146" s="94">
        <f>IF(I1146="","",TODAY()-I1146)</f>
        <v/>
      </c>
      <c r="AN1146" s="94">
        <f>IF(A1146="","",IF(AND(E1146&lt;&gt;"33 確認済",E1146&lt;&gt;"36 送付中"),1,0))</f>
        <v/>
      </c>
      <c r="AO1146" s="94">
        <f>IF(A1146="","",IF(AG1146&lt;&gt;"",1,0))</f>
        <v/>
      </c>
      <c r="AP1146" s="220">
        <f>IF(P1146&lt;&gt;"","・添待ち","")&amp;IF(Q1146&lt;&gt;"","・住民票","")&amp;IF(R1146&lt;&gt;"","・発信","")&amp;IF(S1146&lt;&gt;"","・確認事項","")&amp;IF(T1146&lt;&gt;"","・管","")&amp;IF(U1146&lt;&gt;"","・SV","")&amp;IF(V1146&lt;&gt;"","・データ送付待ち","")&amp;IF(W1146&lt;&gt;"","・削除","")</f>
        <v/>
      </c>
    </row>
    <row r="1147" ht="15" customHeight="1" s="87">
      <c r="AL1147" s="94">
        <f>IF(A1147="","",IF(COUNTIF(A1147:A$2001,A1147)=1,1,0))</f>
        <v/>
      </c>
      <c r="AM1147" s="94">
        <f>IF(I1147="","",TODAY()-I1147)</f>
        <v/>
      </c>
      <c r="AN1147" s="94">
        <f>IF(A1147="","",IF(AND(E1147&lt;&gt;"33 確認済",E1147&lt;&gt;"36 送付中"),1,0))</f>
        <v/>
      </c>
      <c r="AO1147" s="94">
        <f>IF(A1147="","",IF(AG1147&lt;&gt;"",1,0))</f>
        <v/>
      </c>
      <c r="AP1147" s="220">
        <f>IF(P1147&lt;&gt;"","・添待ち","")&amp;IF(Q1147&lt;&gt;"","・住民票","")&amp;IF(R1147&lt;&gt;"","・発信","")&amp;IF(S1147&lt;&gt;"","・確認事項","")&amp;IF(T1147&lt;&gt;"","・管","")&amp;IF(U1147&lt;&gt;"","・SV","")&amp;IF(V1147&lt;&gt;"","・データ送付待ち","")&amp;IF(W1147&lt;&gt;"","・削除","")</f>
        <v/>
      </c>
    </row>
    <row r="1148" ht="15" customHeight="1" s="87">
      <c r="AL1148" s="94">
        <f>IF(A1148="","",IF(COUNTIF(A1148:A$2001,A1148)=1,1,0))</f>
        <v/>
      </c>
      <c r="AM1148" s="94">
        <f>IF(I1148="","",TODAY()-I1148)</f>
        <v/>
      </c>
      <c r="AN1148" s="94">
        <f>IF(A1148="","",IF(AND(E1148&lt;&gt;"33 確認済",E1148&lt;&gt;"36 送付中"),1,0))</f>
        <v/>
      </c>
      <c r="AO1148" s="94">
        <f>IF(A1148="","",IF(AG1148&lt;&gt;"",1,0))</f>
        <v/>
      </c>
      <c r="AP1148" s="220">
        <f>IF(P1148&lt;&gt;"","・添待ち","")&amp;IF(Q1148&lt;&gt;"","・住民票","")&amp;IF(R1148&lt;&gt;"","・発信","")&amp;IF(S1148&lt;&gt;"","・確認事項","")&amp;IF(T1148&lt;&gt;"","・管","")&amp;IF(U1148&lt;&gt;"","・SV","")&amp;IF(V1148&lt;&gt;"","・データ送付待ち","")&amp;IF(W1148&lt;&gt;"","・削除","")</f>
        <v/>
      </c>
    </row>
    <row r="1149" ht="15" customHeight="1" s="87">
      <c r="AL1149" s="94">
        <f>IF(A1149="","",IF(COUNTIF(A1149:A$2001,A1149)=1,1,0))</f>
        <v/>
      </c>
      <c r="AM1149" s="94">
        <f>IF(I1149="","",TODAY()-I1149)</f>
        <v/>
      </c>
      <c r="AN1149" s="94">
        <f>IF(A1149="","",IF(AND(E1149&lt;&gt;"33 確認済",E1149&lt;&gt;"36 送付中"),1,0))</f>
        <v/>
      </c>
      <c r="AO1149" s="94">
        <f>IF(A1149="","",IF(AG1149&lt;&gt;"",1,0))</f>
        <v/>
      </c>
      <c r="AP1149" s="220">
        <f>IF(P1149&lt;&gt;"","・添待ち","")&amp;IF(Q1149&lt;&gt;"","・住民票","")&amp;IF(R1149&lt;&gt;"","・発信","")&amp;IF(S1149&lt;&gt;"","・確認事項","")&amp;IF(T1149&lt;&gt;"","・管","")&amp;IF(U1149&lt;&gt;"","・SV","")&amp;IF(V1149&lt;&gt;"","・データ送付待ち","")&amp;IF(W1149&lt;&gt;"","・削除","")</f>
        <v/>
      </c>
    </row>
    <row r="1150" ht="15" customHeight="1" s="87">
      <c r="AL1150" s="94">
        <f>IF(A1150="","",IF(COUNTIF(A1150:A$2001,A1150)=1,1,0))</f>
        <v/>
      </c>
      <c r="AM1150" s="94">
        <f>IF(I1150="","",TODAY()-I1150)</f>
        <v/>
      </c>
      <c r="AN1150" s="94">
        <f>IF(A1150="","",IF(AND(E1150&lt;&gt;"33 確認済",E1150&lt;&gt;"36 送付中"),1,0))</f>
        <v/>
      </c>
      <c r="AO1150" s="94">
        <f>IF(A1150="","",IF(AG1150&lt;&gt;"",1,0))</f>
        <v/>
      </c>
      <c r="AP1150" s="220">
        <f>IF(P1150&lt;&gt;"","・添待ち","")&amp;IF(Q1150&lt;&gt;"","・住民票","")&amp;IF(R1150&lt;&gt;"","・発信","")&amp;IF(S1150&lt;&gt;"","・確認事項","")&amp;IF(T1150&lt;&gt;"","・管","")&amp;IF(U1150&lt;&gt;"","・SV","")&amp;IF(V1150&lt;&gt;"","・データ送付待ち","")&amp;IF(W1150&lt;&gt;"","・削除","")</f>
        <v/>
      </c>
    </row>
    <row r="1151" ht="15" customHeight="1" s="87">
      <c r="AL1151" s="94">
        <f>IF(A1151="","",IF(COUNTIF(A1151:A$2001,A1151)=1,1,0))</f>
        <v/>
      </c>
      <c r="AM1151" s="94">
        <f>IF(I1151="","",TODAY()-I1151)</f>
        <v/>
      </c>
      <c r="AN1151" s="94">
        <f>IF(A1151="","",IF(AND(E1151&lt;&gt;"33 確認済",E1151&lt;&gt;"36 送付中"),1,0))</f>
        <v/>
      </c>
      <c r="AO1151" s="94">
        <f>IF(A1151="","",IF(AG1151&lt;&gt;"",1,0))</f>
        <v/>
      </c>
      <c r="AP1151" s="220">
        <f>IF(P1151&lt;&gt;"","・添待ち","")&amp;IF(Q1151&lt;&gt;"","・住民票","")&amp;IF(R1151&lt;&gt;"","・発信","")&amp;IF(S1151&lt;&gt;"","・確認事項","")&amp;IF(T1151&lt;&gt;"","・管","")&amp;IF(U1151&lt;&gt;"","・SV","")&amp;IF(V1151&lt;&gt;"","・データ送付待ち","")&amp;IF(W1151&lt;&gt;"","・削除","")</f>
        <v/>
      </c>
    </row>
    <row r="1152" ht="15" customHeight="1" s="87">
      <c r="AL1152" s="94">
        <f>IF(A1152="","",IF(COUNTIF(A1152:A$2001,A1152)=1,1,0))</f>
        <v/>
      </c>
      <c r="AM1152" s="94">
        <f>IF(I1152="","",TODAY()-I1152)</f>
        <v/>
      </c>
      <c r="AN1152" s="94">
        <f>IF(A1152="","",IF(AND(E1152&lt;&gt;"33 確認済",E1152&lt;&gt;"36 送付中"),1,0))</f>
        <v/>
      </c>
      <c r="AO1152" s="94">
        <f>IF(A1152="","",IF(AG1152&lt;&gt;"",1,0))</f>
        <v/>
      </c>
      <c r="AP1152" s="220">
        <f>IF(P1152&lt;&gt;"","・添待ち","")&amp;IF(Q1152&lt;&gt;"","・住民票","")&amp;IF(R1152&lt;&gt;"","・発信","")&amp;IF(S1152&lt;&gt;"","・確認事項","")&amp;IF(T1152&lt;&gt;"","・管","")&amp;IF(U1152&lt;&gt;"","・SV","")&amp;IF(V1152&lt;&gt;"","・データ送付待ち","")&amp;IF(W1152&lt;&gt;"","・削除","")</f>
        <v/>
      </c>
    </row>
    <row r="1153" ht="15" customHeight="1" s="87">
      <c r="AL1153" s="94">
        <f>IF(A1153="","",IF(COUNTIF(A1153:A$2001,A1153)=1,1,0))</f>
        <v/>
      </c>
      <c r="AM1153" s="94">
        <f>IF(I1153="","",TODAY()-I1153)</f>
        <v/>
      </c>
      <c r="AN1153" s="94">
        <f>IF(A1153="","",IF(AND(E1153&lt;&gt;"33 確認済",E1153&lt;&gt;"36 送付中"),1,0))</f>
        <v/>
      </c>
      <c r="AO1153" s="94">
        <f>IF(A1153="","",IF(AG1153&lt;&gt;"",1,0))</f>
        <v/>
      </c>
      <c r="AP1153" s="220">
        <f>IF(P1153&lt;&gt;"","・添待ち","")&amp;IF(Q1153&lt;&gt;"","・住民票","")&amp;IF(R1153&lt;&gt;"","・発信","")&amp;IF(S1153&lt;&gt;"","・確認事項","")&amp;IF(T1153&lt;&gt;"","・管","")&amp;IF(U1153&lt;&gt;"","・SV","")&amp;IF(V1153&lt;&gt;"","・データ送付待ち","")&amp;IF(W1153&lt;&gt;"","・削除","")</f>
        <v/>
      </c>
    </row>
    <row r="1154" ht="15" customHeight="1" s="87">
      <c r="AL1154" s="94">
        <f>IF(A1154="","",IF(COUNTIF(A1154:A$2001,A1154)=1,1,0))</f>
        <v/>
      </c>
      <c r="AM1154" s="94">
        <f>IF(I1154="","",TODAY()-I1154)</f>
        <v/>
      </c>
      <c r="AN1154" s="94">
        <f>IF(A1154="","",IF(AND(E1154&lt;&gt;"33 確認済",E1154&lt;&gt;"36 送付中"),1,0))</f>
        <v/>
      </c>
      <c r="AO1154" s="94">
        <f>IF(A1154="","",IF(AG1154&lt;&gt;"",1,0))</f>
        <v/>
      </c>
      <c r="AP1154" s="220">
        <f>IF(P1154&lt;&gt;"","・添待ち","")&amp;IF(Q1154&lt;&gt;"","・住民票","")&amp;IF(R1154&lt;&gt;"","・発信","")&amp;IF(S1154&lt;&gt;"","・確認事項","")&amp;IF(T1154&lt;&gt;"","・管","")&amp;IF(U1154&lt;&gt;"","・SV","")&amp;IF(V1154&lt;&gt;"","・データ送付待ち","")&amp;IF(W1154&lt;&gt;"","・削除","")</f>
        <v/>
      </c>
    </row>
    <row r="1155" ht="15" customHeight="1" s="87">
      <c r="AL1155" s="94">
        <f>IF(A1155="","",IF(COUNTIF(A1155:A$2001,A1155)=1,1,0))</f>
        <v/>
      </c>
      <c r="AM1155" s="94">
        <f>IF(I1155="","",TODAY()-I1155)</f>
        <v/>
      </c>
      <c r="AN1155" s="94">
        <f>IF(A1155="","",IF(AND(E1155&lt;&gt;"33 確認済",E1155&lt;&gt;"36 送付中"),1,0))</f>
        <v/>
      </c>
      <c r="AO1155" s="94">
        <f>IF(A1155="","",IF(AG1155&lt;&gt;"",1,0))</f>
        <v/>
      </c>
      <c r="AP1155" s="220">
        <f>IF(P1155&lt;&gt;"","・添待ち","")&amp;IF(Q1155&lt;&gt;"","・住民票","")&amp;IF(R1155&lt;&gt;"","・発信","")&amp;IF(S1155&lt;&gt;"","・確認事項","")&amp;IF(T1155&lt;&gt;"","・管","")&amp;IF(U1155&lt;&gt;"","・SV","")&amp;IF(V1155&lt;&gt;"","・データ送付待ち","")&amp;IF(W1155&lt;&gt;"","・削除","")</f>
        <v/>
      </c>
    </row>
    <row r="1156" ht="15" customHeight="1" s="87">
      <c r="AL1156" s="94">
        <f>IF(A1156="","",IF(COUNTIF(A1156:A$2001,A1156)=1,1,0))</f>
        <v/>
      </c>
      <c r="AM1156" s="94">
        <f>IF(I1156="","",TODAY()-I1156)</f>
        <v/>
      </c>
      <c r="AN1156" s="94">
        <f>IF(A1156="","",IF(AND(E1156&lt;&gt;"33 確認済",E1156&lt;&gt;"36 送付中"),1,0))</f>
        <v/>
      </c>
      <c r="AO1156" s="94">
        <f>IF(A1156="","",IF(AG1156&lt;&gt;"",1,0))</f>
        <v/>
      </c>
      <c r="AP1156" s="220">
        <f>IF(P1156&lt;&gt;"","・添待ち","")&amp;IF(Q1156&lt;&gt;"","・住民票","")&amp;IF(R1156&lt;&gt;"","・発信","")&amp;IF(S1156&lt;&gt;"","・確認事項","")&amp;IF(T1156&lt;&gt;"","・管","")&amp;IF(U1156&lt;&gt;"","・SV","")&amp;IF(V1156&lt;&gt;"","・データ送付待ち","")&amp;IF(W1156&lt;&gt;"","・削除","")</f>
        <v/>
      </c>
    </row>
    <row r="1157" ht="15" customHeight="1" s="87">
      <c r="AL1157" s="94">
        <f>IF(A1157="","",IF(COUNTIF(A1157:A$2001,A1157)=1,1,0))</f>
        <v/>
      </c>
      <c r="AM1157" s="94">
        <f>IF(I1157="","",TODAY()-I1157)</f>
        <v/>
      </c>
      <c r="AN1157" s="94">
        <f>IF(A1157="","",IF(AND(E1157&lt;&gt;"33 確認済",E1157&lt;&gt;"36 送付中"),1,0))</f>
        <v/>
      </c>
      <c r="AO1157" s="94">
        <f>IF(A1157="","",IF(AG1157&lt;&gt;"",1,0))</f>
        <v/>
      </c>
      <c r="AP1157" s="220">
        <f>IF(P1157&lt;&gt;"","・添待ち","")&amp;IF(Q1157&lt;&gt;"","・住民票","")&amp;IF(R1157&lt;&gt;"","・発信","")&amp;IF(S1157&lt;&gt;"","・確認事項","")&amp;IF(T1157&lt;&gt;"","・管","")&amp;IF(U1157&lt;&gt;"","・SV","")&amp;IF(V1157&lt;&gt;"","・データ送付待ち","")&amp;IF(W1157&lt;&gt;"","・削除","")</f>
        <v/>
      </c>
    </row>
    <row r="1158" ht="15" customHeight="1" s="87">
      <c r="AL1158" s="94">
        <f>IF(A1158="","",IF(COUNTIF(A1158:A$2001,A1158)=1,1,0))</f>
        <v/>
      </c>
      <c r="AM1158" s="94">
        <f>IF(I1158="","",TODAY()-I1158)</f>
        <v/>
      </c>
      <c r="AN1158" s="94">
        <f>IF(A1158="","",IF(AND(E1158&lt;&gt;"33 確認済",E1158&lt;&gt;"36 送付中"),1,0))</f>
        <v/>
      </c>
      <c r="AO1158" s="94">
        <f>IF(A1158="","",IF(AG1158&lt;&gt;"",1,0))</f>
        <v/>
      </c>
      <c r="AP1158" s="220">
        <f>IF(P1158&lt;&gt;"","・添待ち","")&amp;IF(Q1158&lt;&gt;"","・住民票","")&amp;IF(R1158&lt;&gt;"","・発信","")&amp;IF(S1158&lt;&gt;"","・確認事項","")&amp;IF(T1158&lt;&gt;"","・管","")&amp;IF(U1158&lt;&gt;"","・SV","")&amp;IF(V1158&lt;&gt;"","・データ送付待ち","")&amp;IF(W1158&lt;&gt;"","・削除","")</f>
        <v/>
      </c>
    </row>
    <row r="1159" ht="15" customHeight="1" s="87">
      <c r="AL1159" s="94">
        <f>IF(A1159="","",IF(COUNTIF(A1159:A$2001,A1159)=1,1,0))</f>
        <v/>
      </c>
      <c r="AM1159" s="94">
        <f>IF(I1159="","",TODAY()-I1159)</f>
        <v/>
      </c>
      <c r="AN1159" s="94">
        <f>IF(A1159="","",IF(AND(E1159&lt;&gt;"33 確認済",E1159&lt;&gt;"36 送付中"),1,0))</f>
        <v/>
      </c>
      <c r="AO1159" s="94">
        <f>IF(A1159="","",IF(AG1159&lt;&gt;"",1,0))</f>
        <v/>
      </c>
      <c r="AP1159" s="220">
        <f>IF(P1159&lt;&gt;"","・添待ち","")&amp;IF(Q1159&lt;&gt;"","・住民票","")&amp;IF(R1159&lt;&gt;"","・発信","")&amp;IF(S1159&lt;&gt;"","・確認事項","")&amp;IF(T1159&lt;&gt;"","・管","")&amp;IF(U1159&lt;&gt;"","・SV","")&amp;IF(V1159&lt;&gt;"","・データ送付待ち","")&amp;IF(W1159&lt;&gt;"","・削除","")</f>
        <v/>
      </c>
    </row>
    <row r="1160" ht="15" customHeight="1" s="87">
      <c r="AL1160" s="94">
        <f>IF(A1160="","",IF(COUNTIF(A1160:A$2001,A1160)=1,1,0))</f>
        <v/>
      </c>
      <c r="AM1160" s="94">
        <f>IF(I1160="","",TODAY()-I1160)</f>
        <v/>
      </c>
      <c r="AN1160" s="94">
        <f>IF(A1160="","",IF(AND(E1160&lt;&gt;"33 確認済",E1160&lt;&gt;"36 送付中"),1,0))</f>
        <v/>
      </c>
      <c r="AO1160" s="94">
        <f>IF(A1160="","",IF(AG1160&lt;&gt;"",1,0))</f>
        <v/>
      </c>
      <c r="AP1160" s="220">
        <f>IF(P1160&lt;&gt;"","・添待ち","")&amp;IF(Q1160&lt;&gt;"","・住民票","")&amp;IF(R1160&lt;&gt;"","・発信","")&amp;IF(S1160&lt;&gt;"","・確認事項","")&amp;IF(T1160&lt;&gt;"","・管","")&amp;IF(U1160&lt;&gt;"","・SV","")&amp;IF(V1160&lt;&gt;"","・データ送付待ち","")&amp;IF(W1160&lt;&gt;"","・削除","")</f>
        <v/>
      </c>
    </row>
    <row r="1161" ht="15" customHeight="1" s="87">
      <c r="AL1161" s="94">
        <f>IF(A1161="","",IF(COUNTIF(A1161:A$2001,A1161)=1,1,0))</f>
        <v/>
      </c>
      <c r="AM1161" s="94">
        <f>IF(I1161="","",TODAY()-I1161)</f>
        <v/>
      </c>
      <c r="AN1161" s="94">
        <f>IF(A1161="","",IF(AND(E1161&lt;&gt;"33 確認済",E1161&lt;&gt;"36 送付中"),1,0))</f>
        <v/>
      </c>
      <c r="AO1161" s="94">
        <f>IF(A1161="","",IF(AG1161&lt;&gt;"",1,0))</f>
        <v/>
      </c>
      <c r="AP1161" s="220">
        <f>IF(P1161&lt;&gt;"","・添待ち","")&amp;IF(Q1161&lt;&gt;"","・住民票","")&amp;IF(R1161&lt;&gt;"","・発信","")&amp;IF(S1161&lt;&gt;"","・確認事項","")&amp;IF(T1161&lt;&gt;"","・管","")&amp;IF(U1161&lt;&gt;"","・SV","")&amp;IF(V1161&lt;&gt;"","・データ送付待ち","")&amp;IF(W1161&lt;&gt;"","・削除","")</f>
        <v/>
      </c>
    </row>
    <row r="1162" ht="15" customHeight="1" s="87">
      <c r="AL1162" s="94">
        <f>IF(A1162="","",IF(COUNTIF(A1162:A$2001,A1162)=1,1,0))</f>
        <v/>
      </c>
      <c r="AM1162" s="94">
        <f>IF(I1162="","",TODAY()-I1162)</f>
        <v/>
      </c>
      <c r="AN1162" s="94">
        <f>IF(A1162="","",IF(AND(E1162&lt;&gt;"33 確認済",E1162&lt;&gt;"36 送付中"),1,0))</f>
        <v/>
      </c>
      <c r="AO1162" s="94">
        <f>IF(A1162="","",IF(AG1162&lt;&gt;"",1,0))</f>
        <v/>
      </c>
      <c r="AP1162" s="220">
        <f>IF(P1162&lt;&gt;"","・添待ち","")&amp;IF(Q1162&lt;&gt;"","・住民票","")&amp;IF(R1162&lt;&gt;"","・発信","")&amp;IF(S1162&lt;&gt;"","・確認事項","")&amp;IF(T1162&lt;&gt;"","・管","")&amp;IF(U1162&lt;&gt;"","・SV","")&amp;IF(V1162&lt;&gt;"","・データ送付待ち","")&amp;IF(W1162&lt;&gt;"","・削除","")</f>
        <v/>
      </c>
    </row>
    <row r="1163" ht="15" customHeight="1" s="87">
      <c r="AL1163" s="94">
        <f>IF(A1163="","",IF(COUNTIF(A1163:A$2001,A1163)=1,1,0))</f>
        <v/>
      </c>
      <c r="AM1163" s="94">
        <f>IF(I1163="","",TODAY()-I1163)</f>
        <v/>
      </c>
      <c r="AN1163" s="94">
        <f>IF(A1163="","",IF(AND(E1163&lt;&gt;"33 確認済",E1163&lt;&gt;"36 送付中"),1,0))</f>
        <v/>
      </c>
      <c r="AO1163" s="94">
        <f>IF(A1163="","",IF(AG1163&lt;&gt;"",1,0))</f>
        <v/>
      </c>
      <c r="AP1163" s="220">
        <f>IF(P1163&lt;&gt;"","・添待ち","")&amp;IF(Q1163&lt;&gt;"","・住民票","")&amp;IF(R1163&lt;&gt;"","・発信","")&amp;IF(S1163&lt;&gt;"","・確認事項","")&amp;IF(T1163&lt;&gt;"","・管","")&amp;IF(U1163&lt;&gt;"","・SV","")&amp;IF(V1163&lt;&gt;"","・データ送付待ち","")&amp;IF(W1163&lt;&gt;"","・削除","")</f>
        <v/>
      </c>
    </row>
    <row r="1164" ht="15" customHeight="1" s="87">
      <c r="AL1164" s="94">
        <f>IF(A1164="","",IF(COUNTIF(A1164:A$2001,A1164)=1,1,0))</f>
        <v/>
      </c>
      <c r="AM1164" s="94">
        <f>IF(I1164="","",TODAY()-I1164)</f>
        <v/>
      </c>
      <c r="AN1164" s="94">
        <f>IF(A1164="","",IF(AND(E1164&lt;&gt;"33 確認済",E1164&lt;&gt;"36 送付中"),1,0))</f>
        <v/>
      </c>
      <c r="AO1164" s="94">
        <f>IF(A1164="","",IF(AG1164&lt;&gt;"",1,0))</f>
        <v/>
      </c>
      <c r="AP1164" s="220">
        <f>IF(P1164&lt;&gt;"","・添待ち","")&amp;IF(Q1164&lt;&gt;"","・住民票","")&amp;IF(R1164&lt;&gt;"","・発信","")&amp;IF(S1164&lt;&gt;"","・確認事項","")&amp;IF(T1164&lt;&gt;"","・管","")&amp;IF(U1164&lt;&gt;"","・SV","")&amp;IF(V1164&lt;&gt;"","・データ送付待ち","")&amp;IF(W1164&lt;&gt;"","・削除","")</f>
        <v/>
      </c>
    </row>
    <row r="1165" ht="15" customHeight="1" s="87">
      <c r="AL1165" s="94">
        <f>IF(A1165="","",IF(COUNTIF(A1165:A$2001,A1165)=1,1,0))</f>
        <v/>
      </c>
      <c r="AM1165" s="94">
        <f>IF(I1165="","",TODAY()-I1165)</f>
        <v/>
      </c>
      <c r="AN1165" s="94">
        <f>IF(A1165="","",IF(AND(E1165&lt;&gt;"33 確認済",E1165&lt;&gt;"36 送付中"),1,0))</f>
        <v/>
      </c>
      <c r="AO1165" s="94">
        <f>IF(A1165="","",IF(AG1165&lt;&gt;"",1,0))</f>
        <v/>
      </c>
      <c r="AP1165" s="220">
        <f>IF(P1165&lt;&gt;"","・添待ち","")&amp;IF(Q1165&lt;&gt;"","・住民票","")&amp;IF(R1165&lt;&gt;"","・発信","")&amp;IF(S1165&lt;&gt;"","・確認事項","")&amp;IF(T1165&lt;&gt;"","・管","")&amp;IF(U1165&lt;&gt;"","・SV","")&amp;IF(V1165&lt;&gt;"","・データ送付待ち","")&amp;IF(W1165&lt;&gt;"","・削除","")</f>
        <v/>
      </c>
    </row>
    <row r="1166" ht="15" customHeight="1" s="87">
      <c r="AL1166" s="94">
        <f>IF(A1166="","",IF(COUNTIF(A1166:A$2001,A1166)=1,1,0))</f>
        <v/>
      </c>
      <c r="AM1166" s="94">
        <f>IF(I1166="","",TODAY()-I1166)</f>
        <v/>
      </c>
      <c r="AN1166" s="94">
        <f>IF(A1166="","",IF(AND(E1166&lt;&gt;"33 確認済",E1166&lt;&gt;"36 送付中"),1,0))</f>
        <v/>
      </c>
      <c r="AO1166" s="94">
        <f>IF(A1166="","",IF(AG1166&lt;&gt;"",1,0))</f>
        <v/>
      </c>
      <c r="AP1166" s="220">
        <f>IF(P1166&lt;&gt;"","・添待ち","")&amp;IF(Q1166&lt;&gt;"","・住民票","")&amp;IF(R1166&lt;&gt;"","・発信","")&amp;IF(S1166&lt;&gt;"","・確認事項","")&amp;IF(T1166&lt;&gt;"","・管","")&amp;IF(U1166&lt;&gt;"","・SV","")&amp;IF(V1166&lt;&gt;"","・データ送付待ち","")&amp;IF(W1166&lt;&gt;"","・削除","")</f>
        <v/>
      </c>
    </row>
    <row r="1167" ht="15" customHeight="1" s="87">
      <c r="AL1167" s="94">
        <f>IF(A1167="","",IF(COUNTIF(A1167:A$2001,A1167)=1,1,0))</f>
        <v/>
      </c>
      <c r="AM1167" s="94">
        <f>IF(I1167="","",TODAY()-I1167)</f>
        <v/>
      </c>
      <c r="AN1167" s="94">
        <f>IF(A1167="","",IF(AND(E1167&lt;&gt;"33 確認済",E1167&lt;&gt;"36 送付中"),1,0))</f>
        <v/>
      </c>
      <c r="AO1167" s="94">
        <f>IF(A1167="","",IF(AG1167&lt;&gt;"",1,0))</f>
        <v/>
      </c>
      <c r="AP1167" s="220">
        <f>IF(P1167&lt;&gt;"","・添待ち","")&amp;IF(Q1167&lt;&gt;"","・住民票","")&amp;IF(R1167&lt;&gt;"","・発信","")&amp;IF(S1167&lt;&gt;"","・確認事項","")&amp;IF(T1167&lt;&gt;"","・管","")&amp;IF(U1167&lt;&gt;"","・SV","")&amp;IF(V1167&lt;&gt;"","・データ送付待ち","")&amp;IF(W1167&lt;&gt;"","・削除","")</f>
        <v/>
      </c>
    </row>
    <row r="1168" ht="15" customHeight="1" s="87">
      <c r="AL1168" s="94">
        <f>IF(A1168="","",IF(COUNTIF(A1168:A$2001,A1168)=1,1,0))</f>
        <v/>
      </c>
      <c r="AM1168" s="94">
        <f>IF(I1168="","",TODAY()-I1168)</f>
        <v/>
      </c>
      <c r="AN1168" s="94">
        <f>IF(A1168="","",IF(AND(E1168&lt;&gt;"33 確認済",E1168&lt;&gt;"36 送付中"),1,0))</f>
        <v/>
      </c>
      <c r="AO1168" s="94">
        <f>IF(A1168="","",IF(AG1168&lt;&gt;"",1,0))</f>
        <v/>
      </c>
      <c r="AP1168" s="220">
        <f>IF(P1168&lt;&gt;"","・添待ち","")&amp;IF(Q1168&lt;&gt;"","・住民票","")&amp;IF(R1168&lt;&gt;"","・発信","")&amp;IF(S1168&lt;&gt;"","・確認事項","")&amp;IF(T1168&lt;&gt;"","・管","")&amp;IF(U1168&lt;&gt;"","・SV","")&amp;IF(V1168&lt;&gt;"","・データ送付待ち","")&amp;IF(W1168&lt;&gt;"","・削除","")</f>
        <v/>
      </c>
    </row>
    <row r="1169" ht="15" customHeight="1" s="87">
      <c r="AL1169" s="94">
        <f>IF(A1169="","",IF(COUNTIF(A1169:A$2001,A1169)=1,1,0))</f>
        <v/>
      </c>
      <c r="AM1169" s="94">
        <f>IF(I1169="","",TODAY()-I1169)</f>
        <v/>
      </c>
      <c r="AN1169" s="94">
        <f>IF(A1169="","",IF(AND(E1169&lt;&gt;"33 確認済",E1169&lt;&gt;"36 送付中"),1,0))</f>
        <v/>
      </c>
      <c r="AO1169" s="94">
        <f>IF(A1169="","",IF(AG1169&lt;&gt;"",1,0))</f>
        <v/>
      </c>
      <c r="AP1169" s="220">
        <f>IF(P1169&lt;&gt;"","・添待ち","")&amp;IF(Q1169&lt;&gt;"","・住民票","")&amp;IF(R1169&lt;&gt;"","・発信","")&amp;IF(S1169&lt;&gt;"","・確認事項","")&amp;IF(T1169&lt;&gt;"","・管","")&amp;IF(U1169&lt;&gt;"","・SV","")&amp;IF(V1169&lt;&gt;"","・データ送付待ち","")&amp;IF(W1169&lt;&gt;"","・削除","")</f>
        <v/>
      </c>
    </row>
    <row r="1170" ht="15" customHeight="1" s="87">
      <c r="AL1170" s="94">
        <f>IF(A1170="","",IF(COUNTIF(A1170:A$2001,A1170)=1,1,0))</f>
        <v/>
      </c>
      <c r="AM1170" s="94">
        <f>IF(I1170="","",TODAY()-I1170)</f>
        <v/>
      </c>
      <c r="AN1170" s="94">
        <f>IF(A1170="","",IF(AND(E1170&lt;&gt;"33 確認済",E1170&lt;&gt;"36 送付中"),1,0))</f>
        <v/>
      </c>
      <c r="AO1170" s="94">
        <f>IF(A1170="","",IF(AG1170&lt;&gt;"",1,0))</f>
        <v/>
      </c>
      <c r="AP1170" s="220">
        <f>IF(P1170&lt;&gt;"","・添待ち","")&amp;IF(Q1170&lt;&gt;"","・住民票","")&amp;IF(R1170&lt;&gt;"","・発信","")&amp;IF(S1170&lt;&gt;"","・確認事項","")&amp;IF(T1170&lt;&gt;"","・管","")&amp;IF(U1170&lt;&gt;"","・SV","")&amp;IF(V1170&lt;&gt;"","・データ送付待ち","")&amp;IF(W1170&lt;&gt;"","・削除","")</f>
        <v/>
      </c>
    </row>
    <row r="1171" ht="15" customHeight="1" s="87">
      <c r="AL1171" s="94">
        <f>IF(A1171="","",IF(COUNTIF(A1171:A$2001,A1171)=1,1,0))</f>
        <v/>
      </c>
      <c r="AM1171" s="94">
        <f>IF(I1171="","",TODAY()-I1171)</f>
        <v/>
      </c>
      <c r="AN1171" s="94">
        <f>IF(A1171="","",IF(AND(E1171&lt;&gt;"33 確認済",E1171&lt;&gt;"36 送付中"),1,0))</f>
        <v/>
      </c>
      <c r="AO1171" s="94">
        <f>IF(A1171="","",IF(AG1171&lt;&gt;"",1,0))</f>
        <v/>
      </c>
      <c r="AP1171" s="220">
        <f>IF(P1171&lt;&gt;"","・添待ち","")&amp;IF(Q1171&lt;&gt;"","・住民票","")&amp;IF(R1171&lt;&gt;"","・発信","")&amp;IF(S1171&lt;&gt;"","・確認事項","")&amp;IF(T1171&lt;&gt;"","・管","")&amp;IF(U1171&lt;&gt;"","・SV","")&amp;IF(V1171&lt;&gt;"","・データ送付待ち","")&amp;IF(W1171&lt;&gt;"","・削除","")</f>
        <v/>
      </c>
    </row>
    <row r="1172" ht="15" customHeight="1" s="87">
      <c r="AL1172" s="94">
        <f>IF(A1172="","",IF(COUNTIF(A1172:A$2001,A1172)=1,1,0))</f>
        <v/>
      </c>
      <c r="AM1172" s="94">
        <f>IF(I1172="","",TODAY()-I1172)</f>
        <v/>
      </c>
      <c r="AN1172" s="94">
        <f>IF(A1172="","",IF(AND(E1172&lt;&gt;"33 確認済",E1172&lt;&gt;"36 送付中"),1,0))</f>
        <v/>
      </c>
      <c r="AO1172" s="94">
        <f>IF(A1172="","",IF(AG1172&lt;&gt;"",1,0))</f>
        <v/>
      </c>
      <c r="AP1172" s="220">
        <f>IF(P1172&lt;&gt;"","・添待ち","")&amp;IF(Q1172&lt;&gt;"","・住民票","")&amp;IF(R1172&lt;&gt;"","・発信","")&amp;IF(S1172&lt;&gt;"","・確認事項","")&amp;IF(T1172&lt;&gt;"","・管","")&amp;IF(U1172&lt;&gt;"","・SV","")&amp;IF(V1172&lt;&gt;"","・データ送付待ち","")&amp;IF(W1172&lt;&gt;"","・削除","")</f>
        <v/>
      </c>
    </row>
    <row r="1173" ht="15" customHeight="1" s="87">
      <c r="AL1173" s="94">
        <f>IF(A1173="","",IF(COUNTIF(A1173:A$2001,A1173)=1,1,0))</f>
        <v/>
      </c>
      <c r="AM1173" s="94">
        <f>IF(I1173="","",TODAY()-I1173)</f>
        <v/>
      </c>
      <c r="AN1173" s="94">
        <f>IF(A1173="","",IF(AND(E1173&lt;&gt;"33 確認済",E1173&lt;&gt;"36 送付中"),1,0))</f>
        <v/>
      </c>
      <c r="AO1173" s="94">
        <f>IF(A1173="","",IF(AG1173&lt;&gt;"",1,0))</f>
        <v/>
      </c>
      <c r="AP1173" s="220">
        <f>IF(P1173&lt;&gt;"","・添待ち","")&amp;IF(Q1173&lt;&gt;"","・住民票","")&amp;IF(R1173&lt;&gt;"","・発信","")&amp;IF(S1173&lt;&gt;"","・確認事項","")&amp;IF(T1173&lt;&gt;"","・管","")&amp;IF(U1173&lt;&gt;"","・SV","")&amp;IF(V1173&lt;&gt;"","・データ送付待ち","")&amp;IF(W1173&lt;&gt;"","・削除","")</f>
        <v/>
      </c>
    </row>
    <row r="1174" ht="15" customHeight="1" s="87">
      <c r="AL1174" s="94">
        <f>IF(A1174="","",IF(COUNTIF(A1174:A$2001,A1174)=1,1,0))</f>
        <v/>
      </c>
      <c r="AM1174" s="94">
        <f>IF(I1174="","",TODAY()-I1174)</f>
        <v/>
      </c>
      <c r="AN1174" s="94">
        <f>IF(A1174="","",IF(AND(E1174&lt;&gt;"33 確認済",E1174&lt;&gt;"36 送付中"),1,0))</f>
        <v/>
      </c>
      <c r="AO1174" s="94">
        <f>IF(A1174="","",IF(AG1174&lt;&gt;"",1,0))</f>
        <v/>
      </c>
      <c r="AP1174" s="220">
        <f>IF(P1174&lt;&gt;"","・添待ち","")&amp;IF(Q1174&lt;&gt;"","・住民票","")&amp;IF(R1174&lt;&gt;"","・発信","")&amp;IF(S1174&lt;&gt;"","・確認事項","")&amp;IF(T1174&lt;&gt;"","・管","")&amp;IF(U1174&lt;&gt;"","・SV","")&amp;IF(V1174&lt;&gt;"","・データ送付待ち","")&amp;IF(W1174&lt;&gt;"","・削除","")</f>
        <v/>
      </c>
    </row>
    <row r="1175" ht="15" customHeight="1" s="87">
      <c r="AL1175" s="94">
        <f>IF(A1175="","",IF(COUNTIF(A1175:A$2001,A1175)=1,1,0))</f>
        <v/>
      </c>
      <c r="AM1175" s="94">
        <f>IF(I1175="","",TODAY()-I1175)</f>
        <v/>
      </c>
      <c r="AN1175" s="94">
        <f>IF(A1175="","",IF(AND(E1175&lt;&gt;"33 確認済",E1175&lt;&gt;"36 送付中"),1,0))</f>
        <v/>
      </c>
      <c r="AO1175" s="94">
        <f>IF(A1175="","",IF(AG1175&lt;&gt;"",1,0))</f>
        <v/>
      </c>
      <c r="AP1175" s="220">
        <f>IF(P1175&lt;&gt;"","・添待ち","")&amp;IF(Q1175&lt;&gt;"","・住民票","")&amp;IF(R1175&lt;&gt;"","・発信","")&amp;IF(S1175&lt;&gt;"","・確認事項","")&amp;IF(T1175&lt;&gt;"","・管","")&amp;IF(U1175&lt;&gt;"","・SV","")&amp;IF(V1175&lt;&gt;"","・データ送付待ち","")&amp;IF(W1175&lt;&gt;"","・削除","")</f>
        <v/>
      </c>
    </row>
    <row r="1176" ht="15" customHeight="1" s="87">
      <c r="AL1176" s="94">
        <f>IF(A1176="","",IF(COUNTIF(A1176:A$2001,A1176)=1,1,0))</f>
        <v/>
      </c>
      <c r="AM1176" s="94">
        <f>IF(I1176="","",TODAY()-I1176)</f>
        <v/>
      </c>
      <c r="AN1176" s="94">
        <f>IF(A1176="","",IF(AND(E1176&lt;&gt;"33 確認済",E1176&lt;&gt;"36 送付中"),1,0))</f>
        <v/>
      </c>
      <c r="AO1176" s="94">
        <f>IF(A1176="","",IF(AG1176&lt;&gt;"",1,0))</f>
        <v/>
      </c>
      <c r="AP1176" s="220">
        <f>IF(P1176&lt;&gt;"","・添待ち","")&amp;IF(Q1176&lt;&gt;"","・住民票","")&amp;IF(R1176&lt;&gt;"","・発信","")&amp;IF(S1176&lt;&gt;"","・確認事項","")&amp;IF(T1176&lt;&gt;"","・管","")&amp;IF(U1176&lt;&gt;"","・SV","")&amp;IF(V1176&lt;&gt;"","・データ送付待ち","")&amp;IF(W1176&lt;&gt;"","・削除","")</f>
        <v/>
      </c>
    </row>
    <row r="1177" ht="15" customHeight="1" s="87">
      <c r="AL1177" s="94">
        <f>IF(A1177="","",IF(COUNTIF(A1177:A$2001,A1177)=1,1,0))</f>
        <v/>
      </c>
      <c r="AM1177" s="94">
        <f>IF(I1177="","",TODAY()-I1177)</f>
        <v/>
      </c>
      <c r="AN1177" s="94">
        <f>IF(A1177="","",IF(AND(E1177&lt;&gt;"33 確認済",E1177&lt;&gt;"36 送付中"),1,0))</f>
        <v/>
      </c>
      <c r="AO1177" s="94">
        <f>IF(A1177="","",IF(AG1177&lt;&gt;"",1,0))</f>
        <v/>
      </c>
      <c r="AP1177" s="220">
        <f>IF(P1177&lt;&gt;"","・添待ち","")&amp;IF(Q1177&lt;&gt;"","・住民票","")&amp;IF(R1177&lt;&gt;"","・発信","")&amp;IF(S1177&lt;&gt;"","・確認事項","")&amp;IF(T1177&lt;&gt;"","・管","")&amp;IF(U1177&lt;&gt;"","・SV","")&amp;IF(V1177&lt;&gt;"","・データ送付待ち","")&amp;IF(W1177&lt;&gt;"","・削除","")</f>
        <v/>
      </c>
    </row>
    <row r="1178" ht="15" customHeight="1" s="87">
      <c r="AL1178" s="94">
        <f>IF(A1178="","",IF(COUNTIF(A1178:A$2001,A1178)=1,1,0))</f>
        <v/>
      </c>
      <c r="AM1178" s="94">
        <f>IF(I1178="","",TODAY()-I1178)</f>
        <v/>
      </c>
      <c r="AN1178" s="94">
        <f>IF(A1178="","",IF(AND(E1178&lt;&gt;"33 確認済",E1178&lt;&gt;"36 送付中"),1,0))</f>
        <v/>
      </c>
      <c r="AO1178" s="94">
        <f>IF(A1178="","",IF(AG1178&lt;&gt;"",1,0))</f>
        <v/>
      </c>
      <c r="AP1178" s="220">
        <f>IF(P1178&lt;&gt;"","・添待ち","")&amp;IF(Q1178&lt;&gt;"","・住民票","")&amp;IF(R1178&lt;&gt;"","・発信","")&amp;IF(S1178&lt;&gt;"","・確認事項","")&amp;IF(T1178&lt;&gt;"","・管","")&amp;IF(U1178&lt;&gt;"","・SV","")&amp;IF(V1178&lt;&gt;"","・データ送付待ち","")&amp;IF(W1178&lt;&gt;"","・削除","")</f>
        <v/>
      </c>
    </row>
    <row r="1179" ht="15" customHeight="1" s="87">
      <c r="AL1179" s="94">
        <f>IF(A1179="","",IF(COUNTIF(A1179:A$2001,A1179)=1,1,0))</f>
        <v/>
      </c>
      <c r="AM1179" s="94">
        <f>IF(I1179="","",TODAY()-I1179)</f>
        <v/>
      </c>
      <c r="AN1179" s="94">
        <f>IF(A1179="","",IF(AND(E1179&lt;&gt;"33 確認済",E1179&lt;&gt;"36 送付中"),1,0))</f>
        <v/>
      </c>
      <c r="AO1179" s="94">
        <f>IF(A1179="","",IF(AG1179&lt;&gt;"",1,0))</f>
        <v/>
      </c>
      <c r="AP1179" s="220">
        <f>IF(P1179&lt;&gt;"","・添待ち","")&amp;IF(Q1179&lt;&gt;"","・住民票","")&amp;IF(R1179&lt;&gt;"","・発信","")&amp;IF(S1179&lt;&gt;"","・確認事項","")&amp;IF(T1179&lt;&gt;"","・管","")&amp;IF(U1179&lt;&gt;"","・SV","")&amp;IF(V1179&lt;&gt;"","・データ送付待ち","")&amp;IF(W1179&lt;&gt;"","・削除","")</f>
        <v/>
      </c>
    </row>
    <row r="1180" ht="15" customHeight="1" s="87">
      <c r="AL1180" s="94">
        <f>IF(A1180="","",IF(COUNTIF(A1180:A$2001,A1180)=1,1,0))</f>
        <v/>
      </c>
      <c r="AM1180" s="94">
        <f>IF(I1180="","",TODAY()-I1180)</f>
        <v/>
      </c>
      <c r="AN1180" s="94">
        <f>IF(A1180="","",IF(AND(E1180&lt;&gt;"33 確認済",E1180&lt;&gt;"36 送付中"),1,0))</f>
        <v/>
      </c>
      <c r="AO1180" s="94">
        <f>IF(A1180="","",IF(AG1180&lt;&gt;"",1,0))</f>
        <v/>
      </c>
      <c r="AP1180" s="220">
        <f>IF(P1180&lt;&gt;"","・添待ち","")&amp;IF(Q1180&lt;&gt;"","・住民票","")&amp;IF(R1180&lt;&gt;"","・発信","")&amp;IF(S1180&lt;&gt;"","・確認事項","")&amp;IF(T1180&lt;&gt;"","・管","")&amp;IF(U1180&lt;&gt;"","・SV","")&amp;IF(V1180&lt;&gt;"","・データ送付待ち","")&amp;IF(W1180&lt;&gt;"","・削除","")</f>
        <v/>
      </c>
    </row>
    <row r="1181" ht="15" customHeight="1" s="87">
      <c r="AL1181" s="94">
        <f>IF(A1181="","",IF(COUNTIF(A1181:A$2001,A1181)=1,1,0))</f>
        <v/>
      </c>
      <c r="AM1181" s="94">
        <f>IF(I1181="","",TODAY()-I1181)</f>
        <v/>
      </c>
      <c r="AN1181" s="94">
        <f>IF(A1181="","",IF(AND(E1181&lt;&gt;"33 確認済",E1181&lt;&gt;"36 送付中"),1,0))</f>
        <v/>
      </c>
      <c r="AO1181" s="94">
        <f>IF(A1181="","",IF(AG1181&lt;&gt;"",1,0))</f>
        <v/>
      </c>
      <c r="AP1181" s="220">
        <f>IF(P1181&lt;&gt;"","・添待ち","")&amp;IF(Q1181&lt;&gt;"","・住民票","")&amp;IF(R1181&lt;&gt;"","・発信","")&amp;IF(S1181&lt;&gt;"","・確認事項","")&amp;IF(T1181&lt;&gt;"","・管","")&amp;IF(U1181&lt;&gt;"","・SV","")&amp;IF(V1181&lt;&gt;"","・データ送付待ち","")&amp;IF(W1181&lt;&gt;"","・削除","")</f>
        <v/>
      </c>
    </row>
    <row r="1182" ht="15" customHeight="1" s="87">
      <c r="AL1182" s="94">
        <f>IF(A1182="","",IF(COUNTIF(A1182:A$2001,A1182)=1,1,0))</f>
        <v/>
      </c>
      <c r="AM1182" s="94">
        <f>IF(I1182="","",TODAY()-I1182)</f>
        <v/>
      </c>
      <c r="AN1182" s="94">
        <f>IF(A1182="","",IF(AND(E1182&lt;&gt;"33 確認済",E1182&lt;&gt;"36 送付中"),1,0))</f>
        <v/>
      </c>
      <c r="AO1182" s="94">
        <f>IF(A1182="","",IF(AG1182&lt;&gt;"",1,0))</f>
        <v/>
      </c>
      <c r="AP1182" s="220">
        <f>IF(P1182&lt;&gt;"","・添待ち","")&amp;IF(Q1182&lt;&gt;"","・住民票","")&amp;IF(R1182&lt;&gt;"","・発信","")&amp;IF(S1182&lt;&gt;"","・確認事項","")&amp;IF(T1182&lt;&gt;"","・管","")&amp;IF(U1182&lt;&gt;"","・SV","")&amp;IF(V1182&lt;&gt;"","・データ送付待ち","")&amp;IF(W1182&lt;&gt;"","・削除","")</f>
        <v/>
      </c>
    </row>
    <row r="1183" ht="15" customHeight="1" s="87">
      <c r="AL1183" s="94">
        <f>IF(A1183="","",IF(COUNTIF(A1183:A$2001,A1183)=1,1,0))</f>
        <v/>
      </c>
      <c r="AM1183" s="94">
        <f>IF(I1183="","",TODAY()-I1183)</f>
        <v/>
      </c>
      <c r="AN1183" s="94">
        <f>IF(A1183="","",IF(AND(E1183&lt;&gt;"33 確認済",E1183&lt;&gt;"36 送付中"),1,0))</f>
        <v/>
      </c>
      <c r="AO1183" s="94">
        <f>IF(A1183="","",IF(AG1183&lt;&gt;"",1,0))</f>
        <v/>
      </c>
      <c r="AP1183" s="220">
        <f>IF(P1183&lt;&gt;"","・添待ち","")&amp;IF(Q1183&lt;&gt;"","・住民票","")&amp;IF(R1183&lt;&gt;"","・発信","")&amp;IF(S1183&lt;&gt;"","・確認事項","")&amp;IF(T1183&lt;&gt;"","・管","")&amp;IF(U1183&lt;&gt;"","・SV","")&amp;IF(V1183&lt;&gt;"","・データ送付待ち","")&amp;IF(W1183&lt;&gt;"","・削除","")</f>
        <v/>
      </c>
    </row>
    <row r="1184" ht="15" customHeight="1" s="87">
      <c r="AL1184" s="94">
        <f>IF(A1184="","",IF(COUNTIF(A1184:A$2001,A1184)=1,1,0))</f>
        <v/>
      </c>
      <c r="AM1184" s="94">
        <f>IF(I1184="","",TODAY()-I1184)</f>
        <v/>
      </c>
      <c r="AN1184" s="94">
        <f>IF(A1184="","",IF(AND(E1184&lt;&gt;"33 確認済",E1184&lt;&gt;"36 送付中"),1,0))</f>
        <v/>
      </c>
      <c r="AO1184" s="94">
        <f>IF(A1184="","",IF(AG1184&lt;&gt;"",1,0))</f>
        <v/>
      </c>
      <c r="AP1184" s="220">
        <f>IF(P1184&lt;&gt;"","・添待ち","")&amp;IF(Q1184&lt;&gt;"","・住民票","")&amp;IF(R1184&lt;&gt;"","・発信","")&amp;IF(S1184&lt;&gt;"","・確認事項","")&amp;IF(T1184&lt;&gt;"","・管","")&amp;IF(U1184&lt;&gt;"","・SV","")&amp;IF(V1184&lt;&gt;"","・データ送付待ち","")&amp;IF(W1184&lt;&gt;"","・削除","")</f>
        <v/>
      </c>
    </row>
    <row r="1185" ht="15" customHeight="1" s="87">
      <c r="AL1185" s="94">
        <f>IF(A1185="","",IF(COUNTIF(A1185:A$2001,A1185)=1,1,0))</f>
        <v/>
      </c>
      <c r="AM1185" s="94">
        <f>IF(I1185="","",TODAY()-I1185)</f>
        <v/>
      </c>
      <c r="AN1185" s="94">
        <f>IF(A1185="","",IF(AND(E1185&lt;&gt;"33 確認済",E1185&lt;&gt;"36 送付中"),1,0))</f>
        <v/>
      </c>
      <c r="AO1185" s="94">
        <f>IF(A1185="","",IF(AG1185&lt;&gt;"",1,0))</f>
        <v/>
      </c>
      <c r="AP1185" s="220">
        <f>IF(P1185&lt;&gt;"","・添待ち","")&amp;IF(Q1185&lt;&gt;"","・住民票","")&amp;IF(R1185&lt;&gt;"","・発信","")&amp;IF(S1185&lt;&gt;"","・確認事項","")&amp;IF(T1185&lt;&gt;"","・管","")&amp;IF(U1185&lt;&gt;"","・SV","")&amp;IF(V1185&lt;&gt;"","・データ送付待ち","")&amp;IF(W1185&lt;&gt;"","・削除","")</f>
        <v/>
      </c>
    </row>
    <row r="1186" ht="15" customHeight="1" s="87">
      <c r="AL1186" s="94">
        <f>IF(A1186="","",IF(COUNTIF(A1186:A$2001,A1186)=1,1,0))</f>
        <v/>
      </c>
      <c r="AM1186" s="94">
        <f>IF(I1186="","",TODAY()-I1186)</f>
        <v/>
      </c>
      <c r="AN1186" s="94">
        <f>IF(A1186="","",IF(AND(E1186&lt;&gt;"33 確認済",E1186&lt;&gt;"36 送付中"),1,0))</f>
        <v/>
      </c>
      <c r="AO1186" s="94">
        <f>IF(A1186="","",IF(AG1186&lt;&gt;"",1,0))</f>
        <v/>
      </c>
      <c r="AP1186" s="220">
        <f>IF(P1186&lt;&gt;"","・添待ち","")&amp;IF(Q1186&lt;&gt;"","・住民票","")&amp;IF(R1186&lt;&gt;"","・発信","")&amp;IF(S1186&lt;&gt;"","・確認事項","")&amp;IF(T1186&lt;&gt;"","・管","")&amp;IF(U1186&lt;&gt;"","・SV","")&amp;IF(V1186&lt;&gt;"","・データ送付待ち","")&amp;IF(W1186&lt;&gt;"","・削除","")</f>
        <v/>
      </c>
    </row>
    <row r="1187" ht="15" customHeight="1" s="87">
      <c r="AL1187" s="94">
        <f>IF(A1187="","",IF(COUNTIF(A1187:A$2001,A1187)=1,1,0))</f>
        <v/>
      </c>
      <c r="AM1187" s="94">
        <f>IF(I1187="","",TODAY()-I1187)</f>
        <v/>
      </c>
      <c r="AN1187" s="94">
        <f>IF(A1187="","",IF(AND(E1187&lt;&gt;"33 確認済",E1187&lt;&gt;"36 送付中"),1,0))</f>
        <v/>
      </c>
      <c r="AO1187" s="94">
        <f>IF(A1187="","",IF(AG1187&lt;&gt;"",1,0))</f>
        <v/>
      </c>
      <c r="AP1187" s="220">
        <f>IF(P1187&lt;&gt;"","・添待ち","")&amp;IF(Q1187&lt;&gt;"","・住民票","")&amp;IF(R1187&lt;&gt;"","・発信","")&amp;IF(S1187&lt;&gt;"","・確認事項","")&amp;IF(T1187&lt;&gt;"","・管","")&amp;IF(U1187&lt;&gt;"","・SV","")&amp;IF(V1187&lt;&gt;"","・データ送付待ち","")&amp;IF(W1187&lt;&gt;"","・削除","")</f>
        <v/>
      </c>
    </row>
    <row r="1188" ht="15" customHeight="1" s="87">
      <c r="AL1188" s="94">
        <f>IF(A1188="","",IF(COUNTIF(A1188:A$2001,A1188)=1,1,0))</f>
        <v/>
      </c>
      <c r="AM1188" s="94">
        <f>IF(I1188="","",TODAY()-I1188)</f>
        <v/>
      </c>
      <c r="AN1188" s="94">
        <f>IF(A1188="","",IF(AND(E1188&lt;&gt;"33 確認済",E1188&lt;&gt;"36 送付中"),1,0))</f>
        <v/>
      </c>
      <c r="AO1188" s="94">
        <f>IF(A1188="","",IF(AG1188&lt;&gt;"",1,0))</f>
        <v/>
      </c>
      <c r="AP1188" s="220">
        <f>IF(P1188&lt;&gt;"","・添待ち","")&amp;IF(Q1188&lt;&gt;"","・住民票","")&amp;IF(R1188&lt;&gt;"","・発信","")&amp;IF(S1188&lt;&gt;"","・確認事項","")&amp;IF(T1188&lt;&gt;"","・管","")&amp;IF(U1188&lt;&gt;"","・SV","")&amp;IF(V1188&lt;&gt;"","・データ送付待ち","")&amp;IF(W1188&lt;&gt;"","・削除","")</f>
        <v/>
      </c>
    </row>
    <row r="1189" ht="15" customHeight="1" s="87">
      <c r="AL1189" s="94">
        <f>IF(A1189="","",IF(COUNTIF(A1189:A$2001,A1189)=1,1,0))</f>
        <v/>
      </c>
      <c r="AM1189" s="94">
        <f>IF(I1189="","",TODAY()-I1189)</f>
        <v/>
      </c>
      <c r="AN1189" s="94">
        <f>IF(A1189="","",IF(AND(E1189&lt;&gt;"33 確認済",E1189&lt;&gt;"36 送付中"),1,0))</f>
        <v/>
      </c>
      <c r="AO1189" s="94">
        <f>IF(A1189="","",IF(AG1189&lt;&gt;"",1,0))</f>
        <v/>
      </c>
      <c r="AP1189" s="220">
        <f>IF(P1189&lt;&gt;"","・添待ち","")&amp;IF(Q1189&lt;&gt;"","・住民票","")&amp;IF(R1189&lt;&gt;"","・発信","")&amp;IF(S1189&lt;&gt;"","・確認事項","")&amp;IF(T1189&lt;&gt;"","・管","")&amp;IF(U1189&lt;&gt;"","・SV","")&amp;IF(V1189&lt;&gt;"","・データ送付待ち","")&amp;IF(W1189&lt;&gt;"","・削除","")</f>
        <v/>
      </c>
    </row>
    <row r="1190" ht="15" customHeight="1" s="87">
      <c r="AL1190" s="94">
        <f>IF(A1190="","",IF(COUNTIF(A1190:A$2001,A1190)=1,1,0))</f>
        <v/>
      </c>
      <c r="AM1190" s="94">
        <f>IF(I1190="","",TODAY()-I1190)</f>
        <v/>
      </c>
      <c r="AN1190" s="94">
        <f>IF(A1190="","",IF(AND(E1190&lt;&gt;"33 確認済",E1190&lt;&gt;"36 送付中"),1,0))</f>
        <v/>
      </c>
      <c r="AO1190" s="94">
        <f>IF(A1190="","",IF(AG1190&lt;&gt;"",1,0))</f>
        <v/>
      </c>
      <c r="AP1190" s="220">
        <f>IF(P1190&lt;&gt;"","・添待ち","")&amp;IF(Q1190&lt;&gt;"","・住民票","")&amp;IF(R1190&lt;&gt;"","・発信","")&amp;IF(S1190&lt;&gt;"","・確認事項","")&amp;IF(T1190&lt;&gt;"","・管","")&amp;IF(U1190&lt;&gt;"","・SV","")&amp;IF(V1190&lt;&gt;"","・データ送付待ち","")&amp;IF(W1190&lt;&gt;"","・削除","")</f>
        <v/>
      </c>
    </row>
    <row r="1191" ht="15" customHeight="1" s="87">
      <c r="AL1191" s="94">
        <f>IF(A1191="","",IF(COUNTIF(A1191:A$2001,A1191)=1,1,0))</f>
        <v/>
      </c>
      <c r="AM1191" s="94">
        <f>IF(I1191="","",TODAY()-I1191)</f>
        <v/>
      </c>
      <c r="AN1191" s="94">
        <f>IF(A1191="","",IF(AND(E1191&lt;&gt;"33 確認済",E1191&lt;&gt;"36 送付中"),1,0))</f>
        <v/>
      </c>
      <c r="AO1191" s="94">
        <f>IF(A1191="","",IF(AG1191&lt;&gt;"",1,0))</f>
        <v/>
      </c>
      <c r="AP1191" s="220">
        <f>IF(P1191&lt;&gt;"","・添待ち","")&amp;IF(Q1191&lt;&gt;"","・住民票","")&amp;IF(R1191&lt;&gt;"","・発信","")&amp;IF(S1191&lt;&gt;"","・確認事項","")&amp;IF(T1191&lt;&gt;"","・管","")&amp;IF(U1191&lt;&gt;"","・SV","")&amp;IF(V1191&lt;&gt;"","・データ送付待ち","")&amp;IF(W1191&lt;&gt;"","・削除","")</f>
        <v/>
      </c>
    </row>
    <row r="1192" ht="15" customHeight="1" s="87">
      <c r="AL1192" s="94">
        <f>IF(A1192="","",IF(COUNTIF(A1192:A$2001,A1192)=1,1,0))</f>
        <v/>
      </c>
      <c r="AM1192" s="94">
        <f>IF(I1192="","",TODAY()-I1192)</f>
        <v/>
      </c>
      <c r="AN1192" s="94">
        <f>IF(A1192="","",IF(AND(E1192&lt;&gt;"33 確認済",E1192&lt;&gt;"36 送付中"),1,0))</f>
        <v/>
      </c>
      <c r="AO1192" s="94">
        <f>IF(A1192="","",IF(AG1192&lt;&gt;"",1,0))</f>
        <v/>
      </c>
      <c r="AP1192" s="220">
        <f>IF(P1192&lt;&gt;"","・添待ち","")&amp;IF(Q1192&lt;&gt;"","・住民票","")&amp;IF(R1192&lt;&gt;"","・発信","")&amp;IF(S1192&lt;&gt;"","・確認事項","")&amp;IF(T1192&lt;&gt;"","・管","")&amp;IF(U1192&lt;&gt;"","・SV","")&amp;IF(V1192&lt;&gt;"","・データ送付待ち","")&amp;IF(W1192&lt;&gt;"","・削除","")</f>
        <v/>
      </c>
    </row>
    <row r="1193" ht="15" customHeight="1" s="87">
      <c r="AL1193" s="94">
        <f>IF(A1193="","",IF(COUNTIF(A1193:A$2001,A1193)=1,1,0))</f>
        <v/>
      </c>
      <c r="AM1193" s="94">
        <f>IF(I1193="","",TODAY()-I1193)</f>
        <v/>
      </c>
      <c r="AN1193" s="94">
        <f>IF(A1193="","",IF(AND(E1193&lt;&gt;"33 確認済",E1193&lt;&gt;"36 送付中"),1,0))</f>
        <v/>
      </c>
      <c r="AO1193" s="94">
        <f>IF(A1193="","",IF(AG1193&lt;&gt;"",1,0))</f>
        <v/>
      </c>
      <c r="AP1193" s="220">
        <f>IF(P1193&lt;&gt;"","・添待ち","")&amp;IF(Q1193&lt;&gt;"","・住民票","")&amp;IF(R1193&lt;&gt;"","・発信","")&amp;IF(S1193&lt;&gt;"","・確認事項","")&amp;IF(T1193&lt;&gt;"","・管","")&amp;IF(U1193&lt;&gt;"","・SV","")&amp;IF(V1193&lt;&gt;"","・データ送付待ち","")&amp;IF(W1193&lt;&gt;"","・削除","")</f>
        <v/>
      </c>
    </row>
    <row r="1194" ht="15" customHeight="1" s="87">
      <c r="AL1194" s="94">
        <f>IF(A1194="","",IF(COUNTIF(A1194:A$2001,A1194)=1,1,0))</f>
        <v/>
      </c>
      <c r="AM1194" s="94">
        <f>IF(I1194="","",TODAY()-I1194)</f>
        <v/>
      </c>
      <c r="AN1194" s="94">
        <f>IF(A1194="","",IF(AND(E1194&lt;&gt;"33 確認済",E1194&lt;&gt;"36 送付中"),1,0))</f>
        <v/>
      </c>
      <c r="AO1194" s="94">
        <f>IF(A1194="","",IF(AG1194&lt;&gt;"",1,0))</f>
        <v/>
      </c>
      <c r="AP1194" s="220">
        <f>IF(P1194&lt;&gt;"","・添待ち","")&amp;IF(Q1194&lt;&gt;"","・住民票","")&amp;IF(R1194&lt;&gt;"","・発信","")&amp;IF(S1194&lt;&gt;"","・確認事項","")&amp;IF(T1194&lt;&gt;"","・管","")&amp;IF(U1194&lt;&gt;"","・SV","")&amp;IF(V1194&lt;&gt;"","・データ送付待ち","")&amp;IF(W1194&lt;&gt;"","・削除","")</f>
        <v/>
      </c>
    </row>
    <row r="1195" ht="15" customHeight="1" s="87">
      <c r="AL1195" s="94">
        <f>IF(A1195="","",IF(COUNTIF(A1195:A$2001,A1195)=1,1,0))</f>
        <v/>
      </c>
      <c r="AM1195" s="94">
        <f>IF(I1195="","",TODAY()-I1195)</f>
        <v/>
      </c>
      <c r="AN1195" s="94">
        <f>IF(A1195="","",IF(AND(E1195&lt;&gt;"33 確認済",E1195&lt;&gt;"36 送付中"),1,0))</f>
        <v/>
      </c>
      <c r="AO1195" s="94">
        <f>IF(A1195="","",IF(AG1195&lt;&gt;"",1,0))</f>
        <v/>
      </c>
      <c r="AP1195" s="220">
        <f>IF(P1195&lt;&gt;"","・添待ち","")&amp;IF(Q1195&lt;&gt;"","・住民票","")&amp;IF(R1195&lt;&gt;"","・発信","")&amp;IF(S1195&lt;&gt;"","・確認事項","")&amp;IF(T1195&lt;&gt;"","・管","")&amp;IF(U1195&lt;&gt;"","・SV","")&amp;IF(V1195&lt;&gt;"","・データ送付待ち","")&amp;IF(W1195&lt;&gt;"","・削除","")</f>
        <v/>
      </c>
    </row>
    <row r="1196" ht="15" customHeight="1" s="87">
      <c r="AL1196" s="94">
        <f>IF(A1196="","",IF(COUNTIF(A1196:A$2001,A1196)=1,1,0))</f>
        <v/>
      </c>
      <c r="AM1196" s="94">
        <f>IF(I1196="","",TODAY()-I1196)</f>
        <v/>
      </c>
      <c r="AN1196" s="94">
        <f>IF(A1196="","",IF(AND(E1196&lt;&gt;"33 確認済",E1196&lt;&gt;"36 送付中"),1,0))</f>
        <v/>
      </c>
      <c r="AO1196" s="94">
        <f>IF(A1196="","",IF(AG1196&lt;&gt;"",1,0))</f>
        <v/>
      </c>
      <c r="AP1196" s="220">
        <f>IF(P1196&lt;&gt;"","・添待ち","")&amp;IF(Q1196&lt;&gt;"","・住民票","")&amp;IF(R1196&lt;&gt;"","・発信","")&amp;IF(S1196&lt;&gt;"","・確認事項","")&amp;IF(T1196&lt;&gt;"","・管","")&amp;IF(U1196&lt;&gt;"","・SV","")&amp;IF(V1196&lt;&gt;"","・データ送付待ち","")&amp;IF(W1196&lt;&gt;"","・削除","")</f>
        <v/>
      </c>
    </row>
    <row r="1197" ht="15" customHeight="1" s="87">
      <c r="AL1197" s="94">
        <f>IF(A1197="","",IF(COUNTIF(A1197:A$2001,A1197)=1,1,0))</f>
        <v/>
      </c>
      <c r="AM1197" s="94">
        <f>IF(I1197="","",TODAY()-I1197)</f>
        <v/>
      </c>
      <c r="AN1197" s="94">
        <f>IF(A1197="","",IF(AND(E1197&lt;&gt;"33 確認済",E1197&lt;&gt;"36 送付中"),1,0))</f>
        <v/>
      </c>
      <c r="AO1197" s="94">
        <f>IF(A1197="","",IF(AG1197&lt;&gt;"",1,0))</f>
        <v/>
      </c>
      <c r="AP1197" s="220">
        <f>IF(P1197&lt;&gt;"","・添待ち","")&amp;IF(Q1197&lt;&gt;"","・住民票","")&amp;IF(R1197&lt;&gt;"","・発信","")&amp;IF(S1197&lt;&gt;"","・確認事項","")&amp;IF(T1197&lt;&gt;"","・管","")&amp;IF(U1197&lt;&gt;"","・SV","")&amp;IF(V1197&lt;&gt;"","・データ送付待ち","")&amp;IF(W1197&lt;&gt;"","・削除","")</f>
        <v/>
      </c>
    </row>
    <row r="1198" ht="15" customHeight="1" s="87">
      <c r="AL1198" s="94">
        <f>IF(A1198="","",IF(COUNTIF(A1198:A$2001,A1198)=1,1,0))</f>
        <v/>
      </c>
      <c r="AM1198" s="94">
        <f>IF(I1198="","",TODAY()-I1198)</f>
        <v/>
      </c>
      <c r="AN1198" s="94">
        <f>IF(A1198="","",IF(AND(E1198&lt;&gt;"33 確認済",E1198&lt;&gt;"36 送付中"),1,0))</f>
        <v/>
      </c>
      <c r="AO1198" s="94">
        <f>IF(A1198="","",IF(AG1198&lt;&gt;"",1,0))</f>
        <v/>
      </c>
      <c r="AP1198" s="220">
        <f>IF(P1198&lt;&gt;"","・添待ち","")&amp;IF(Q1198&lt;&gt;"","・住民票","")&amp;IF(R1198&lt;&gt;"","・発信","")&amp;IF(S1198&lt;&gt;"","・確認事項","")&amp;IF(T1198&lt;&gt;"","・管","")&amp;IF(U1198&lt;&gt;"","・SV","")&amp;IF(V1198&lt;&gt;"","・データ送付待ち","")&amp;IF(W1198&lt;&gt;"","・削除","")</f>
        <v/>
      </c>
    </row>
    <row r="1199" ht="15" customHeight="1" s="87">
      <c r="AL1199" s="94">
        <f>IF(A1199="","",IF(COUNTIF(A1199:A$2001,A1199)=1,1,0))</f>
        <v/>
      </c>
      <c r="AM1199" s="94">
        <f>IF(I1199="","",TODAY()-I1199)</f>
        <v/>
      </c>
      <c r="AN1199" s="94">
        <f>IF(A1199="","",IF(AND(E1199&lt;&gt;"33 確認済",E1199&lt;&gt;"36 送付中"),1,0))</f>
        <v/>
      </c>
      <c r="AO1199" s="94">
        <f>IF(A1199="","",IF(AG1199&lt;&gt;"",1,0))</f>
        <v/>
      </c>
      <c r="AP1199" s="220">
        <f>IF(P1199&lt;&gt;"","・添待ち","")&amp;IF(Q1199&lt;&gt;"","・住民票","")&amp;IF(R1199&lt;&gt;"","・発信","")&amp;IF(S1199&lt;&gt;"","・確認事項","")&amp;IF(T1199&lt;&gt;"","・管","")&amp;IF(U1199&lt;&gt;"","・SV","")&amp;IF(V1199&lt;&gt;"","・データ送付待ち","")&amp;IF(W1199&lt;&gt;"","・削除","")</f>
        <v/>
      </c>
    </row>
    <row r="1200" ht="15" customHeight="1" s="87">
      <c r="AL1200" s="94">
        <f>IF(A1200="","",IF(COUNTIF(A1200:A$2001,A1200)=1,1,0))</f>
        <v/>
      </c>
      <c r="AM1200" s="94">
        <f>IF(I1200="","",TODAY()-I1200)</f>
        <v/>
      </c>
      <c r="AN1200" s="94">
        <f>IF(A1200="","",IF(AND(E1200&lt;&gt;"33 確認済",E1200&lt;&gt;"36 送付中"),1,0))</f>
        <v/>
      </c>
      <c r="AO1200" s="94">
        <f>IF(A1200="","",IF(AG1200&lt;&gt;"",1,0))</f>
        <v/>
      </c>
      <c r="AP1200" s="220">
        <f>IF(P1200&lt;&gt;"","・添待ち","")&amp;IF(Q1200&lt;&gt;"","・住民票","")&amp;IF(R1200&lt;&gt;"","・発信","")&amp;IF(S1200&lt;&gt;"","・確認事項","")&amp;IF(T1200&lt;&gt;"","・管","")&amp;IF(U1200&lt;&gt;"","・SV","")&amp;IF(V1200&lt;&gt;"","・データ送付待ち","")&amp;IF(W1200&lt;&gt;"","・削除","")</f>
        <v/>
      </c>
    </row>
    <row r="1201" ht="15" customHeight="1" s="87">
      <c r="AL1201" s="94">
        <f>IF(A1201="","",IF(COUNTIF(A1201:A$2001,A1201)=1,1,0))</f>
        <v/>
      </c>
      <c r="AM1201" s="94">
        <f>IF(I1201="","",TODAY()-I1201)</f>
        <v/>
      </c>
      <c r="AN1201" s="94">
        <f>IF(A1201="","",IF(AND(E1201&lt;&gt;"33 確認済",E1201&lt;&gt;"36 送付中"),1,0))</f>
        <v/>
      </c>
      <c r="AO1201" s="94">
        <f>IF(A1201="","",IF(AG1201&lt;&gt;"",1,0))</f>
        <v/>
      </c>
      <c r="AP1201" s="220">
        <f>IF(P1201&lt;&gt;"","・添待ち","")&amp;IF(Q1201&lt;&gt;"","・住民票","")&amp;IF(R1201&lt;&gt;"","・発信","")&amp;IF(S1201&lt;&gt;"","・確認事項","")&amp;IF(T1201&lt;&gt;"","・管","")&amp;IF(U1201&lt;&gt;"","・SV","")&amp;IF(V1201&lt;&gt;"","・データ送付待ち","")&amp;IF(W1201&lt;&gt;"","・削除","")</f>
        <v/>
      </c>
    </row>
    <row r="1202" ht="15" customHeight="1" s="87">
      <c r="AL1202" s="94">
        <f>IF(A1202="","",IF(COUNTIF(A1202:A$2001,A1202)=1,1,0))</f>
        <v/>
      </c>
      <c r="AM1202" s="94">
        <f>IF(I1202="","",TODAY()-I1202)</f>
        <v/>
      </c>
      <c r="AN1202" s="94">
        <f>IF(A1202="","",IF(AND(E1202&lt;&gt;"33 確認済",E1202&lt;&gt;"36 送付中"),1,0))</f>
        <v/>
      </c>
      <c r="AO1202" s="94">
        <f>IF(A1202="","",IF(AG1202&lt;&gt;"",1,0))</f>
        <v/>
      </c>
      <c r="AP1202" s="220">
        <f>IF(P1202&lt;&gt;"","・添待ち","")&amp;IF(Q1202&lt;&gt;"","・住民票","")&amp;IF(R1202&lt;&gt;"","・発信","")&amp;IF(S1202&lt;&gt;"","・確認事項","")&amp;IF(T1202&lt;&gt;"","・管","")&amp;IF(U1202&lt;&gt;"","・SV","")&amp;IF(V1202&lt;&gt;"","・データ送付待ち","")&amp;IF(W1202&lt;&gt;"","・削除","")</f>
        <v/>
      </c>
    </row>
    <row r="1203" ht="15" customHeight="1" s="87">
      <c r="AL1203" s="94">
        <f>IF(A1203="","",IF(COUNTIF(A1203:A$2001,A1203)=1,1,0))</f>
        <v/>
      </c>
      <c r="AM1203" s="94">
        <f>IF(I1203="","",TODAY()-I1203)</f>
        <v/>
      </c>
      <c r="AN1203" s="94">
        <f>IF(A1203="","",IF(AND(E1203&lt;&gt;"33 確認済",E1203&lt;&gt;"36 送付中"),1,0))</f>
        <v/>
      </c>
      <c r="AO1203" s="94">
        <f>IF(A1203="","",IF(AG1203&lt;&gt;"",1,0))</f>
        <v/>
      </c>
      <c r="AP1203" s="220">
        <f>IF(P1203&lt;&gt;"","・添待ち","")&amp;IF(Q1203&lt;&gt;"","・住民票","")&amp;IF(R1203&lt;&gt;"","・発信","")&amp;IF(S1203&lt;&gt;"","・確認事項","")&amp;IF(T1203&lt;&gt;"","・管","")&amp;IF(U1203&lt;&gt;"","・SV","")&amp;IF(V1203&lt;&gt;"","・データ送付待ち","")&amp;IF(W1203&lt;&gt;"","・削除","")</f>
        <v/>
      </c>
    </row>
    <row r="1204" ht="15" customHeight="1" s="87">
      <c r="AL1204" s="94">
        <f>IF(A1204="","",IF(COUNTIF(A1204:A$2001,A1204)=1,1,0))</f>
        <v/>
      </c>
      <c r="AM1204" s="94">
        <f>IF(I1204="","",TODAY()-I1204)</f>
        <v/>
      </c>
      <c r="AN1204" s="94">
        <f>IF(A1204="","",IF(AND(E1204&lt;&gt;"33 確認済",E1204&lt;&gt;"36 送付中"),1,0))</f>
        <v/>
      </c>
      <c r="AO1204" s="94">
        <f>IF(A1204="","",IF(AG1204&lt;&gt;"",1,0))</f>
        <v/>
      </c>
      <c r="AP1204" s="220">
        <f>IF(P1204&lt;&gt;"","・添待ち","")&amp;IF(Q1204&lt;&gt;"","・住民票","")&amp;IF(R1204&lt;&gt;"","・発信","")&amp;IF(S1204&lt;&gt;"","・確認事項","")&amp;IF(T1204&lt;&gt;"","・管","")&amp;IF(U1204&lt;&gt;"","・SV","")&amp;IF(V1204&lt;&gt;"","・データ送付待ち","")&amp;IF(W1204&lt;&gt;"","・削除","")</f>
        <v/>
      </c>
    </row>
    <row r="1205" ht="15" customHeight="1" s="87">
      <c r="AL1205" s="94">
        <f>IF(A1205="","",IF(COUNTIF(A1205:A$2001,A1205)=1,1,0))</f>
        <v/>
      </c>
      <c r="AM1205" s="94">
        <f>IF(I1205="","",TODAY()-I1205)</f>
        <v/>
      </c>
      <c r="AN1205" s="94">
        <f>IF(A1205="","",IF(AND(E1205&lt;&gt;"33 確認済",E1205&lt;&gt;"36 送付中"),1,0))</f>
        <v/>
      </c>
      <c r="AO1205" s="94">
        <f>IF(A1205="","",IF(AG1205&lt;&gt;"",1,0))</f>
        <v/>
      </c>
      <c r="AP1205" s="220">
        <f>IF(P1205&lt;&gt;"","・添待ち","")&amp;IF(Q1205&lt;&gt;"","・住民票","")&amp;IF(R1205&lt;&gt;"","・発信","")&amp;IF(S1205&lt;&gt;"","・確認事項","")&amp;IF(T1205&lt;&gt;"","・管","")&amp;IF(U1205&lt;&gt;"","・SV","")&amp;IF(V1205&lt;&gt;"","・データ送付待ち","")&amp;IF(W1205&lt;&gt;"","・削除","")</f>
        <v/>
      </c>
    </row>
    <row r="1206" ht="15" customHeight="1" s="87">
      <c r="AL1206" s="94">
        <f>IF(A1206="","",IF(COUNTIF(A1206:A$2001,A1206)=1,1,0))</f>
        <v/>
      </c>
      <c r="AM1206" s="94">
        <f>IF(I1206="","",TODAY()-I1206)</f>
        <v/>
      </c>
      <c r="AN1206" s="94">
        <f>IF(A1206="","",IF(AND(E1206&lt;&gt;"33 確認済",E1206&lt;&gt;"36 送付中"),1,0))</f>
        <v/>
      </c>
      <c r="AO1206" s="94">
        <f>IF(A1206="","",IF(AG1206&lt;&gt;"",1,0))</f>
        <v/>
      </c>
      <c r="AP1206" s="220">
        <f>IF(P1206&lt;&gt;"","・添待ち","")&amp;IF(Q1206&lt;&gt;"","・住民票","")&amp;IF(R1206&lt;&gt;"","・発信","")&amp;IF(S1206&lt;&gt;"","・確認事項","")&amp;IF(T1206&lt;&gt;"","・管","")&amp;IF(U1206&lt;&gt;"","・SV","")&amp;IF(V1206&lt;&gt;"","・データ送付待ち","")&amp;IF(W1206&lt;&gt;"","・削除","")</f>
        <v/>
      </c>
    </row>
    <row r="1207" ht="15" customHeight="1" s="87">
      <c r="AL1207" s="94">
        <f>IF(A1207="","",IF(COUNTIF(A1207:A$2001,A1207)=1,1,0))</f>
        <v/>
      </c>
      <c r="AM1207" s="94">
        <f>IF(I1207="","",TODAY()-I1207)</f>
        <v/>
      </c>
      <c r="AN1207" s="94">
        <f>IF(A1207="","",IF(AND(E1207&lt;&gt;"33 確認済",E1207&lt;&gt;"36 送付中"),1,0))</f>
        <v/>
      </c>
      <c r="AO1207" s="94">
        <f>IF(A1207="","",IF(AG1207&lt;&gt;"",1,0))</f>
        <v/>
      </c>
      <c r="AP1207" s="220">
        <f>IF(P1207&lt;&gt;"","・添待ち","")&amp;IF(Q1207&lt;&gt;"","・住民票","")&amp;IF(R1207&lt;&gt;"","・発信","")&amp;IF(S1207&lt;&gt;"","・確認事項","")&amp;IF(T1207&lt;&gt;"","・管","")&amp;IF(U1207&lt;&gt;"","・SV","")&amp;IF(V1207&lt;&gt;"","・データ送付待ち","")&amp;IF(W1207&lt;&gt;"","・削除","")</f>
        <v/>
      </c>
    </row>
    <row r="1208" ht="15" customHeight="1" s="87">
      <c r="AL1208" s="94">
        <f>IF(A1208="","",IF(COUNTIF(A1208:A$2001,A1208)=1,1,0))</f>
        <v/>
      </c>
      <c r="AM1208" s="94">
        <f>IF(I1208="","",TODAY()-I1208)</f>
        <v/>
      </c>
      <c r="AN1208" s="94">
        <f>IF(A1208="","",IF(AND(E1208&lt;&gt;"33 確認済",E1208&lt;&gt;"36 送付中"),1,0))</f>
        <v/>
      </c>
      <c r="AO1208" s="94">
        <f>IF(A1208="","",IF(AG1208&lt;&gt;"",1,0))</f>
        <v/>
      </c>
      <c r="AP1208" s="220">
        <f>IF(P1208&lt;&gt;"","・添待ち","")&amp;IF(Q1208&lt;&gt;"","・住民票","")&amp;IF(R1208&lt;&gt;"","・発信","")&amp;IF(S1208&lt;&gt;"","・確認事項","")&amp;IF(T1208&lt;&gt;"","・管","")&amp;IF(U1208&lt;&gt;"","・SV","")&amp;IF(V1208&lt;&gt;"","・データ送付待ち","")&amp;IF(W1208&lt;&gt;"","・削除","")</f>
        <v/>
      </c>
    </row>
    <row r="1209" ht="15" customHeight="1" s="87">
      <c r="AL1209" s="94">
        <f>IF(A1209="","",IF(COUNTIF(A1209:A$2001,A1209)=1,1,0))</f>
        <v/>
      </c>
      <c r="AM1209" s="94">
        <f>IF(I1209="","",TODAY()-I1209)</f>
        <v/>
      </c>
      <c r="AN1209" s="94">
        <f>IF(A1209="","",IF(AND(E1209&lt;&gt;"33 確認済",E1209&lt;&gt;"36 送付中"),1,0))</f>
        <v/>
      </c>
      <c r="AO1209" s="94">
        <f>IF(A1209="","",IF(AG1209&lt;&gt;"",1,0))</f>
        <v/>
      </c>
      <c r="AP1209" s="220">
        <f>IF(P1209&lt;&gt;"","・添待ち","")&amp;IF(Q1209&lt;&gt;"","・住民票","")&amp;IF(R1209&lt;&gt;"","・発信","")&amp;IF(S1209&lt;&gt;"","・確認事項","")&amp;IF(T1209&lt;&gt;"","・管","")&amp;IF(U1209&lt;&gt;"","・SV","")&amp;IF(V1209&lt;&gt;"","・データ送付待ち","")&amp;IF(W1209&lt;&gt;"","・削除","")</f>
        <v/>
      </c>
    </row>
    <row r="1210" ht="15" customHeight="1" s="87">
      <c r="AL1210" s="94">
        <f>IF(A1210="","",IF(COUNTIF(A1210:A$2001,A1210)=1,1,0))</f>
        <v/>
      </c>
      <c r="AM1210" s="94">
        <f>IF(I1210="","",TODAY()-I1210)</f>
        <v/>
      </c>
      <c r="AN1210" s="94">
        <f>IF(A1210="","",IF(AND(E1210&lt;&gt;"33 確認済",E1210&lt;&gt;"36 送付中"),1,0))</f>
        <v/>
      </c>
      <c r="AO1210" s="94">
        <f>IF(A1210="","",IF(AG1210&lt;&gt;"",1,0))</f>
        <v/>
      </c>
      <c r="AP1210" s="220">
        <f>IF(P1210&lt;&gt;"","・添待ち","")&amp;IF(Q1210&lt;&gt;"","・住民票","")&amp;IF(R1210&lt;&gt;"","・発信","")&amp;IF(S1210&lt;&gt;"","・確認事項","")&amp;IF(T1210&lt;&gt;"","・管","")&amp;IF(U1210&lt;&gt;"","・SV","")&amp;IF(V1210&lt;&gt;"","・データ送付待ち","")&amp;IF(W1210&lt;&gt;"","・削除","")</f>
        <v/>
      </c>
    </row>
    <row r="1211" ht="15" customHeight="1" s="87">
      <c r="AL1211" s="94">
        <f>IF(A1211="","",IF(COUNTIF(A1211:A$2001,A1211)=1,1,0))</f>
        <v/>
      </c>
      <c r="AM1211" s="94">
        <f>IF(I1211="","",TODAY()-I1211)</f>
        <v/>
      </c>
      <c r="AN1211" s="94">
        <f>IF(A1211="","",IF(AND(E1211&lt;&gt;"33 確認済",E1211&lt;&gt;"36 送付中"),1,0))</f>
        <v/>
      </c>
      <c r="AO1211" s="94">
        <f>IF(A1211="","",IF(AG1211&lt;&gt;"",1,0))</f>
        <v/>
      </c>
      <c r="AP1211" s="220">
        <f>IF(P1211&lt;&gt;"","・添待ち","")&amp;IF(Q1211&lt;&gt;"","・住民票","")&amp;IF(R1211&lt;&gt;"","・発信","")&amp;IF(S1211&lt;&gt;"","・確認事項","")&amp;IF(T1211&lt;&gt;"","・管","")&amp;IF(U1211&lt;&gt;"","・SV","")&amp;IF(V1211&lt;&gt;"","・データ送付待ち","")&amp;IF(W1211&lt;&gt;"","・削除","")</f>
        <v/>
      </c>
    </row>
    <row r="1212" ht="15" customHeight="1" s="87">
      <c r="AL1212" s="94">
        <f>IF(A1212="","",IF(COUNTIF(A1212:A$2001,A1212)=1,1,0))</f>
        <v/>
      </c>
      <c r="AM1212" s="94">
        <f>IF(I1212="","",TODAY()-I1212)</f>
        <v/>
      </c>
      <c r="AN1212" s="94">
        <f>IF(A1212="","",IF(AND(E1212&lt;&gt;"33 確認済",E1212&lt;&gt;"36 送付中"),1,0))</f>
        <v/>
      </c>
      <c r="AO1212" s="94">
        <f>IF(A1212="","",IF(AG1212&lt;&gt;"",1,0))</f>
        <v/>
      </c>
      <c r="AP1212" s="220">
        <f>IF(P1212&lt;&gt;"","・添待ち","")&amp;IF(Q1212&lt;&gt;"","・住民票","")&amp;IF(R1212&lt;&gt;"","・発信","")&amp;IF(S1212&lt;&gt;"","・確認事項","")&amp;IF(T1212&lt;&gt;"","・管","")&amp;IF(U1212&lt;&gt;"","・SV","")&amp;IF(V1212&lt;&gt;"","・データ送付待ち","")&amp;IF(W1212&lt;&gt;"","・削除","")</f>
        <v/>
      </c>
    </row>
    <row r="1213" ht="15" customHeight="1" s="87">
      <c r="AL1213" s="94">
        <f>IF(A1213="","",IF(COUNTIF(A1213:A$2001,A1213)=1,1,0))</f>
        <v/>
      </c>
      <c r="AM1213" s="94">
        <f>IF(I1213="","",TODAY()-I1213)</f>
        <v/>
      </c>
      <c r="AN1213" s="94">
        <f>IF(A1213="","",IF(AND(E1213&lt;&gt;"33 確認済",E1213&lt;&gt;"36 送付中"),1,0))</f>
        <v/>
      </c>
      <c r="AO1213" s="94">
        <f>IF(A1213="","",IF(AG1213&lt;&gt;"",1,0))</f>
        <v/>
      </c>
      <c r="AP1213" s="220">
        <f>IF(P1213&lt;&gt;"","・添待ち","")&amp;IF(Q1213&lt;&gt;"","・住民票","")&amp;IF(R1213&lt;&gt;"","・発信","")&amp;IF(S1213&lt;&gt;"","・確認事項","")&amp;IF(T1213&lt;&gt;"","・管","")&amp;IF(U1213&lt;&gt;"","・SV","")&amp;IF(V1213&lt;&gt;"","・データ送付待ち","")&amp;IF(W1213&lt;&gt;"","・削除","")</f>
        <v/>
      </c>
    </row>
    <row r="1214" ht="15" customHeight="1" s="87">
      <c r="AL1214" s="94">
        <f>IF(A1214="","",IF(COUNTIF(A1214:A$2001,A1214)=1,1,0))</f>
        <v/>
      </c>
      <c r="AM1214" s="94">
        <f>IF(I1214="","",TODAY()-I1214)</f>
        <v/>
      </c>
      <c r="AN1214" s="94">
        <f>IF(A1214="","",IF(AND(E1214&lt;&gt;"33 確認済",E1214&lt;&gt;"36 送付中"),1,0))</f>
        <v/>
      </c>
      <c r="AO1214" s="94">
        <f>IF(A1214="","",IF(AG1214&lt;&gt;"",1,0))</f>
        <v/>
      </c>
      <c r="AP1214" s="220">
        <f>IF(P1214&lt;&gt;"","・添待ち","")&amp;IF(Q1214&lt;&gt;"","・住民票","")&amp;IF(R1214&lt;&gt;"","・発信","")&amp;IF(S1214&lt;&gt;"","・確認事項","")&amp;IF(T1214&lt;&gt;"","・管","")&amp;IF(U1214&lt;&gt;"","・SV","")&amp;IF(V1214&lt;&gt;"","・データ送付待ち","")&amp;IF(W1214&lt;&gt;"","・削除","")</f>
        <v/>
      </c>
    </row>
    <row r="1215" ht="15" customHeight="1" s="87">
      <c r="AL1215" s="94">
        <f>IF(A1215="","",IF(COUNTIF(A1215:A$2001,A1215)=1,1,0))</f>
        <v/>
      </c>
      <c r="AM1215" s="94">
        <f>IF(I1215="","",TODAY()-I1215)</f>
        <v/>
      </c>
      <c r="AN1215" s="94">
        <f>IF(A1215="","",IF(AND(E1215&lt;&gt;"33 確認済",E1215&lt;&gt;"36 送付中"),1,0))</f>
        <v/>
      </c>
      <c r="AO1215" s="94">
        <f>IF(A1215="","",IF(AG1215&lt;&gt;"",1,0))</f>
        <v/>
      </c>
      <c r="AP1215" s="220">
        <f>IF(P1215&lt;&gt;"","・添待ち","")&amp;IF(Q1215&lt;&gt;"","・住民票","")&amp;IF(R1215&lt;&gt;"","・発信","")&amp;IF(S1215&lt;&gt;"","・確認事項","")&amp;IF(T1215&lt;&gt;"","・管","")&amp;IF(U1215&lt;&gt;"","・SV","")&amp;IF(V1215&lt;&gt;"","・データ送付待ち","")&amp;IF(W1215&lt;&gt;"","・削除","")</f>
        <v/>
      </c>
    </row>
    <row r="1216" ht="15" customHeight="1" s="87">
      <c r="AL1216" s="94">
        <f>IF(A1216="","",IF(COUNTIF(A1216:A$2001,A1216)=1,1,0))</f>
        <v/>
      </c>
      <c r="AM1216" s="94">
        <f>IF(I1216="","",TODAY()-I1216)</f>
        <v/>
      </c>
      <c r="AN1216" s="94">
        <f>IF(A1216="","",IF(AND(E1216&lt;&gt;"33 確認済",E1216&lt;&gt;"36 送付中"),1,0))</f>
        <v/>
      </c>
      <c r="AO1216" s="94">
        <f>IF(A1216="","",IF(AG1216&lt;&gt;"",1,0))</f>
        <v/>
      </c>
      <c r="AP1216" s="220">
        <f>IF(P1216&lt;&gt;"","・添待ち","")&amp;IF(Q1216&lt;&gt;"","・住民票","")&amp;IF(R1216&lt;&gt;"","・発信","")&amp;IF(S1216&lt;&gt;"","・確認事項","")&amp;IF(T1216&lt;&gt;"","・管","")&amp;IF(U1216&lt;&gt;"","・SV","")&amp;IF(V1216&lt;&gt;"","・データ送付待ち","")&amp;IF(W1216&lt;&gt;"","・削除","")</f>
        <v/>
      </c>
    </row>
    <row r="1217" ht="15" customHeight="1" s="87">
      <c r="AL1217" s="94">
        <f>IF(A1217="","",IF(COUNTIF(A1217:A$2001,A1217)=1,1,0))</f>
        <v/>
      </c>
      <c r="AM1217" s="94">
        <f>IF(I1217="","",TODAY()-I1217)</f>
        <v/>
      </c>
      <c r="AN1217" s="94">
        <f>IF(A1217="","",IF(AND(E1217&lt;&gt;"33 確認済",E1217&lt;&gt;"36 送付中"),1,0))</f>
        <v/>
      </c>
      <c r="AO1217" s="94">
        <f>IF(A1217="","",IF(AG1217&lt;&gt;"",1,0))</f>
        <v/>
      </c>
      <c r="AP1217" s="220">
        <f>IF(P1217&lt;&gt;"","・添待ち","")&amp;IF(Q1217&lt;&gt;"","・住民票","")&amp;IF(R1217&lt;&gt;"","・発信","")&amp;IF(S1217&lt;&gt;"","・確認事項","")&amp;IF(T1217&lt;&gt;"","・管","")&amp;IF(U1217&lt;&gt;"","・SV","")&amp;IF(V1217&lt;&gt;"","・データ送付待ち","")&amp;IF(W1217&lt;&gt;"","・削除","")</f>
        <v/>
      </c>
    </row>
    <row r="1218" ht="15" customHeight="1" s="87">
      <c r="AL1218" s="94">
        <f>IF(A1218="","",IF(COUNTIF(A1218:A$2001,A1218)=1,1,0))</f>
        <v/>
      </c>
      <c r="AM1218" s="94">
        <f>IF(I1218="","",TODAY()-I1218)</f>
        <v/>
      </c>
      <c r="AN1218" s="94">
        <f>IF(A1218="","",IF(AND(E1218&lt;&gt;"33 確認済",E1218&lt;&gt;"36 送付中"),1,0))</f>
        <v/>
      </c>
      <c r="AO1218" s="94">
        <f>IF(A1218="","",IF(AG1218&lt;&gt;"",1,0))</f>
        <v/>
      </c>
      <c r="AP1218" s="220">
        <f>IF(P1218&lt;&gt;"","・添待ち","")&amp;IF(Q1218&lt;&gt;"","・住民票","")&amp;IF(R1218&lt;&gt;"","・発信","")&amp;IF(S1218&lt;&gt;"","・確認事項","")&amp;IF(T1218&lt;&gt;"","・管","")&amp;IF(U1218&lt;&gt;"","・SV","")&amp;IF(V1218&lt;&gt;"","・データ送付待ち","")&amp;IF(W1218&lt;&gt;"","・削除","")</f>
        <v/>
      </c>
    </row>
    <row r="1219" ht="15" customHeight="1" s="87">
      <c r="AL1219" s="94">
        <f>IF(A1219="","",IF(COUNTIF(A1219:A$2001,A1219)=1,1,0))</f>
        <v/>
      </c>
      <c r="AM1219" s="94">
        <f>IF(I1219="","",TODAY()-I1219)</f>
        <v/>
      </c>
      <c r="AN1219" s="94">
        <f>IF(A1219="","",IF(AND(E1219&lt;&gt;"33 確認済",E1219&lt;&gt;"36 送付中"),1,0))</f>
        <v/>
      </c>
      <c r="AO1219" s="94">
        <f>IF(A1219="","",IF(AG1219&lt;&gt;"",1,0))</f>
        <v/>
      </c>
      <c r="AP1219" s="220">
        <f>IF(P1219&lt;&gt;"","・添待ち","")&amp;IF(Q1219&lt;&gt;"","・住民票","")&amp;IF(R1219&lt;&gt;"","・発信","")&amp;IF(S1219&lt;&gt;"","・確認事項","")&amp;IF(T1219&lt;&gt;"","・管","")&amp;IF(U1219&lt;&gt;"","・SV","")&amp;IF(V1219&lt;&gt;"","・データ送付待ち","")&amp;IF(W1219&lt;&gt;"","・削除","")</f>
        <v/>
      </c>
    </row>
    <row r="1220" ht="15" customHeight="1" s="87">
      <c r="AL1220" s="94">
        <f>IF(A1220="","",IF(COUNTIF(A1220:A$2001,A1220)=1,1,0))</f>
        <v/>
      </c>
      <c r="AM1220" s="94">
        <f>IF(I1220="","",TODAY()-I1220)</f>
        <v/>
      </c>
      <c r="AN1220" s="94">
        <f>IF(A1220="","",IF(AND(E1220&lt;&gt;"33 確認済",E1220&lt;&gt;"36 送付中"),1,0))</f>
        <v/>
      </c>
      <c r="AO1220" s="94">
        <f>IF(A1220="","",IF(AG1220&lt;&gt;"",1,0))</f>
        <v/>
      </c>
      <c r="AP1220" s="220">
        <f>IF(P1220&lt;&gt;"","・添待ち","")&amp;IF(Q1220&lt;&gt;"","・住民票","")&amp;IF(R1220&lt;&gt;"","・発信","")&amp;IF(S1220&lt;&gt;"","・確認事項","")&amp;IF(T1220&lt;&gt;"","・管","")&amp;IF(U1220&lt;&gt;"","・SV","")&amp;IF(V1220&lt;&gt;"","・データ送付待ち","")&amp;IF(W1220&lt;&gt;"","・削除","")</f>
        <v/>
      </c>
    </row>
    <row r="1221" ht="15" customHeight="1" s="87">
      <c r="AL1221" s="94">
        <f>IF(A1221="","",IF(COUNTIF(A1221:A$2001,A1221)=1,1,0))</f>
        <v/>
      </c>
      <c r="AM1221" s="94">
        <f>IF(I1221="","",TODAY()-I1221)</f>
        <v/>
      </c>
      <c r="AN1221" s="94">
        <f>IF(A1221="","",IF(AND(E1221&lt;&gt;"33 確認済",E1221&lt;&gt;"36 送付中"),1,0))</f>
        <v/>
      </c>
      <c r="AO1221" s="94">
        <f>IF(A1221="","",IF(AG1221&lt;&gt;"",1,0))</f>
        <v/>
      </c>
      <c r="AP1221" s="220">
        <f>IF(P1221&lt;&gt;"","・添待ち","")&amp;IF(Q1221&lt;&gt;"","・住民票","")&amp;IF(R1221&lt;&gt;"","・発信","")&amp;IF(S1221&lt;&gt;"","・確認事項","")&amp;IF(T1221&lt;&gt;"","・管","")&amp;IF(U1221&lt;&gt;"","・SV","")&amp;IF(V1221&lt;&gt;"","・データ送付待ち","")&amp;IF(W1221&lt;&gt;"","・削除","")</f>
        <v/>
      </c>
    </row>
    <row r="1222" ht="15" customHeight="1" s="87">
      <c r="AL1222" s="94">
        <f>IF(A1222="","",IF(COUNTIF(A1222:A$2001,A1222)=1,1,0))</f>
        <v/>
      </c>
      <c r="AM1222" s="94">
        <f>IF(I1222="","",TODAY()-I1222)</f>
        <v/>
      </c>
      <c r="AN1222" s="94">
        <f>IF(A1222="","",IF(AND(E1222&lt;&gt;"33 確認済",E1222&lt;&gt;"36 送付中"),1,0))</f>
        <v/>
      </c>
      <c r="AO1222" s="94">
        <f>IF(A1222="","",IF(AG1222&lt;&gt;"",1,0))</f>
        <v/>
      </c>
      <c r="AP1222" s="220">
        <f>IF(P1222&lt;&gt;"","・添待ち","")&amp;IF(Q1222&lt;&gt;"","・住民票","")&amp;IF(R1222&lt;&gt;"","・発信","")&amp;IF(S1222&lt;&gt;"","・確認事項","")&amp;IF(T1222&lt;&gt;"","・管","")&amp;IF(U1222&lt;&gt;"","・SV","")&amp;IF(V1222&lt;&gt;"","・データ送付待ち","")&amp;IF(W1222&lt;&gt;"","・削除","")</f>
        <v/>
      </c>
    </row>
    <row r="1223" ht="15" customHeight="1" s="87">
      <c r="AL1223" s="94">
        <f>IF(A1223="","",IF(COUNTIF(A1223:A$2001,A1223)=1,1,0))</f>
        <v/>
      </c>
      <c r="AM1223" s="94">
        <f>IF(I1223="","",TODAY()-I1223)</f>
        <v/>
      </c>
      <c r="AN1223" s="94">
        <f>IF(A1223="","",IF(AND(E1223&lt;&gt;"33 確認済",E1223&lt;&gt;"36 送付中"),1,0))</f>
        <v/>
      </c>
      <c r="AO1223" s="94">
        <f>IF(A1223="","",IF(AG1223&lt;&gt;"",1,0))</f>
        <v/>
      </c>
      <c r="AP1223" s="220">
        <f>IF(P1223&lt;&gt;"","・添待ち","")&amp;IF(Q1223&lt;&gt;"","・住民票","")&amp;IF(R1223&lt;&gt;"","・発信","")&amp;IF(S1223&lt;&gt;"","・確認事項","")&amp;IF(T1223&lt;&gt;"","・管","")&amp;IF(U1223&lt;&gt;"","・SV","")&amp;IF(V1223&lt;&gt;"","・データ送付待ち","")&amp;IF(W1223&lt;&gt;"","・削除","")</f>
        <v/>
      </c>
    </row>
    <row r="1224" ht="15" customHeight="1" s="87">
      <c r="AL1224" s="94">
        <f>IF(A1224="","",IF(COUNTIF(A1224:A$2001,A1224)=1,1,0))</f>
        <v/>
      </c>
      <c r="AM1224" s="94">
        <f>IF(I1224="","",TODAY()-I1224)</f>
        <v/>
      </c>
      <c r="AN1224" s="94">
        <f>IF(A1224="","",IF(AND(E1224&lt;&gt;"33 確認済",E1224&lt;&gt;"36 送付中"),1,0))</f>
        <v/>
      </c>
      <c r="AO1224" s="94">
        <f>IF(A1224="","",IF(AG1224&lt;&gt;"",1,0))</f>
        <v/>
      </c>
      <c r="AP1224" s="220">
        <f>IF(P1224&lt;&gt;"","・添待ち","")&amp;IF(Q1224&lt;&gt;"","・住民票","")&amp;IF(R1224&lt;&gt;"","・発信","")&amp;IF(S1224&lt;&gt;"","・確認事項","")&amp;IF(T1224&lt;&gt;"","・管","")&amp;IF(U1224&lt;&gt;"","・SV","")&amp;IF(V1224&lt;&gt;"","・データ送付待ち","")&amp;IF(W1224&lt;&gt;"","・削除","")</f>
        <v/>
      </c>
    </row>
    <row r="1225" ht="15" customHeight="1" s="87">
      <c r="AL1225" s="94">
        <f>IF(A1225="","",IF(COUNTIF(A1225:A$2001,A1225)=1,1,0))</f>
        <v/>
      </c>
      <c r="AM1225" s="94">
        <f>IF(I1225="","",TODAY()-I1225)</f>
        <v/>
      </c>
      <c r="AN1225" s="94">
        <f>IF(A1225="","",IF(AND(E1225&lt;&gt;"33 確認済",E1225&lt;&gt;"36 送付中"),1,0))</f>
        <v/>
      </c>
      <c r="AO1225" s="94">
        <f>IF(A1225="","",IF(AG1225&lt;&gt;"",1,0))</f>
        <v/>
      </c>
      <c r="AP1225" s="220">
        <f>IF(P1225&lt;&gt;"","・添待ち","")&amp;IF(Q1225&lt;&gt;"","・住民票","")&amp;IF(R1225&lt;&gt;"","・発信","")&amp;IF(S1225&lt;&gt;"","・確認事項","")&amp;IF(T1225&lt;&gt;"","・管","")&amp;IF(U1225&lt;&gt;"","・SV","")&amp;IF(V1225&lt;&gt;"","・データ送付待ち","")&amp;IF(W1225&lt;&gt;"","・削除","")</f>
        <v/>
      </c>
    </row>
    <row r="1226" ht="15" customHeight="1" s="87">
      <c r="AL1226" s="94">
        <f>IF(A1226="","",IF(COUNTIF(A1226:A$2001,A1226)=1,1,0))</f>
        <v/>
      </c>
      <c r="AM1226" s="94">
        <f>IF(I1226="","",TODAY()-I1226)</f>
        <v/>
      </c>
      <c r="AN1226" s="94">
        <f>IF(A1226="","",IF(AND(E1226&lt;&gt;"33 確認済",E1226&lt;&gt;"36 送付中"),1,0))</f>
        <v/>
      </c>
      <c r="AO1226" s="94">
        <f>IF(A1226="","",IF(AG1226&lt;&gt;"",1,0))</f>
        <v/>
      </c>
      <c r="AP1226" s="220">
        <f>IF(P1226&lt;&gt;"","・添待ち","")&amp;IF(Q1226&lt;&gt;"","・住民票","")&amp;IF(R1226&lt;&gt;"","・発信","")&amp;IF(S1226&lt;&gt;"","・確認事項","")&amp;IF(T1226&lt;&gt;"","・管","")&amp;IF(U1226&lt;&gt;"","・SV","")&amp;IF(V1226&lt;&gt;"","・データ送付待ち","")&amp;IF(W1226&lt;&gt;"","・削除","")</f>
        <v/>
      </c>
    </row>
    <row r="1227" ht="15" customHeight="1" s="87">
      <c r="AL1227" s="94">
        <f>IF(A1227="","",IF(COUNTIF(A1227:A$2001,A1227)=1,1,0))</f>
        <v/>
      </c>
      <c r="AM1227" s="94">
        <f>IF(I1227="","",TODAY()-I1227)</f>
        <v/>
      </c>
      <c r="AN1227" s="94">
        <f>IF(A1227="","",IF(AND(E1227&lt;&gt;"33 確認済",E1227&lt;&gt;"36 送付中"),1,0))</f>
        <v/>
      </c>
      <c r="AO1227" s="94">
        <f>IF(A1227="","",IF(AG1227&lt;&gt;"",1,0))</f>
        <v/>
      </c>
      <c r="AP1227" s="220">
        <f>IF(P1227&lt;&gt;"","・添待ち","")&amp;IF(Q1227&lt;&gt;"","・住民票","")&amp;IF(R1227&lt;&gt;"","・発信","")&amp;IF(S1227&lt;&gt;"","・確認事項","")&amp;IF(T1227&lt;&gt;"","・管","")&amp;IF(U1227&lt;&gt;"","・SV","")&amp;IF(V1227&lt;&gt;"","・データ送付待ち","")&amp;IF(W1227&lt;&gt;"","・削除","")</f>
        <v/>
      </c>
    </row>
    <row r="1228" ht="15" customHeight="1" s="87">
      <c r="AL1228" s="94">
        <f>IF(A1228="","",IF(COUNTIF(A1228:A$2001,A1228)=1,1,0))</f>
        <v/>
      </c>
      <c r="AM1228" s="94">
        <f>IF(I1228="","",TODAY()-I1228)</f>
        <v/>
      </c>
      <c r="AN1228" s="94">
        <f>IF(A1228="","",IF(AND(E1228&lt;&gt;"33 確認済",E1228&lt;&gt;"36 送付中"),1,0))</f>
        <v/>
      </c>
      <c r="AO1228" s="94">
        <f>IF(A1228="","",IF(AG1228&lt;&gt;"",1,0))</f>
        <v/>
      </c>
      <c r="AP1228" s="220">
        <f>IF(P1228&lt;&gt;"","・添待ち","")&amp;IF(Q1228&lt;&gt;"","・住民票","")&amp;IF(R1228&lt;&gt;"","・発信","")&amp;IF(S1228&lt;&gt;"","・確認事項","")&amp;IF(T1228&lt;&gt;"","・管","")&amp;IF(U1228&lt;&gt;"","・SV","")&amp;IF(V1228&lt;&gt;"","・データ送付待ち","")&amp;IF(W1228&lt;&gt;"","・削除","")</f>
        <v/>
      </c>
    </row>
    <row r="1229" ht="15" customHeight="1" s="87">
      <c r="AL1229" s="94">
        <f>IF(A1229="","",IF(COUNTIF(A1229:A$2001,A1229)=1,1,0))</f>
        <v/>
      </c>
      <c r="AM1229" s="94">
        <f>IF(I1229="","",TODAY()-I1229)</f>
        <v/>
      </c>
      <c r="AN1229" s="94">
        <f>IF(A1229="","",IF(AND(E1229&lt;&gt;"33 確認済",E1229&lt;&gt;"36 送付中"),1,0))</f>
        <v/>
      </c>
      <c r="AO1229" s="94">
        <f>IF(A1229="","",IF(AG1229&lt;&gt;"",1,0))</f>
        <v/>
      </c>
      <c r="AP1229" s="220">
        <f>IF(P1229&lt;&gt;"","・添待ち","")&amp;IF(Q1229&lt;&gt;"","・住民票","")&amp;IF(R1229&lt;&gt;"","・発信","")&amp;IF(S1229&lt;&gt;"","・確認事項","")&amp;IF(T1229&lt;&gt;"","・管","")&amp;IF(U1229&lt;&gt;"","・SV","")&amp;IF(V1229&lt;&gt;"","・データ送付待ち","")&amp;IF(W1229&lt;&gt;"","・削除","")</f>
        <v/>
      </c>
    </row>
    <row r="1230" ht="15" customHeight="1" s="87">
      <c r="AL1230" s="94">
        <f>IF(A1230="","",IF(COUNTIF(A1230:A$2001,A1230)=1,1,0))</f>
        <v/>
      </c>
      <c r="AM1230" s="94">
        <f>IF(I1230="","",TODAY()-I1230)</f>
        <v/>
      </c>
      <c r="AN1230" s="94">
        <f>IF(A1230="","",IF(AND(E1230&lt;&gt;"33 確認済",E1230&lt;&gt;"36 送付中"),1,0))</f>
        <v/>
      </c>
      <c r="AO1230" s="94">
        <f>IF(A1230="","",IF(AG1230&lt;&gt;"",1,0))</f>
        <v/>
      </c>
      <c r="AP1230" s="220">
        <f>IF(P1230&lt;&gt;"","・添待ち","")&amp;IF(Q1230&lt;&gt;"","・住民票","")&amp;IF(R1230&lt;&gt;"","・発信","")&amp;IF(S1230&lt;&gt;"","・確認事項","")&amp;IF(T1230&lt;&gt;"","・管","")&amp;IF(U1230&lt;&gt;"","・SV","")&amp;IF(V1230&lt;&gt;"","・データ送付待ち","")&amp;IF(W1230&lt;&gt;"","・削除","")</f>
        <v/>
      </c>
    </row>
    <row r="1231" ht="15" customHeight="1" s="87">
      <c r="AL1231" s="94">
        <f>IF(A1231="","",IF(COUNTIF(A1231:A$2001,A1231)=1,1,0))</f>
        <v/>
      </c>
      <c r="AM1231" s="94">
        <f>IF(I1231="","",TODAY()-I1231)</f>
        <v/>
      </c>
      <c r="AN1231" s="94">
        <f>IF(A1231="","",IF(AND(E1231&lt;&gt;"33 確認済",E1231&lt;&gt;"36 送付中"),1,0))</f>
        <v/>
      </c>
      <c r="AO1231" s="94">
        <f>IF(A1231="","",IF(AG1231&lt;&gt;"",1,0))</f>
        <v/>
      </c>
      <c r="AP1231" s="220">
        <f>IF(P1231&lt;&gt;"","・添待ち","")&amp;IF(Q1231&lt;&gt;"","・住民票","")&amp;IF(R1231&lt;&gt;"","・発信","")&amp;IF(S1231&lt;&gt;"","・確認事項","")&amp;IF(T1231&lt;&gt;"","・管","")&amp;IF(U1231&lt;&gt;"","・SV","")&amp;IF(V1231&lt;&gt;"","・データ送付待ち","")&amp;IF(W1231&lt;&gt;"","・削除","")</f>
        <v/>
      </c>
    </row>
    <row r="1232" ht="15" customHeight="1" s="87">
      <c r="AL1232" s="94">
        <f>IF(A1232="","",IF(COUNTIF(A1232:A$2001,A1232)=1,1,0))</f>
        <v/>
      </c>
      <c r="AM1232" s="94">
        <f>IF(I1232="","",TODAY()-I1232)</f>
        <v/>
      </c>
      <c r="AN1232" s="94">
        <f>IF(A1232="","",IF(AND(E1232&lt;&gt;"33 確認済",E1232&lt;&gt;"36 送付中"),1,0))</f>
        <v/>
      </c>
      <c r="AO1232" s="94">
        <f>IF(A1232="","",IF(AG1232&lt;&gt;"",1,0))</f>
        <v/>
      </c>
      <c r="AP1232" s="220">
        <f>IF(P1232&lt;&gt;"","・添待ち","")&amp;IF(Q1232&lt;&gt;"","・住民票","")&amp;IF(R1232&lt;&gt;"","・発信","")&amp;IF(S1232&lt;&gt;"","・確認事項","")&amp;IF(T1232&lt;&gt;"","・管","")&amp;IF(U1232&lt;&gt;"","・SV","")&amp;IF(V1232&lt;&gt;"","・データ送付待ち","")&amp;IF(W1232&lt;&gt;"","・削除","")</f>
        <v/>
      </c>
    </row>
    <row r="1233" ht="15" customHeight="1" s="87">
      <c r="AL1233" s="94">
        <f>IF(A1233="","",IF(COUNTIF(A1233:A$2001,A1233)=1,1,0))</f>
        <v/>
      </c>
      <c r="AM1233" s="94">
        <f>IF(I1233="","",TODAY()-I1233)</f>
        <v/>
      </c>
      <c r="AN1233" s="94">
        <f>IF(A1233="","",IF(AND(E1233&lt;&gt;"33 確認済",E1233&lt;&gt;"36 送付中"),1,0))</f>
        <v/>
      </c>
      <c r="AO1233" s="94">
        <f>IF(A1233="","",IF(AG1233&lt;&gt;"",1,0))</f>
        <v/>
      </c>
      <c r="AP1233" s="220">
        <f>IF(P1233&lt;&gt;"","・添待ち","")&amp;IF(Q1233&lt;&gt;"","・住民票","")&amp;IF(R1233&lt;&gt;"","・発信","")&amp;IF(S1233&lt;&gt;"","・確認事項","")&amp;IF(T1233&lt;&gt;"","・管","")&amp;IF(U1233&lt;&gt;"","・SV","")&amp;IF(V1233&lt;&gt;"","・データ送付待ち","")&amp;IF(W1233&lt;&gt;"","・削除","")</f>
        <v/>
      </c>
    </row>
    <row r="1234" ht="15" customHeight="1" s="87">
      <c r="AL1234" s="94">
        <f>IF(A1234="","",IF(COUNTIF(A1234:A$2001,A1234)=1,1,0))</f>
        <v/>
      </c>
      <c r="AM1234" s="94">
        <f>IF(I1234="","",TODAY()-I1234)</f>
        <v/>
      </c>
      <c r="AN1234" s="94">
        <f>IF(A1234="","",IF(AND(E1234&lt;&gt;"33 確認済",E1234&lt;&gt;"36 送付中"),1,0))</f>
        <v/>
      </c>
      <c r="AO1234" s="94">
        <f>IF(A1234="","",IF(AG1234&lt;&gt;"",1,0))</f>
        <v/>
      </c>
      <c r="AP1234" s="220">
        <f>IF(P1234&lt;&gt;"","・添待ち","")&amp;IF(Q1234&lt;&gt;"","・住民票","")&amp;IF(R1234&lt;&gt;"","・発信","")&amp;IF(S1234&lt;&gt;"","・確認事項","")&amp;IF(T1234&lt;&gt;"","・管","")&amp;IF(U1234&lt;&gt;"","・SV","")&amp;IF(V1234&lt;&gt;"","・データ送付待ち","")&amp;IF(W1234&lt;&gt;"","・削除","")</f>
        <v/>
      </c>
    </row>
    <row r="1235" ht="15" customHeight="1" s="87">
      <c r="AL1235" s="94">
        <f>IF(A1235="","",IF(COUNTIF(A1235:A$2001,A1235)=1,1,0))</f>
        <v/>
      </c>
      <c r="AM1235" s="94">
        <f>IF(I1235="","",TODAY()-I1235)</f>
        <v/>
      </c>
      <c r="AN1235" s="94">
        <f>IF(A1235="","",IF(AND(E1235&lt;&gt;"33 確認済",E1235&lt;&gt;"36 送付中"),1,0))</f>
        <v/>
      </c>
      <c r="AO1235" s="94">
        <f>IF(A1235="","",IF(AG1235&lt;&gt;"",1,0))</f>
        <v/>
      </c>
      <c r="AP1235" s="220">
        <f>IF(P1235&lt;&gt;"","・添待ち","")&amp;IF(Q1235&lt;&gt;"","・住民票","")&amp;IF(R1235&lt;&gt;"","・発信","")&amp;IF(S1235&lt;&gt;"","・確認事項","")&amp;IF(T1235&lt;&gt;"","・管","")&amp;IF(U1235&lt;&gt;"","・SV","")&amp;IF(V1235&lt;&gt;"","・データ送付待ち","")&amp;IF(W1235&lt;&gt;"","・削除","")</f>
        <v/>
      </c>
    </row>
    <row r="1236" ht="15" customHeight="1" s="87">
      <c r="AL1236" s="94">
        <f>IF(A1236="","",IF(COUNTIF(A1236:A$2001,A1236)=1,1,0))</f>
        <v/>
      </c>
      <c r="AM1236" s="94">
        <f>IF(I1236="","",TODAY()-I1236)</f>
        <v/>
      </c>
      <c r="AN1236" s="94">
        <f>IF(A1236="","",IF(AND(E1236&lt;&gt;"33 確認済",E1236&lt;&gt;"36 送付中"),1,0))</f>
        <v/>
      </c>
      <c r="AO1236" s="94">
        <f>IF(A1236="","",IF(AG1236&lt;&gt;"",1,0))</f>
        <v/>
      </c>
      <c r="AP1236" s="220">
        <f>IF(P1236&lt;&gt;"","・添待ち","")&amp;IF(Q1236&lt;&gt;"","・住民票","")&amp;IF(R1236&lt;&gt;"","・発信","")&amp;IF(S1236&lt;&gt;"","・確認事項","")&amp;IF(T1236&lt;&gt;"","・管","")&amp;IF(U1236&lt;&gt;"","・SV","")&amp;IF(V1236&lt;&gt;"","・データ送付待ち","")&amp;IF(W1236&lt;&gt;"","・削除","")</f>
        <v/>
      </c>
    </row>
    <row r="1237" ht="15" customHeight="1" s="87">
      <c r="AL1237" s="94">
        <f>IF(A1237="","",IF(COUNTIF(A1237:A$2001,A1237)=1,1,0))</f>
        <v/>
      </c>
      <c r="AM1237" s="94">
        <f>IF(I1237="","",TODAY()-I1237)</f>
        <v/>
      </c>
      <c r="AN1237" s="94">
        <f>IF(A1237="","",IF(AND(E1237&lt;&gt;"33 確認済",E1237&lt;&gt;"36 送付中"),1,0))</f>
        <v/>
      </c>
      <c r="AO1237" s="94">
        <f>IF(A1237="","",IF(AG1237&lt;&gt;"",1,0))</f>
        <v/>
      </c>
      <c r="AP1237" s="220">
        <f>IF(P1237&lt;&gt;"","・添待ち","")&amp;IF(Q1237&lt;&gt;"","・住民票","")&amp;IF(R1237&lt;&gt;"","・発信","")&amp;IF(S1237&lt;&gt;"","・確認事項","")&amp;IF(T1237&lt;&gt;"","・管","")&amp;IF(U1237&lt;&gt;"","・SV","")&amp;IF(V1237&lt;&gt;"","・データ送付待ち","")&amp;IF(W1237&lt;&gt;"","・削除","")</f>
        <v/>
      </c>
    </row>
    <row r="1238" ht="15" customHeight="1" s="87">
      <c r="AL1238" s="94">
        <f>IF(A1238="","",IF(COUNTIF(A1238:A$2001,A1238)=1,1,0))</f>
        <v/>
      </c>
      <c r="AM1238" s="94">
        <f>IF(I1238="","",TODAY()-I1238)</f>
        <v/>
      </c>
      <c r="AN1238" s="94">
        <f>IF(A1238="","",IF(AND(E1238&lt;&gt;"33 確認済",E1238&lt;&gt;"36 送付中"),1,0))</f>
        <v/>
      </c>
      <c r="AO1238" s="94">
        <f>IF(A1238="","",IF(AG1238&lt;&gt;"",1,0))</f>
        <v/>
      </c>
      <c r="AP1238" s="220">
        <f>IF(P1238&lt;&gt;"","・添待ち","")&amp;IF(Q1238&lt;&gt;"","・住民票","")&amp;IF(R1238&lt;&gt;"","・発信","")&amp;IF(S1238&lt;&gt;"","・確認事項","")&amp;IF(T1238&lt;&gt;"","・管","")&amp;IF(U1238&lt;&gt;"","・SV","")&amp;IF(V1238&lt;&gt;"","・データ送付待ち","")&amp;IF(W1238&lt;&gt;"","・削除","")</f>
        <v/>
      </c>
    </row>
    <row r="1239" ht="15" customHeight="1" s="87">
      <c r="AL1239" s="94">
        <f>IF(A1239="","",IF(COUNTIF(A1239:A$2001,A1239)=1,1,0))</f>
        <v/>
      </c>
      <c r="AM1239" s="94">
        <f>IF(I1239="","",TODAY()-I1239)</f>
        <v/>
      </c>
      <c r="AN1239" s="94">
        <f>IF(A1239="","",IF(AND(E1239&lt;&gt;"33 確認済",E1239&lt;&gt;"36 送付中"),1,0))</f>
        <v/>
      </c>
      <c r="AO1239" s="94">
        <f>IF(A1239="","",IF(AG1239&lt;&gt;"",1,0))</f>
        <v/>
      </c>
      <c r="AP1239" s="220">
        <f>IF(P1239&lt;&gt;"","・添待ち","")&amp;IF(Q1239&lt;&gt;"","・住民票","")&amp;IF(R1239&lt;&gt;"","・発信","")&amp;IF(S1239&lt;&gt;"","・確認事項","")&amp;IF(T1239&lt;&gt;"","・管","")&amp;IF(U1239&lt;&gt;"","・SV","")&amp;IF(V1239&lt;&gt;"","・データ送付待ち","")&amp;IF(W1239&lt;&gt;"","・削除","")</f>
        <v/>
      </c>
    </row>
    <row r="1240" ht="15" customHeight="1" s="87">
      <c r="AL1240" s="94">
        <f>IF(A1240="","",IF(COUNTIF(A1240:A$2001,A1240)=1,1,0))</f>
        <v/>
      </c>
      <c r="AM1240" s="94">
        <f>IF(I1240="","",TODAY()-I1240)</f>
        <v/>
      </c>
      <c r="AN1240" s="94">
        <f>IF(A1240="","",IF(AND(E1240&lt;&gt;"33 確認済",E1240&lt;&gt;"36 送付中"),1,0))</f>
        <v/>
      </c>
      <c r="AO1240" s="94">
        <f>IF(A1240="","",IF(AG1240&lt;&gt;"",1,0))</f>
        <v/>
      </c>
      <c r="AP1240" s="220">
        <f>IF(P1240&lt;&gt;"","・添待ち","")&amp;IF(Q1240&lt;&gt;"","・住民票","")&amp;IF(R1240&lt;&gt;"","・発信","")&amp;IF(S1240&lt;&gt;"","・確認事項","")&amp;IF(T1240&lt;&gt;"","・管","")&amp;IF(U1240&lt;&gt;"","・SV","")&amp;IF(V1240&lt;&gt;"","・データ送付待ち","")&amp;IF(W1240&lt;&gt;"","・削除","")</f>
        <v/>
      </c>
    </row>
    <row r="1241" ht="15" customHeight="1" s="87">
      <c r="AL1241" s="94">
        <f>IF(A1241="","",IF(COUNTIF(A1241:A$2001,A1241)=1,1,0))</f>
        <v/>
      </c>
      <c r="AM1241" s="94">
        <f>IF(I1241="","",TODAY()-I1241)</f>
        <v/>
      </c>
      <c r="AN1241" s="94">
        <f>IF(A1241="","",IF(AND(E1241&lt;&gt;"33 確認済",E1241&lt;&gt;"36 送付中"),1,0))</f>
        <v/>
      </c>
      <c r="AO1241" s="94">
        <f>IF(A1241="","",IF(AG1241&lt;&gt;"",1,0))</f>
        <v/>
      </c>
      <c r="AP1241" s="220">
        <f>IF(P1241&lt;&gt;"","・添待ち","")&amp;IF(Q1241&lt;&gt;"","・住民票","")&amp;IF(R1241&lt;&gt;"","・発信","")&amp;IF(S1241&lt;&gt;"","・確認事項","")&amp;IF(T1241&lt;&gt;"","・管","")&amp;IF(U1241&lt;&gt;"","・SV","")&amp;IF(V1241&lt;&gt;"","・データ送付待ち","")&amp;IF(W1241&lt;&gt;"","・削除","")</f>
        <v/>
      </c>
    </row>
    <row r="1242" ht="15" customHeight="1" s="87">
      <c r="AL1242" s="94">
        <f>IF(A1242="","",IF(COUNTIF(A1242:A$2001,A1242)=1,1,0))</f>
        <v/>
      </c>
      <c r="AM1242" s="94">
        <f>IF(I1242="","",TODAY()-I1242)</f>
        <v/>
      </c>
      <c r="AN1242" s="94">
        <f>IF(A1242="","",IF(AND(E1242&lt;&gt;"33 確認済",E1242&lt;&gt;"36 送付中"),1,0))</f>
        <v/>
      </c>
      <c r="AO1242" s="94">
        <f>IF(A1242="","",IF(AG1242&lt;&gt;"",1,0))</f>
        <v/>
      </c>
      <c r="AP1242" s="220">
        <f>IF(P1242&lt;&gt;"","・添待ち","")&amp;IF(Q1242&lt;&gt;"","・住民票","")&amp;IF(R1242&lt;&gt;"","・発信","")&amp;IF(S1242&lt;&gt;"","・確認事項","")&amp;IF(T1242&lt;&gt;"","・管","")&amp;IF(U1242&lt;&gt;"","・SV","")&amp;IF(V1242&lt;&gt;"","・データ送付待ち","")&amp;IF(W1242&lt;&gt;"","・削除","")</f>
        <v/>
      </c>
    </row>
    <row r="1243" ht="15" customHeight="1" s="87">
      <c r="AL1243" s="94">
        <f>IF(A1243="","",IF(COUNTIF(A1243:A$2001,A1243)=1,1,0))</f>
        <v/>
      </c>
      <c r="AM1243" s="94">
        <f>IF(I1243="","",TODAY()-I1243)</f>
        <v/>
      </c>
      <c r="AN1243" s="94">
        <f>IF(A1243="","",IF(AND(E1243&lt;&gt;"33 確認済",E1243&lt;&gt;"36 送付中"),1,0))</f>
        <v/>
      </c>
      <c r="AO1243" s="94">
        <f>IF(A1243="","",IF(AG1243&lt;&gt;"",1,0))</f>
        <v/>
      </c>
      <c r="AP1243" s="220">
        <f>IF(P1243&lt;&gt;"","・添待ち","")&amp;IF(Q1243&lt;&gt;"","・住民票","")&amp;IF(R1243&lt;&gt;"","・発信","")&amp;IF(S1243&lt;&gt;"","・確認事項","")&amp;IF(T1243&lt;&gt;"","・管","")&amp;IF(U1243&lt;&gt;"","・SV","")&amp;IF(V1243&lt;&gt;"","・データ送付待ち","")&amp;IF(W1243&lt;&gt;"","・削除","")</f>
        <v/>
      </c>
    </row>
    <row r="1244" ht="15" customHeight="1" s="87">
      <c r="AL1244" s="94">
        <f>IF(A1244="","",IF(COUNTIF(A1244:A$2001,A1244)=1,1,0))</f>
        <v/>
      </c>
      <c r="AM1244" s="94">
        <f>IF(I1244="","",TODAY()-I1244)</f>
        <v/>
      </c>
      <c r="AN1244" s="94">
        <f>IF(A1244="","",IF(AND(E1244&lt;&gt;"33 確認済",E1244&lt;&gt;"36 送付中"),1,0))</f>
        <v/>
      </c>
      <c r="AO1244" s="94">
        <f>IF(A1244="","",IF(AG1244&lt;&gt;"",1,0))</f>
        <v/>
      </c>
      <c r="AP1244" s="220">
        <f>IF(P1244&lt;&gt;"","・添待ち","")&amp;IF(Q1244&lt;&gt;"","・住民票","")&amp;IF(R1244&lt;&gt;"","・発信","")&amp;IF(S1244&lt;&gt;"","・確認事項","")&amp;IF(T1244&lt;&gt;"","・管","")&amp;IF(U1244&lt;&gt;"","・SV","")&amp;IF(V1244&lt;&gt;"","・データ送付待ち","")&amp;IF(W1244&lt;&gt;"","・削除","")</f>
        <v/>
      </c>
    </row>
    <row r="1245" ht="15" customHeight="1" s="87">
      <c r="AL1245" s="94">
        <f>IF(A1245="","",IF(COUNTIF(A1245:A$2001,A1245)=1,1,0))</f>
        <v/>
      </c>
      <c r="AM1245" s="94">
        <f>IF(I1245="","",TODAY()-I1245)</f>
        <v/>
      </c>
      <c r="AN1245" s="94">
        <f>IF(A1245="","",IF(AND(E1245&lt;&gt;"33 確認済",E1245&lt;&gt;"36 送付中"),1,0))</f>
        <v/>
      </c>
      <c r="AO1245" s="94">
        <f>IF(A1245="","",IF(AG1245&lt;&gt;"",1,0))</f>
        <v/>
      </c>
      <c r="AP1245" s="220">
        <f>IF(P1245&lt;&gt;"","・添待ち","")&amp;IF(Q1245&lt;&gt;"","・住民票","")&amp;IF(R1245&lt;&gt;"","・発信","")&amp;IF(S1245&lt;&gt;"","・確認事項","")&amp;IF(T1245&lt;&gt;"","・管","")&amp;IF(U1245&lt;&gt;"","・SV","")&amp;IF(V1245&lt;&gt;"","・データ送付待ち","")&amp;IF(W1245&lt;&gt;"","・削除","")</f>
        <v/>
      </c>
    </row>
    <row r="1246" ht="15" customHeight="1" s="87">
      <c r="AL1246" s="94">
        <f>IF(A1246="","",IF(COUNTIF(A1246:A$2001,A1246)=1,1,0))</f>
        <v/>
      </c>
      <c r="AM1246" s="94">
        <f>IF(I1246="","",TODAY()-I1246)</f>
        <v/>
      </c>
      <c r="AN1246" s="94">
        <f>IF(A1246="","",IF(AND(E1246&lt;&gt;"33 確認済",E1246&lt;&gt;"36 送付中"),1,0))</f>
        <v/>
      </c>
      <c r="AO1246" s="94">
        <f>IF(A1246="","",IF(AG1246&lt;&gt;"",1,0))</f>
        <v/>
      </c>
      <c r="AP1246" s="220">
        <f>IF(P1246&lt;&gt;"","・添待ち","")&amp;IF(Q1246&lt;&gt;"","・住民票","")&amp;IF(R1246&lt;&gt;"","・発信","")&amp;IF(S1246&lt;&gt;"","・確認事項","")&amp;IF(T1246&lt;&gt;"","・管","")&amp;IF(U1246&lt;&gt;"","・SV","")&amp;IF(V1246&lt;&gt;"","・データ送付待ち","")&amp;IF(W1246&lt;&gt;"","・削除","")</f>
        <v/>
      </c>
    </row>
    <row r="1247" ht="15" customHeight="1" s="87">
      <c r="AL1247" s="94">
        <f>IF(A1247="","",IF(COUNTIF(A1247:A$2001,A1247)=1,1,0))</f>
        <v/>
      </c>
      <c r="AM1247" s="94">
        <f>IF(I1247="","",TODAY()-I1247)</f>
        <v/>
      </c>
      <c r="AN1247" s="94">
        <f>IF(A1247="","",IF(AND(E1247&lt;&gt;"33 確認済",E1247&lt;&gt;"36 送付中"),1,0))</f>
        <v/>
      </c>
      <c r="AO1247" s="94">
        <f>IF(A1247="","",IF(AG1247&lt;&gt;"",1,0))</f>
        <v/>
      </c>
      <c r="AP1247" s="220">
        <f>IF(P1247&lt;&gt;"","・添待ち","")&amp;IF(Q1247&lt;&gt;"","・住民票","")&amp;IF(R1247&lt;&gt;"","・発信","")&amp;IF(S1247&lt;&gt;"","・確認事項","")&amp;IF(T1247&lt;&gt;"","・管","")&amp;IF(U1247&lt;&gt;"","・SV","")&amp;IF(V1247&lt;&gt;"","・データ送付待ち","")&amp;IF(W1247&lt;&gt;"","・削除","")</f>
        <v/>
      </c>
    </row>
    <row r="1248" ht="15" customHeight="1" s="87">
      <c r="AL1248" s="94">
        <f>IF(A1248="","",IF(COUNTIF(A1248:A$2001,A1248)=1,1,0))</f>
        <v/>
      </c>
      <c r="AM1248" s="94">
        <f>IF(I1248="","",TODAY()-I1248)</f>
        <v/>
      </c>
      <c r="AN1248" s="94">
        <f>IF(A1248="","",IF(AND(E1248&lt;&gt;"33 確認済",E1248&lt;&gt;"36 送付中"),1,0))</f>
        <v/>
      </c>
      <c r="AO1248" s="94">
        <f>IF(A1248="","",IF(AG1248&lt;&gt;"",1,0))</f>
        <v/>
      </c>
      <c r="AP1248" s="220">
        <f>IF(P1248&lt;&gt;"","・添待ち","")&amp;IF(Q1248&lt;&gt;"","・住民票","")&amp;IF(R1248&lt;&gt;"","・発信","")&amp;IF(S1248&lt;&gt;"","・確認事項","")&amp;IF(T1248&lt;&gt;"","・管","")&amp;IF(U1248&lt;&gt;"","・SV","")&amp;IF(V1248&lt;&gt;"","・データ送付待ち","")&amp;IF(W1248&lt;&gt;"","・削除","")</f>
        <v/>
      </c>
    </row>
    <row r="1249" ht="15" customHeight="1" s="87">
      <c r="AL1249" s="94">
        <f>IF(A1249="","",IF(COUNTIF(A1249:A$2001,A1249)=1,1,0))</f>
        <v/>
      </c>
      <c r="AM1249" s="94">
        <f>IF(I1249="","",TODAY()-I1249)</f>
        <v/>
      </c>
      <c r="AN1249" s="94">
        <f>IF(A1249="","",IF(AND(E1249&lt;&gt;"33 確認済",E1249&lt;&gt;"36 送付中"),1,0))</f>
        <v/>
      </c>
      <c r="AO1249" s="94">
        <f>IF(A1249="","",IF(AG1249&lt;&gt;"",1,0))</f>
        <v/>
      </c>
      <c r="AP1249" s="220">
        <f>IF(P1249&lt;&gt;"","・添待ち","")&amp;IF(Q1249&lt;&gt;"","・住民票","")&amp;IF(R1249&lt;&gt;"","・発信","")&amp;IF(S1249&lt;&gt;"","・確認事項","")&amp;IF(T1249&lt;&gt;"","・管","")&amp;IF(U1249&lt;&gt;"","・SV","")&amp;IF(V1249&lt;&gt;"","・データ送付待ち","")&amp;IF(W1249&lt;&gt;"","・削除","")</f>
        <v/>
      </c>
    </row>
    <row r="1250" ht="15" customHeight="1" s="87">
      <c r="AL1250" s="94">
        <f>IF(A1250="","",IF(COUNTIF(A1250:A$2001,A1250)=1,1,0))</f>
        <v/>
      </c>
      <c r="AM1250" s="94">
        <f>IF(I1250="","",TODAY()-I1250)</f>
        <v/>
      </c>
      <c r="AN1250" s="94">
        <f>IF(A1250="","",IF(AND(E1250&lt;&gt;"33 確認済",E1250&lt;&gt;"36 送付中"),1,0))</f>
        <v/>
      </c>
      <c r="AO1250" s="94">
        <f>IF(A1250="","",IF(AG1250&lt;&gt;"",1,0))</f>
        <v/>
      </c>
      <c r="AP1250" s="220">
        <f>IF(P1250&lt;&gt;"","・添待ち","")&amp;IF(Q1250&lt;&gt;"","・住民票","")&amp;IF(R1250&lt;&gt;"","・発信","")&amp;IF(S1250&lt;&gt;"","・確認事項","")&amp;IF(T1250&lt;&gt;"","・管","")&amp;IF(U1250&lt;&gt;"","・SV","")&amp;IF(V1250&lt;&gt;"","・データ送付待ち","")&amp;IF(W1250&lt;&gt;"","・削除","")</f>
        <v/>
      </c>
    </row>
    <row r="1251" ht="15" customHeight="1" s="87">
      <c r="AL1251" s="94">
        <f>IF(A1251="","",IF(COUNTIF(A1251:A$2001,A1251)=1,1,0))</f>
        <v/>
      </c>
      <c r="AM1251" s="94">
        <f>IF(I1251="","",TODAY()-I1251)</f>
        <v/>
      </c>
      <c r="AN1251" s="94">
        <f>IF(A1251="","",IF(AND(E1251&lt;&gt;"33 確認済",E1251&lt;&gt;"36 送付中"),1,0))</f>
        <v/>
      </c>
      <c r="AO1251" s="94">
        <f>IF(A1251="","",IF(AG1251&lt;&gt;"",1,0))</f>
        <v/>
      </c>
      <c r="AP1251" s="220">
        <f>IF(P1251&lt;&gt;"","・添待ち","")&amp;IF(Q1251&lt;&gt;"","・住民票","")&amp;IF(R1251&lt;&gt;"","・発信","")&amp;IF(S1251&lt;&gt;"","・確認事項","")&amp;IF(T1251&lt;&gt;"","・管","")&amp;IF(U1251&lt;&gt;"","・SV","")&amp;IF(V1251&lt;&gt;"","・データ送付待ち","")&amp;IF(W1251&lt;&gt;"","・削除","")</f>
        <v/>
      </c>
    </row>
    <row r="1252" ht="15" customHeight="1" s="87">
      <c r="AL1252" s="94">
        <f>IF(A1252="","",IF(COUNTIF(A1252:A$2001,A1252)=1,1,0))</f>
        <v/>
      </c>
      <c r="AM1252" s="94">
        <f>IF(I1252="","",TODAY()-I1252)</f>
        <v/>
      </c>
      <c r="AN1252" s="94">
        <f>IF(A1252="","",IF(AND(E1252&lt;&gt;"33 確認済",E1252&lt;&gt;"36 送付中"),1,0))</f>
        <v/>
      </c>
      <c r="AO1252" s="94">
        <f>IF(A1252="","",IF(AG1252&lt;&gt;"",1,0))</f>
        <v/>
      </c>
      <c r="AP1252" s="220">
        <f>IF(P1252&lt;&gt;"","・添待ち","")&amp;IF(Q1252&lt;&gt;"","・住民票","")&amp;IF(R1252&lt;&gt;"","・発信","")&amp;IF(S1252&lt;&gt;"","・確認事項","")&amp;IF(T1252&lt;&gt;"","・管","")&amp;IF(U1252&lt;&gt;"","・SV","")&amp;IF(V1252&lt;&gt;"","・データ送付待ち","")&amp;IF(W1252&lt;&gt;"","・削除","")</f>
        <v/>
      </c>
    </row>
    <row r="1253" ht="15" customHeight="1" s="87">
      <c r="AL1253" s="94">
        <f>IF(A1253="","",IF(COUNTIF(A1253:A$2001,A1253)=1,1,0))</f>
        <v/>
      </c>
      <c r="AM1253" s="94">
        <f>IF(I1253="","",TODAY()-I1253)</f>
        <v/>
      </c>
      <c r="AN1253" s="94">
        <f>IF(A1253="","",IF(AND(E1253&lt;&gt;"33 確認済",E1253&lt;&gt;"36 送付中"),1,0))</f>
        <v/>
      </c>
      <c r="AO1253" s="94">
        <f>IF(A1253="","",IF(AG1253&lt;&gt;"",1,0))</f>
        <v/>
      </c>
      <c r="AP1253" s="220">
        <f>IF(P1253&lt;&gt;"","・添待ち","")&amp;IF(Q1253&lt;&gt;"","・住民票","")&amp;IF(R1253&lt;&gt;"","・発信","")&amp;IF(S1253&lt;&gt;"","・確認事項","")&amp;IF(T1253&lt;&gt;"","・管","")&amp;IF(U1253&lt;&gt;"","・SV","")&amp;IF(V1253&lt;&gt;"","・データ送付待ち","")&amp;IF(W1253&lt;&gt;"","・削除","")</f>
        <v/>
      </c>
    </row>
    <row r="1254" ht="15" customHeight="1" s="87">
      <c r="AL1254" s="94">
        <f>IF(A1254="","",IF(COUNTIF(A1254:A$2001,A1254)=1,1,0))</f>
        <v/>
      </c>
      <c r="AM1254" s="94">
        <f>IF(I1254="","",TODAY()-I1254)</f>
        <v/>
      </c>
      <c r="AN1254" s="94">
        <f>IF(A1254="","",IF(AND(E1254&lt;&gt;"33 確認済",E1254&lt;&gt;"36 送付中"),1,0))</f>
        <v/>
      </c>
      <c r="AO1254" s="94">
        <f>IF(A1254="","",IF(AG1254&lt;&gt;"",1,0))</f>
        <v/>
      </c>
      <c r="AP1254" s="220">
        <f>IF(P1254&lt;&gt;"","・添待ち","")&amp;IF(Q1254&lt;&gt;"","・住民票","")&amp;IF(R1254&lt;&gt;"","・発信","")&amp;IF(S1254&lt;&gt;"","・確認事項","")&amp;IF(T1254&lt;&gt;"","・管","")&amp;IF(U1254&lt;&gt;"","・SV","")&amp;IF(V1254&lt;&gt;"","・データ送付待ち","")&amp;IF(W1254&lt;&gt;"","・削除","")</f>
        <v/>
      </c>
    </row>
    <row r="1255" ht="15" customHeight="1" s="87">
      <c r="AL1255" s="94">
        <f>IF(A1255="","",IF(COUNTIF(A1255:A$2001,A1255)=1,1,0))</f>
        <v/>
      </c>
      <c r="AM1255" s="94">
        <f>IF(I1255="","",TODAY()-I1255)</f>
        <v/>
      </c>
      <c r="AN1255" s="94">
        <f>IF(A1255="","",IF(AND(E1255&lt;&gt;"33 確認済",E1255&lt;&gt;"36 送付中"),1,0))</f>
        <v/>
      </c>
      <c r="AO1255" s="94">
        <f>IF(A1255="","",IF(AG1255&lt;&gt;"",1,0))</f>
        <v/>
      </c>
      <c r="AP1255" s="220">
        <f>IF(P1255&lt;&gt;"","・添待ち","")&amp;IF(Q1255&lt;&gt;"","・住民票","")&amp;IF(R1255&lt;&gt;"","・発信","")&amp;IF(S1255&lt;&gt;"","・確認事項","")&amp;IF(T1255&lt;&gt;"","・管","")&amp;IF(U1255&lt;&gt;"","・SV","")&amp;IF(V1255&lt;&gt;"","・データ送付待ち","")&amp;IF(W1255&lt;&gt;"","・削除","")</f>
        <v/>
      </c>
    </row>
    <row r="1256" ht="15" customHeight="1" s="87">
      <c r="AL1256" s="94">
        <f>IF(A1256="","",IF(COUNTIF(A1256:A$2001,A1256)=1,1,0))</f>
        <v/>
      </c>
      <c r="AM1256" s="94">
        <f>IF(I1256="","",TODAY()-I1256)</f>
        <v/>
      </c>
      <c r="AN1256" s="94">
        <f>IF(A1256="","",IF(AND(E1256&lt;&gt;"33 確認済",E1256&lt;&gt;"36 送付中"),1,0))</f>
        <v/>
      </c>
      <c r="AO1256" s="94">
        <f>IF(A1256="","",IF(AG1256&lt;&gt;"",1,0))</f>
        <v/>
      </c>
      <c r="AP1256" s="220">
        <f>IF(P1256&lt;&gt;"","・添待ち","")&amp;IF(Q1256&lt;&gt;"","・住民票","")&amp;IF(R1256&lt;&gt;"","・発信","")&amp;IF(S1256&lt;&gt;"","・確認事項","")&amp;IF(T1256&lt;&gt;"","・管","")&amp;IF(U1256&lt;&gt;"","・SV","")&amp;IF(V1256&lt;&gt;"","・データ送付待ち","")&amp;IF(W1256&lt;&gt;"","・削除","")</f>
        <v/>
      </c>
    </row>
    <row r="1257" ht="15" customHeight="1" s="87">
      <c r="AL1257" s="94">
        <f>IF(A1257="","",IF(COUNTIF(A1257:A$2001,A1257)=1,1,0))</f>
        <v/>
      </c>
      <c r="AM1257" s="94">
        <f>IF(I1257="","",TODAY()-I1257)</f>
        <v/>
      </c>
      <c r="AN1257" s="94">
        <f>IF(A1257="","",IF(AND(E1257&lt;&gt;"33 確認済",E1257&lt;&gt;"36 送付中"),1,0))</f>
        <v/>
      </c>
      <c r="AO1257" s="94">
        <f>IF(A1257="","",IF(AG1257&lt;&gt;"",1,0))</f>
        <v/>
      </c>
      <c r="AP1257" s="220">
        <f>IF(P1257&lt;&gt;"","・添待ち","")&amp;IF(Q1257&lt;&gt;"","・住民票","")&amp;IF(R1257&lt;&gt;"","・発信","")&amp;IF(S1257&lt;&gt;"","・確認事項","")&amp;IF(T1257&lt;&gt;"","・管","")&amp;IF(U1257&lt;&gt;"","・SV","")&amp;IF(V1257&lt;&gt;"","・データ送付待ち","")&amp;IF(W1257&lt;&gt;"","・削除","")</f>
        <v/>
      </c>
    </row>
    <row r="1258" ht="15" customHeight="1" s="87">
      <c r="AL1258" s="94">
        <f>IF(A1258="","",IF(COUNTIF(A1258:A$2001,A1258)=1,1,0))</f>
        <v/>
      </c>
      <c r="AM1258" s="94">
        <f>IF(I1258="","",TODAY()-I1258)</f>
        <v/>
      </c>
      <c r="AN1258" s="94">
        <f>IF(A1258="","",IF(AND(E1258&lt;&gt;"33 確認済",E1258&lt;&gt;"36 送付中"),1,0))</f>
        <v/>
      </c>
      <c r="AO1258" s="94">
        <f>IF(A1258="","",IF(AG1258&lt;&gt;"",1,0))</f>
        <v/>
      </c>
      <c r="AP1258" s="220">
        <f>IF(P1258&lt;&gt;"","・添待ち","")&amp;IF(Q1258&lt;&gt;"","・住民票","")&amp;IF(R1258&lt;&gt;"","・発信","")&amp;IF(S1258&lt;&gt;"","・確認事項","")&amp;IF(T1258&lt;&gt;"","・管","")&amp;IF(U1258&lt;&gt;"","・SV","")&amp;IF(V1258&lt;&gt;"","・データ送付待ち","")&amp;IF(W1258&lt;&gt;"","・削除","")</f>
        <v/>
      </c>
    </row>
    <row r="1259" ht="15" customHeight="1" s="87">
      <c r="AL1259" s="94">
        <f>IF(A1259="","",IF(COUNTIF(A1259:A$2001,A1259)=1,1,0))</f>
        <v/>
      </c>
      <c r="AM1259" s="94">
        <f>IF(I1259="","",TODAY()-I1259)</f>
        <v/>
      </c>
      <c r="AN1259" s="94">
        <f>IF(A1259="","",IF(AND(E1259&lt;&gt;"33 確認済",E1259&lt;&gt;"36 送付中"),1,0))</f>
        <v/>
      </c>
      <c r="AO1259" s="94">
        <f>IF(A1259="","",IF(AG1259&lt;&gt;"",1,0))</f>
        <v/>
      </c>
      <c r="AP1259" s="220">
        <f>IF(P1259&lt;&gt;"","・添待ち","")&amp;IF(Q1259&lt;&gt;"","・住民票","")&amp;IF(R1259&lt;&gt;"","・発信","")&amp;IF(S1259&lt;&gt;"","・確認事項","")&amp;IF(T1259&lt;&gt;"","・管","")&amp;IF(U1259&lt;&gt;"","・SV","")&amp;IF(V1259&lt;&gt;"","・データ送付待ち","")&amp;IF(W1259&lt;&gt;"","・削除","")</f>
        <v/>
      </c>
    </row>
    <row r="1260" ht="15" customHeight="1" s="87">
      <c r="AL1260" s="94">
        <f>IF(A1260="","",IF(COUNTIF(A1260:A$2001,A1260)=1,1,0))</f>
        <v/>
      </c>
      <c r="AM1260" s="94">
        <f>IF(I1260="","",TODAY()-I1260)</f>
        <v/>
      </c>
      <c r="AN1260" s="94">
        <f>IF(A1260="","",IF(AND(E1260&lt;&gt;"33 確認済",E1260&lt;&gt;"36 送付中"),1,0))</f>
        <v/>
      </c>
      <c r="AO1260" s="94">
        <f>IF(A1260="","",IF(AG1260&lt;&gt;"",1,0))</f>
        <v/>
      </c>
      <c r="AP1260" s="220">
        <f>IF(P1260&lt;&gt;"","・添待ち","")&amp;IF(Q1260&lt;&gt;"","・住民票","")&amp;IF(R1260&lt;&gt;"","・発信","")&amp;IF(S1260&lt;&gt;"","・確認事項","")&amp;IF(T1260&lt;&gt;"","・管","")&amp;IF(U1260&lt;&gt;"","・SV","")&amp;IF(V1260&lt;&gt;"","・データ送付待ち","")&amp;IF(W1260&lt;&gt;"","・削除","")</f>
        <v/>
      </c>
    </row>
    <row r="1261" ht="15" customHeight="1" s="87">
      <c r="AL1261" s="94">
        <f>IF(A1261="","",IF(COUNTIF(A1261:A$2001,A1261)=1,1,0))</f>
        <v/>
      </c>
      <c r="AM1261" s="94">
        <f>IF(I1261="","",TODAY()-I1261)</f>
        <v/>
      </c>
      <c r="AN1261" s="94">
        <f>IF(A1261="","",IF(AND(E1261&lt;&gt;"33 確認済",E1261&lt;&gt;"36 送付中"),1,0))</f>
        <v/>
      </c>
      <c r="AO1261" s="94">
        <f>IF(A1261="","",IF(AG1261&lt;&gt;"",1,0))</f>
        <v/>
      </c>
      <c r="AP1261" s="220">
        <f>IF(P1261&lt;&gt;"","・添待ち","")&amp;IF(Q1261&lt;&gt;"","・住民票","")&amp;IF(R1261&lt;&gt;"","・発信","")&amp;IF(S1261&lt;&gt;"","・確認事項","")&amp;IF(T1261&lt;&gt;"","・管","")&amp;IF(U1261&lt;&gt;"","・SV","")&amp;IF(V1261&lt;&gt;"","・データ送付待ち","")&amp;IF(W1261&lt;&gt;"","・削除","")</f>
        <v/>
      </c>
    </row>
    <row r="1262" ht="15" customHeight="1" s="87">
      <c r="AL1262" s="94">
        <f>IF(A1262="","",IF(COUNTIF(A1262:A$2001,A1262)=1,1,0))</f>
        <v/>
      </c>
      <c r="AM1262" s="94">
        <f>IF(I1262="","",TODAY()-I1262)</f>
        <v/>
      </c>
      <c r="AN1262" s="94">
        <f>IF(A1262="","",IF(AND(E1262&lt;&gt;"33 確認済",E1262&lt;&gt;"36 送付中"),1,0))</f>
        <v/>
      </c>
      <c r="AO1262" s="94">
        <f>IF(A1262="","",IF(AG1262&lt;&gt;"",1,0))</f>
        <v/>
      </c>
      <c r="AP1262" s="220">
        <f>IF(P1262&lt;&gt;"","・添待ち","")&amp;IF(Q1262&lt;&gt;"","・住民票","")&amp;IF(R1262&lt;&gt;"","・発信","")&amp;IF(S1262&lt;&gt;"","・確認事項","")&amp;IF(T1262&lt;&gt;"","・管","")&amp;IF(U1262&lt;&gt;"","・SV","")&amp;IF(V1262&lt;&gt;"","・データ送付待ち","")&amp;IF(W1262&lt;&gt;"","・削除","")</f>
        <v/>
      </c>
    </row>
    <row r="1263" ht="15" customHeight="1" s="87">
      <c r="AL1263" s="94">
        <f>IF(A1263="","",IF(COUNTIF(A1263:A$2001,A1263)=1,1,0))</f>
        <v/>
      </c>
      <c r="AM1263" s="94">
        <f>IF(I1263="","",TODAY()-I1263)</f>
        <v/>
      </c>
      <c r="AN1263" s="94">
        <f>IF(A1263="","",IF(AND(E1263&lt;&gt;"33 確認済",E1263&lt;&gt;"36 送付中"),1,0))</f>
        <v/>
      </c>
      <c r="AO1263" s="94">
        <f>IF(A1263="","",IF(AG1263&lt;&gt;"",1,0))</f>
        <v/>
      </c>
      <c r="AP1263" s="220">
        <f>IF(P1263&lt;&gt;"","・添待ち","")&amp;IF(Q1263&lt;&gt;"","・住民票","")&amp;IF(R1263&lt;&gt;"","・発信","")&amp;IF(S1263&lt;&gt;"","・確認事項","")&amp;IF(T1263&lt;&gt;"","・管","")&amp;IF(U1263&lt;&gt;"","・SV","")&amp;IF(V1263&lt;&gt;"","・データ送付待ち","")&amp;IF(W1263&lt;&gt;"","・削除","")</f>
        <v/>
      </c>
    </row>
    <row r="1264" ht="15" customHeight="1" s="87">
      <c r="AL1264" s="94">
        <f>IF(A1264="","",IF(COUNTIF(A1264:A$2001,A1264)=1,1,0))</f>
        <v/>
      </c>
      <c r="AM1264" s="94">
        <f>IF(I1264="","",TODAY()-I1264)</f>
        <v/>
      </c>
      <c r="AN1264" s="94">
        <f>IF(A1264="","",IF(AND(E1264&lt;&gt;"33 確認済",E1264&lt;&gt;"36 送付中"),1,0))</f>
        <v/>
      </c>
      <c r="AO1264" s="94">
        <f>IF(A1264="","",IF(AG1264&lt;&gt;"",1,0))</f>
        <v/>
      </c>
      <c r="AP1264" s="220">
        <f>IF(P1264&lt;&gt;"","・添待ち","")&amp;IF(Q1264&lt;&gt;"","・住民票","")&amp;IF(R1264&lt;&gt;"","・発信","")&amp;IF(S1264&lt;&gt;"","・確認事項","")&amp;IF(T1264&lt;&gt;"","・管","")&amp;IF(U1264&lt;&gt;"","・SV","")&amp;IF(V1264&lt;&gt;"","・データ送付待ち","")&amp;IF(W1264&lt;&gt;"","・削除","")</f>
        <v/>
      </c>
    </row>
    <row r="1265" ht="15" customHeight="1" s="87">
      <c r="AL1265" s="94">
        <f>IF(A1265="","",IF(COUNTIF(A1265:A$2001,A1265)=1,1,0))</f>
        <v/>
      </c>
      <c r="AM1265" s="94">
        <f>IF(I1265="","",TODAY()-I1265)</f>
        <v/>
      </c>
      <c r="AN1265" s="94">
        <f>IF(A1265="","",IF(AND(E1265&lt;&gt;"33 確認済",E1265&lt;&gt;"36 送付中"),1,0))</f>
        <v/>
      </c>
      <c r="AO1265" s="94">
        <f>IF(A1265="","",IF(AG1265&lt;&gt;"",1,0))</f>
        <v/>
      </c>
      <c r="AP1265" s="220">
        <f>IF(P1265&lt;&gt;"","・添待ち","")&amp;IF(Q1265&lt;&gt;"","・住民票","")&amp;IF(R1265&lt;&gt;"","・発信","")&amp;IF(S1265&lt;&gt;"","・確認事項","")&amp;IF(T1265&lt;&gt;"","・管","")&amp;IF(U1265&lt;&gt;"","・SV","")&amp;IF(V1265&lt;&gt;"","・データ送付待ち","")&amp;IF(W1265&lt;&gt;"","・削除","")</f>
        <v/>
      </c>
    </row>
    <row r="1266" ht="15" customHeight="1" s="87">
      <c r="AL1266" s="94">
        <f>IF(A1266="","",IF(COUNTIF(A1266:A$2001,A1266)=1,1,0))</f>
        <v/>
      </c>
      <c r="AM1266" s="94">
        <f>IF(I1266="","",TODAY()-I1266)</f>
        <v/>
      </c>
      <c r="AN1266" s="94">
        <f>IF(A1266="","",IF(AND(E1266&lt;&gt;"33 確認済",E1266&lt;&gt;"36 送付中"),1,0))</f>
        <v/>
      </c>
      <c r="AO1266" s="94">
        <f>IF(A1266="","",IF(AG1266&lt;&gt;"",1,0))</f>
        <v/>
      </c>
      <c r="AP1266" s="220">
        <f>IF(P1266&lt;&gt;"","・添待ち","")&amp;IF(Q1266&lt;&gt;"","・住民票","")&amp;IF(R1266&lt;&gt;"","・発信","")&amp;IF(S1266&lt;&gt;"","・確認事項","")&amp;IF(T1266&lt;&gt;"","・管","")&amp;IF(U1266&lt;&gt;"","・SV","")&amp;IF(V1266&lt;&gt;"","・データ送付待ち","")&amp;IF(W1266&lt;&gt;"","・削除","")</f>
        <v/>
      </c>
    </row>
    <row r="1267" ht="15" customHeight="1" s="87">
      <c r="AL1267" s="94">
        <f>IF(A1267="","",IF(COUNTIF(A1267:A$2001,A1267)=1,1,0))</f>
        <v/>
      </c>
      <c r="AM1267" s="94">
        <f>IF(I1267="","",TODAY()-I1267)</f>
        <v/>
      </c>
      <c r="AN1267" s="94">
        <f>IF(A1267="","",IF(AND(E1267&lt;&gt;"33 確認済",E1267&lt;&gt;"36 送付中"),1,0))</f>
        <v/>
      </c>
      <c r="AO1267" s="94">
        <f>IF(A1267="","",IF(AG1267&lt;&gt;"",1,0))</f>
        <v/>
      </c>
      <c r="AP1267" s="220">
        <f>IF(P1267&lt;&gt;"","・添待ち","")&amp;IF(Q1267&lt;&gt;"","・住民票","")&amp;IF(R1267&lt;&gt;"","・発信","")&amp;IF(S1267&lt;&gt;"","・確認事項","")&amp;IF(T1267&lt;&gt;"","・管","")&amp;IF(U1267&lt;&gt;"","・SV","")&amp;IF(V1267&lt;&gt;"","・データ送付待ち","")&amp;IF(W1267&lt;&gt;"","・削除","")</f>
        <v/>
      </c>
    </row>
    <row r="1268" ht="15" customHeight="1" s="87">
      <c r="AL1268" s="94">
        <f>IF(A1268="","",IF(COUNTIF(A1268:A$2001,A1268)=1,1,0))</f>
        <v/>
      </c>
      <c r="AM1268" s="94">
        <f>IF(I1268="","",TODAY()-I1268)</f>
        <v/>
      </c>
      <c r="AN1268" s="94">
        <f>IF(A1268="","",IF(AND(E1268&lt;&gt;"33 確認済",E1268&lt;&gt;"36 送付中"),1,0))</f>
        <v/>
      </c>
      <c r="AO1268" s="94">
        <f>IF(A1268="","",IF(AG1268&lt;&gt;"",1,0))</f>
        <v/>
      </c>
      <c r="AP1268" s="220">
        <f>IF(P1268&lt;&gt;"","・添待ち","")&amp;IF(Q1268&lt;&gt;"","・住民票","")&amp;IF(R1268&lt;&gt;"","・発信","")&amp;IF(S1268&lt;&gt;"","・確認事項","")&amp;IF(T1268&lt;&gt;"","・管","")&amp;IF(U1268&lt;&gt;"","・SV","")&amp;IF(V1268&lt;&gt;"","・データ送付待ち","")&amp;IF(W1268&lt;&gt;"","・削除","")</f>
        <v/>
      </c>
    </row>
    <row r="1269" ht="15" customHeight="1" s="87">
      <c r="AL1269" s="94">
        <f>IF(A1269="","",IF(COUNTIF(A1269:A$2001,A1269)=1,1,0))</f>
        <v/>
      </c>
      <c r="AM1269" s="94">
        <f>IF(I1269="","",TODAY()-I1269)</f>
        <v/>
      </c>
      <c r="AN1269" s="94">
        <f>IF(A1269="","",IF(AND(E1269&lt;&gt;"33 確認済",E1269&lt;&gt;"36 送付中"),1,0))</f>
        <v/>
      </c>
      <c r="AO1269" s="94">
        <f>IF(A1269="","",IF(AG1269&lt;&gt;"",1,0))</f>
        <v/>
      </c>
      <c r="AP1269" s="220">
        <f>IF(P1269&lt;&gt;"","・添待ち","")&amp;IF(Q1269&lt;&gt;"","・住民票","")&amp;IF(R1269&lt;&gt;"","・発信","")&amp;IF(S1269&lt;&gt;"","・確認事項","")&amp;IF(T1269&lt;&gt;"","・管","")&amp;IF(U1269&lt;&gt;"","・SV","")&amp;IF(V1269&lt;&gt;"","・データ送付待ち","")&amp;IF(W1269&lt;&gt;"","・削除","")</f>
        <v/>
      </c>
    </row>
    <row r="1270" ht="15" customHeight="1" s="87">
      <c r="AL1270" s="94">
        <f>IF(A1270="","",IF(COUNTIF(A1270:A$2001,A1270)=1,1,0))</f>
        <v/>
      </c>
      <c r="AM1270" s="94">
        <f>IF(I1270="","",TODAY()-I1270)</f>
        <v/>
      </c>
      <c r="AN1270" s="94">
        <f>IF(A1270="","",IF(AND(E1270&lt;&gt;"33 確認済",E1270&lt;&gt;"36 送付中"),1,0))</f>
        <v/>
      </c>
      <c r="AO1270" s="94">
        <f>IF(A1270="","",IF(AG1270&lt;&gt;"",1,0))</f>
        <v/>
      </c>
      <c r="AP1270" s="220">
        <f>IF(P1270&lt;&gt;"","・添待ち","")&amp;IF(Q1270&lt;&gt;"","・住民票","")&amp;IF(R1270&lt;&gt;"","・発信","")&amp;IF(S1270&lt;&gt;"","・確認事項","")&amp;IF(T1270&lt;&gt;"","・管","")&amp;IF(U1270&lt;&gt;"","・SV","")&amp;IF(V1270&lt;&gt;"","・データ送付待ち","")&amp;IF(W1270&lt;&gt;"","・削除","")</f>
        <v/>
      </c>
    </row>
    <row r="1271" ht="15" customHeight="1" s="87">
      <c r="AL1271" s="94">
        <f>IF(A1271="","",IF(COUNTIF(A1271:A$2001,A1271)=1,1,0))</f>
        <v/>
      </c>
      <c r="AM1271" s="94">
        <f>IF(I1271="","",TODAY()-I1271)</f>
        <v/>
      </c>
      <c r="AN1271" s="94">
        <f>IF(A1271="","",IF(AND(E1271&lt;&gt;"33 確認済",E1271&lt;&gt;"36 送付中"),1,0))</f>
        <v/>
      </c>
      <c r="AO1271" s="94">
        <f>IF(A1271="","",IF(AG1271&lt;&gt;"",1,0))</f>
        <v/>
      </c>
      <c r="AP1271" s="220">
        <f>IF(P1271&lt;&gt;"","・添待ち","")&amp;IF(Q1271&lt;&gt;"","・住民票","")&amp;IF(R1271&lt;&gt;"","・発信","")&amp;IF(S1271&lt;&gt;"","・確認事項","")&amp;IF(T1271&lt;&gt;"","・管","")&amp;IF(U1271&lt;&gt;"","・SV","")&amp;IF(V1271&lt;&gt;"","・データ送付待ち","")&amp;IF(W1271&lt;&gt;"","・削除","")</f>
        <v/>
      </c>
    </row>
    <row r="1272" ht="15" customHeight="1" s="87">
      <c r="AL1272" s="94">
        <f>IF(A1272="","",IF(COUNTIF(A1272:A$2001,A1272)=1,1,0))</f>
        <v/>
      </c>
      <c r="AM1272" s="94">
        <f>IF(I1272="","",TODAY()-I1272)</f>
        <v/>
      </c>
      <c r="AN1272" s="94">
        <f>IF(A1272="","",IF(AND(E1272&lt;&gt;"33 確認済",E1272&lt;&gt;"36 送付中"),1,0))</f>
        <v/>
      </c>
      <c r="AO1272" s="94">
        <f>IF(A1272="","",IF(AG1272&lt;&gt;"",1,0))</f>
        <v/>
      </c>
      <c r="AP1272" s="220">
        <f>IF(P1272&lt;&gt;"","・添待ち","")&amp;IF(Q1272&lt;&gt;"","・住民票","")&amp;IF(R1272&lt;&gt;"","・発信","")&amp;IF(S1272&lt;&gt;"","・確認事項","")&amp;IF(T1272&lt;&gt;"","・管","")&amp;IF(U1272&lt;&gt;"","・SV","")&amp;IF(V1272&lt;&gt;"","・データ送付待ち","")&amp;IF(W1272&lt;&gt;"","・削除","")</f>
        <v/>
      </c>
    </row>
    <row r="1273" ht="15" customHeight="1" s="87">
      <c r="AL1273" s="94">
        <f>IF(A1273="","",IF(COUNTIF(A1273:A$2001,A1273)=1,1,0))</f>
        <v/>
      </c>
      <c r="AM1273" s="94">
        <f>IF(I1273="","",TODAY()-I1273)</f>
        <v/>
      </c>
      <c r="AN1273" s="94">
        <f>IF(A1273="","",IF(AND(E1273&lt;&gt;"33 確認済",E1273&lt;&gt;"36 送付中"),1,0))</f>
        <v/>
      </c>
      <c r="AO1273" s="94">
        <f>IF(A1273="","",IF(AG1273&lt;&gt;"",1,0))</f>
        <v/>
      </c>
      <c r="AP1273" s="220">
        <f>IF(P1273&lt;&gt;"","・添待ち","")&amp;IF(Q1273&lt;&gt;"","・住民票","")&amp;IF(R1273&lt;&gt;"","・発信","")&amp;IF(S1273&lt;&gt;"","・確認事項","")&amp;IF(T1273&lt;&gt;"","・管","")&amp;IF(U1273&lt;&gt;"","・SV","")&amp;IF(V1273&lt;&gt;"","・データ送付待ち","")&amp;IF(W1273&lt;&gt;"","・削除","")</f>
        <v/>
      </c>
    </row>
    <row r="1274" ht="15" customHeight="1" s="87">
      <c r="AL1274" s="94">
        <f>IF(A1274="","",IF(COUNTIF(A1274:A$2001,A1274)=1,1,0))</f>
        <v/>
      </c>
      <c r="AM1274" s="94">
        <f>IF(I1274="","",TODAY()-I1274)</f>
        <v/>
      </c>
      <c r="AN1274" s="94">
        <f>IF(A1274="","",IF(AND(E1274&lt;&gt;"33 確認済",E1274&lt;&gt;"36 送付中"),1,0))</f>
        <v/>
      </c>
      <c r="AO1274" s="94">
        <f>IF(A1274="","",IF(AG1274&lt;&gt;"",1,0))</f>
        <v/>
      </c>
      <c r="AP1274" s="220">
        <f>IF(P1274&lt;&gt;"","・添待ち","")&amp;IF(Q1274&lt;&gt;"","・住民票","")&amp;IF(R1274&lt;&gt;"","・発信","")&amp;IF(S1274&lt;&gt;"","・確認事項","")&amp;IF(T1274&lt;&gt;"","・管","")&amp;IF(U1274&lt;&gt;"","・SV","")&amp;IF(V1274&lt;&gt;"","・データ送付待ち","")&amp;IF(W1274&lt;&gt;"","・削除","")</f>
        <v/>
      </c>
    </row>
    <row r="1275" ht="15" customHeight="1" s="87">
      <c r="AL1275" s="94">
        <f>IF(A1275="","",IF(COUNTIF(A1275:A$2001,A1275)=1,1,0))</f>
        <v/>
      </c>
      <c r="AM1275" s="94">
        <f>IF(I1275="","",TODAY()-I1275)</f>
        <v/>
      </c>
      <c r="AN1275" s="94">
        <f>IF(A1275="","",IF(AND(E1275&lt;&gt;"33 確認済",E1275&lt;&gt;"36 送付中"),1,0))</f>
        <v/>
      </c>
      <c r="AO1275" s="94">
        <f>IF(A1275="","",IF(AG1275&lt;&gt;"",1,0))</f>
        <v/>
      </c>
      <c r="AP1275" s="220">
        <f>IF(P1275&lt;&gt;"","・添待ち","")&amp;IF(Q1275&lt;&gt;"","・住民票","")&amp;IF(R1275&lt;&gt;"","・発信","")&amp;IF(S1275&lt;&gt;"","・確認事項","")&amp;IF(T1275&lt;&gt;"","・管","")&amp;IF(U1275&lt;&gt;"","・SV","")&amp;IF(V1275&lt;&gt;"","・データ送付待ち","")&amp;IF(W1275&lt;&gt;"","・削除","")</f>
        <v/>
      </c>
    </row>
    <row r="1276" ht="15" customHeight="1" s="87">
      <c r="AL1276" s="94">
        <f>IF(A1276="","",IF(COUNTIF(A1276:A$2001,A1276)=1,1,0))</f>
        <v/>
      </c>
      <c r="AM1276" s="94">
        <f>IF(I1276="","",TODAY()-I1276)</f>
        <v/>
      </c>
      <c r="AN1276" s="94">
        <f>IF(A1276="","",IF(AND(E1276&lt;&gt;"33 確認済",E1276&lt;&gt;"36 送付中"),1,0))</f>
        <v/>
      </c>
      <c r="AO1276" s="94">
        <f>IF(A1276="","",IF(AG1276&lt;&gt;"",1,0))</f>
        <v/>
      </c>
      <c r="AP1276" s="220">
        <f>IF(P1276&lt;&gt;"","・添待ち","")&amp;IF(Q1276&lt;&gt;"","・住民票","")&amp;IF(R1276&lt;&gt;"","・発信","")&amp;IF(S1276&lt;&gt;"","・確認事項","")&amp;IF(T1276&lt;&gt;"","・管","")&amp;IF(U1276&lt;&gt;"","・SV","")&amp;IF(V1276&lt;&gt;"","・データ送付待ち","")&amp;IF(W1276&lt;&gt;"","・削除","")</f>
        <v/>
      </c>
    </row>
    <row r="1277" ht="15" customHeight="1" s="87">
      <c r="AL1277" s="94">
        <f>IF(A1277="","",IF(COUNTIF(A1277:A$2001,A1277)=1,1,0))</f>
        <v/>
      </c>
      <c r="AM1277" s="94">
        <f>IF(I1277="","",TODAY()-I1277)</f>
        <v/>
      </c>
      <c r="AN1277" s="94">
        <f>IF(A1277="","",IF(AND(E1277&lt;&gt;"33 確認済",E1277&lt;&gt;"36 送付中"),1,0))</f>
        <v/>
      </c>
      <c r="AO1277" s="94">
        <f>IF(A1277="","",IF(AG1277&lt;&gt;"",1,0))</f>
        <v/>
      </c>
      <c r="AP1277" s="220">
        <f>IF(P1277&lt;&gt;"","・添待ち","")&amp;IF(Q1277&lt;&gt;"","・住民票","")&amp;IF(R1277&lt;&gt;"","・発信","")&amp;IF(S1277&lt;&gt;"","・確認事項","")&amp;IF(T1277&lt;&gt;"","・管","")&amp;IF(U1277&lt;&gt;"","・SV","")&amp;IF(V1277&lt;&gt;"","・データ送付待ち","")&amp;IF(W1277&lt;&gt;"","・削除","")</f>
        <v/>
      </c>
    </row>
    <row r="1278" ht="15" customHeight="1" s="87">
      <c r="AL1278" s="94">
        <f>IF(A1278="","",IF(COUNTIF(A1278:A$2001,A1278)=1,1,0))</f>
        <v/>
      </c>
      <c r="AM1278" s="94">
        <f>IF(I1278="","",TODAY()-I1278)</f>
        <v/>
      </c>
      <c r="AN1278" s="94">
        <f>IF(A1278="","",IF(AND(E1278&lt;&gt;"33 確認済",E1278&lt;&gt;"36 送付中"),1,0))</f>
        <v/>
      </c>
      <c r="AO1278" s="94">
        <f>IF(A1278="","",IF(AG1278&lt;&gt;"",1,0))</f>
        <v/>
      </c>
      <c r="AP1278" s="220">
        <f>IF(P1278&lt;&gt;"","・添待ち","")&amp;IF(Q1278&lt;&gt;"","・住民票","")&amp;IF(R1278&lt;&gt;"","・発信","")&amp;IF(S1278&lt;&gt;"","・確認事項","")&amp;IF(T1278&lt;&gt;"","・管","")&amp;IF(U1278&lt;&gt;"","・SV","")&amp;IF(V1278&lt;&gt;"","・データ送付待ち","")&amp;IF(W1278&lt;&gt;"","・削除","")</f>
        <v/>
      </c>
    </row>
    <row r="1279" ht="15" customHeight="1" s="87">
      <c r="AL1279" s="94">
        <f>IF(A1279="","",IF(COUNTIF(A1279:A$2001,A1279)=1,1,0))</f>
        <v/>
      </c>
      <c r="AM1279" s="94">
        <f>IF(I1279="","",TODAY()-I1279)</f>
        <v/>
      </c>
      <c r="AN1279" s="94">
        <f>IF(A1279="","",IF(AND(E1279&lt;&gt;"33 確認済",E1279&lt;&gt;"36 送付中"),1,0))</f>
        <v/>
      </c>
      <c r="AO1279" s="94">
        <f>IF(A1279="","",IF(AG1279&lt;&gt;"",1,0))</f>
        <v/>
      </c>
      <c r="AP1279" s="220">
        <f>IF(P1279&lt;&gt;"","・添待ち","")&amp;IF(Q1279&lt;&gt;"","・住民票","")&amp;IF(R1279&lt;&gt;"","・発信","")&amp;IF(S1279&lt;&gt;"","・確認事項","")&amp;IF(T1279&lt;&gt;"","・管","")&amp;IF(U1279&lt;&gt;"","・SV","")&amp;IF(V1279&lt;&gt;"","・データ送付待ち","")&amp;IF(W1279&lt;&gt;"","・削除","")</f>
        <v/>
      </c>
    </row>
    <row r="1280" ht="15" customHeight="1" s="87">
      <c r="AL1280" s="94">
        <f>IF(A1280="","",IF(COUNTIF(A1280:A$2001,A1280)=1,1,0))</f>
        <v/>
      </c>
      <c r="AM1280" s="94">
        <f>IF(I1280="","",TODAY()-I1280)</f>
        <v/>
      </c>
      <c r="AN1280" s="94">
        <f>IF(A1280="","",IF(AND(E1280&lt;&gt;"33 確認済",E1280&lt;&gt;"36 送付中"),1,0))</f>
        <v/>
      </c>
      <c r="AO1280" s="94">
        <f>IF(A1280="","",IF(AG1280&lt;&gt;"",1,0))</f>
        <v/>
      </c>
      <c r="AP1280" s="220">
        <f>IF(P1280&lt;&gt;"","・添待ち","")&amp;IF(Q1280&lt;&gt;"","・住民票","")&amp;IF(R1280&lt;&gt;"","・発信","")&amp;IF(S1280&lt;&gt;"","・確認事項","")&amp;IF(T1280&lt;&gt;"","・管","")&amp;IF(U1280&lt;&gt;"","・SV","")&amp;IF(V1280&lt;&gt;"","・データ送付待ち","")&amp;IF(W1280&lt;&gt;"","・削除","")</f>
        <v/>
      </c>
    </row>
    <row r="1281" ht="15" customHeight="1" s="87">
      <c r="AL1281" s="94">
        <f>IF(A1281="","",IF(COUNTIF(A1281:A$2001,A1281)=1,1,0))</f>
        <v/>
      </c>
      <c r="AM1281" s="94">
        <f>IF(I1281="","",TODAY()-I1281)</f>
        <v/>
      </c>
      <c r="AN1281" s="94">
        <f>IF(A1281="","",IF(AND(E1281&lt;&gt;"33 確認済",E1281&lt;&gt;"36 送付中"),1,0))</f>
        <v/>
      </c>
      <c r="AO1281" s="94">
        <f>IF(A1281="","",IF(AG1281&lt;&gt;"",1,0))</f>
        <v/>
      </c>
      <c r="AP1281" s="220">
        <f>IF(P1281&lt;&gt;"","・添待ち","")&amp;IF(Q1281&lt;&gt;"","・住民票","")&amp;IF(R1281&lt;&gt;"","・発信","")&amp;IF(S1281&lt;&gt;"","・確認事項","")&amp;IF(T1281&lt;&gt;"","・管","")&amp;IF(U1281&lt;&gt;"","・SV","")&amp;IF(V1281&lt;&gt;"","・データ送付待ち","")&amp;IF(W1281&lt;&gt;"","・削除","")</f>
        <v/>
      </c>
    </row>
    <row r="1282" ht="15" customHeight="1" s="87">
      <c r="AL1282" s="94">
        <f>IF(A1282="","",IF(COUNTIF(A1282:A$2001,A1282)=1,1,0))</f>
        <v/>
      </c>
      <c r="AM1282" s="94">
        <f>IF(I1282="","",TODAY()-I1282)</f>
        <v/>
      </c>
      <c r="AN1282" s="94">
        <f>IF(A1282="","",IF(AND(E1282&lt;&gt;"33 確認済",E1282&lt;&gt;"36 送付中"),1,0))</f>
        <v/>
      </c>
      <c r="AO1282" s="94">
        <f>IF(A1282="","",IF(AG1282&lt;&gt;"",1,0))</f>
        <v/>
      </c>
      <c r="AP1282" s="220">
        <f>IF(P1282&lt;&gt;"","・添待ち","")&amp;IF(Q1282&lt;&gt;"","・住民票","")&amp;IF(R1282&lt;&gt;"","・発信","")&amp;IF(S1282&lt;&gt;"","・確認事項","")&amp;IF(T1282&lt;&gt;"","・管","")&amp;IF(U1282&lt;&gt;"","・SV","")&amp;IF(V1282&lt;&gt;"","・データ送付待ち","")&amp;IF(W1282&lt;&gt;"","・削除","")</f>
        <v/>
      </c>
    </row>
    <row r="1283" ht="15" customHeight="1" s="87">
      <c r="AL1283" s="94">
        <f>IF(A1283="","",IF(COUNTIF(A1283:A$2001,A1283)=1,1,0))</f>
        <v/>
      </c>
      <c r="AM1283" s="94">
        <f>IF(I1283="","",TODAY()-I1283)</f>
        <v/>
      </c>
      <c r="AN1283" s="94">
        <f>IF(A1283="","",IF(AND(E1283&lt;&gt;"33 確認済",E1283&lt;&gt;"36 送付中"),1,0))</f>
        <v/>
      </c>
      <c r="AO1283" s="94">
        <f>IF(A1283="","",IF(AG1283&lt;&gt;"",1,0))</f>
        <v/>
      </c>
      <c r="AP1283" s="220">
        <f>IF(P1283&lt;&gt;"","・添待ち","")&amp;IF(Q1283&lt;&gt;"","・住民票","")&amp;IF(R1283&lt;&gt;"","・発信","")&amp;IF(S1283&lt;&gt;"","・確認事項","")&amp;IF(T1283&lt;&gt;"","・管","")&amp;IF(U1283&lt;&gt;"","・SV","")&amp;IF(V1283&lt;&gt;"","・データ送付待ち","")&amp;IF(W1283&lt;&gt;"","・削除","")</f>
        <v/>
      </c>
    </row>
    <row r="1284" ht="15" customHeight="1" s="87">
      <c r="AL1284" s="94">
        <f>IF(A1284="","",IF(COUNTIF(A1284:A$2001,A1284)=1,1,0))</f>
        <v/>
      </c>
      <c r="AM1284" s="94">
        <f>IF(I1284="","",TODAY()-I1284)</f>
        <v/>
      </c>
      <c r="AN1284" s="94">
        <f>IF(A1284="","",IF(AND(E1284&lt;&gt;"33 確認済",E1284&lt;&gt;"36 送付中"),1,0))</f>
        <v/>
      </c>
      <c r="AO1284" s="94">
        <f>IF(A1284="","",IF(AG1284&lt;&gt;"",1,0))</f>
        <v/>
      </c>
      <c r="AP1284" s="220">
        <f>IF(P1284&lt;&gt;"","・添待ち","")&amp;IF(Q1284&lt;&gt;"","・住民票","")&amp;IF(R1284&lt;&gt;"","・発信","")&amp;IF(S1284&lt;&gt;"","・確認事項","")&amp;IF(T1284&lt;&gt;"","・管","")&amp;IF(U1284&lt;&gt;"","・SV","")&amp;IF(V1284&lt;&gt;"","・データ送付待ち","")&amp;IF(W1284&lt;&gt;"","・削除","")</f>
        <v/>
      </c>
    </row>
    <row r="1285" ht="15" customHeight="1" s="87">
      <c r="AL1285" s="94">
        <f>IF(A1285="","",IF(COUNTIF(A1285:A$2001,A1285)=1,1,0))</f>
        <v/>
      </c>
      <c r="AM1285" s="94">
        <f>IF(I1285="","",TODAY()-I1285)</f>
        <v/>
      </c>
      <c r="AN1285" s="94">
        <f>IF(A1285="","",IF(AND(E1285&lt;&gt;"33 確認済",E1285&lt;&gt;"36 送付中"),1,0))</f>
        <v/>
      </c>
      <c r="AO1285" s="94">
        <f>IF(A1285="","",IF(AG1285&lt;&gt;"",1,0))</f>
        <v/>
      </c>
      <c r="AP1285" s="220">
        <f>IF(P1285&lt;&gt;"","・添待ち","")&amp;IF(Q1285&lt;&gt;"","・住民票","")&amp;IF(R1285&lt;&gt;"","・発信","")&amp;IF(S1285&lt;&gt;"","・確認事項","")&amp;IF(T1285&lt;&gt;"","・管","")&amp;IF(U1285&lt;&gt;"","・SV","")&amp;IF(V1285&lt;&gt;"","・データ送付待ち","")&amp;IF(W1285&lt;&gt;"","・削除","")</f>
        <v/>
      </c>
    </row>
    <row r="1286" ht="15" customHeight="1" s="87">
      <c r="AL1286" s="94">
        <f>IF(A1286="","",IF(COUNTIF(A1286:A$2001,A1286)=1,1,0))</f>
        <v/>
      </c>
      <c r="AM1286" s="94">
        <f>IF(I1286="","",TODAY()-I1286)</f>
        <v/>
      </c>
      <c r="AN1286" s="94">
        <f>IF(A1286="","",IF(AND(E1286&lt;&gt;"33 確認済",E1286&lt;&gt;"36 送付中"),1,0))</f>
        <v/>
      </c>
      <c r="AO1286" s="94">
        <f>IF(A1286="","",IF(AG1286&lt;&gt;"",1,0))</f>
        <v/>
      </c>
      <c r="AP1286" s="220">
        <f>IF(P1286&lt;&gt;"","・添待ち","")&amp;IF(Q1286&lt;&gt;"","・住民票","")&amp;IF(R1286&lt;&gt;"","・発信","")&amp;IF(S1286&lt;&gt;"","・確認事項","")&amp;IF(T1286&lt;&gt;"","・管","")&amp;IF(U1286&lt;&gt;"","・SV","")&amp;IF(V1286&lt;&gt;"","・データ送付待ち","")&amp;IF(W1286&lt;&gt;"","・削除","")</f>
        <v/>
      </c>
    </row>
    <row r="1287" ht="15" customHeight="1" s="87">
      <c r="AL1287" s="94">
        <f>IF(A1287="","",IF(COUNTIF(A1287:A$2001,A1287)=1,1,0))</f>
        <v/>
      </c>
      <c r="AM1287" s="94">
        <f>IF(I1287="","",TODAY()-I1287)</f>
        <v/>
      </c>
      <c r="AN1287" s="94">
        <f>IF(A1287="","",IF(AND(E1287&lt;&gt;"33 確認済",E1287&lt;&gt;"36 送付中"),1,0))</f>
        <v/>
      </c>
      <c r="AO1287" s="94">
        <f>IF(A1287="","",IF(AG1287&lt;&gt;"",1,0))</f>
        <v/>
      </c>
      <c r="AP1287" s="220">
        <f>IF(P1287&lt;&gt;"","・添待ち","")&amp;IF(Q1287&lt;&gt;"","・住民票","")&amp;IF(R1287&lt;&gt;"","・発信","")&amp;IF(S1287&lt;&gt;"","・確認事項","")&amp;IF(T1287&lt;&gt;"","・管","")&amp;IF(U1287&lt;&gt;"","・SV","")&amp;IF(V1287&lt;&gt;"","・データ送付待ち","")&amp;IF(W1287&lt;&gt;"","・削除","")</f>
        <v/>
      </c>
    </row>
    <row r="1288" ht="15" customHeight="1" s="87">
      <c r="AL1288" s="94">
        <f>IF(A1288="","",IF(COUNTIF(A1288:A$2001,A1288)=1,1,0))</f>
        <v/>
      </c>
      <c r="AM1288" s="94">
        <f>IF(I1288="","",TODAY()-I1288)</f>
        <v/>
      </c>
      <c r="AN1288" s="94">
        <f>IF(A1288="","",IF(AND(E1288&lt;&gt;"33 確認済",E1288&lt;&gt;"36 送付中"),1,0))</f>
        <v/>
      </c>
      <c r="AO1288" s="94">
        <f>IF(A1288="","",IF(AG1288&lt;&gt;"",1,0))</f>
        <v/>
      </c>
      <c r="AP1288" s="220">
        <f>IF(P1288&lt;&gt;"","・添待ち","")&amp;IF(Q1288&lt;&gt;"","・住民票","")&amp;IF(R1288&lt;&gt;"","・発信","")&amp;IF(S1288&lt;&gt;"","・確認事項","")&amp;IF(T1288&lt;&gt;"","・管","")&amp;IF(U1288&lt;&gt;"","・SV","")&amp;IF(V1288&lt;&gt;"","・データ送付待ち","")&amp;IF(W1288&lt;&gt;"","・削除","")</f>
        <v/>
      </c>
    </row>
    <row r="1289" ht="15" customHeight="1" s="87">
      <c r="AL1289" s="94">
        <f>IF(A1289="","",IF(COUNTIF(A1289:A$2001,A1289)=1,1,0))</f>
        <v/>
      </c>
      <c r="AM1289" s="94">
        <f>IF(I1289="","",TODAY()-I1289)</f>
        <v/>
      </c>
      <c r="AN1289" s="94">
        <f>IF(A1289="","",IF(AND(E1289&lt;&gt;"33 確認済",E1289&lt;&gt;"36 送付中"),1,0))</f>
        <v/>
      </c>
      <c r="AO1289" s="94">
        <f>IF(A1289="","",IF(AG1289&lt;&gt;"",1,0))</f>
        <v/>
      </c>
      <c r="AP1289" s="220">
        <f>IF(P1289&lt;&gt;"","・添待ち","")&amp;IF(Q1289&lt;&gt;"","・住民票","")&amp;IF(R1289&lt;&gt;"","・発信","")&amp;IF(S1289&lt;&gt;"","・確認事項","")&amp;IF(T1289&lt;&gt;"","・管","")&amp;IF(U1289&lt;&gt;"","・SV","")&amp;IF(V1289&lt;&gt;"","・データ送付待ち","")&amp;IF(W1289&lt;&gt;"","・削除","")</f>
        <v/>
      </c>
    </row>
    <row r="1290" ht="15" customHeight="1" s="87">
      <c r="AL1290" s="94">
        <f>IF(A1290="","",IF(COUNTIF(A1290:A$2001,A1290)=1,1,0))</f>
        <v/>
      </c>
      <c r="AM1290" s="94">
        <f>IF(I1290="","",TODAY()-I1290)</f>
        <v/>
      </c>
      <c r="AN1290" s="94">
        <f>IF(A1290="","",IF(AND(E1290&lt;&gt;"33 確認済",E1290&lt;&gt;"36 送付中"),1,0))</f>
        <v/>
      </c>
      <c r="AO1290" s="94">
        <f>IF(A1290="","",IF(AG1290&lt;&gt;"",1,0))</f>
        <v/>
      </c>
      <c r="AP1290" s="220">
        <f>IF(P1290&lt;&gt;"","・添待ち","")&amp;IF(Q1290&lt;&gt;"","・住民票","")&amp;IF(R1290&lt;&gt;"","・発信","")&amp;IF(S1290&lt;&gt;"","・確認事項","")&amp;IF(T1290&lt;&gt;"","・管","")&amp;IF(U1290&lt;&gt;"","・SV","")&amp;IF(V1290&lt;&gt;"","・データ送付待ち","")&amp;IF(W1290&lt;&gt;"","・削除","")</f>
        <v/>
      </c>
    </row>
    <row r="1291" ht="15" customHeight="1" s="87">
      <c r="AL1291" s="94">
        <f>IF(A1291="","",IF(COUNTIF(A1291:A$2001,A1291)=1,1,0))</f>
        <v/>
      </c>
      <c r="AM1291" s="94">
        <f>IF(I1291="","",TODAY()-I1291)</f>
        <v/>
      </c>
      <c r="AN1291" s="94">
        <f>IF(A1291="","",IF(AND(E1291&lt;&gt;"33 確認済",E1291&lt;&gt;"36 送付中"),1,0))</f>
        <v/>
      </c>
      <c r="AO1291" s="94">
        <f>IF(A1291="","",IF(AG1291&lt;&gt;"",1,0))</f>
        <v/>
      </c>
      <c r="AP1291" s="220">
        <f>IF(P1291&lt;&gt;"","・添待ち","")&amp;IF(Q1291&lt;&gt;"","・住民票","")&amp;IF(R1291&lt;&gt;"","・発信","")&amp;IF(S1291&lt;&gt;"","・確認事項","")&amp;IF(T1291&lt;&gt;"","・管","")&amp;IF(U1291&lt;&gt;"","・SV","")&amp;IF(V1291&lt;&gt;"","・データ送付待ち","")&amp;IF(W1291&lt;&gt;"","・削除","")</f>
        <v/>
      </c>
    </row>
    <row r="1292" ht="15" customHeight="1" s="87">
      <c r="AL1292" s="94">
        <f>IF(A1292="","",IF(COUNTIF(A1292:A$2001,A1292)=1,1,0))</f>
        <v/>
      </c>
      <c r="AM1292" s="94">
        <f>IF(I1292="","",TODAY()-I1292)</f>
        <v/>
      </c>
      <c r="AN1292" s="94">
        <f>IF(A1292="","",IF(AND(E1292&lt;&gt;"33 確認済",E1292&lt;&gt;"36 送付中"),1,0))</f>
        <v/>
      </c>
      <c r="AO1292" s="94">
        <f>IF(A1292="","",IF(AG1292&lt;&gt;"",1,0))</f>
        <v/>
      </c>
      <c r="AP1292" s="220">
        <f>IF(P1292&lt;&gt;"","・添待ち","")&amp;IF(Q1292&lt;&gt;"","・住民票","")&amp;IF(R1292&lt;&gt;"","・発信","")&amp;IF(S1292&lt;&gt;"","・確認事項","")&amp;IF(T1292&lt;&gt;"","・管","")&amp;IF(U1292&lt;&gt;"","・SV","")&amp;IF(V1292&lt;&gt;"","・データ送付待ち","")&amp;IF(W1292&lt;&gt;"","・削除","")</f>
        <v/>
      </c>
    </row>
    <row r="1293" ht="15" customHeight="1" s="87">
      <c r="AL1293" s="94">
        <f>IF(A1293="","",IF(COUNTIF(A1293:A$2001,A1293)=1,1,0))</f>
        <v/>
      </c>
      <c r="AM1293" s="94">
        <f>IF(I1293="","",TODAY()-I1293)</f>
        <v/>
      </c>
      <c r="AN1293" s="94">
        <f>IF(A1293="","",IF(AND(E1293&lt;&gt;"33 確認済",E1293&lt;&gt;"36 送付中"),1,0))</f>
        <v/>
      </c>
      <c r="AO1293" s="94">
        <f>IF(A1293="","",IF(AG1293&lt;&gt;"",1,0))</f>
        <v/>
      </c>
      <c r="AP1293" s="220">
        <f>IF(P1293&lt;&gt;"","・添待ち","")&amp;IF(Q1293&lt;&gt;"","・住民票","")&amp;IF(R1293&lt;&gt;"","・発信","")&amp;IF(S1293&lt;&gt;"","・確認事項","")&amp;IF(T1293&lt;&gt;"","・管","")&amp;IF(U1293&lt;&gt;"","・SV","")&amp;IF(V1293&lt;&gt;"","・データ送付待ち","")&amp;IF(W1293&lt;&gt;"","・削除","")</f>
        <v/>
      </c>
    </row>
    <row r="1294" ht="15" customHeight="1" s="87">
      <c r="AL1294" s="94">
        <f>IF(A1294="","",IF(COUNTIF(A1294:A$2001,A1294)=1,1,0))</f>
        <v/>
      </c>
      <c r="AM1294" s="94">
        <f>IF(I1294="","",TODAY()-I1294)</f>
        <v/>
      </c>
      <c r="AN1294" s="94">
        <f>IF(A1294="","",IF(AND(E1294&lt;&gt;"33 確認済",E1294&lt;&gt;"36 送付中"),1,0))</f>
        <v/>
      </c>
      <c r="AO1294" s="94">
        <f>IF(A1294="","",IF(AG1294&lt;&gt;"",1,0))</f>
        <v/>
      </c>
      <c r="AP1294" s="220">
        <f>IF(P1294&lt;&gt;"","・添待ち","")&amp;IF(Q1294&lt;&gt;"","・住民票","")&amp;IF(R1294&lt;&gt;"","・発信","")&amp;IF(S1294&lt;&gt;"","・確認事項","")&amp;IF(T1294&lt;&gt;"","・管","")&amp;IF(U1294&lt;&gt;"","・SV","")&amp;IF(V1294&lt;&gt;"","・データ送付待ち","")&amp;IF(W1294&lt;&gt;"","・削除","")</f>
        <v/>
      </c>
    </row>
    <row r="1295" ht="15" customHeight="1" s="87">
      <c r="AL1295" s="94">
        <f>IF(A1295="","",IF(COUNTIF(A1295:A$2001,A1295)=1,1,0))</f>
        <v/>
      </c>
      <c r="AM1295" s="94">
        <f>IF(I1295="","",TODAY()-I1295)</f>
        <v/>
      </c>
      <c r="AN1295" s="94">
        <f>IF(A1295="","",IF(AND(E1295&lt;&gt;"33 確認済",E1295&lt;&gt;"36 送付中"),1,0))</f>
        <v/>
      </c>
      <c r="AO1295" s="94">
        <f>IF(A1295="","",IF(AG1295&lt;&gt;"",1,0))</f>
        <v/>
      </c>
      <c r="AP1295" s="220">
        <f>IF(P1295&lt;&gt;"","・添待ち","")&amp;IF(Q1295&lt;&gt;"","・住民票","")&amp;IF(R1295&lt;&gt;"","・発信","")&amp;IF(S1295&lt;&gt;"","・確認事項","")&amp;IF(T1295&lt;&gt;"","・管","")&amp;IF(U1295&lt;&gt;"","・SV","")&amp;IF(V1295&lt;&gt;"","・データ送付待ち","")&amp;IF(W1295&lt;&gt;"","・削除","")</f>
        <v/>
      </c>
    </row>
    <row r="1296" ht="15" customHeight="1" s="87">
      <c r="AL1296" s="94">
        <f>IF(A1296="","",IF(COUNTIF(A1296:A$2001,A1296)=1,1,0))</f>
        <v/>
      </c>
      <c r="AM1296" s="94">
        <f>IF(I1296="","",TODAY()-I1296)</f>
        <v/>
      </c>
      <c r="AN1296" s="94">
        <f>IF(A1296="","",IF(AND(E1296&lt;&gt;"33 確認済",E1296&lt;&gt;"36 送付中"),1,0))</f>
        <v/>
      </c>
      <c r="AO1296" s="94">
        <f>IF(A1296="","",IF(AG1296&lt;&gt;"",1,0))</f>
        <v/>
      </c>
      <c r="AP1296" s="220">
        <f>IF(P1296&lt;&gt;"","・添待ち","")&amp;IF(Q1296&lt;&gt;"","・住民票","")&amp;IF(R1296&lt;&gt;"","・発信","")&amp;IF(S1296&lt;&gt;"","・確認事項","")&amp;IF(T1296&lt;&gt;"","・管","")&amp;IF(U1296&lt;&gt;"","・SV","")&amp;IF(V1296&lt;&gt;"","・データ送付待ち","")&amp;IF(W1296&lt;&gt;"","・削除","")</f>
        <v/>
      </c>
    </row>
    <row r="1297" ht="15" customHeight="1" s="87">
      <c r="AL1297" s="94">
        <f>IF(A1297="","",IF(COUNTIF(A1297:A$2001,A1297)=1,1,0))</f>
        <v/>
      </c>
      <c r="AM1297" s="94">
        <f>IF(I1297="","",TODAY()-I1297)</f>
        <v/>
      </c>
      <c r="AN1297" s="94">
        <f>IF(A1297="","",IF(AND(E1297&lt;&gt;"33 確認済",E1297&lt;&gt;"36 送付中"),1,0))</f>
        <v/>
      </c>
      <c r="AO1297" s="94">
        <f>IF(A1297="","",IF(AG1297&lt;&gt;"",1,0))</f>
        <v/>
      </c>
      <c r="AP1297" s="220">
        <f>IF(P1297&lt;&gt;"","・添待ち","")&amp;IF(Q1297&lt;&gt;"","・住民票","")&amp;IF(R1297&lt;&gt;"","・発信","")&amp;IF(S1297&lt;&gt;"","・確認事項","")&amp;IF(T1297&lt;&gt;"","・管","")&amp;IF(U1297&lt;&gt;"","・SV","")&amp;IF(V1297&lt;&gt;"","・データ送付待ち","")&amp;IF(W1297&lt;&gt;"","・削除","")</f>
        <v/>
      </c>
    </row>
    <row r="1298" ht="15" customHeight="1" s="87">
      <c r="AL1298" s="94">
        <f>IF(A1298="","",IF(COUNTIF(A1298:A$2001,A1298)=1,1,0))</f>
        <v/>
      </c>
      <c r="AM1298" s="94">
        <f>IF(I1298="","",TODAY()-I1298)</f>
        <v/>
      </c>
      <c r="AN1298" s="94">
        <f>IF(A1298="","",IF(AND(E1298&lt;&gt;"33 確認済",E1298&lt;&gt;"36 送付中"),1,0))</f>
        <v/>
      </c>
      <c r="AO1298" s="94">
        <f>IF(A1298="","",IF(AG1298&lt;&gt;"",1,0))</f>
        <v/>
      </c>
      <c r="AP1298" s="220">
        <f>IF(P1298&lt;&gt;"","・添待ち","")&amp;IF(Q1298&lt;&gt;"","・住民票","")&amp;IF(R1298&lt;&gt;"","・発信","")&amp;IF(S1298&lt;&gt;"","・確認事項","")&amp;IF(T1298&lt;&gt;"","・管","")&amp;IF(U1298&lt;&gt;"","・SV","")&amp;IF(V1298&lt;&gt;"","・データ送付待ち","")&amp;IF(W1298&lt;&gt;"","・削除","")</f>
        <v/>
      </c>
    </row>
    <row r="1299" ht="15" customHeight="1" s="87">
      <c r="AL1299" s="94">
        <f>IF(A1299="","",IF(COUNTIF(A1299:A$2001,A1299)=1,1,0))</f>
        <v/>
      </c>
      <c r="AM1299" s="94">
        <f>IF(I1299="","",TODAY()-I1299)</f>
        <v/>
      </c>
      <c r="AN1299" s="94">
        <f>IF(A1299="","",IF(AND(E1299&lt;&gt;"33 確認済",E1299&lt;&gt;"36 送付中"),1,0))</f>
        <v/>
      </c>
      <c r="AO1299" s="94">
        <f>IF(A1299="","",IF(AG1299&lt;&gt;"",1,0))</f>
        <v/>
      </c>
      <c r="AP1299" s="220">
        <f>IF(P1299&lt;&gt;"","・添待ち","")&amp;IF(Q1299&lt;&gt;"","・住民票","")&amp;IF(R1299&lt;&gt;"","・発信","")&amp;IF(S1299&lt;&gt;"","・確認事項","")&amp;IF(T1299&lt;&gt;"","・管","")&amp;IF(U1299&lt;&gt;"","・SV","")&amp;IF(V1299&lt;&gt;"","・データ送付待ち","")&amp;IF(W1299&lt;&gt;"","・削除","")</f>
        <v/>
      </c>
    </row>
    <row r="1300" ht="15" customHeight="1" s="87">
      <c r="AL1300" s="94">
        <f>IF(A1300="","",IF(COUNTIF(A1300:A$2001,A1300)=1,1,0))</f>
        <v/>
      </c>
      <c r="AM1300" s="94">
        <f>IF(I1300="","",TODAY()-I1300)</f>
        <v/>
      </c>
      <c r="AN1300" s="94">
        <f>IF(A1300="","",IF(AND(E1300&lt;&gt;"33 確認済",E1300&lt;&gt;"36 送付中"),1,0))</f>
        <v/>
      </c>
      <c r="AO1300" s="94">
        <f>IF(A1300="","",IF(AG1300&lt;&gt;"",1,0))</f>
        <v/>
      </c>
      <c r="AP1300" s="220">
        <f>IF(P1300&lt;&gt;"","・添待ち","")&amp;IF(Q1300&lt;&gt;"","・住民票","")&amp;IF(R1300&lt;&gt;"","・発信","")&amp;IF(S1300&lt;&gt;"","・確認事項","")&amp;IF(T1300&lt;&gt;"","・管","")&amp;IF(U1300&lt;&gt;"","・SV","")&amp;IF(V1300&lt;&gt;"","・データ送付待ち","")&amp;IF(W1300&lt;&gt;"","・削除","")</f>
        <v/>
      </c>
    </row>
    <row r="1301" ht="15" customHeight="1" s="87">
      <c r="AL1301" s="94">
        <f>IF(A1301="","",IF(COUNTIF(A1301:A$2001,A1301)=1,1,0))</f>
        <v/>
      </c>
      <c r="AM1301" s="94">
        <f>IF(I1301="","",TODAY()-I1301)</f>
        <v/>
      </c>
      <c r="AN1301" s="94">
        <f>IF(A1301="","",IF(AND(E1301&lt;&gt;"33 確認済",E1301&lt;&gt;"36 送付中"),1,0))</f>
        <v/>
      </c>
      <c r="AO1301" s="94">
        <f>IF(A1301="","",IF(AG1301&lt;&gt;"",1,0))</f>
        <v/>
      </c>
      <c r="AP1301" s="220">
        <f>IF(P1301&lt;&gt;"","・添待ち","")&amp;IF(Q1301&lt;&gt;"","・住民票","")&amp;IF(R1301&lt;&gt;"","・発信","")&amp;IF(S1301&lt;&gt;"","・確認事項","")&amp;IF(T1301&lt;&gt;"","・管","")&amp;IF(U1301&lt;&gt;"","・SV","")&amp;IF(V1301&lt;&gt;"","・データ送付待ち","")&amp;IF(W1301&lt;&gt;"","・削除","")</f>
        <v/>
      </c>
    </row>
    <row r="1302" ht="15" customHeight="1" s="87">
      <c r="AL1302" s="94">
        <f>IF(A1302="","",IF(COUNTIF(A1302:A$2001,A1302)=1,1,0))</f>
        <v/>
      </c>
      <c r="AM1302" s="94">
        <f>IF(I1302="","",TODAY()-I1302)</f>
        <v/>
      </c>
      <c r="AN1302" s="94">
        <f>IF(A1302="","",IF(AND(E1302&lt;&gt;"33 確認済",E1302&lt;&gt;"36 送付中"),1,0))</f>
        <v/>
      </c>
      <c r="AO1302" s="94">
        <f>IF(A1302="","",IF(AG1302&lt;&gt;"",1,0))</f>
        <v/>
      </c>
      <c r="AP1302" s="220">
        <f>IF(P1302&lt;&gt;"","・添待ち","")&amp;IF(Q1302&lt;&gt;"","・住民票","")&amp;IF(R1302&lt;&gt;"","・発信","")&amp;IF(S1302&lt;&gt;"","・確認事項","")&amp;IF(T1302&lt;&gt;"","・管","")&amp;IF(U1302&lt;&gt;"","・SV","")&amp;IF(V1302&lt;&gt;"","・データ送付待ち","")&amp;IF(W1302&lt;&gt;"","・削除","")</f>
        <v/>
      </c>
    </row>
    <row r="1303" ht="15" customHeight="1" s="87">
      <c r="AL1303" s="94">
        <f>IF(A1303="","",IF(COUNTIF(A1303:A$2001,A1303)=1,1,0))</f>
        <v/>
      </c>
      <c r="AM1303" s="94">
        <f>IF(I1303="","",TODAY()-I1303)</f>
        <v/>
      </c>
      <c r="AN1303" s="94">
        <f>IF(A1303="","",IF(AND(E1303&lt;&gt;"33 確認済",E1303&lt;&gt;"36 送付中"),1,0))</f>
        <v/>
      </c>
      <c r="AO1303" s="94">
        <f>IF(A1303="","",IF(AG1303&lt;&gt;"",1,0))</f>
        <v/>
      </c>
      <c r="AP1303" s="220">
        <f>IF(P1303&lt;&gt;"","・添待ち","")&amp;IF(Q1303&lt;&gt;"","・住民票","")&amp;IF(R1303&lt;&gt;"","・発信","")&amp;IF(S1303&lt;&gt;"","・確認事項","")&amp;IF(T1303&lt;&gt;"","・管","")&amp;IF(U1303&lt;&gt;"","・SV","")&amp;IF(V1303&lt;&gt;"","・データ送付待ち","")&amp;IF(W1303&lt;&gt;"","・削除","")</f>
        <v/>
      </c>
    </row>
    <row r="1304" ht="15" customHeight="1" s="87">
      <c r="AL1304" s="94">
        <f>IF(A1304="","",IF(COUNTIF(A1304:A$2001,A1304)=1,1,0))</f>
        <v/>
      </c>
      <c r="AM1304" s="94">
        <f>IF(I1304="","",TODAY()-I1304)</f>
        <v/>
      </c>
      <c r="AN1304" s="94">
        <f>IF(A1304="","",IF(AND(E1304&lt;&gt;"33 確認済",E1304&lt;&gt;"36 送付中"),1,0))</f>
        <v/>
      </c>
      <c r="AO1304" s="94">
        <f>IF(A1304="","",IF(AG1304&lt;&gt;"",1,0))</f>
        <v/>
      </c>
      <c r="AP1304" s="220">
        <f>IF(P1304&lt;&gt;"","・添待ち","")&amp;IF(Q1304&lt;&gt;"","・住民票","")&amp;IF(R1304&lt;&gt;"","・発信","")&amp;IF(S1304&lt;&gt;"","・確認事項","")&amp;IF(T1304&lt;&gt;"","・管","")&amp;IF(U1304&lt;&gt;"","・SV","")&amp;IF(V1304&lt;&gt;"","・データ送付待ち","")&amp;IF(W1304&lt;&gt;"","・削除","")</f>
        <v/>
      </c>
    </row>
    <row r="1305" ht="15" customHeight="1" s="87">
      <c r="AL1305" s="94">
        <f>IF(A1305="","",IF(COUNTIF(A1305:A$2001,A1305)=1,1,0))</f>
        <v/>
      </c>
      <c r="AM1305" s="94">
        <f>IF(I1305="","",TODAY()-I1305)</f>
        <v/>
      </c>
      <c r="AN1305" s="94">
        <f>IF(A1305="","",IF(AND(E1305&lt;&gt;"33 確認済",E1305&lt;&gt;"36 送付中"),1,0))</f>
        <v/>
      </c>
      <c r="AO1305" s="94">
        <f>IF(A1305="","",IF(AG1305&lt;&gt;"",1,0))</f>
        <v/>
      </c>
      <c r="AP1305" s="220">
        <f>IF(P1305&lt;&gt;"","・添待ち","")&amp;IF(Q1305&lt;&gt;"","・住民票","")&amp;IF(R1305&lt;&gt;"","・発信","")&amp;IF(S1305&lt;&gt;"","・確認事項","")&amp;IF(T1305&lt;&gt;"","・管","")&amp;IF(U1305&lt;&gt;"","・SV","")&amp;IF(V1305&lt;&gt;"","・データ送付待ち","")&amp;IF(W1305&lt;&gt;"","・削除","")</f>
        <v/>
      </c>
    </row>
    <row r="1306" ht="15" customHeight="1" s="87">
      <c r="AL1306" s="94">
        <f>IF(A1306="","",IF(COUNTIF(A1306:A$2001,A1306)=1,1,0))</f>
        <v/>
      </c>
      <c r="AM1306" s="94">
        <f>IF(I1306="","",TODAY()-I1306)</f>
        <v/>
      </c>
      <c r="AN1306" s="94">
        <f>IF(A1306="","",IF(AND(E1306&lt;&gt;"33 確認済",E1306&lt;&gt;"36 送付中"),1,0))</f>
        <v/>
      </c>
      <c r="AO1306" s="94">
        <f>IF(A1306="","",IF(AG1306&lt;&gt;"",1,0))</f>
        <v/>
      </c>
      <c r="AP1306" s="220">
        <f>IF(P1306&lt;&gt;"","・添待ち","")&amp;IF(Q1306&lt;&gt;"","・住民票","")&amp;IF(R1306&lt;&gt;"","・発信","")&amp;IF(S1306&lt;&gt;"","・確認事項","")&amp;IF(T1306&lt;&gt;"","・管","")&amp;IF(U1306&lt;&gt;"","・SV","")&amp;IF(V1306&lt;&gt;"","・データ送付待ち","")&amp;IF(W1306&lt;&gt;"","・削除","")</f>
        <v/>
      </c>
    </row>
    <row r="1307" ht="15" customHeight="1" s="87">
      <c r="AL1307" s="94">
        <f>IF(A1307="","",IF(COUNTIF(A1307:A$2001,A1307)=1,1,0))</f>
        <v/>
      </c>
      <c r="AM1307" s="94">
        <f>IF(I1307="","",TODAY()-I1307)</f>
        <v/>
      </c>
      <c r="AN1307" s="94">
        <f>IF(A1307="","",IF(AND(E1307&lt;&gt;"33 確認済",E1307&lt;&gt;"36 送付中"),1,0))</f>
        <v/>
      </c>
      <c r="AO1307" s="94">
        <f>IF(A1307="","",IF(AG1307&lt;&gt;"",1,0))</f>
        <v/>
      </c>
      <c r="AP1307" s="220">
        <f>IF(P1307&lt;&gt;"","・添待ち","")&amp;IF(Q1307&lt;&gt;"","・住民票","")&amp;IF(R1307&lt;&gt;"","・発信","")&amp;IF(S1307&lt;&gt;"","・確認事項","")&amp;IF(T1307&lt;&gt;"","・管","")&amp;IF(U1307&lt;&gt;"","・SV","")&amp;IF(V1307&lt;&gt;"","・データ送付待ち","")&amp;IF(W1307&lt;&gt;"","・削除","")</f>
        <v/>
      </c>
    </row>
    <row r="1308" ht="15" customHeight="1" s="87">
      <c r="AL1308" s="94">
        <f>IF(A1308="","",IF(COUNTIF(A1308:A$2001,A1308)=1,1,0))</f>
        <v/>
      </c>
      <c r="AM1308" s="94">
        <f>IF(I1308="","",TODAY()-I1308)</f>
        <v/>
      </c>
      <c r="AN1308" s="94">
        <f>IF(A1308="","",IF(AND(E1308&lt;&gt;"33 確認済",E1308&lt;&gt;"36 送付中"),1,0))</f>
        <v/>
      </c>
      <c r="AO1308" s="94">
        <f>IF(A1308="","",IF(AG1308&lt;&gt;"",1,0))</f>
        <v/>
      </c>
      <c r="AP1308" s="220">
        <f>IF(P1308&lt;&gt;"","・添待ち","")&amp;IF(Q1308&lt;&gt;"","・住民票","")&amp;IF(R1308&lt;&gt;"","・発信","")&amp;IF(S1308&lt;&gt;"","・確認事項","")&amp;IF(T1308&lt;&gt;"","・管","")&amp;IF(U1308&lt;&gt;"","・SV","")&amp;IF(V1308&lt;&gt;"","・データ送付待ち","")&amp;IF(W1308&lt;&gt;"","・削除","")</f>
        <v/>
      </c>
    </row>
    <row r="1309" ht="15" customHeight="1" s="87">
      <c r="AL1309" s="94">
        <f>IF(A1309="","",IF(COUNTIF(A1309:A$2001,A1309)=1,1,0))</f>
        <v/>
      </c>
      <c r="AM1309" s="94">
        <f>IF(I1309="","",TODAY()-I1309)</f>
        <v/>
      </c>
      <c r="AN1309" s="94">
        <f>IF(A1309="","",IF(AND(E1309&lt;&gt;"33 確認済",E1309&lt;&gt;"36 送付中"),1,0))</f>
        <v/>
      </c>
      <c r="AO1309" s="94">
        <f>IF(A1309="","",IF(AG1309&lt;&gt;"",1,0))</f>
        <v/>
      </c>
      <c r="AP1309" s="220">
        <f>IF(P1309&lt;&gt;"","・添待ち","")&amp;IF(Q1309&lt;&gt;"","・住民票","")&amp;IF(R1309&lt;&gt;"","・発信","")&amp;IF(S1309&lt;&gt;"","・確認事項","")&amp;IF(T1309&lt;&gt;"","・管","")&amp;IF(U1309&lt;&gt;"","・SV","")&amp;IF(V1309&lt;&gt;"","・データ送付待ち","")&amp;IF(W1309&lt;&gt;"","・削除","")</f>
        <v/>
      </c>
    </row>
    <row r="1310" ht="15" customHeight="1" s="87">
      <c r="AL1310" s="94">
        <f>IF(A1310="","",IF(COUNTIF(A1310:A$2001,A1310)=1,1,0))</f>
        <v/>
      </c>
      <c r="AM1310" s="94">
        <f>IF(I1310="","",TODAY()-I1310)</f>
        <v/>
      </c>
      <c r="AN1310" s="94">
        <f>IF(A1310="","",IF(AND(E1310&lt;&gt;"33 確認済",E1310&lt;&gt;"36 送付中"),1,0))</f>
        <v/>
      </c>
      <c r="AO1310" s="94">
        <f>IF(A1310="","",IF(AG1310&lt;&gt;"",1,0))</f>
        <v/>
      </c>
      <c r="AP1310" s="220">
        <f>IF(P1310&lt;&gt;"","・添待ち","")&amp;IF(Q1310&lt;&gt;"","・住民票","")&amp;IF(R1310&lt;&gt;"","・発信","")&amp;IF(S1310&lt;&gt;"","・確認事項","")&amp;IF(T1310&lt;&gt;"","・管","")&amp;IF(U1310&lt;&gt;"","・SV","")&amp;IF(V1310&lt;&gt;"","・データ送付待ち","")&amp;IF(W1310&lt;&gt;"","・削除","")</f>
        <v/>
      </c>
    </row>
    <row r="1311" ht="15" customHeight="1" s="87">
      <c r="AL1311" s="94">
        <f>IF(A1311="","",IF(COUNTIF(A1311:A$2001,A1311)=1,1,0))</f>
        <v/>
      </c>
      <c r="AM1311" s="94">
        <f>IF(I1311="","",TODAY()-I1311)</f>
        <v/>
      </c>
      <c r="AN1311" s="94">
        <f>IF(A1311="","",IF(AND(E1311&lt;&gt;"33 確認済",E1311&lt;&gt;"36 送付中"),1,0))</f>
        <v/>
      </c>
      <c r="AO1311" s="94">
        <f>IF(A1311="","",IF(AG1311&lt;&gt;"",1,0))</f>
        <v/>
      </c>
      <c r="AP1311" s="220">
        <f>IF(P1311&lt;&gt;"","・添待ち","")&amp;IF(Q1311&lt;&gt;"","・住民票","")&amp;IF(R1311&lt;&gt;"","・発信","")&amp;IF(S1311&lt;&gt;"","・確認事項","")&amp;IF(T1311&lt;&gt;"","・管","")&amp;IF(U1311&lt;&gt;"","・SV","")&amp;IF(V1311&lt;&gt;"","・データ送付待ち","")&amp;IF(W1311&lt;&gt;"","・削除","")</f>
        <v/>
      </c>
    </row>
    <row r="1312" ht="15" customHeight="1" s="87">
      <c r="AL1312" s="94">
        <f>IF(A1312="","",IF(COUNTIF(A1312:A$2001,A1312)=1,1,0))</f>
        <v/>
      </c>
      <c r="AM1312" s="94">
        <f>IF(I1312="","",TODAY()-I1312)</f>
        <v/>
      </c>
      <c r="AN1312" s="94">
        <f>IF(A1312="","",IF(AND(E1312&lt;&gt;"33 確認済",E1312&lt;&gt;"36 送付中"),1,0))</f>
        <v/>
      </c>
      <c r="AO1312" s="94">
        <f>IF(A1312="","",IF(AG1312&lt;&gt;"",1,0))</f>
        <v/>
      </c>
      <c r="AP1312" s="220">
        <f>IF(P1312&lt;&gt;"","・添待ち","")&amp;IF(Q1312&lt;&gt;"","・住民票","")&amp;IF(R1312&lt;&gt;"","・発信","")&amp;IF(S1312&lt;&gt;"","・確認事項","")&amp;IF(T1312&lt;&gt;"","・管","")&amp;IF(U1312&lt;&gt;"","・SV","")&amp;IF(V1312&lt;&gt;"","・データ送付待ち","")&amp;IF(W1312&lt;&gt;"","・削除","")</f>
        <v/>
      </c>
    </row>
    <row r="1313" ht="15" customHeight="1" s="87">
      <c r="AL1313" s="94">
        <f>IF(A1313="","",IF(COUNTIF(A1313:A$2001,A1313)=1,1,0))</f>
        <v/>
      </c>
      <c r="AM1313" s="94">
        <f>IF(I1313="","",TODAY()-I1313)</f>
        <v/>
      </c>
      <c r="AN1313" s="94">
        <f>IF(A1313="","",IF(AND(E1313&lt;&gt;"33 確認済",E1313&lt;&gt;"36 送付中"),1,0))</f>
        <v/>
      </c>
      <c r="AO1313" s="94">
        <f>IF(A1313="","",IF(AG1313&lt;&gt;"",1,0))</f>
        <v/>
      </c>
      <c r="AP1313" s="220">
        <f>IF(P1313&lt;&gt;"","・添待ち","")&amp;IF(Q1313&lt;&gt;"","・住民票","")&amp;IF(R1313&lt;&gt;"","・発信","")&amp;IF(S1313&lt;&gt;"","・確認事項","")&amp;IF(T1313&lt;&gt;"","・管","")&amp;IF(U1313&lt;&gt;"","・SV","")&amp;IF(V1313&lt;&gt;"","・データ送付待ち","")&amp;IF(W1313&lt;&gt;"","・削除","")</f>
        <v/>
      </c>
    </row>
    <row r="1314" ht="15" customHeight="1" s="87">
      <c r="AL1314" s="94">
        <f>IF(A1314="","",IF(COUNTIF(A1314:A$2001,A1314)=1,1,0))</f>
        <v/>
      </c>
      <c r="AM1314" s="94">
        <f>IF(I1314="","",TODAY()-I1314)</f>
        <v/>
      </c>
      <c r="AN1314" s="94">
        <f>IF(A1314="","",IF(AND(E1314&lt;&gt;"33 確認済",E1314&lt;&gt;"36 送付中"),1,0))</f>
        <v/>
      </c>
      <c r="AO1314" s="94">
        <f>IF(A1314="","",IF(AG1314&lt;&gt;"",1,0))</f>
        <v/>
      </c>
      <c r="AP1314" s="220">
        <f>IF(P1314&lt;&gt;"","・添待ち","")&amp;IF(Q1314&lt;&gt;"","・住民票","")&amp;IF(R1314&lt;&gt;"","・発信","")&amp;IF(S1314&lt;&gt;"","・確認事項","")&amp;IF(T1314&lt;&gt;"","・管","")&amp;IF(U1314&lt;&gt;"","・SV","")&amp;IF(V1314&lt;&gt;"","・データ送付待ち","")&amp;IF(W1314&lt;&gt;"","・削除","")</f>
        <v/>
      </c>
    </row>
    <row r="1315" ht="15" customHeight="1" s="87">
      <c r="AL1315" s="94">
        <f>IF(A1315="","",IF(COUNTIF(A1315:A$2001,A1315)=1,1,0))</f>
        <v/>
      </c>
      <c r="AM1315" s="94">
        <f>IF(I1315="","",TODAY()-I1315)</f>
        <v/>
      </c>
      <c r="AN1315" s="94">
        <f>IF(A1315="","",IF(AND(E1315&lt;&gt;"33 確認済",E1315&lt;&gt;"36 送付中"),1,0))</f>
        <v/>
      </c>
      <c r="AO1315" s="94">
        <f>IF(A1315="","",IF(AG1315&lt;&gt;"",1,0))</f>
        <v/>
      </c>
      <c r="AP1315" s="220">
        <f>IF(P1315&lt;&gt;"","・添待ち","")&amp;IF(Q1315&lt;&gt;"","・住民票","")&amp;IF(R1315&lt;&gt;"","・発信","")&amp;IF(S1315&lt;&gt;"","・確認事項","")&amp;IF(T1315&lt;&gt;"","・管","")&amp;IF(U1315&lt;&gt;"","・SV","")&amp;IF(V1315&lt;&gt;"","・データ送付待ち","")&amp;IF(W1315&lt;&gt;"","・削除","")</f>
        <v/>
      </c>
    </row>
    <row r="1316" ht="15" customHeight="1" s="87">
      <c r="AL1316" s="94">
        <f>IF(A1316="","",IF(COUNTIF(A1316:A$2001,A1316)=1,1,0))</f>
        <v/>
      </c>
      <c r="AM1316" s="94">
        <f>IF(I1316="","",TODAY()-I1316)</f>
        <v/>
      </c>
      <c r="AN1316" s="94">
        <f>IF(A1316="","",IF(AND(E1316&lt;&gt;"33 確認済",E1316&lt;&gt;"36 送付中"),1,0))</f>
        <v/>
      </c>
      <c r="AO1316" s="94">
        <f>IF(A1316="","",IF(AG1316&lt;&gt;"",1,0))</f>
        <v/>
      </c>
      <c r="AP1316" s="220">
        <f>IF(P1316&lt;&gt;"","・添待ち","")&amp;IF(Q1316&lt;&gt;"","・住民票","")&amp;IF(R1316&lt;&gt;"","・発信","")&amp;IF(S1316&lt;&gt;"","・確認事項","")&amp;IF(T1316&lt;&gt;"","・管","")&amp;IF(U1316&lt;&gt;"","・SV","")&amp;IF(V1316&lt;&gt;"","・データ送付待ち","")&amp;IF(W1316&lt;&gt;"","・削除","")</f>
        <v/>
      </c>
    </row>
    <row r="1317" ht="15" customHeight="1" s="87">
      <c r="AL1317" s="94">
        <f>IF(A1317="","",IF(COUNTIF(A1317:A$2001,A1317)=1,1,0))</f>
        <v/>
      </c>
      <c r="AM1317" s="94">
        <f>IF(I1317="","",TODAY()-I1317)</f>
        <v/>
      </c>
      <c r="AN1317" s="94">
        <f>IF(A1317="","",IF(AND(E1317&lt;&gt;"33 確認済",E1317&lt;&gt;"36 送付中"),1,0))</f>
        <v/>
      </c>
      <c r="AO1317" s="94">
        <f>IF(A1317="","",IF(AG1317&lt;&gt;"",1,0))</f>
        <v/>
      </c>
      <c r="AP1317" s="220">
        <f>IF(P1317&lt;&gt;"","・添待ち","")&amp;IF(Q1317&lt;&gt;"","・住民票","")&amp;IF(R1317&lt;&gt;"","・発信","")&amp;IF(S1317&lt;&gt;"","・確認事項","")&amp;IF(T1317&lt;&gt;"","・管","")&amp;IF(U1317&lt;&gt;"","・SV","")&amp;IF(V1317&lt;&gt;"","・データ送付待ち","")&amp;IF(W1317&lt;&gt;"","・削除","")</f>
        <v/>
      </c>
    </row>
    <row r="1318" ht="15" customHeight="1" s="87">
      <c r="AL1318" s="94">
        <f>IF(A1318="","",IF(COUNTIF(A1318:A$2001,A1318)=1,1,0))</f>
        <v/>
      </c>
      <c r="AM1318" s="94">
        <f>IF(I1318="","",TODAY()-I1318)</f>
        <v/>
      </c>
      <c r="AN1318" s="94">
        <f>IF(A1318="","",IF(AND(E1318&lt;&gt;"33 確認済",E1318&lt;&gt;"36 送付中"),1,0))</f>
        <v/>
      </c>
      <c r="AO1318" s="94">
        <f>IF(A1318="","",IF(AG1318&lt;&gt;"",1,0))</f>
        <v/>
      </c>
      <c r="AP1318" s="220">
        <f>IF(P1318&lt;&gt;"","・添待ち","")&amp;IF(Q1318&lt;&gt;"","・住民票","")&amp;IF(R1318&lt;&gt;"","・発信","")&amp;IF(S1318&lt;&gt;"","・確認事項","")&amp;IF(T1318&lt;&gt;"","・管","")&amp;IF(U1318&lt;&gt;"","・SV","")&amp;IF(V1318&lt;&gt;"","・データ送付待ち","")&amp;IF(W1318&lt;&gt;"","・削除","")</f>
        <v/>
      </c>
    </row>
    <row r="1319" ht="15" customHeight="1" s="87">
      <c r="AL1319" s="94">
        <f>IF(A1319="","",IF(COUNTIF(A1319:A$2001,A1319)=1,1,0))</f>
        <v/>
      </c>
      <c r="AM1319" s="94">
        <f>IF(I1319="","",TODAY()-I1319)</f>
        <v/>
      </c>
      <c r="AN1319" s="94">
        <f>IF(A1319="","",IF(AND(E1319&lt;&gt;"33 確認済",E1319&lt;&gt;"36 送付中"),1,0))</f>
        <v/>
      </c>
      <c r="AO1319" s="94">
        <f>IF(A1319="","",IF(AG1319&lt;&gt;"",1,0))</f>
        <v/>
      </c>
      <c r="AP1319" s="220">
        <f>IF(P1319&lt;&gt;"","・添待ち","")&amp;IF(Q1319&lt;&gt;"","・住民票","")&amp;IF(R1319&lt;&gt;"","・発信","")&amp;IF(S1319&lt;&gt;"","・確認事項","")&amp;IF(T1319&lt;&gt;"","・管","")&amp;IF(U1319&lt;&gt;"","・SV","")&amp;IF(V1319&lt;&gt;"","・データ送付待ち","")&amp;IF(W1319&lt;&gt;"","・削除","")</f>
        <v/>
      </c>
    </row>
    <row r="1320" ht="15" customHeight="1" s="87">
      <c r="AL1320" s="94">
        <f>IF(A1320="","",IF(COUNTIF(A1320:A$2001,A1320)=1,1,0))</f>
        <v/>
      </c>
      <c r="AM1320" s="94">
        <f>IF(I1320="","",TODAY()-I1320)</f>
        <v/>
      </c>
      <c r="AN1320" s="94">
        <f>IF(A1320="","",IF(AND(E1320&lt;&gt;"33 確認済",E1320&lt;&gt;"36 送付中"),1,0))</f>
        <v/>
      </c>
      <c r="AO1320" s="94">
        <f>IF(A1320="","",IF(AG1320&lt;&gt;"",1,0))</f>
        <v/>
      </c>
      <c r="AP1320" s="220">
        <f>IF(P1320&lt;&gt;"","・添待ち","")&amp;IF(Q1320&lt;&gt;"","・住民票","")&amp;IF(R1320&lt;&gt;"","・発信","")&amp;IF(S1320&lt;&gt;"","・確認事項","")&amp;IF(T1320&lt;&gt;"","・管","")&amp;IF(U1320&lt;&gt;"","・SV","")&amp;IF(V1320&lt;&gt;"","・データ送付待ち","")&amp;IF(W1320&lt;&gt;"","・削除","")</f>
        <v/>
      </c>
    </row>
    <row r="1321" ht="15" customHeight="1" s="87">
      <c r="AL1321" s="94">
        <f>IF(A1321="","",IF(COUNTIF(A1321:A$2001,A1321)=1,1,0))</f>
        <v/>
      </c>
      <c r="AM1321" s="94">
        <f>IF(I1321="","",TODAY()-I1321)</f>
        <v/>
      </c>
      <c r="AN1321" s="94">
        <f>IF(A1321="","",IF(AND(E1321&lt;&gt;"33 確認済",E1321&lt;&gt;"36 送付中"),1,0))</f>
        <v/>
      </c>
      <c r="AO1321" s="94">
        <f>IF(A1321="","",IF(AG1321&lt;&gt;"",1,0))</f>
        <v/>
      </c>
      <c r="AP1321" s="220">
        <f>IF(P1321&lt;&gt;"","・添待ち","")&amp;IF(Q1321&lt;&gt;"","・住民票","")&amp;IF(R1321&lt;&gt;"","・発信","")&amp;IF(S1321&lt;&gt;"","・確認事項","")&amp;IF(T1321&lt;&gt;"","・管","")&amp;IF(U1321&lt;&gt;"","・SV","")&amp;IF(V1321&lt;&gt;"","・データ送付待ち","")&amp;IF(W1321&lt;&gt;"","・削除","")</f>
        <v/>
      </c>
    </row>
    <row r="1322" ht="15" customHeight="1" s="87">
      <c r="AL1322" s="94">
        <f>IF(A1322="","",IF(COUNTIF(A1322:A$2001,A1322)=1,1,0))</f>
        <v/>
      </c>
      <c r="AM1322" s="94">
        <f>IF(I1322="","",TODAY()-I1322)</f>
        <v/>
      </c>
      <c r="AN1322" s="94">
        <f>IF(A1322="","",IF(AND(E1322&lt;&gt;"33 確認済",E1322&lt;&gt;"36 送付中"),1,0))</f>
        <v/>
      </c>
      <c r="AO1322" s="94">
        <f>IF(A1322="","",IF(AG1322&lt;&gt;"",1,0))</f>
        <v/>
      </c>
      <c r="AP1322" s="220">
        <f>IF(P1322&lt;&gt;"","・添待ち","")&amp;IF(Q1322&lt;&gt;"","・住民票","")&amp;IF(R1322&lt;&gt;"","・発信","")&amp;IF(S1322&lt;&gt;"","・確認事項","")&amp;IF(T1322&lt;&gt;"","・管","")&amp;IF(U1322&lt;&gt;"","・SV","")&amp;IF(V1322&lt;&gt;"","・データ送付待ち","")&amp;IF(W1322&lt;&gt;"","・削除","")</f>
        <v/>
      </c>
    </row>
    <row r="1323" ht="15" customHeight="1" s="87">
      <c r="AL1323" s="94">
        <f>IF(A1323="","",IF(COUNTIF(A1323:A$2001,A1323)=1,1,0))</f>
        <v/>
      </c>
      <c r="AM1323" s="94">
        <f>IF(I1323="","",TODAY()-I1323)</f>
        <v/>
      </c>
      <c r="AN1323" s="94">
        <f>IF(A1323="","",IF(AND(E1323&lt;&gt;"33 確認済",E1323&lt;&gt;"36 送付中"),1,0))</f>
        <v/>
      </c>
      <c r="AO1323" s="94">
        <f>IF(A1323="","",IF(AG1323&lt;&gt;"",1,0))</f>
        <v/>
      </c>
      <c r="AP1323" s="220">
        <f>IF(P1323&lt;&gt;"","・添待ち","")&amp;IF(Q1323&lt;&gt;"","・住民票","")&amp;IF(R1323&lt;&gt;"","・発信","")&amp;IF(S1323&lt;&gt;"","・確認事項","")&amp;IF(T1323&lt;&gt;"","・管","")&amp;IF(U1323&lt;&gt;"","・SV","")&amp;IF(V1323&lt;&gt;"","・データ送付待ち","")&amp;IF(W1323&lt;&gt;"","・削除","")</f>
        <v/>
      </c>
    </row>
    <row r="1324" ht="15" customHeight="1" s="87">
      <c r="AL1324" s="94">
        <f>IF(A1324="","",IF(COUNTIF(A1324:A$2001,A1324)=1,1,0))</f>
        <v/>
      </c>
      <c r="AM1324" s="94">
        <f>IF(I1324="","",TODAY()-I1324)</f>
        <v/>
      </c>
      <c r="AN1324" s="94">
        <f>IF(A1324="","",IF(AND(E1324&lt;&gt;"33 確認済",E1324&lt;&gt;"36 送付中"),1,0))</f>
        <v/>
      </c>
      <c r="AO1324" s="94">
        <f>IF(A1324="","",IF(AG1324&lt;&gt;"",1,0))</f>
        <v/>
      </c>
      <c r="AP1324" s="220">
        <f>IF(P1324&lt;&gt;"","・添待ち","")&amp;IF(Q1324&lt;&gt;"","・住民票","")&amp;IF(R1324&lt;&gt;"","・発信","")&amp;IF(S1324&lt;&gt;"","・確認事項","")&amp;IF(T1324&lt;&gt;"","・管","")&amp;IF(U1324&lt;&gt;"","・SV","")&amp;IF(V1324&lt;&gt;"","・データ送付待ち","")&amp;IF(W1324&lt;&gt;"","・削除","")</f>
        <v/>
      </c>
    </row>
    <row r="1325" ht="15" customHeight="1" s="87">
      <c r="AL1325" s="94">
        <f>IF(A1325="","",IF(COUNTIF(A1325:A$2001,A1325)=1,1,0))</f>
        <v/>
      </c>
      <c r="AM1325" s="94">
        <f>IF(I1325="","",TODAY()-I1325)</f>
        <v/>
      </c>
      <c r="AN1325" s="94">
        <f>IF(A1325="","",IF(AND(E1325&lt;&gt;"33 確認済",E1325&lt;&gt;"36 送付中"),1,0))</f>
        <v/>
      </c>
      <c r="AO1325" s="94">
        <f>IF(A1325="","",IF(AG1325&lt;&gt;"",1,0))</f>
        <v/>
      </c>
      <c r="AP1325" s="220">
        <f>IF(P1325&lt;&gt;"","・添待ち","")&amp;IF(Q1325&lt;&gt;"","・住民票","")&amp;IF(R1325&lt;&gt;"","・発信","")&amp;IF(S1325&lt;&gt;"","・確認事項","")&amp;IF(T1325&lt;&gt;"","・管","")&amp;IF(U1325&lt;&gt;"","・SV","")&amp;IF(V1325&lt;&gt;"","・データ送付待ち","")&amp;IF(W1325&lt;&gt;"","・削除","")</f>
        <v/>
      </c>
    </row>
    <row r="1326" ht="15" customHeight="1" s="87">
      <c r="AL1326" s="94">
        <f>IF(A1326="","",IF(COUNTIF(A1326:A$2001,A1326)=1,1,0))</f>
        <v/>
      </c>
      <c r="AM1326" s="94">
        <f>IF(I1326="","",TODAY()-I1326)</f>
        <v/>
      </c>
      <c r="AN1326" s="94">
        <f>IF(A1326="","",IF(AND(E1326&lt;&gt;"33 確認済",E1326&lt;&gt;"36 送付中"),1,0))</f>
        <v/>
      </c>
      <c r="AO1326" s="94">
        <f>IF(A1326="","",IF(AG1326&lt;&gt;"",1,0))</f>
        <v/>
      </c>
      <c r="AP1326" s="220">
        <f>IF(P1326&lt;&gt;"","・添待ち","")&amp;IF(Q1326&lt;&gt;"","・住民票","")&amp;IF(R1326&lt;&gt;"","・発信","")&amp;IF(S1326&lt;&gt;"","・確認事項","")&amp;IF(T1326&lt;&gt;"","・管","")&amp;IF(U1326&lt;&gt;"","・SV","")&amp;IF(V1326&lt;&gt;"","・データ送付待ち","")&amp;IF(W1326&lt;&gt;"","・削除","")</f>
        <v/>
      </c>
    </row>
    <row r="1327" ht="15" customHeight="1" s="87">
      <c r="AL1327" s="94">
        <f>IF(A1327="","",IF(COUNTIF(A1327:A$2001,A1327)=1,1,0))</f>
        <v/>
      </c>
      <c r="AM1327" s="94">
        <f>IF(I1327="","",TODAY()-I1327)</f>
        <v/>
      </c>
      <c r="AN1327" s="94">
        <f>IF(A1327="","",IF(AND(E1327&lt;&gt;"33 確認済",E1327&lt;&gt;"36 送付中"),1,0))</f>
        <v/>
      </c>
      <c r="AO1327" s="94">
        <f>IF(A1327="","",IF(AG1327&lt;&gt;"",1,0))</f>
        <v/>
      </c>
      <c r="AP1327" s="220">
        <f>IF(P1327&lt;&gt;"","・添待ち","")&amp;IF(Q1327&lt;&gt;"","・住民票","")&amp;IF(R1327&lt;&gt;"","・発信","")&amp;IF(S1327&lt;&gt;"","・確認事項","")&amp;IF(T1327&lt;&gt;"","・管","")&amp;IF(U1327&lt;&gt;"","・SV","")&amp;IF(V1327&lt;&gt;"","・データ送付待ち","")&amp;IF(W1327&lt;&gt;"","・削除","")</f>
        <v/>
      </c>
    </row>
    <row r="1328" ht="15" customHeight="1" s="87">
      <c r="AL1328" s="94">
        <f>IF(A1328="","",IF(COUNTIF(A1328:A$2001,A1328)=1,1,0))</f>
        <v/>
      </c>
      <c r="AM1328" s="94">
        <f>IF(I1328="","",TODAY()-I1328)</f>
        <v/>
      </c>
      <c r="AN1328" s="94">
        <f>IF(A1328="","",IF(AND(E1328&lt;&gt;"33 確認済",E1328&lt;&gt;"36 送付中"),1,0))</f>
        <v/>
      </c>
      <c r="AO1328" s="94">
        <f>IF(A1328="","",IF(AG1328&lt;&gt;"",1,0))</f>
        <v/>
      </c>
      <c r="AP1328" s="220">
        <f>IF(P1328&lt;&gt;"","・添待ち","")&amp;IF(Q1328&lt;&gt;"","・住民票","")&amp;IF(R1328&lt;&gt;"","・発信","")&amp;IF(S1328&lt;&gt;"","・確認事項","")&amp;IF(T1328&lt;&gt;"","・管","")&amp;IF(U1328&lt;&gt;"","・SV","")&amp;IF(V1328&lt;&gt;"","・データ送付待ち","")&amp;IF(W1328&lt;&gt;"","・削除","")</f>
        <v/>
      </c>
    </row>
    <row r="1329" ht="15" customHeight="1" s="87">
      <c r="AL1329" s="94">
        <f>IF(A1329="","",IF(COUNTIF(A1329:A$2001,A1329)=1,1,0))</f>
        <v/>
      </c>
      <c r="AM1329" s="94">
        <f>IF(I1329="","",TODAY()-I1329)</f>
        <v/>
      </c>
      <c r="AN1329" s="94">
        <f>IF(A1329="","",IF(AND(E1329&lt;&gt;"33 確認済",E1329&lt;&gt;"36 送付中"),1,0))</f>
        <v/>
      </c>
      <c r="AO1329" s="94">
        <f>IF(A1329="","",IF(AG1329&lt;&gt;"",1,0))</f>
        <v/>
      </c>
      <c r="AP1329" s="220">
        <f>IF(P1329&lt;&gt;"","・添待ち","")&amp;IF(Q1329&lt;&gt;"","・住民票","")&amp;IF(R1329&lt;&gt;"","・発信","")&amp;IF(S1329&lt;&gt;"","・確認事項","")&amp;IF(T1329&lt;&gt;"","・管","")&amp;IF(U1329&lt;&gt;"","・SV","")&amp;IF(V1329&lt;&gt;"","・データ送付待ち","")&amp;IF(W1329&lt;&gt;"","・削除","")</f>
        <v/>
      </c>
    </row>
    <row r="1330" ht="15" customHeight="1" s="87">
      <c r="AL1330" s="94">
        <f>IF(A1330="","",IF(COUNTIF(A1330:A$2001,A1330)=1,1,0))</f>
        <v/>
      </c>
      <c r="AM1330" s="94">
        <f>IF(I1330="","",TODAY()-I1330)</f>
        <v/>
      </c>
      <c r="AN1330" s="94">
        <f>IF(A1330="","",IF(AND(E1330&lt;&gt;"33 確認済",E1330&lt;&gt;"36 送付中"),1,0))</f>
        <v/>
      </c>
      <c r="AO1330" s="94">
        <f>IF(A1330="","",IF(AG1330&lt;&gt;"",1,0))</f>
        <v/>
      </c>
      <c r="AP1330" s="220">
        <f>IF(P1330&lt;&gt;"","・添待ち","")&amp;IF(Q1330&lt;&gt;"","・住民票","")&amp;IF(R1330&lt;&gt;"","・発信","")&amp;IF(S1330&lt;&gt;"","・確認事項","")&amp;IF(T1330&lt;&gt;"","・管","")&amp;IF(U1330&lt;&gt;"","・SV","")&amp;IF(V1330&lt;&gt;"","・データ送付待ち","")&amp;IF(W1330&lt;&gt;"","・削除","")</f>
        <v/>
      </c>
    </row>
    <row r="1331" ht="15" customHeight="1" s="87">
      <c r="AL1331" s="94">
        <f>IF(A1331="","",IF(COUNTIF(A1331:A$2001,A1331)=1,1,0))</f>
        <v/>
      </c>
      <c r="AM1331" s="94">
        <f>IF(I1331="","",TODAY()-I1331)</f>
        <v/>
      </c>
      <c r="AN1331" s="94">
        <f>IF(A1331="","",IF(AND(E1331&lt;&gt;"33 確認済",E1331&lt;&gt;"36 送付中"),1,0))</f>
        <v/>
      </c>
      <c r="AO1331" s="94">
        <f>IF(A1331="","",IF(AG1331&lt;&gt;"",1,0))</f>
        <v/>
      </c>
      <c r="AP1331" s="220">
        <f>IF(P1331&lt;&gt;"","・添待ち","")&amp;IF(Q1331&lt;&gt;"","・住民票","")&amp;IF(R1331&lt;&gt;"","・発信","")&amp;IF(S1331&lt;&gt;"","・確認事項","")&amp;IF(T1331&lt;&gt;"","・管","")&amp;IF(U1331&lt;&gt;"","・SV","")&amp;IF(V1331&lt;&gt;"","・データ送付待ち","")&amp;IF(W1331&lt;&gt;"","・削除","")</f>
        <v/>
      </c>
    </row>
    <row r="1332" ht="15" customHeight="1" s="87">
      <c r="AL1332" s="94">
        <f>IF(A1332="","",IF(COUNTIF(A1332:A$2001,A1332)=1,1,0))</f>
        <v/>
      </c>
      <c r="AM1332" s="94">
        <f>IF(I1332="","",TODAY()-I1332)</f>
        <v/>
      </c>
      <c r="AN1332" s="94">
        <f>IF(A1332="","",IF(AND(E1332&lt;&gt;"33 確認済",E1332&lt;&gt;"36 送付中"),1,0))</f>
        <v/>
      </c>
      <c r="AO1332" s="94">
        <f>IF(A1332="","",IF(AG1332&lt;&gt;"",1,0))</f>
        <v/>
      </c>
      <c r="AP1332" s="220">
        <f>IF(P1332&lt;&gt;"","・添待ち","")&amp;IF(Q1332&lt;&gt;"","・住民票","")&amp;IF(R1332&lt;&gt;"","・発信","")&amp;IF(S1332&lt;&gt;"","・確認事項","")&amp;IF(T1332&lt;&gt;"","・管","")&amp;IF(U1332&lt;&gt;"","・SV","")&amp;IF(V1332&lt;&gt;"","・データ送付待ち","")&amp;IF(W1332&lt;&gt;"","・削除","")</f>
        <v/>
      </c>
    </row>
    <row r="1333" ht="15" customHeight="1" s="87">
      <c r="AL1333" s="94">
        <f>IF(A1333="","",IF(COUNTIF(A1333:A$2001,A1333)=1,1,0))</f>
        <v/>
      </c>
      <c r="AM1333" s="94">
        <f>IF(I1333="","",TODAY()-I1333)</f>
        <v/>
      </c>
      <c r="AN1333" s="94">
        <f>IF(A1333="","",IF(AND(E1333&lt;&gt;"33 確認済",E1333&lt;&gt;"36 送付中"),1,0))</f>
        <v/>
      </c>
      <c r="AO1333" s="94">
        <f>IF(A1333="","",IF(AG1333&lt;&gt;"",1,0))</f>
        <v/>
      </c>
      <c r="AP1333" s="220">
        <f>IF(P1333&lt;&gt;"","・添待ち","")&amp;IF(Q1333&lt;&gt;"","・住民票","")&amp;IF(R1333&lt;&gt;"","・発信","")&amp;IF(S1333&lt;&gt;"","・確認事項","")&amp;IF(T1333&lt;&gt;"","・管","")&amp;IF(U1333&lt;&gt;"","・SV","")&amp;IF(V1333&lt;&gt;"","・データ送付待ち","")&amp;IF(W1333&lt;&gt;"","・削除","")</f>
        <v/>
      </c>
    </row>
    <row r="1334" ht="15" customHeight="1" s="87">
      <c r="AL1334" s="94">
        <f>IF(A1334="","",IF(COUNTIF(A1334:A$2001,A1334)=1,1,0))</f>
        <v/>
      </c>
      <c r="AM1334" s="94">
        <f>IF(I1334="","",TODAY()-I1334)</f>
        <v/>
      </c>
      <c r="AN1334" s="94">
        <f>IF(A1334="","",IF(AND(E1334&lt;&gt;"33 確認済",E1334&lt;&gt;"36 送付中"),1,0))</f>
        <v/>
      </c>
      <c r="AO1334" s="94">
        <f>IF(A1334="","",IF(AG1334&lt;&gt;"",1,0))</f>
        <v/>
      </c>
      <c r="AP1334" s="220">
        <f>IF(P1334&lt;&gt;"","・添待ち","")&amp;IF(Q1334&lt;&gt;"","・住民票","")&amp;IF(R1334&lt;&gt;"","・発信","")&amp;IF(S1334&lt;&gt;"","・確認事項","")&amp;IF(T1334&lt;&gt;"","・管","")&amp;IF(U1334&lt;&gt;"","・SV","")&amp;IF(V1334&lt;&gt;"","・データ送付待ち","")&amp;IF(W1334&lt;&gt;"","・削除","")</f>
        <v/>
      </c>
    </row>
    <row r="1335" ht="15" customHeight="1" s="87">
      <c r="AL1335" s="94">
        <f>IF(A1335="","",IF(COUNTIF(A1335:A$2001,A1335)=1,1,0))</f>
        <v/>
      </c>
      <c r="AM1335" s="94">
        <f>IF(I1335="","",TODAY()-I1335)</f>
        <v/>
      </c>
      <c r="AN1335" s="94">
        <f>IF(A1335="","",IF(AND(E1335&lt;&gt;"33 確認済",E1335&lt;&gt;"36 送付中"),1,0))</f>
        <v/>
      </c>
      <c r="AO1335" s="94">
        <f>IF(A1335="","",IF(AG1335&lt;&gt;"",1,0))</f>
        <v/>
      </c>
      <c r="AP1335" s="220">
        <f>IF(P1335&lt;&gt;"","・添待ち","")&amp;IF(Q1335&lt;&gt;"","・住民票","")&amp;IF(R1335&lt;&gt;"","・発信","")&amp;IF(S1335&lt;&gt;"","・確認事項","")&amp;IF(T1335&lt;&gt;"","・管","")&amp;IF(U1335&lt;&gt;"","・SV","")&amp;IF(V1335&lt;&gt;"","・データ送付待ち","")&amp;IF(W1335&lt;&gt;"","・削除","")</f>
        <v/>
      </c>
    </row>
    <row r="1336" ht="15" customHeight="1" s="87">
      <c r="AL1336" s="94">
        <f>IF(A1336="","",IF(COUNTIF(A1336:A$2001,A1336)=1,1,0))</f>
        <v/>
      </c>
      <c r="AM1336" s="94">
        <f>IF(I1336="","",TODAY()-I1336)</f>
        <v/>
      </c>
      <c r="AN1336" s="94">
        <f>IF(A1336="","",IF(AND(E1336&lt;&gt;"33 確認済",E1336&lt;&gt;"36 送付中"),1,0))</f>
        <v/>
      </c>
      <c r="AO1336" s="94">
        <f>IF(A1336="","",IF(AG1336&lt;&gt;"",1,0))</f>
        <v/>
      </c>
      <c r="AP1336" s="220">
        <f>IF(P1336&lt;&gt;"","・添待ち","")&amp;IF(Q1336&lt;&gt;"","・住民票","")&amp;IF(R1336&lt;&gt;"","・発信","")&amp;IF(S1336&lt;&gt;"","・確認事項","")&amp;IF(T1336&lt;&gt;"","・管","")&amp;IF(U1336&lt;&gt;"","・SV","")&amp;IF(V1336&lt;&gt;"","・データ送付待ち","")&amp;IF(W1336&lt;&gt;"","・削除","")</f>
        <v/>
      </c>
    </row>
    <row r="1337" ht="15" customHeight="1" s="87">
      <c r="AL1337" s="94">
        <f>IF(A1337="","",IF(COUNTIF(A1337:A$2001,A1337)=1,1,0))</f>
        <v/>
      </c>
      <c r="AM1337" s="94">
        <f>IF(I1337="","",TODAY()-I1337)</f>
        <v/>
      </c>
      <c r="AN1337" s="94">
        <f>IF(A1337="","",IF(AND(E1337&lt;&gt;"33 確認済",E1337&lt;&gt;"36 送付中"),1,0))</f>
        <v/>
      </c>
      <c r="AO1337" s="94">
        <f>IF(A1337="","",IF(AG1337&lt;&gt;"",1,0))</f>
        <v/>
      </c>
      <c r="AP1337" s="220">
        <f>IF(P1337&lt;&gt;"","・添待ち","")&amp;IF(Q1337&lt;&gt;"","・住民票","")&amp;IF(R1337&lt;&gt;"","・発信","")&amp;IF(S1337&lt;&gt;"","・確認事項","")&amp;IF(T1337&lt;&gt;"","・管","")&amp;IF(U1337&lt;&gt;"","・SV","")&amp;IF(V1337&lt;&gt;"","・データ送付待ち","")&amp;IF(W1337&lt;&gt;"","・削除","")</f>
        <v/>
      </c>
    </row>
    <row r="1338" ht="15" customHeight="1" s="87">
      <c r="AL1338" s="94">
        <f>IF(A1338="","",IF(COUNTIF(A1338:A$2001,A1338)=1,1,0))</f>
        <v/>
      </c>
      <c r="AM1338" s="94">
        <f>IF(I1338="","",TODAY()-I1338)</f>
        <v/>
      </c>
      <c r="AN1338" s="94">
        <f>IF(A1338="","",IF(AND(E1338&lt;&gt;"33 確認済",E1338&lt;&gt;"36 送付中"),1,0))</f>
        <v/>
      </c>
      <c r="AO1338" s="94">
        <f>IF(A1338="","",IF(AG1338&lt;&gt;"",1,0))</f>
        <v/>
      </c>
      <c r="AP1338" s="220">
        <f>IF(P1338&lt;&gt;"","・添待ち","")&amp;IF(Q1338&lt;&gt;"","・住民票","")&amp;IF(R1338&lt;&gt;"","・発信","")&amp;IF(S1338&lt;&gt;"","・確認事項","")&amp;IF(T1338&lt;&gt;"","・管","")&amp;IF(U1338&lt;&gt;"","・SV","")&amp;IF(V1338&lt;&gt;"","・データ送付待ち","")&amp;IF(W1338&lt;&gt;"","・削除","")</f>
        <v/>
      </c>
    </row>
    <row r="1339" ht="15" customHeight="1" s="87">
      <c r="AL1339" s="94">
        <f>IF(A1339="","",IF(COUNTIF(A1339:A$2001,A1339)=1,1,0))</f>
        <v/>
      </c>
      <c r="AM1339" s="94">
        <f>IF(I1339="","",TODAY()-I1339)</f>
        <v/>
      </c>
      <c r="AN1339" s="94">
        <f>IF(A1339="","",IF(AND(E1339&lt;&gt;"33 確認済",E1339&lt;&gt;"36 送付中"),1,0))</f>
        <v/>
      </c>
      <c r="AO1339" s="94">
        <f>IF(A1339="","",IF(AG1339&lt;&gt;"",1,0))</f>
        <v/>
      </c>
      <c r="AP1339" s="220">
        <f>IF(P1339&lt;&gt;"","・添待ち","")&amp;IF(Q1339&lt;&gt;"","・住民票","")&amp;IF(R1339&lt;&gt;"","・発信","")&amp;IF(S1339&lt;&gt;"","・確認事項","")&amp;IF(T1339&lt;&gt;"","・管","")&amp;IF(U1339&lt;&gt;"","・SV","")&amp;IF(V1339&lt;&gt;"","・データ送付待ち","")&amp;IF(W1339&lt;&gt;"","・削除","")</f>
        <v/>
      </c>
    </row>
    <row r="1340" ht="15" customHeight="1" s="87">
      <c r="AL1340" s="94">
        <f>IF(A1340="","",IF(COUNTIF(A1340:A$2001,A1340)=1,1,0))</f>
        <v/>
      </c>
      <c r="AM1340" s="94">
        <f>IF(I1340="","",TODAY()-I1340)</f>
        <v/>
      </c>
      <c r="AN1340" s="94">
        <f>IF(A1340="","",IF(AND(E1340&lt;&gt;"33 確認済",E1340&lt;&gt;"36 送付中"),1,0))</f>
        <v/>
      </c>
      <c r="AO1340" s="94">
        <f>IF(A1340="","",IF(AG1340&lt;&gt;"",1,0))</f>
        <v/>
      </c>
      <c r="AP1340" s="220">
        <f>IF(P1340&lt;&gt;"","・添待ち","")&amp;IF(Q1340&lt;&gt;"","・住民票","")&amp;IF(R1340&lt;&gt;"","・発信","")&amp;IF(S1340&lt;&gt;"","・確認事項","")&amp;IF(T1340&lt;&gt;"","・管","")&amp;IF(U1340&lt;&gt;"","・SV","")&amp;IF(V1340&lt;&gt;"","・データ送付待ち","")&amp;IF(W1340&lt;&gt;"","・削除","")</f>
        <v/>
      </c>
    </row>
    <row r="1341" ht="15" customHeight="1" s="87">
      <c r="AL1341" s="94">
        <f>IF(A1341="","",IF(COUNTIF(A1341:A$2001,A1341)=1,1,0))</f>
        <v/>
      </c>
      <c r="AM1341" s="94">
        <f>IF(I1341="","",TODAY()-I1341)</f>
        <v/>
      </c>
      <c r="AN1341" s="94">
        <f>IF(A1341="","",IF(AND(E1341&lt;&gt;"33 確認済",E1341&lt;&gt;"36 送付中"),1,0))</f>
        <v/>
      </c>
      <c r="AO1341" s="94">
        <f>IF(A1341="","",IF(AG1341&lt;&gt;"",1,0))</f>
        <v/>
      </c>
      <c r="AP1341" s="220">
        <f>IF(P1341&lt;&gt;"","・添待ち","")&amp;IF(Q1341&lt;&gt;"","・住民票","")&amp;IF(R1341&lt;&gt;"","・発信","")&amp;IF(S1341&lt;&gt;"","・確認事項","")&amp;IF(T1341&lt;&gt;"","・管","")&amp;IF(U1341&lt;&gt;"","・SV","")&amp;IF(V1341&lt;&gt;"","・データ送付待ち","")&amp;IF(W1341&lt;&gt;"","・削除","")</f>
        <v/>
      </c>
    </row>
    <row r="1342" ht="15" customHeight="1" s="87">
      <c r="AL1342" s="94">
        <f>IF(A1342="","",IF(COUNTIF(A1342:A$2001,A1342)=1,1,0))</f>
        <v/>
      </c>
      <c r="AM1342" s="94">
        <f>IF(I1342="","",TODAY()-I1342)</f>
        <v/>
      </c>
      <c r="AN1342" s="94">
        <f>IF(A1342="","",IF(AND(E1342&lt;&gt;"33 確認済",E1342&lt;&gt;"36 送付中"),1,0))</f>
        <v/>
      </c>
      <c r="AO1342" s="94">
        <f>IF(A1342="","",IF(AG1342&lt;&gt;"",1,0))</f>
        <v/>
      </c>
      <c r="AP1342" s="220">
        <f>IF(P1342&lt;&gt;"","・添待ち","")&amp;IF(Q1342&lt;&gt;"","・住民票","")&amp;IF(R1342&lt;&gt;"","・発信","")&amp;IF(S1342&lt;&gt;"","・確認事項","")&amp;IF(T1342&lt;&gt;"","・管","")&amp;IF(U1342&lt;&gt;"","・SV","")&amp;IF(V1342&lt;&gt;"","・データ送付待ち","")&amp;IF(W1342&lt;&gt;"","・削除","")</f>
        <v/>
      </c>
    </row>
    <row r="1343" ht="15" customHeight="1" s="87">
      <c r="AL1343" s="94">
        <f>IF(A1343="","",IF(COUNTIF(A1343:A$2001,A1343)=1,1,0))</f>
        <v/>
      </c>
      <c r="AM1343" s="94">
        <f>IF(I1343="","",TODAY()-I1343)</f>
        <v/>
      </c>
      <c r="AN1343" s="94">
        <f>IF(A1343="","",IF(AND(E1343&lt;&gt;"33 確認済",E1343&lt;&gt;"36 送付中"),1,0))</f>
        <v/>
      </c>
      <c r="AO1343" s="94">
        <f>IF(A1343="","",IF(AG1343&lt;&gt;"",1,0))</f>
        <v/>
      </c>
      <c r="AP1343" s="220">
        <f>IF(P1343&lt;&gt;"","・添待ち","")&amp;IF(Q1343&lt;&gt;"","・住民票","")&amp;IF(R1343&lt;&gt;"","・発信","")&amp;IF(S1343&lt;&gt;"","・確認事項","")&amp;IF(T1343&lt;&gt;"","・管","")&amp;IF(U1343&lt;&gt;"","・SV","")&amp;IF(V1343&lt;&gt;"","・データ送付待ち","")&amp;IF(W1343&lt;&gt;"","・削除","")</f>
        <v/>
      </c>
    </row>
    <row r="1344" ht="15" customHeight="1" s="87">
      <c r="AL1344" s="94">
        <f>IF(A1344="","",IF(COUNTIF(A1344:A$2001,A1344)=1,1,0))</f>
        <v/>
      </c>
      <c r="AM1344" s="94">
        <f>IF(I1344="","",TODAY()-I1344)</f>
        <v/>
      </c>
      <c r="AN1344" s="94">
        <f>IF(A1344="","",IF(AND(E1344&lt;&gt;"33 確認済",E1344&lt;&gt;"36 送付中"),1,0))</f>
        <v/>
      </c>
      <c r="AO1344" s="94">
        <f>IF(A1344="","",IF(AG1344&lt;&gt;"",1,0))</f>
        <v/>
      </c>
      <c r="AP1344" s="220">
        <f>IF(P1344&lt;&gt;"","・添待ち","")&amp;IF(Q1344&lt;&gt;"","・住民票","")&amp;IF(R1344&lt;&gt;"","・発信","")&amp;IF(S1344&lt;&gt;"","・確認事項","")&amp;IF(T1344&lt;&gt;"","・管","")&amp;IF(U1344&lt;&gt;"","・SV","")&amp;IF(V1344&lt;&gt;"","・データ送付待ち","")&amp;IF(W1344&lt;&gt;"","・削除","")</f>
        <v/>
      </c>
    </row>
    <row r="1345" ht="15" customHeight="1" s="87">
      <c r="AL1345" s="94">
        <f>IF(A1345="","",IF(COUNTIF(A1345:A$2001,A1345)=1,1,0))</f>
        <v/>
      </c>
      <c r="AM1345" s="94">
        <f>IF(I1345="","",TODAY()-I1345)</f>
        <v/>
      </c>
      <c r="AN1345" s="94">
        <f>IF(A1345="","",IF(AND(E1345&lt;&gt;"33 確認済",E1345&lt;&gt;"36 送付中"),1,0))</f>
        <v/>
      </c>
      <c r="AO1345" s="94">
        <f>IF(A1345="","",IF(AG1345&lt;&gt;"",1,0))</f>
        <v/>
      </c>
      <c r="AP1345" s="220">
        <f>IF(P1345&lt;&gt;"","・添待ち","")&amp;IF(Q1345&lt;&gt;"","・住民票","")&amp;IF(R1345&lt;&gt;"","・発信","")&amp;IF(S1345&lt;&gt;"","・確認事項","")&amp;IF(T1345&lt;&gt;"","・管","")&amp;IF(U1345&lt;&gt;"","・SV","")&amp;IF(V1345&lt;&gt;"","・データ送付待ち","")&amp;IF(W1345&lt;&gt;"","・削除","")</f>
        <v/>
      </c>
    </row>
    <row r="1346" ht="15" customHeight="1" s="87">
      <c r="AL1346" s="94">
        <f>IF(A1346="","",IF(COUNTIF(A1346:A$2001,A1346)=1,1,0))</f>
        <v/>
      </c>
      <c r="AM1346" s="94">
        <f>IF(I1346="","",TODAY()-I1346)</f>
        <v/>
      </c>
      <c r="AN1346" s="94">
        <f>IF(A1346="","",IF(AND(E1346&lt;&gt;"33 確認済",E1346&lt;&gt;"36 送付中"),1,0))</f>
        <v/>
      </c>
      <c r="AO1346" s="94">
        <f>IF(A1346="","",IF(AG1346&lt;&gt;"",1,0))</f>
        <v/>
      </c>
      <c r="AP1346" s="220">
        <f>IF(P1346&lt;&gt;"","・添待ち","")&amp;IF(Q1346&lt;&gt;"","・住民票","")&amp;IF(R1346&lt;&gt;"","・発信","")&amp;IF(S1346&lt;&gt;"","・確認事項","")&amp;IF(T1346&lt;&gt;"","・管","")&amp;IF(U1346&lt;&gt;"","・SV","")&amp;IF(V1346&lt;&gt;"","・データ送付待ち","")&amp;IF(W1346&lt;&gt;"","・削除","")</f>
        <v/>
      </c>
    </row>
    <row r="1347" ht="15" customHeight="1" s="87">
      <c r="AL1347" s="94">
        <f>IF(A1347="","",IF(COUNTIF(A1347:A$2001,A1347)=1,1,0))</f>
        <v/>
      </c>
      <c r="AM1347" s="94">
        <f>IF(I1347="","",TODAY()-I1347)</f>
        <v/>
      </c>
      <c r="AN1347" s="94">
        <f>IF(A1347="","",IF(AND(E1347&lt;&gt;"33 確認済",E1347&lt;&gt;"36 送付中"),1,0))</f>
        <v/>
      </c>
      <c r="AO1347" s="94">
        <f>IF(A1347="","",IF(AG1347&lt;&gt;"",1,0))</f>
        <v/>
      </c>
      <c r="AP1347" s="220">
        <f>IF(P1347&lt;&gt;"","・添待ち","")&amp;IF(Q1347&lt;&gt;"","・住民票","")&amp;IF(R1347&lt;&gt;"","・発信","")&amp;IF(S1347&lt;&gt;"","・確認事項","")&amp;IF(T1347&lt;&gt;"","・管","")&amp;IF(U1347&lt;&gt;"","・SV","")&amp;IF(V1347&lt;&gt;"","・データ送付待ち","")&amp;IF(W1347&lt;&gt;"","・削除","")</f>
        <v/>
      </c>
    </row>
    <row r="1348" ht="15" customHeight="1" s="87">
      <c r="AL1348" s="94">
        <f>IF(A1348="","",IF(COUNTIF(A1348:A$2001,A1348)=1,1,0))</f>
        <v/>
      </c>
      <c r="AM1348" s="94">
        <f>IF(I1348="","",TODAY()-I1348)</f>
        <v/>
      </c>
      <c r="AN1348" s="94">
        <f>IF(A1348="","",IF(AND(E1348&lt;&gt;"33 確認済",E1348&lt;&gt;"36 送付中"),1,0))</f>
        <v/>
      </c>
      <c r="AO1348" s="94">
        <f>IF(A1348="","",IF(AG1348&lt;&gt;"",1,0))</f>
        <v/>
      </c>
      <c r="AP1348" s="220">
        <f>IF(P1348&lt;&gt;"","・添待ち","")&amp;IF(Q1348&lt;&gt;"","・住民票","")&amp;IF(R1348&lt;&gt;"","・発信","")&amp;IF(S1348&lt;&gt;"","・確認事項","")&amp;IF(T1348&lt;&gt;"","・管","")&amp;IF(U1348&lt;&gt;"","・SV","")&amp;IF(V1348&lt;&gt;"","・データ送付待ち","")&amp;IF(W1348&lt;&gt;"","・削除","")</f>
        <v/>
      </c>
    </row>
    <row r="1349" ht="15" customHeight="1" s="87">
      <c r="AL1349" s="94">
        <f>IF(A1349="","",IF(COUNTIF(A1349:A$2001,A1349)=1,1,0))</f>
        <v/>
      </c>
      <c r="AM1349" s="94">
        <f>IF(I1349="","",TODAY()-I1349)</f>
        <v/>
      </c>
      <c r="AN1349" s="94">
        <f>IF(A1349="","",IF(AND(E1349&lt;&gt;"33 確認済",E1349&lt;&gt;"36 送付中"),1,0))</f>
        <v/>
      </c>
      <c r="AO1349" s="94">
        <f>IF(A1349="","",IF(AG1349&lt;&gt;"",1,0))</f>
        <v/>
      </c>
      <c r="AP1349" s="220">
        <f>IF(P1349&lt;&gt;"","・添待ち","")&amp;IF(Q1349&lt;&gt;"","・住民票","")&amp;IF(R1349&lt;&gt;"","・発信","")&amp;IF(S1349&lt;&gt;"","・確認事項","")&amp;IF(T1349&lt;&gt;"","・管","")&amp;IF(U1349&lt;&gt;"","・SV","")&amp;IF(V1349&lt;&gt;"","・データ送付待ち","")&amp;IF(W1349&lt;&gt;"","・削除","")</f>
        <v/>
      </c>
    </row>
    <row r="1350" ht="15" customHeight="1" s="87">
      <c r="AL1350" s="94">
        <f>IF(A1350="","",IF(COUNTIF(A1350:A$2001,A1350)=1,1,0))</f>
        <v/>
      </c>
      <c r="AM1350" s="94">
        <f>IF(I1350="","",TODAY()-I1350)</f>
        <v/>
      </c>
      <c r="AN1350" s="94">
        <f>IF(A1350="","",IF(AND(E1350&lt;&gt;"33 確認済",E1350&lt;&gt;"36 送付中"),1,0))</f>
        <v/>
      </c>
      <c r="AO1350" s="94">
        <f>IF(A1350="","",IF(AG1350&lt;&gt;"",1,0))</f>
        <v/>
      </c>
      <c r="AP1350" s="220">
        <f>IF(P1350&lt;&gt;"","・添待ち","")&amp;IF(Q1350&lt;&gt;"","・住民票","")&amp;IF(R1350&lt;&gt;"","・発信","")&amp;IF(S1350&lt;&gt;"","・確認事項","")&amp;IF(T1350&lt;&gt;"","・管","")&amp;IF(U1350&lt;&gt;"","・SV","")&amp;IF(V1350&lt;&gt;"","・データ送付待ち","")&amp;IF(W1350&lt;&gt;"","・削除","")</f>
        <v/>
      </c>
    </row>
    <row r="1351" ht="15" customHeight="1" s="87">
      <c r="AL1351" s="94">
        <f>IF(A1351="","",IF(COUNTIF(A1351:A$2001,A1351)=1,1,0))</f>
        <v/>
      </c>
      <c r="AM1351" s="94">
        <f>IF(I1351="","",TODAY()-I1351)</f>
        <v/>
      </c>
      <c r="AN1351" s="94">
        <f>IF(A1351="","",IF(AND(E1351&lt;&gt;"33 確認済",E1351&lt;&gt;"36 送付中"),1,0))</f>
        <v/>
      </c>
      <c r="AO1351" s="94">
        <f>IF(A1351="","",IF(AG1351&lt;&gt;"",1,0))</f>
        <v/>
      </c>
      <c r="AP1351" s="220">
        <f>IF(P1351&lt;&gt;"","・添待ち","")&amp;IF(Q1351&lt;&gt;"","・住民票","")&amp;IF(R1351&lt;&gt;"","・発信","")&amp;IF(S1351&lt;&gt;"","・確認事項","")&amp;IF(T1351&lt;&gt;"","・管","")&amp;IF(U1351&lt;&gt;"","・SV","")&amp;IF(V1351&lt;&gt;"","・データ送付待ち","")&amp;IF(W1351&lt;&gt;"","・削除","")</f>
        <v/>
      </c>
    </row>
    <row r="1352" ht="15" customHeight="1" s="87">
      <c r="AL1352" s="94">
        <f>IF(A1352="","",IF(COUNTIF(A1352:A$2001,A1352)=1,1,0))</f>
        <v/>
      </c>
      <c r="AM1352" s="94">
        <f>IF(I1352="","",TODAY()-I1352)</f>
        <v/>
      </c>
      <c r="AN1352" s="94">
        <f>IF(A1352="","",IF(AND(E1352&lt;&gt;"33 確認済",E1352&lt;&gt;"36 送付中"),1,0))</f>
        <v/>
      </c>
      <c r="AO1352" s="94">
        <f>IF(A1352="","",IF(AG1352&lt;&gt;"",1,0))</f>
        <v/>
      </c>
      <c r="AP1352" s="220">
        <f>IF(P1352&lt;&gt;"","・添待ち","")&amp;IF(Q1352&lt;&gt;"","・住民票","")&amp;IF(R1352&lt;&gt;"","・発信","")&amp;IF(S1352&lt;&gt;"","・確認事項","")&amp;IF(T1352&lt;&gt;"","・管","")&amp;IF(U1352&lt;&gt;"","・SV","")&amp;IF(V1352&lt;&gt;"","・データ送付待ち","")&amp;IF(W1352&lt;&gt;"","・削除","")</f>
        <v/>
      </c>
    </row>
    <row r="1353" ht="15" customHeight="1" s="87">
      <c r="AL1353" s="94">
        <f>IF(A1353="","",IF(COUNTIF(A1353:A$2001,A1353)=1,1,0))</f>
        <v/>
      </c>
      <c r="AM1353" s="94">
        <f>IF(I1353="","",TODAY()-I1353)</f>
        <v/>
      </c>
      <c r="AN1353" s="94">
        <f>IF(A1353="","",IF(AND(E1353&lt;&gt;"33 確認済",E1353&lt;&gt;"36 送付中"),1,0))</f>
        <v/>
      </c>
      <c r="AO1353" s="94">
        <f>IF(A1353="","",IF(AG1353&lt;&gt;"",1,0))</f>
        <v/>
      </c>
      <c r="AP1353" s="220">
        <f>IF(P1353&lt;&gt;"","・添待ち","")&amp;IF(Q1353&lt;&gt;"","・住民票","")&amp;IF(R1353&lt;&gt;"","・発信","")&amp;IF(S1353&lt;&gt;"","・確認事項","")&amp;IF(T1353&lt;&gt;"","・管","")&amp;IF(U1353&lt;&gt;"","・SV","")&amp;IF(V1353&lt;&gt;"","・データ送付待ち","")&amp;IF(W1353&lt;&gt;"","・削除","")</f>
        <v/>
      </c>
    </row>
    <row r="1354" ht="15" customHeight="1" s="87">
      <c r="AL1354" s="94">
        <f>IF(A1354="","",IF(COUNTIF(A1354:A$2001,A1354)=1,1,0))</f>
        <v/>
      </c>
      <c r="AM1354" s="94">
        <f>IF(I1354="","",TODAY()-I1354)</f>
        <v/>
      </c>
      <c r="AN1354" s="94">
        <f>IF(A1354="","",IF(AND(E1354&lt;&gt;"33 確認済",E1354&lt;&gt;"36 送付中"),1,0))</f>
        <v/>
      </c>
      <c r="AO1354" s="94">
        <f>IF(A1354="","",IF(AG1354&lt;&gt;"",1,0))</f>
        <v/>
      </c>
      <c r="AP1354" s="220">
        <f>IF(P1354&lt;&gt;"","・添待ち","")&amp;IF(Q1354&lt;&gt;"","・住民票","")&amp;IF(R1354&lt;&gt;"","・発信","")&amp;IF(S1354&lt;&gt;"","・確認事項","")&amp;IF(T1354&lt;&gt;"","・管","")&amp;IF(U1354&lt;&gt;"","・SV","")&amp;IF(V1354&lt;&gt;"","・データ送付待ち","")&amp;IF(W1354&lt;&gt;"","・削除","")</f>
        <v/>
      </c>
    </row>
    <row r="1355" ht="15" customHeight="1" s="87">
      <c r="AL1355" s="94">
        <f>IF(A1355="","",IF(COUNTIF(A1355:A$2001,A1355)=1,1,0))</f>
        <v/>
      </c>
      <c r="AM1355" s="94">
        <f>IF(I1355="","",TODAY()-I1355)</f>
        <v/>
      </c>
      <c r="AN1355" s="94">
        <f>IF(A1355="","",IF(AND(E1355&lt;&gt;"33 確認済",E1355&lt;&gt;"36 送付中"),1,0))</f>
        <v/>
      </c>
      <c r="AO1355" s="94">
        <f>IF(A1355="","",IF(AG1355&lt;&gt;"",1,0))</f>
        <v/>
      </c>
      <c r="AP1355" s="220">
        <f>IF(P1355&lt;&gt;"","・添待ち","")&amp;IF(Q1355&lt;&gt;"","・住民票","")&amp;IF(R1355&lt;&gt;"","・発信","")&amp;IF(S1355&lt;&gt;"","・確認事項","")&amp;IF(T1355&lt;&gt;"","・管","")&amp;IF(U1355&lt;&gt;"","・SV","")&amp;IF(V1355&lt;&gt;"","・データ送付待ち","")&amp;IF(W1355&lt;&gt;"","・削除","")</f>
        <v/>
      </c>
    </row>
    <row r="1356" ht="15" customHeight="1" s="87">
      <c r="AL1356" s="94">
        <f>IF(A1356="","",IF(COUNTIF(A1356:A$2001,A1356)=1,1,0))</f>
        <v/>
      </c>
      <c r="AM1356" s="94">
        <f>IF(I1356="","",TODAY()-I1356)</f>
        <v/>
      </c>
      <c r="AN1356" s="94">
        <f>IF(A1356="","",IF(AND(E1356&lt;&gt;"33 確認済",E1356&lt;&gt;"36 送付中"),1,0))</f>
        <v/>
      </c>
      <c r="AO1356" s="94">
        <f>IF(A1356="","",IF(AG1356&lt;&gt;"",1,0))</f>
        <v/>
      </c>
      <c r="AP1356" s="220">
        <f>IF(P1356&lt;&gt;"","・添待ち","")&amp;IF(Q1356&lt;&gt;"","・住民票","")&amp;IF(R1356&lt;&gt;"","・発信","")&amp;IF(S1356&lt;&gt;"","・確認事項","")&amp;IF(T1356&lt;&gt;"","・管","")&amp;IF(U1356&lt;&gt;"","・SV","")&amp;IF(V1356&lt;&gt;"","・データ送付待ち","")&amp;IF(W1356&lt;&gt;"","・削除","")</f>
        <v/>
      </c>
    </row>
    <row r="1357" ht="15" customHeight="1" s="87">
      <c r="AL1357" s="94">
        <f>IF(A1357="","",IF(COUNTIF(A1357:A$2001,A1357)=1,1,0))</f>
        <v/>
      </c>
      <c r="AM1357" s="94">
        <f>IF(I1357="","",TODAY()-I1357)</f>
        <v/>
      </c>
      <c r="AN1357" s="94">
        <f>IF(A1357="","",IF(AND(E1357&lt;&gt;"33 確認済",E1357&lt;&gt;"36 送付中"),1,0))</f>
        <v/>
      </c>
      <c r="AO1357" s="94">
        <f>IF(A1357="","",IF(AG1357&lt;&gt;"",1,0))</f>
        <v/>
      </c>
      <c r="AP1357" s="220">
        <f>IF(P1357&lt;&gt;"","・添待ち","")&amp;IF(Q1357&lt;&gt;"","・住民票","")&amp;IF(R1357&lt;&gt;"","・発信","")&amp;IF(S1357&lt;&gt;"","・確認事項","")&amp;IF(T1357&lt;&gt;"","・管","")&amp;IF(U1357&lt;&gt;"","・SV","")&amp;IF(V1357&lt;&gt;"","・データ送付待ち","")&amp;IF(W1357&lt;&gt;"","・削除","")</f>
        <v/>
      </c>
    </row>
    <row r="1358" ht="15" customHeight="1" s="87">
      <c r="AL1358" s="94">
        <f>IF(A1358="","",IF(COUNTIF(A1358:A$2001,A1358)=1,1,0))</f>
        <v/>
      </c>
      <c r="AM1358" s="94">
        <f>IF(I1358="","",TODAY()-I1358)</f>
        <v/>
      </c>
      <c r="AN1358" s="94">
        <f>IF(A1358="","",IF(AND(E1358&lt;&gt;"33 確認済",E1358&lt;&gt;"36 送付中"),1,0))</f>
        <v/>
      </c>
      <c r="AO1358" s="94">
        <f>IF(A1358="","",IF(AG1358&lt;&gt;"",1,0))</f>
        <v/>
      </c>
      <c r="AP1358" s="220">
        <f>IF(P1358&lt;&gt;"","・添待ち","")&amp;IF(Q1358&lt;&gt;"","・住民票","")&amp;IF(R1358&lt;&gt;"","・発信","")&amp;IF(S1358&lt;&gt;"","・確認事項","")&amp;IF(T1358&lt;&gt;"","・管","")&amp;IF(U1358&lt;&gt;"","・SV","")&amp;IF(V1358&lt;&gt;"","・データ送付待ち","")&amp;IF(W1358&lt;&gt;"","・削除","")</f>
        <v/>
      </c>
    </row>
    <row r="1359" ht="15" customHeight="1" s="87">
      <c r="AL1359" s="94">
        <f>IF(A1359="","",IF(COUNTIF(A1359:A$2001,A1359)=1,1,0))</f>
        <v/>
      </c>
      <c r="AM1359" s="94">
        <f>IF(I1359="","",TODAY()-I1359)</f>
        <v/>
      </c>
      <c r="AN1359" s="94">
        <f>IF(A1359="","",IF(AND(E1359&lt;&gt;"33 確認済",E1359&lt;&gt;"36 送付中"),1,0))</f>
        <v/>
      </c>
      <c r="AO1359" s="94">
        <f>IF(A1359="","",IF(AG1359&lt;&gt;"",1,0))</f>
        <v/>
      </c>
      <c r="AP1359" s="220">
        <f>IF(P1359&lt;&gt;"","・添待ち","")&amp;IF(Q1359&lt;&gt;"","・住民票","")&amp;IF(R1359&lt;&gt;"","・発信","")&amp;IF(S1359&lt;&gt;"","・確認事項","")&amp;IF(T1359&lt;&gt;"","・管","")&amp;IF(U1359&lt;&gt;"","・SV","")&amp;IF(V1359&lt;&gt;"","・データ送付待ち","")&amp;IF(W1359&lt;&gt;"","・削除","")</f>
        <v/>
      </c>
    </row>
    <row r="1360" ht="15" customHeight="1" s="87">
      <c r="AL1360" s="94">
        <f>IF(A1360="","",IF(COUNTIF(A1360:A$2001,A1360)=1,1,0))</f>
        <v/>
      </c>
      <c r="AM1360" s="94">
        <f>IF(I1360="","",TODAY()-I1360)</f>
        <v/>
      </c>
      <c r="AN1360" s="94">
        <f>IF(A1360="","",IF(AND(E1360&lt;&gt;"33 確認済",E1360&lt;&gt;"36 送付中"),1,0))</f>
        <v/>
      </c>
      <c r="AO1360" s="94">
        <f>IF(A1360="","",IF(AG1360&lt;&gt;"",1,0))</f>
        <v/>
      </c>
      <c r="AP1360" s="220">
        <f>IF(P1360&lt;&gt;"","・添待ち","")&amp;IF(Q1360&lt;&gt;"","・住民票","")&amp;IF(R1360&lt;&gt;"","・発信","")&amp;IF(S1360&lt;&gt;"","・確認事項","")&amp;IF(T1360&lt;&gt;"","・管","")&amp;IF(U1360&lt;&gt;"","・SV","")&amp;IF(V1360&lt;&gt;"","・データ送付待ち","")&amp;IF(W1360&lt;&gt;"","・削除","")</f>
        <v/>
      </c>
    </row>
    <row r="1361" ht="15" customHeight="1" s="87">
      <c r="AL1361" s="94">
        <f>IF(A1361="","",IF(COUNTIF(A1361:A$2001,A1361)=1,1,0))</f>
        <v/>
      </c>
      <c r="AM1361" s="94">
        <f>IF(I1361="","",TODAY()-I1361)</f>
        <v/>
      </c>
      <c r="AN1361" s="94">
        <f>IF(A1361="","",IF(AND(E1361&lt;&gt;"33 確認済",E1361&lt;&gt;"36 送付中"),1,0))</f>
        <v/>
      </c>
      <c r="AO1361" s="94">
        <f>IF(A1361="","",IF(AG1361&lt;&gt;"",1,0))</f>
        <v/>
      </c>
      <c r="AP1361" s="220">
        <f>IF(P1361&lt;&gt;"","・添待ち","")&amp;IF(Q1361&lt;&gt;"","・住民票","")&amp;IF(R1361&lt;&gt;"","・発信","")&amp;IF(S1361&lt;&gt;"","・確認事項","")&amp;IF(T1361&lt;&gt;"","・管","")&amp;IF(U1361&lt;&gt;"","・SV","")&amp;IF(V1361&lt;&gt;"","・データ送付待ち","")&amp;IF(W1361&lt;&gt;"","・削除","")</f>
        <v/>
      </c>
    </row>
    <row r="1362" ht="15" customHeight="1" s="87">
      <c r="AL1362" s="94">
        <f>IF(A1362="","",IF(COUNTIF(A1362:A$2001,A1362)=1,1,0))</f>
        <v/>
      </c>
      <c r="AM1362" s="94">
        <f>IF(I1362="","",TODAY()-I1362)</f>
        <v/>
      </c>
      <c r="AN1362" s="94">
        <f>IF(A1362="","",IF(AND(E1362&lt;&gt;"33 確認済",E1362&lt;&gt;"36 送付中"),1,0))</f>
        <v/>
      </c>
      <c r="AO1362" s="94">
        <f>IF(A1362="","",IF(AG1362&lt;&gt;"",1,0))</f>
        <v/>
      </c>
      <c r="AP1362" s="220">
        <f>IF(P1362&lt;&gt;"","・添待ち","")&amp;IF(Q1362&lt;&gt;"","・住民票","")&amp;IF(R1362&lt;&gt;"","・発信","")&amp;IF(S1362&lt;&gt;"","・確認事項","")&amp;IF(T1362&lt;&gt;"","・管","")&amp;IF(U1362&lt;&gt;"","・SV","")&amp;IF(V1362&lt;&gt;"","・データ送付待ち","")&amp;IF(W1362&lt;&gt;"","・削除","")</f>
        <v/>
      </c>
    </row>
    <row r="1363" ht="15" customHeight="1" s="87">
      <c r="AL1363" s="94">
        <f>IF(A1363="","",IF(COUNTIF(A1363:A$2001,A1363)=1,1,0))</f>
        <v/>
      </c>
      <c r="AM1363" s="94">
        <f>IF(I1363="","",TODAY()-I1363)</f>
        <v/>
      </c>
      <c r="AN1363" s="94">
        <f>IF(A1363="","",IF(AND(E1363&lt;&gt;"33 確認済",E1363&lt;&gt;"36 送付中"),1,0))</f>
        <v/>
      </c>
      <c r="AO1363" s="94">
        <f>IF(A1363="","",IF(AG1363&lt;&gt;"",1,0))</f>
        <v/>
      </c>
      <c r="AP1363" s="220">
        <f>IF(P1363&lt;&gt;"","・添待ち","")&amp;IF(Q1363&lt;&gt;"","・住民票","")&amp;IF(R1363&lt;&gt;"","・発信","")&amp;IF(S1363&lt;&gt;"","・確認事項","")&amp;IF(T1363&lt;&gt;"","・管","")&amp;IF(U1363&lt;&gt;"","・SV","")&amp;IF(V1363&lt;&gt;"","・データ送付待ち","")&amp;IF(W1363&lt;&gt;"","・削除","")</f>
        <v/>
      </c>
    </row>
    <row r="1364" ht="15" customHeight="1" s="87">
      <c r="AL1364" s="94">
        <f>IF(A1364="","",IF(COUNTIF(A1364:A$2001,A1364)=1,1,0))</f>
        <v/>
      </c>
      <c r="AM1364" s="94">
        <f>IF(I1364="","",TODAY()-I1364)</f>
        <v/>
      </c>
      <c r="AN1364" s="94">
        <f>IF(A1364="","",IF(AND(E1364&lt;&gt;"33 確認済",E1364&lt;&gt;"36 送付中"),1,0))</f>
        <v/>
      </c>
      <c r="AO1364" s="94">
        <f>IF(A1364="","",IF(AG1364&lt;&gt;"",1,0))</f>
        <v/>
      </c>
      <c r="AP1364" s="220">
        <f>IF(P1364&lt;&gt;"","・添待ち","")&amp;IF(Q1364&lt;&gt;"","・住民票","")&amp;IF(R1364&lt;&gt;"","・発信","")&amp;IF(S1364&lt;&gt;"","・確認事項","")&amp;IF(T1364&lt;&gt;"","・管","")&amp;IF(U1364&lt;&gt;"","・SV","")&amp;IF(V1364&lt;&gt;"","・データ送付待ち","")&amp;IF(W1364&lt;&gt;"","・削除","")</f>
        <v/>
      </c>
    </row>
    <row r="1365" ht="15" customHeight="1" s="87">
      <c r="AL1365" s="94">
        <f>IF(A1365="","",IF(COUNTIF(A1365:A$2001,A1365)=1,1,0))</f>
        <v/>
      </c>
      <c r="AM1365" s="94">
        <f>IF(I1365="","",TODAY()-I1365)</f>
        <v/>
      </c>
      <c r="AN1365" s="94">
        <f>IF(A1365="","",IF(AND(E1365&lt;&gt;"33 確認済",E1365&lt;&gt;"36 送付中"),1,0))</f>
        <v/>
      </c>
      <c r="AO1365" s="94">
        <f>IF(A1365="","",IF(AG1365&lt;&gt;"",1,0))</f>
        <v/>
      </c>
      <c r="AP1365" s="220">
        <f>IF(P1365&lt;&gt;"","・添待ち","")&amp;IF(Q1365&lt;&gt;"","・住民票","")&amp;IF(R1365&lt;&gt;"","・発信","")&amp;IF(S1365&lt;&gt;"","・確認事項","")&amp;IF(T1365&lt;&gt;"","・管","")&amp;IF(U1365&lt;&gt;"","・SV","")&amp;IF(V1365&lt;&gt;"","・データ送付待ち","")&amp;IF(W1365&lt;&gt;"","・削除","")</f>
        <v/>
      </c>
    </row>
    <row r="1366" ht="15" customHeight="1" s="87">
      <c r="AL1366" s="94">
        <f>IF(A1366="","",IF(COUNTIF(A1366:A$2001,A1366)=1,1,0))</f>
        <v/>
      </c>
      <c r="AM1366" s="94">
        <f>IF(I1366="","",TODAY()-I1366)</f>
        <v/>
      </c>
      <c r="AN1366" s="94">
        <f>IF(A1366="","",IF(AND(E1366&lt;&gt;"33 確認済",E1366&lt;&gt;"36 送付中"),1,0))</f>
        <v/>
      </c>
      <c r="AO1366" s="94">
        <f>IF(A1366="","",IF(AG1366&lt;&gt;"",1,0))</f>
        <v/>
      </c>
      <c r="AP1366" s="220">
        <f>IF(P1366&lt;&gt;"","・添待ち","")&amp;IF(Q1366&lt;&gt;"","・住民票","")&amp;IF(R1366&lt;&gt;"","・発信","")&amp;IF(S1366&lt;&gt;"","・確認事項","")&amp;IF(T1366&lt;&gt;"","・管","")&amp;IF(U1366&lt;&gt;"","・SV","")&amp;IF(V1366&lt;&gt;"","・データ送付待ち","")&amp;IF(W1366&lt;&gt;"","・削除","")</f>
        <v/>
      </c>
    </row>
    <row r="1367" ht="15" customHeight="1" s="87">
      <c r="AL1367" s="94">
        <f>IF(A1367="","",IF(COUNTIF(A1367:A$2001,A1367)=1,1,0))</f>
        <v/>
      </c>
      <c r="AM1367" s="94">
        <f>IF(I1367="","",TODAY()-I1367)</f>
        <v/>
      </c>
      <c r="AN1367" s="94">
        <f>IF(A1367="","",IF(AND(E1367&lt;&gt;"33 確認済",E1367&lt;&gt;"36 送付中"),1,0))</f>
        <v/>
      </c>
      <c r="AO1367" s="94">
        <f>IF(A1367="","",IF(AG1367&lt;&gt;"",1,0))</f>
        <v/>
      </c>
      <c r="AP1367" s="220">
        <f>IF(P1367&lt;&gt;"","・添待ち","")&amp;IF(Q1367&lt;&gt;"","・住民票","")&amp;IF(R1367&lt;&gt;"","・発信","")&amp;IF(S1367&lt;&gt;"","・確認事項","")&amp;IF(T1367&lt;&gt;"","・管","")&amp;IF(U1367&lt;&gt;"","・SV","")&amp;IF(V1367&lt;&gt;"","・データ送付待ち","")&amp;IF(W1367&lt;&gt;"","・削除","")</f>
        <v/>
      </c>
    </row>
    <row r="1368" ht="15" customHeight="1" s="87">
      <c r="AL1368" s="94">
        <f>IF(A1368="","",IF(COUNTIF(A1368:A$2001,A1368)=1,1,0))</f>
        <v/>
      </c>
      <c r="AM1368" s="94">
        <f>IF(I1368="","",TODAY()-I1368)</f>
        <v/>
      </c>
      <c r="AN1368" s="94">
        <f>IF(A1368="","",IF(AND(E1368&lt;&gt;"33 確認済",E1368&lt;&gt;"36 送付中"),1,0))</f>
        <v/>
      </c>
      <c r="AO1368" s="94">
        <f>IF(A1368="","",IF(AG1368&lt;&gt;"",1,0))</f>
        <v/>
      </c>
      <c r="AP1368" s="220">
        <f>IF(P1368&lt;&gt;"","・添待ち","")&amp;IF(Q1368&lt;&gt;"","・住民票","")&amp;IF(R1368&lt;&gt;"","・発信","")&amp;IF(S1368&lt;&gt;"","・確認事項","")&amp;IF(T1368&lt;&gt;"","・管","")&amp;IF(U1368&lt;&gt;"","・SV","")&amp;IF(V1368&lt;&gt;"","・データ送付待ち","")&amp;IF(W1368&lt;&gt;"","・削除","")</f>
        <v/>
      </c>
    </row>
    <row r="1369" ht="15" customHeight="1" s="87">
      <c r="AL1369" s="94">
        <f>IF(A1369="","",IF(COUNTIF(A1369:A$2001,A1369)=1,1,0))</f>
        <v/>
      </c>
      <c r="AM1369" s="94">
        <f>IF(I1369="","",TODAY()-I1369)</f>
        <v/>
      </c>
      <c r="AN1369" s="94">
        <f>IF(A1369="","",IF(AND(E1369&lt;&gt;"33 確認済",E1369&lt;&gt;"36 送付中"),1,0))</f>
        <v/>
      </c>
      <c r="AO1369" s="94">
        <f>IF(A1369="","",IF(AG1369&lt;&gt;"",1,0))</f>
        <v/>
      </c>
      <c r="AP1369" s="220">
        <f>IF(P1369&lt;&gt;"","・添待ち","")&amp;IF(Q1369&lt;&gt;"","・住民票","")&amp;IF(R1369&lt;&gt;"","・発信","")&amp;IF(S1369&lt;&gt;"","・確認事項","")&amp;IF(T1369&lt;&gt;"","・管","")&amp;IF(U1369&lt;&gt;"","・SV","")&amp;IF(V1369&lt;&gt;"","・データ送付待ち","")&amp;IF(W1369&lt;&gt;"","・削除","")</f>
        <v/>
      </c>
    </row>
    <row r="1370" ht="15" customHeight="1" s="87">
      <c r="AL1370" s="94">
        <f>IF(A1370="","",IF(COUNTIF(A1370:A$2001,A1370)=1,1,0))</f>
        <v/>
      </c>
      <c r="AM1370" s="94">
        <f>IF(I1370="","",TODAY()-I1370)</f>
        <v/>
      </c>
      <c r="AN1370" s="94">
        <f>IF(A1370="","",IF(AND(E1370&lt;&gt;"33 確認済",E1370&lt;&gt;"36 送付中"),1,0))</f>
        <v/>
      </c>
      <c r="AO1370" s="94">
        <f>IF(A1370="","",IF(AG1370&lt;&gt;"",1,0))</f>
        <v/>
      </c>
      <c r="AP1370" s="220">
        <f>IF(P1370&lt;&gt;"","・添待ち","")&amp;IF(Q1370&lt;&gt;"","・住民票","")&amp;IF(R1370&lt;&gt;"","・発信","")&amp;IF(S1370&lt;&gt;"","・確認事項","")&amp;IF(T1370&lt;&gt;"","・管","")&amp;IF(U1370&lt;&gt;"","・SV","")&amp;IF(V1370&lt;&gt;"","・データ送付待ち","")&amp;IF(W1370&lt;&gt;"","・削除","")</f>
        <v/>
      </c>
    </row>
    <row r="1371" ht="15" customHeight="1" s="87">
      <c r="AL1371" s="94">
        <f>IF(A1371="","",IF(COUNTIF(A1371:A$2001,A1371)=1,1,0))</f>
        <v/>
      </c>
      <c r="AM1371" s="94">
        <f>IF(I1371="","",TODAY()-I1371)</f>
        <v/>
      </c>
      <c r="AN1371" s="94">
        <f>IF(A1371="","",IF(AND(E1371&lt;&gt;"33 確認済",E1371&lt;&gt;"36 送付中"),1,0))</f>
        <v/>
      </c>
      <c r="AO1371" s="94">
        <f>IF(A1371="","",IF(AG1371&lt;&gt;"",1,0))</f>
        <v/>
      </c>
      <c r="AP1371" s="220">
        <f>IF(P1371&lt;&gt;"","・添待ち","")&amp;IF(Q1371&lt;&gt;"","・住民票","")&amp;IF(R1371&lt;&gt;"","・発信","")&amp;IF(S1371&lt;&gt;"","・確認事項","")&amp;IF(T1371&lt;&gt;"","・管","")&amp;IF(U1371&lt;&gt;"","・SV","")&amp;IF(V1371&lt;&gt;"","・データ送付待ち","")&amp;IF(W1371&lt;&gt;"","・削除","")</f>
        <v/>
      </c>
    </row>
    <row r="1372" ht="15" customHeight="1" s="87">
      <c r="AL1372" s="94">
        <f>IF(A1372="","",IF(COUNTIF(A1372:A$2001,A1372)=1,1,0))</f>
        <v/>
      </c>
      <c r="AM1372" s="94">
        <f>IF(I1372="","",TODAY()-I1372)</f>
        <v/>
      </c>
      <c r="AN1372" s="94">
        <f>IF(A1372="","",IF(AND(E1372&lt;&gt;"33 確認済",E1372&lt;&gt;"36 送付中"),1,0))</f>
        <v/>
      </c>
      <c r="AO1372" s="94">
        <f>IF(A1372="","",IF(AG1372&lt;&gt;"",1,0))</f>
        <v/>
      </c>
      <c r="AP1372" s="220">
        <f>IF(P1372&lt;&gt;"","・添待ち","")&amp;IF(Q1372&lt;&gt;"","・住民票","")&amp;IF(R1372&lt;&gt;"","・発信","")&amp;IF(S1372&lt;&gt;"","・確認事項","")&amp;IF(T1372&lt;&gt;"","・管","")&amp;IF(U1372&lt;&gt;"","・SV","")&amp;IF(V1372&lt;&gt;"","・データ送付待ち","")&amp;IF(W1372&lt;&gt;"","・削除","")</f>
        <v/>
      </c>
    </row>
    <row r="1373" ht="15" customHeight="1" s="87">
      <c r="AL1373" s="94">
        <f>IF(A1373="","",IF(COUNTIF(A1373:A$2001,A1373)=1,1,0))</f>
        <v/>
      </c>
      <c r="AM1373" s="94">
        <f>IF(I1373="","",TODAY()-I1373)</f>
        <v/>
      </c>
      <c r="AN1373" s="94">
        <f>IF(A1373="","",IF(AND(E1373&lt;&gt;"33 確認済",E1373&lt;&gt;"36 送付中"),1,0))</f>
        <v/>
      </c>
      <c r="AO1373" s="94">
        <f>IF(A1373="","",IF(AG1373&lt;&gt;"",1,0))</f>
        <v/>
      </c>
      <c r="AP1373" s="220">
        <f>IF(P1373&lt;&gt;"","・添待ち","")&amp;IF(Q1373&lt;&gt;"","・住民票","")&amp;IF(R1373&lt;&gt;"","・発信","")&amp;IF(S1373&lt;&gt;"","・確認事項","")&amp;IF(T1373&lt;&gt;"","・管","")&amp;IF(U1373&lt;&gt;"","・SV","")&amp;IF(V1373&lt;&gt;"","・データ送付待ち","")&amp;IF(W1373&lt;&gt;"","・削除","")</f>
        <v/>
      </c>
    </row>
    <row r="1374" ht="15" customHeight="1" s="87">
      <c r="AL1374" s="94">
        <f>IF(A1374="","",IF(COUNTIF(A1374:A$2001,A1374)=1,1,0))</f>
        <v/>
      </c>
      <c r="AM1374" s="94">
        <f>IF(I1374="","",TODAY()-I1374)</f>
        <v/>
      </c>
      <c r="AN1374" s="94">
        <f>IF(A1374="","",IF(AND(E1374&lt;&gt;"33 確認済",E1374&lt;&gt;"36 送付中"),1,0))</f>
        <v/>
      </c>
      <c r="AO1374" s="94">
        <f>IF(A1374="","",IF(AG1374&lt;&gt;"",1,0))</f>
        <v/>
      </c>
      <c r="AP1374" s="220">
        <f>IF(P1374&lt;&gt;"","・添待ち","")&amp;IF(Q1374&lt;&gt;"","・住民票","")&amp;IF(R1374&lt;&gt;"","・発信","")&amp;IF(S1374&lt;&gt;"","・確認事項","")&amp;IF(T1374&lt;&gt;"","・管","")&amp;IF(U1374&lt;&gt;"","・SV","")&amp;IF(V1374&lt;&gt;"","・データ送付待ち","")&amp;IF(W1374&lt;&gt;"","・削除","")</f>
        <v/>
      </c>
    </row>
    <row r="1375" ht="15" customHeight="1" s="87">
      <c r="AL1375" s="94">
        <f>IF(A1375="","",IF(COUNTIF(A1375:A$2001,A1375)=1,1,0))</f>
        <v/>
      </c>
      <c r="AM1375" s="94">
        <f>IF(I1375="","",TODAY()-I1375)</f>
        <v/>
      </c>
      <c r="AN1375" s="94">
        <f>IF(A1375="","",IF(AND(E1375&lt;&gt;"33 確認済",E1375&lt;&gt;"36 送付中"),1,0))</f>
        <v/>
      </c>
      <c r="AO1375" s="94">
        <f>IF(A1375="","",IF(AG1375&lt;&gt;"",1,0))</f>
        <v/>
      </c>
      <c r="AP1375" s="220">
        <f>IF(P1375&lt;&gt;"","・添待ち","")&amp;IF(Q1375&lt;&gt;"","・住民票","")&amp;IF(R1375&lt;&gt;"","・発信","")&amp;IF(S1375&lt;&gt;"","・確認事項","")&amp;IF(T1375&lt;&gt;"","・管","")&amp;IF(U1375&lt;&gt;"","・SV","")&amp;IF(V1375&lt;&gt;"","・データ送付待ち","")&amp;IF(W1375&lt;&gt;"","・削除","")</f>
        <v/>
      </c>
    </row>
    <row r="1376" ht="15" customHeight="1" s="87">
      <c r="AL1376" s="94">
        <f>IF(A1376="","",IF(COUNTIF(A1376:A$2001,A1376)=1,1,0))</f>
        <v/>
      </c>
      <c r="AM1376" s="94">
        <f>IF(I1376="","",TODAY()-I1376)</f>
        <v/>
      </c>
      <c r="AN1376" s="94">
        <f>IF(A1376="","",IF(AND(E1376&lt;&gt;"33 確認済",E1376&lt;&gt;"36 送付中"),1,0))</f>
        <v/>
      </c>
      <c r="AO1376" s="94">
        <f>IF(A1376="","",IF(AG1376&lt;&gt;"",1,0))</f>
        <v/>
      </c>
      <c r="AP1376" s="220">
        <f>IF(P1376&lt;&gt;"","・添待ち","")&amp;IF(Q1376&lt;&gt;"","・住民票","")&amp;IF(R1376&lt;&gt;"","・発信","")&amp;IF(S1376&lt;&gt;"","・確認事項","")&amp;IF(T1376&lt;&gt;"","・管","")&amp;IF(U1376&lt;&gt;"","・SV","")&amp;IF(V1376&lt;&gt;"","・データ送付待ち","")&amp;IF(W1376&lt;&gt;"","・削除","")</f>
        <v/>
      </c>
    </row>
    <row r="1377" ht="15" customHeight="1" s="87">
      <c r="AL1377" s="94">
        <f>IF(A1377="","",IF(COUNTIF(A1377:A$2001,A1377)=1,1,0))</f>
        <v/>
      </c>
      <c r="AM1377" s="94">
        <f>IF(I1377="","",TODAY()-I1377)</f>
        <v/>
      </c>
      <c r="AN1377" s="94">
        <f>IF(A1377="","",IF(AND(E1377&lt;&gt;"33 確認済",E1377&lt;&gt;"36 送付中"),1,0))</f>
        <v/>
      </c>
      <c r="AO1377" s="94">
        <f>IF(A1377="","",IF(AG1377&lt;&gt;"",1,0))</f>
        <v/>
      </c>
      <c r="AP1377" s="220">
        <f>IF(P1377&lt;&gt;"","・添待ち","")&amp;IF(Q1377&lt;&gt;"","・住民票","")&amp;IF(R1377&lt;&gt;"","・発信","")&amp;IF(S1377&lt;&gt;"","・確認事項","")&amp;IF(T1377&lt;&gt;"","・管","")&amp;IF(U1377&lt;&gt;"","・SV","")&amp;IF(V1377&lt;&gt;"","・データ送付待ち","")&amp;IF(W1377&lt;&gt;"","・削除","")</f>
        <v/>
      </c>
    </row>
    <row r="1378" ht="15" customHeight="1" s="87">
      <c r="AL1378" s="94">
        <f>IF(A1378="","",IF(COUNTIF(A1378:A$2001,A1378)=1,1,0))</f>
        <v/>
      </c>
      <c r="AM1378" s="94">
        <f>IF(I1378="","",TODAY()-I1378)</f>
        <v/>
      </c>
      <c r="AN1378" s="94">
        <f>IF(A1378="","",IF(AND(E1378&lt;&gt;"33 確認済",E1378&lt;&gt;"36 送付中"),1,0))</f>
        <v/>
      </c>
      <c r="AO1378" s="94">
        <f>IF(A1378="","",IF(AG1378&lt;&gt;"",1,0))</f>
        <v/>
      </c>
      <c r="AP1378" s="220">
        <f>IF(P1378&lt;&gt;"","・添待ち","")&amp;IF(Q1378&lt;&gt;"","・住民票","")&amp;IF(R1378&lt;&gt;"","・発信","")&amp;IF(S1378&lt;&gt;"","・確認事項","")&amp;IF(T1378&lt;&gt;"","・管","")&amp;IF(U1378&lt;&gt;"","・SV","")&amp;IF(V1378&lt;&gt;"","・データ送付待ち","")&amp;IF(W1378&lt;&gt;"","・削除","")</f>
        <v/>
      </c>
    </row>
    <row r="1379" ht="15" customHeight="1" s="87">
      <c r="AL1379" s="94">
        <f>IF(A1379="","",IF(COUNTIF(A1379:A$2001,A1379)=1,1,0))</f>
        <v/>
      </c>
      <c r="AM1379" s="94">
        <f>IF(I1379="","",TODAY()-I1379)</f>
        <v/>
      </c>
      <c r="AN1379" s="94">
        <f>IF(A1379="","",IF(AND(E1379&lt;&gt;"33 確認済",E1379&lt;&gt;"36 送付中"),1,0))</f>
        <v/>
      </c>
      <c r="AO1379" s="94">
        <f>IF(A1379="","",IF(AG1379&lt;&gt;"",1,0))</f>
        <v/>
      </c>
      <c r="AP1379" s="220">
        <f>IF(P1379&lt;&gt;"","・添待ち","")&amp;IF(Q1379&lt;&gt;"","・住民票","")&amp;IF(R1379&lt;&gt;"","・発信","")&amp;IF(S1379&lt;&gt;"","・確認事項","")&amp;IF(T1379&lt;&gt;"","・管","")&amp;IF(U1379&lt;&gt;"","・SV","")&amp;IF(V1379&lt;&gt;"","・データ送付待ち","")&amp;IF(W1379&lt;&gt;"","・削除","")</f>
        <v/>
      </c>
    </row>
    <row r="1380" ht="15" customHeight="1" s="87">
      <c r="AL1380" s="94">
        <f>IF(A1380="","",IF(COUNTIF(A1380:A$2001,A1380)=1,1,0))</f>
        <v/>
      </c>
      <c r="AM1380" s="94">
        <f>IF(I1380="","",TODAY()-I1380)</f>
        <v/>
      </c>
      <c r="AN1380" s="94">
        <f>IF(A1380="","",IF(AND(E1380&lt;&gt;"33 確認済",E1380&lt;&gt;"36 送付中"),1,0))</f>
        <v/>
      </c>
      <c r="AO1380" s="94">
        <f>IF(A1380="","",IF(AG1380&lt;&gt;"",1,0))</f>
        <v/>
      </c>
      <c r="AP1380" s="220">
        <f>IF(P1380&lt;&gt;"","・添待ち","")&amp;IF(Q1380&lt;&gt;"","・住民票","")&amp;IF(R1380&lt;&gt;"","・発信","")&amp;IF(S1380&lt;&gt;"","・確認事項","")&amp;IF(T1380&lt;&gt;"","・管","")&amp;IF(U1380&lt;&gt;"","・SV","")&amp;IF(V1380&lt;&gt;"","・データ送付待ち","")&amp;IF(W1380&lt;&gt;"","・削除","")</f>
        <v/>
      </c>
    </row>
    <row r="1381" ht="15" customHeight="1" s="87">
      <c r="AL1381" s="94">
        <f>IF(A1381="","",IF(COUNTIF(A1381:A$2001,A1381)=1,1,0))</f>
        <v/>
      </c>
      <c r="AM1381" s="94">
        <f>IF(I1381="","",TODAY()-I1381)</f>
        <v/>
      </c>
      <c r="AN1381" s="94">
        <f>IF(A1381="","",IF(AND(E1381&lt;&gt;"33 確認済",E1381&lt;&gt;"36 送付中"),1,0))</f>
        <v/>
      </c>
      <c r="AO1381" s="94">
        <f>IF(A1381="","",IF(AG1381&lt;&gt;"",1,0))</f>
        <v/>
      </c>
      <c r="AP1381" s="220">
        <f>IF(P1381&lt;&gt;"","・添待ち","")&amp;IF(Q1381&lt;&gt;"","・住民票","")&amp;IF(R1381&lt;&gt;"","・発信","")&amp;IF(S1381&lt;&gt;"","・確認事項","")&amp;IF(T1381&lt;&gt;"","・管","")&amp;IF(U1381&lt;&gt;"","・SV","")&amp;IF(V1381&lt;&gt;"","・データ送付待ち","")&amp;IF(W1381&lt;&gt;"","・削除","")</f>
        <v/>
      </c>
    </row>
    <row r="1382" ht="15" customHeight="1" s="87">
      <c r="AL1382" s="94">
        <f>IF(A1382="","",IF(COUNTIF(A1382:A$2001,A1382)=1,1,0))</f>
        <v/>
      </c>
      <c r="AM1382" s="94">
        <f>IF(I1382="","",TODAY()-I1382)</f>
        <v/>
      </c>
      <c r="AN1382" s="94">
        <f>IF(A1382="","",IF(AND(E1382&lt;&gt;"33 確認済",E1382&lt;&gt;"36 送付中"),1,0))</f>
        <v/>
      </c>
      <c r="AO1382" s="94">
        <f>IF(A1382="","",IF(AG1382&lt;&gt;"",1,0))</f>
        <v/>
      </c>
      <c r="AP1382" s="220">
        <f>IF(P1382&lt;&gt;"","・添待ち","")&amp;IF(Q1382&lt;&gt;"","・住民票","")&amp;IF(R1382&lt;&gt;"","・発信","")&amp;IF(S1382&lt;&gt;"","・確認事項","")&amp;IF(T1382&lt;&gt;"","・管","")&amp;IF(U1382&lt;&gt;"","・SV","")&amp;IF(V1382&lt;&gt;"","・データ送付待ち","")&amp;IF(W1382&lt;&gt;"","・削除","")</f>
        <v/>
      </c>
    </row>
    <row r="1383" ht="15" customHeight="1" s="87">
      <c r="AL1383" s="94">
        <f>IF(A1383="","",IF(COUNTIF(A1383:A$2001,A1383)=1,1,0))</f>
        <v/>
      </c>
      <c r="AM1383" s="94">
        <f>IF(I1383="","",TODAY()-I1383)</f>
        <v/>
      </c>
      <c r="AN1383" s="94">
        <f>IF(A1383="","",IF(AND(E1383&lt;&gt;"33 確認済",E1383&lt;&gt;"36 送付中"),1,0))</f>
        <v/>
      </c>
      <c r="AO1383" s="94">
        <f>IF(A1383="","",IF(AG1383&lt;&gt;"",1,0))</f>
        <v/>
      </c>
      <c r="AP1383" s="220">
        <f>IF(P1383&lt;&gt;"","・添待ち","")&amp;IF(Q1383&lt;&gt;"","・住民票","")&amp;IF(R1383&lt;&gt;"","・発信","")&amp;IF(S1383&lt;&gt;"","・確認事項","")&amp;IF(T1383&lt;&gt;"","・管","")&amp;IF(U1383&lt;&gt;"","・SV","")&amp;IF(V1383&lt;&gt;"","・データ送付待ち","")&amp;IF(W1383&lt;&gt;"","・削除","")</f>
        <v/>
      </c>
    </row>
    <row r="1384" ht="15" customHeight="1" s="87">
      <c r="AL1384" s="94">
        <f>IF(A1384="","",IF(COUNTIF(A1384:A$2001,A1384)=1,1,0))</f>
        <v/>
      </c>
      <c r="AM1384" s="94">
        <f>IF(I1384="","",TODAY()-I1384)</f>
        <v/>
      </c>
      <c r="AN1384" s="94">
        <f>IF(A1384="","",IF(AND(E1384&lt;&gt;"33 確認済",E1384&lt;&gt;"36 送付中"),1,0))</f>
        <v/>
      </c>
      <c r="AO1384" s="94">
        <f>IF(A1384="","",IF(AG1384&lt;&gt;"",1,0))</f>
        <v/>
      </c>
      <c r="AP1384" s="220">
        <f>IF(P1384&lt;&gt;"","・添待ち","")&amp;IF(Q1384&lt;&gt;"","・住民票","")&amp;IF(R1384&lt;&gt;"","・発信","")&amp;IF(S1384&lt;&gt;"","・確認事項","")&amp;IF(T1384&lt;&gt;"","・管","")&amp;IF(U1384&lt;&gt;"","・SV","")&amp;IF(V1384&lt;&gt;"","・データ送付待ち","")&amp;IF(W1384&lt;&gt;"","・削除","")</f>
        <v/>
      </c>
    </row>
    <row r="1385" ht="15" customHeight="1" s="87">
      <c r="AL1385" s="94">
        <f>IF(A1385="","",IF(COUNTIF(A1385:A$2001,A1385)=1,1,0))</f>
        <v/>
      </c>
      <c r="AM1385" s="94">
        <f>IF(I1385="","",TODAY()-I1385)</f>
        <v/>
      </c>
      <c r="AN1385" s="94">
        <f>IF(A1385="","",IF(AND(E1385&lt;&gt;"33 確認済",E1385&lt;&gt;"36 送付中"),1,0))</f>
        <v/>
      </c>
      <c r="AO1385" s="94">
        <f>IF(A1385="","",IF(AG1385&lt;&gt;"",1,0))</f>
        <v/>
      </c>
      <c r="AP1385" s="220">
        <f>IF(P1385&lt;&gt;"","・添待ち","")&amp;IF(Q1385&lt;&gt;"","・住民票","")&amp;IF(R1385&lt;&gt;"","・発信","")&amp;IF(S1385&lt;&gt;"","・確認事項","")&amp;IF(T1385&lt;&gt;"","・管","")&amp;IF(U1385&lt;&gt;"","・SV","")&amp;IF(V1385&lt;&gt;"","・データ送付待ち","")&amp;IF(W1385&lt;&gt;"","・削除","")</f>
        <v/>
      </c>
    </row>
    <row r="1386" ht="15" customHeight="1" s="87">
      <c r="AL1386" s="94">
        <f>IF(A1386="","",IF(COUNTIF(A1386:A$2001,A1386)=1,1,0))</f>
        <v/>
      </c>
      <c r="AM1386" s="94">
        <f>IF(I1386="","",TODAY()-I1386)</f>
        <v/>
      </c>
      <c r="AN1386" s="94">
        <f>IF(A1386="","",IF(AND(E1386&lt;&gt;"33 確認済",E1386&lt;&gt;"36 送付中"),1,0))</f>
        <v/>
      </c>
      <c r="AO1386" s="94">
        <f>IF(A1386="","",IF(AG1386&lt;&gt;"",1,0))</f>
        <v/>
      </c>
      <c r="AP1386" s="220">
        <f>IF(P1386&lt;&gt;"","・添待ち","")&amp;IF(Q1386&lt;&gt;"","・住民票","")&amp;IF(R1386&lt;&gt;"","・発信","")&amp;IF(S1386&lt;&gt;"","・確認事項","")&amp;IF(T1386&lt;&gt;"","・管","")&amp;IF(U1386&lt;&gt;"","・SV","")&amp;IF(V1386&lt;&gt;"","・データ送付待ち","")&amp;IF(W1386&lt;&gt;"","・削除","")</f>
        <v/>
      </c>
    </row>
    <row r="1387" ht="15" customHeight="1" s="87">
      <c r="AL1387" s="94">
        <f>IF(A1387="","",IF(COUNTIF(A1387:A$2001,A1387)=1,1,0))</f>
        <v/>
      </c>
      <c r="AM1387" s="94">
        <f>IF(I1387="","",TODAY()-I1387)</f>
        <v/>
      </c>
      <c r="AN1387" s="94">
        <f>IF(A1387="","",IF(AND(E1387&lt;&gt;"33 確認済",E1387&lt;&gt;"36 送付中"),1,0))</f>
        <v/>
      </c>
      <c r="AO1387" s="94">
        <f>IF(A1387="","",IF(AG1387&lt;&gt;"",1,0))</f>
        <v/>
      </c>
      <c r="AP1387" s="220">
        <f>IF(P1387&lt;&gt;"","・添待ち","")&amp;IF(Q1387&lt;&gt;"","・住民票","")&amp;IF(R1387&lt;&gt;"","・発信","")&amp;IF(S1387&lt;&gt;"","・確認事項","")&amp;IF(T1387&lt;&gt;"","・管","")&amp;IF(U1387&lt;&gt;"","・SV","")&amp;IF(V1387&lt;&gt;"","・データ送付待ち","")&amp;IF(W1387&lt;&gt;"","・削除","")</f>
        <v/>
      </c>
    </row>
    <row r="1388" ht="15" customHeight="1" s="87">
      <c r="AL1388" s="94">
        <f>IF(A1388="","",IF(COUNTIF(A1388:A$2001,A1388)=1,1,0))</f>
        <v/>
      </c>
      <c r="AM1388" s="94">
        <f>IF(I1388="","",TODAY()-I1388)</f>
        <v/>
      </c>
      <c r="AN1388" s="94">
        <f>IF(A1388="","",IF(AND(E1388&lt;&gt;"33 確認済",E1388&lt;&gt;"36 送付中"),1,0))</f>
        <v/>
      </c>
      <c r="AO1388" s="94">
        <f>IF(A1388="","",IF(AG1388&lt;&gt;"",1,0))</f>
        <v/>
      </c>
      <c r="AP1388" s="220">
        <f>IF(P1388&lt;&gt;"","・添待ち","")&amp;IF(Q1388&lt;&gt;"","・住民票","")&amp;IF(R1388&lt;&gt;"","・発信","")&amp;IF(S1388&lt;&gt;"","・確認事項","")&amp;IF(T1388&lt;&gt;"","・管","")&amp;IF(U1388&lt;&gt;"","・SV","")&amp;IF(V1388&lt;&gt;"","・データ送付待ち","")&amp;IF(W1388&lt;&gt;"","・削除","")</f>
        <v/>
      </c>
    </row>
    <row r="1389" ht="15" customHeight="1" s="87">
      <c r="AL1389" s="94">
        <f>IF(A1389="","",IF(COUNTIF(A1389:A$2001,A1389)=1,1,0))</f>
        <v/>
      </c>
      <c r="AM1389" s="94">
        <f>IF(I1389="","",TODAY()-I1389)</f>
        <v/>
      </c>
      <c r="AN1389" s="94">
        <f>IF(A1389="","",IF(AND(E1389&lt;&gt;"33 確認済",E1389&lt;&gt;"36 送付中"),1,0))</f>
        <v/>
      </c>
      <c r="AO1389" s="94">
        <f>IF(A1389="","",IF(AG1389&lt;&gt;"",1,0))</f>
        <v/>
      </c>
      <c r="AP1389" s="220">
        <f>IF(P1389&lt;&gt;"","・添待ち","")&amp;IF(Q1389&lt;&gt;"","・住民票","")&amp;IF(R1389&lt;&gt;"","・発信","")&amp;IF(S1389&lt;&gt;"","・確認事項","")&amp;IF(T1389&lt;&gt;"","・管","")&amp;IF(U1389&lt;&gt;"","・SV","")&amp;IF(V1389&lt;&gt;"","・データ送付待ち","")&amp;IF(W1389&lt;&gt;"","・削除","")</f>
        <v/>
      </c>
    </row>
    <row r="1390" ht="15" customHeight="1" s="87">
      <c r="AL1390" s="94">
        <f>IF(A1390="","",IF(COUNTIF(A1390:A$2001,A1390)=1,1,0))</f>
        <v/>
      </c>
      <c r="AM1390" s="94">
        <f>IF(I1390="","",TODAY()-I1390)</f>
        <v/>
      </c>
      <c r="AN1390" s="94">
        <f>IF(A1390="","",IF(AND(E1390&lt;&gt;"33 確認済",E1390&lt;&gt;"36 送付中"),1,0))</f>
        <v/>
      </c>
      <c r="AO1390" s="94">
        <f>IF(A1390="","",IF(AG1390&lt;&gt;"",1,0))</f>
        <v/>
      </c>
      <c r="AP1390" s="220">
        <f>IF(P1390&lt;&gt;"","・添待ち","")&amp;IF(Q1390&lt;&gt;"","・住民票","")&amp;IF(R1390&lt;&gt;"","・発信","")&amp;IF(S1390&lt;&gt;"","・確認事項","")&amp;IF(T1390&lt;&gt;"","・管","")&amp;IF(U1390&lt;&gt;"","・SV","")&amp;IF(V1390&lt;&gt;"","・データ送付待ち","")&amp;IF(W1390&lt;&gt;"","・削除","")</f>
        <v/>
      </c>
    </row>
    <row r="1391" ht="15" customHeight="1" s="87">
      <c r="AL1391" s="94">
        <f>IF(A1391="","",IF(COUNTIF(A1391:A$2001,A1391)=1,1,0))</f>
        <v/>
      </c>
      <c r="AM1391" s="94">
        <f>IF(I1391="","",TODAY()-I1391)</f>
        <v/>
      </c>
      <c r="AN1391" s="94">
        <f>IF(A1391="","",IF(AND(E1391&lt;&gt;"33 確認済",E1391&lt;&gt;"36 送付中"),1,0))</f>
        <v/>
      </c>
      <c r="AO1391" s="94">
        <f>IF(A1391="","",IF(AG1391&lt;&gt;"",1,0))</f>
        <v/>
      </c>
      <c r="AP1391" s="220">
        <f>IF(P1391&lt;&gt;"","・添待ち","")&amp;IF(Q1391&lt;&gt;"","・住民票","")&amp;IF(R1391&lt;&gt;"","・発信","")&amp;IF(S1391&lt;&gt;"","・確認事項","")&amp;IF(T1391&lt;&gt;"","・管","")&amp;IF(U1391&lt;&gt;"","・SV","")&amp;IF(V1391&lt;&gt;"","・データ送付待ち","")&amp;IF(W1391&lt;&gt;"","・削除","")</f>
        <v/>
      </c>
    </row>
    <row r="1392" ht="15" customHeight="1" s="87">
      <c r="AL1392" s="94">
        <f>IF(A1392="","",IF(COUNTIF(A1392:A$2001,A1392)=1,1,0))</f>
        <v/>
      </c>
      <c r="AM1392" s="94">
        <f>IF(I1392="","",TODAY()-I1392)</f>
        <v/>
      </c>
      <c r="AN1392" s="94">
        <f>IF(A1392="","",IF(AND(E1392&lt;&gt;"33 確認済",E1392&lt;&gt;"36 送付中"),1,0))</f>
        <v/>
      </c>
      <c r="AO1392" s="94">
        <f>IF(A1392="","",IF(AG1392&lt;&gt;"",1,0))</f>
        <v/>
      </c>
      <c r="AP1392" s="220">
        <f>IF(P1392&lt;&gt;"","・添待ち","")&amp;IF(Q1392&lt;&gt;"","・住民票","")&amp;IF(R1392&lt;&gt;"","・発信","")&amp;IF(S1392&lt;&gt;"","・確認事項","")&amp;IF(T1392&lt;&gt;"","・管","")&amp;IF(U1392&lt;&gt;"","・SV","")&amp;IF(V1392&lt;&gt;"","・データ送付待ち","")&amp;IF(W1392&lt;&gt;"","・削除","")</f>
        <v/>
      </c>
    </row>
    <row r="1393" ht="15" customHeight="1" s="87">
      <c r="AL1393" s="94">
        <f>IF(A1393="","",IF(COUNTIF(A1393:A$2001,A1393)=1,1,0))</f>
        <v/>
      </c>
      <c r="AM1393" s="94">
        <f>IF(I1393="","",TODAY()-I1393)</f>
        <v/>
      </c>
      <c r="AN1393" s="94">
        <f>IF(A1393="","",IF(AND(E1393&lt;&gt;"33 確認済",E1393&lt;&gt;"36 送付中"),1,0))</f>
        <v/>
      </c>
      <c r="AO1393" s="94">
        <f>IF(A1393="","",IF(AG1393&lt;&gt;"",1,0))</f>
        <v/>
      </c>
      <c r="AP1393" s="220">
        <f>IF(P1393&lt;&gt;"","・添待ち","")&amp;IF(Q1393&lt;&gt;"","・住民票","")&amp;IF(R1393&lt;&gt;"","・発信","")&amp;IF(S1393&lt;&gt;"","・確認事項","")&amp;IF(T1393&lt;&gt;"","・管","")&amp;IF(U1393&lt;&gt;"","・SV","")&amp;IF(V1393&lt;&gt;"","・データ送付待ち","")&amp;IF(W1393&lt;&gt;"","・削除","")</f>
        <v/>
      </c>
    </row>
    <row r="1394" ht="15" customHeight="1" s="87">
      <c r="AL1394" s="94">
        <f>IF(A1394="","",IF(COUNTIF(A1394:A$2001,A1394)=1,1,0))</f>
        <v/>
      </c>
      <c r="AM1394" s="94">
        <f>IF(I1394="","",TODAY()-I1394)</f>
        <v/>
      </c>
      <c r="AN1394" s="94">
        <f>IF(A1394="","",IF(AND(E1394&lt;&gt;"33 確認済",E1394&lt;&gt;"36 送付中"),1,0))</f>
        <v/>
      </c>
      <c r="AO1394" s="94">
        <f>IF(A1394="","",IF(AG1394&lt;&gt;"",1,0))</f>
        <v/>
      </c>
      <c r="AP1394" s="220">
        <f>IF(P1394&lt;&gt;"","・添待ち","")&amp;IF(Q1394&lt;&gt;"","・住民票","")&amp;IF(R1394&lt;&gt;"","・発信","")&amp;IF(S1394&lt;&gt;"","・確認事項","")&amp;IF(T1394&lt;&gt;"","・管","")&amp;IF(U1394&lt;&gt;"","・SV","")&amp;IF(V1394&lt;&gt;"","・データ送付待ち","")&amp;IF(W1394&lt;&gt;"","・削除","")</f>
        <v/>
      </c>
    </row>
    <row r="1395" ht="15" customHeight="1" s="87">
      <c r="AL1395" s="94">
        <f>IF(A1395="","",IF(COUNTIF(A1395:A$2001,A1395)=1,1,0))</f>
        <v/>
      </c>
      <c r="AM1395" s="94">
        <f>IF(I1395="","",TODAY()-I1395)</f>
        <v/>
      </c>
      <c r="AN1395" s="94">
        <f>IF(A1395="","",IF(AND(E1395&lt;&gt;"33 確認済",E1395&lt;&gt;"36 送付中"),1,0))</f>
        <v/>
      </c>
      <c r="AO1395" s="94">
        <f>IF(A1395="","",IF(AG1395&lt;&gt;"",1,0))</f>
        <v/>
      </c>
      <c r="AP1395" s="220">
        <f>IF(P1395&lt;&gt;"","・添待ち","")&amp;IF(Q1395&lt;&gt;"","・住民票","")&amp;IF(R1395&lt;&gt;"","・発信","")&amp;IF(S1395&lt;&gt;"","・確認事項","")&amp;IF(T1395&lt;&gt;"","・管","")&amp;IF(U1395&lt;&gt;"","・SV","")&amp;IF(V1395&lt;&gt;"","・データ送付待ち","")&amp;IF(W1395&lt;&gt;"","・削除","")</f>
        <v/>
      </c>
    </row>
    <row r="1396" ht="15" customHeight="1" s="87">
      <c r="AL1396" s="94">
        <f>IF(A1396="","",IF(COUNTIF(A1396:A$2001,A1396)=1,1,0))</f>
        <v/>
      </c>
      <c r="AM1396" s="94">
        <f>IF(I1396="","",TODAY()-I1396)</f>
        <v/>
      </c>
      <c r="AN1396" s="94">
        <f>IF(A1396="","",IF(AND(E1396&lt;&gt;"33 確認済",E1396&lt;&gt;"36 送付中"),1,0))</f>
        <v/>
      </c>
      <c r="AO1396" s="94">
        <f>IF(A1396="","",IF(AG1396&lt;&gt;"",1,0))</f>
        <v/>
      </c>
      <c r="AP1396" s="220">
        <f>IF(P1396&lt;&gt;"","・添待ち","")&amp;IF(Q1396&lt;&gt;"","・住民票","")&amp;IF(R1396&lt;&gt;"","・発信","")&amp;IF(S1396&lt;&gt;"","・確認事項","")&amp;IF(T1396&lt;&gt;"","・管","")&amp;IF(U1396&lt;&gt;"","・SV","")&amp;IF(V1396&lt;&gt;"","・データ送付待ち","")&amp;IF(W1396&lt;&gt;"","・削除","")</f>
        <v/>
      </c>
    </row>
    <row r="1397" ht="15" customHeight="1" s="87">
      <c r="AL1397" s="94">
        <f>IF(A1397="","",IF(COUNTIF(A1397:A$2001,A1397)=1,1,0))</f>
        <v/>
      </c>
      <c r="AM1397" s="94">
        <f>IF(I1397="","",TODAY()-I1397)</f>
        <v/>
      </c>
      <c r="AN1397" s="94">
        <f>IF(A1397="","",IF(AND(E1397&lt;&gt;"33 確認済",E1397&lt;&gt;"36 送付中"),1,0))</f>
        <v/>
      </c>
      <c r="AO1397" s="94">
        <f>IF(A1397="","",IF(AG1397&lt;&gt;"",1,0))</f>
        <v/>
      </c>
      <c r="AP1397" s="220">
        <f>IF(P1397&lt;&gt;"","・添待ち","")&amp;IF(Q1397&lt;&gt;"","・住民票","")&amp;IF(R1397&lt;&gt;"","・発信","")&amp;IF(S1397&lt;&gt;"","・確認事項","")&amp;IF(T1397&lt;&gt;"","・管","")&amp;IF(U1397&lt;&gt;"","・SV","")&amp;IF(V1397&lt;&gt;"","・データ送付待ち","")&amp;IF(W1397&lt;&gt;"","・削除","")</f>
        <v/>
      </c>
    </row>
    <row r="1398" ht="15" customHeight="1" s="87">
      <c r="AL1398" s="94">
        <f>IF(A1398="","",IF(COUNTIF(A1398:A$2001,A1398)=1,1,0))</f>
        <v/>
      </c>
      <c r="AM1398" s="94">
        <f>IF(I1398="","",TODAY()-I1398)</f>
        <v/>
      </c>
      <c r="AN1398" s="94">
        <f>IF(A1398="","",IF(AND(E1398&lt;&gt;"33 確認済",E1398&lt;&gt;"36 送付中"),1,0))</f>
        <v/>
      </c>
      <c r="AO1398" s="94">
        <f>IF(A1398="","",IF(AG1398&lt;&gt;"",1,0))</f>
        <v/>
      </c>
      <c r="AP1398" s="220">
        <f>IF(P1398&lt;&gt;"","・添待ち","")&amp;IF(Q1398&lt;&gt;"","・住民票","")&amp;IF(R1398&lt;&gt;"","・発信","")&amp;IF(S1398&lt;&gt;"","・確認事項","")&amp;IF(T1398&lt;&gt;"","・管","")&amp;IF(U1398&lt;&gt;"","・SV","")&amp;IF(V1398&lt;&gt;"","・データ送付待ち","")&amp;IF(W1398&lt;&gt;"","・削除","")</f>
        <v/>
      </c>
    </row>
    <row r="1399" ht="15" customHeight="1" s="87">
      <c r="AL1399" s="94">
        <f>IF(A1399="","",IF(COUNTIF(A1399:A$2001,A1399)=1,1,0))</f>
        <v/>
      </c>
      <c r="AM1399" s="94">
        <f>IF(I1399="","",TODAY()-I1399)</f>
        <v/>
      </c>
      <c r="AN1399" s="94">
        <f>IF(A1399="","",IF(AND(E1399&lt;&gt;"33 確認済",E1399&lt;&gt;"36 送付中"),1,0))</f>
        <v/>
      </c>
      <c r="AO1399" s="94">
        <f>IF(A1399="","",IF(AG1399&lt;&gt;"",1,0))</f>
        <v/>
      </c>
      <c r="AP1399" s="220">
        <f>IF(P1399&lt;&gt;"","・添待ち","")&amp;IF(Q1399&lt;&gt;"","・住民票","")&amp;IF(R1399&lt;&gt;"","・発信","")&amp;IF(S1399&lt;&gt;"","・確認事項","")&amp;IF(T1399&lt;&gt;"","・管","")&amp;IF(U1399&lt;&gt;"","・SV","")&amp;IF(V1399&lt;&gt;"","・データ送付待ち","")&amp;IF(W1399&lt;&gt;"","・削除","")</f>
        <v/>
      </c>
    </row>
    <row r="1400" ht="15" customHeight="1" s="87">
      <c r="AL1400" s="94">
        <f>IF(A1400="","",IF(COUNTIF(A1400:A$2001,A1400)=1,1,0))</f>
        <v/>
      </c>
      <c r="AM1400" s="94">
        <f>IF(I1400="","",TODAY()-I1400)</f>
        <v/>
      </c>
      <c r="AN1400" s="94">
        <f>IF(A1400="","",IF(AND(E1400&lt;&gt;"33 確認済",E1400&lt;&gt;"36 送付中"),1,0))</f>
        <v/>
      </c>
      <c r="AO1400" s="94">
        <f>IF(A1400="","",IF(AG1400&lt;&gt;"",1,0))</f>
        <v/>
      </c>
      <c r="AP1400" s="220">
        <f>IF(P1400&lt;&gt;"","・添待ち","")&amp;IF(Q1400&lt;&gt;"","・住民票","")&amp;IF(R1400&lt;&gt;"","・発信","")&amp;IF(S1400&lt;&gt;"","・確認事項","")&amp;IF(T1400&lt;&gt;"","・管","")&amp;IF(U1400&lt;&gt;"","・SV","")&amp;IF(V1400&lt;&gt;"","・データ送付待ち","")&amp;IF(W1400&lt;&gt;"","・削除","")</f>
        <v/>
      </c>
    </row>
    <row r="1401" ht="15" customHeight="1" s="87">
      <c r="AL1401" s="94">
        <f>IF(A1401="","",IF(COUNTIF(A1401:A$2001,A1401)=1,1,0))</f>
        <v/>
      </c>
      <c r="AM1401" s="94">
        <f>IF(I1401="","",TODAY()-I1401)</f>
        <v/>
      </c>
      <c r="AN1401" s="94">
        <f>IF(A1401="","",IF(AND(E1401&lt;&gt;"33 確認済",E1401&lt;&gt;"36 送付中"),1,0))</f>
        <v/>
      </c>
      <c r="AO1401" s="94">
        <f>IF(A1401="","",IF(AG1401&lt;&gt;"",1,0))</f>
        <v/>
      </c>
      <c r="AP1401" s="220">
        <f>IF(P1401&lt;&gt;"","・添待ち","")&amp;IF(Q1401&lt;&gt;"","・住民票","")&amp;IF(R1401&lt;&gt;"","・発信","")&amp;IF(S1401&lt;&gt;"","・確認事項","")&amp;IF(T1401&lt;&gt;"","・管","")&amp;IF(U1401&lt;&gt;"","・SV","")&amp;IF(V1401&lt;&gt;"","・データ送付待ち","")&amp;IF(W1401&lt;&gt;"","・削除","")</f>
        <v/>
      </c>
    </row>
    <row r="1402" ht="15" customHeight="1" s="87">
      <c r="AL1402" s="94">
        <f>IF(A1402="","",IF(COUNTIF(A1402:A$2001,A1402)=1,1,0))</f>
        <v/>
      </c>
      <c r="AM1402" s="94">
        <f>IF(I1402="","",TODAY()-I1402)</f>
        <v/>
      </c>
      <c r="AN1402" s="94">
        <f>IF(A1402="","",IF(AND(E1402&lt;&gt;"33 確認済",E1402&lt;&gt;"36 送付中"),1,0))</f>
        <v/>
      </c>
      <c r="AO1402" s="94">
        <f>IF(A1402="","",IF(AG1402&lt;&gt;"",1,0))</f>
        <v/>
      </c>
      <c r="AP1402" s="220">
        <f>IF(P1402&lt;&gt;"","・添待ち","")&amp;IF(Q1402&lt;&gt;"","・住民票","")&amp;IF(R1402&lt;&gt;"","・発信","")&amp;IF(S1402&lt;&gt;"","・確認事項","")&amp;IF(T1402&lt;&gt;"","・管","")&amp;IF(U1402&lt;&gt;"","・SV","")&amp;IF(V1402&lt;&gt;"","・データ送付待ち","")&amp;IF(W1402&lt;&gt;"","・削除","")</f>
        <v/>
      </c>
    </row>
    <row r="1403" ht="15" customHeight="1" s="87">
      <c r="AL1403" s="94">
        <f>IF(A1403="","",IF(COUNTIF(A1403:A$2001,A1403)=1,1,0))</f>
        <v/>
      </c>
      <c r="AM1403" s="94">
        <f>IF(I1403="","",TODAY()-I1403)</f>
        <v/>
      </c>
      <c r="AN1403" s="94">
        <f>IF(A1403="","",IF(AND(E1403&lt;&gt;"33 確認済",E1403&lt;&gt;"36 送付中"),1,0))</f>
        <v/>
      </c>
      <c r="AO1403" s="94">
        <f>IF(A1403="","",IF(AG1403&lt;&gt;"",1,0))</f>
        <v/>
      </c>
      <c r="AP1403" s="220">
        <f>IF(P1403&lt;&gt;"","・添待ち","")&amp;IF(Q1403&lt;&gt;"","・住民票","")&amp;IF(R1403&lt;&gt;"","・発信","")&amp;IF(S1403&lt;&gt;"","・確認事項","")&amp;IF(T1403&lt;&gt;"","・管","")&amp;IF(U1403&lt;&gt;"","・SV","")&amp;IF(V1403&lt;&gt;"","・データ送付待ち","")&amp;IF(W1403&lt;&gt;"","・削除","")</f>
        <v/>
      </c>
    </row>
    <row r="1404" ht="15" customHeight="1" s="87">
      <c r="AL1404" s="94">
        <f>IF(A1404="","",IF(COUNTIF(A1404:A$2001,A1404)=1,1,0))</f>
        <v/>
      </c>
      <c r="AM1404" s="94">
        <f>IF(I1404="","",TODAY()-I1404)</f>
        <v/>
      </c>
      <c r="AN1404" s="94">
        <f>IF(A1404="","",IF(AND(E1404&lt;&gt;"33 確認済",E1404&lt;&gt;"36 送付中"),1,0))</f>
        <v/>
      </c>
      <c r="AO1404" s="94">
        <f>IF(A1404="","",IF(AG1404&lt;&gt;"",1,0))</f>
        <v/>
      </c>
      <c r="AP1404" s="220">
        <f>IF(P1404&lt;&gt;"","・添待ち","")&amp;IF(Q1404&lt;&gt;"","・住民票","")&amp;IF(R1404&lt;&gt;"","・発信","")&amp;IF(S1404&lt;&gt;"","・確認事項","")&amp;IF(T1404&lt;&gt;"","・管","")&amp;IF(U1404&lt;&gt;"","・SV","")&amp;IF(V1404&lt;&gt;"","・データ送付待ち","")&amp;IF(W1404&lt;&gt;"","・削除","")</f>
        <v/>
      </c>
    </row>
    <row r="1405" ht="15" customHeight="1" s="87">
      <c r="AL1405" s="94">
        <f>IF(A1405="","",IF(COUNTIF(A1405:A$2001,A1405)=1,1,0))</f>
        <v/>
      </c>
      <c r="AM1405" s="94">
        <f>IF(I1405="","",TODAY()-I1405)</f>
        <v/>
      </c>
      <c r="AN1405" s="94">
        <f>IF(A1405="","",IF(AND(E1405&lt;&gt;"33 確認済",E1405&lt;&gt;"36 送付中"),1,0))</f>
        <v/>
      </c>
      <c r="AO1405" s="94">
        <f>IF(A1405="","",IF(AG1405&lt;&gt;"",1,0))</f>
        <v/>
      </c>
      <c r="AP1405" s="220">
        <f>IF(P1405&lt;&gt;"","・添待ち","")&amp;IF(Q1405&lt;&gt;"","・住民票","")&amp;IF(R1405&lt;&gt;"","・発信","")&amp;IF(S1405&lt;&gt;"","・確認事項","")&amp;IF(T1405&lt;&gt;"","・管","")&amp;IF(U1405&lt;&gt;"","・SV","")&amp;IF(V1405&lt;&gt;"","・データ送付待ち","")&amp;IF(W1405&lt;&gt;"","・削除","")</f>
        <v/>
      </c>
    </row>
    <row r="1406" ht="15" customHeight="1" s="87">
      <c r="AL1406" s="94">
        <f>IF(A1406="","",IF(COUNTIF(A1406:A$2001,A1406)=1,1,0))</f>
        <v/>
      </c>
      <c r="AM1406" s="94">
        <f>IF(I1406="","",TODAY()-I1406)</f>
        <v/>
      </c>
      <c r="AN1406" s="94">
        <f>IF(A1406="","",IF(AND(E1406&lt;&gt;"33 確認済",E1406&lt;&gt;"36 送付中"),1,0))</f>
        <v/>
      </c>
      <c r="AO1406" s="94">
        <f>IF(A1406="","",IF(AG1406&lt;&gt;"",1,0))</f>
        <v/>
      </c>
      <c r="AP1406" s="220">
        <f>IF(P1406&lt;&gt;"","・添待ち","")&amp;IF(Q1406&lt;&gt;"","・住民票","")&amp;IF(R1406&lt;&gt;"","・発信","")&amp;IF(S1406&lt;&gt;"","・確認事項","")&amp;IF(T1406&lt;&gt;"","・管","")&amp;IF(U1406&lt;&gt;"","・SV","")&amp;IF(V1406&lt;&gt;"","・データ送付待ち","")&amp;IF(W1406&lt;&gt;"","・削除","")</f>
        <v/>
      </c>
    </row>
    <row r="1407" ht="15" customHeight="1" s="87">
      <c r="AL1407" s="94">
        <f>IF(A1407="","",IF(COUNTIF(A1407:A$2001,A1407)=1,1,0))</f>
        <v/>
      </c>
      <c r="AM1407" s="94">
        <f>IF(I1407="","",TODAY()-I1407)</f>
        <v/>
      </c>
      <c r="AN1407" s="94">
        <f>IF(A1407="","",IF(AND(E1407&lt;&gt;"33 確認済",E1407&lt;&gt;"36 送付中"),1,0))</f>
        <v/>
      </c>
      <c r="AO1407" s="94">
        <f>IF(A1407="","",IF(AG1407&lt;&gt;"",1,0))</f>
        <v/>
      </c>
      <c r="AP1407" s="220">
        <f>IF(P1407&lt;&gt;"","・添待ち","")&amp;IF(Q1407&lt;&gt;"","・住民票","")&amp;IF(R1407&lt;&gt;"","・発信","")&amp;IF(S1407&lt;&gt;"","・確認事項","")&amp;IF(T1407&lt;&gt;"","・管","")&amp;IF(U1407&lt;&gt;"","・SV","")&amp;IF(V1407&lt;&gt;"","・データ送付待ち","")&amp;IF(W1407&lt;&gt;"","・削除","")</f>
        <v/>
      </c>
    </row>
    <row r="1408" ht="15" customHeight="1" s="87">
      <c r="AL1408" s="94">
        <f>IF(A1408="","",IF(COUNTIF(A1408:A$2001,A1408)=1,1,0))</f>
        <v/>
      </c>
      <c r="AM1408" s="94">
        <f>IF(I1408="","",TODAY()-I1408)</f>
        <v/>
      </c>
      <c r="AN1408" s="94">
        <f>IF(A1408="","",IF(AND(E1408&lt;&gt;"33 確認済",E1408&lt;&gt;"36 送付中"),1,0))</f>
        <v/>
      </c>
      <c r="AO1408" s="94">
        <f>IF(A1408="","",IF(AG1408&lt;&gt;"",1,0))</f>
        <v/>
      </c>
      <c r="AP1408" s="220">
        <f>IF(P1408&lt;&gt;"","・添待ち","")&amp;IF(Q1408&lt;&gt;"","・住民票","")&amp;IF(R1408&lt;&gt;"","・発信","")&amp;IF(S1408&lt;&gt;"","・確認事項","")&amp;IF(T1408&lt;&gt;"","・管","")&amp;IF(U1408&lt;&gt;"","・SV","")&amp;IF(V1408&lt;&gt;"","・データ送付待ち","")&amp;IF(W1408&lt;&gt;"","・削除","")</f>
        <v/>
      </c>
    </row>
    <row r="1409" ht="15" customHeight="1" s="87">
      <c r="AL1409" s="94">
        <f>IF(A1409="","",IF(COUNTIF(A1409:A$2001,A1409)=1,1,0))</f>
        <v/>
      </c>
      <c r="AM1409" s="94">
        <f>IF(I1409="","",TODAY()-I1409)</f>
        <v/>
      </c>
      <c r="AN1409" s="94">
        <f>IF(A1409="","",IF(AND(E1409&lt;&gt;"33 確認済",E1409&lt;&gt;"36 送付中"),1,0))</f>
        <v/>
      </c>
      <c r="AO1409" s="94">
        <f>IF(A1409="","",IF(AG1409&lt;&gt;"",1,0))</f>
        <v/>
      </c>
      <c r="AP1409" s="220">
        <f>IF(P1409&lt;&gt;"","・添待ち","")&amp;IF(Q1409&lt;&gt;"","・住民票","")&amp;IF(R1409&lt;&gt;"","・発信","")&amp;IF(S1409&lt;&gt;"","・確認事項","")&amp;IF(T1409&lt;&gt;"","・管","")&amp;IF(U1409&lt;&gt;"","・SV","")&amp;IF(V1409&lt;&gt;"","・データ送付待ち","")&amp;IF(W1409&lt;&gt;"","・削除","")</f>
        <v/>
      </c>
    </row>
    <row r="1410" ht="15" customHeight="1" s="87">
      <c r="AL1410" s="94">
        <f>IF(A1410="","",IF(COUNTIF(A1410:A$2001,A1410)=1,1,0))</f>
        <v/>
      </c>
      <c r="AM1410" s="94">
        <f>IF(I1410="","",TODAY()-I1410)</f>
        <v/>
      </c>
      <c r="AN1410" s="94">
        <f>IF(A1410="","",IF(AND(E1410&lt;&gt;"33 確認済",E1410&lt;&gt;"36 送付中"),1,0))</f>
        <v/>
      </c>
      <c r="AO1410" s="94">
        <f>IF(A1410="","",IF(AG1410&lt;&gt;"",1,0))</f>
        <v/>
      </c>
      <c r="AP1410" s="220">
        <f>IF(P1410&lt;&gt;"","・添待ち","")&amp;IF(Q1410&lt;&gt;"","・住民票","")&amp;IF(R1410&lt;&gt;"","・発信","")&amp;IF(S1410&lt;&gt;"","・確認事項","")&amp;IF(T1410&lt;&gt;"","・管","")&amp;IF(U1410&lt;&gt;"","・SV","")&amp;IF(V1410&lt;&gt;"","・データ送付待ち","")&amp;IF(W1410&lt;&gt;"","・削除","")</f>
        <v/>
      </c>
    </row>
    <row r="1411" ht="15" customHeight="1" s="87">
      <c r="AL1411" s="94">
        <f>IF(A1411="","",IF(COUNTIF(A1411:A$2001,A1411)=1,1,0))</f>
        <v/>
      </c>
      <c r="AM1411" s="94">
        <f>IF(I1411="","",TODAY()-I1411)</f>
        <v/>
      </c>
      <c r="AN1411" s="94">
        <f>IF(A1411="","",IF(AND(E1411&lt;&gt;"33 確認済",E1411&lt;&gt;"36 送付中"),1,0))</f>
        <v/>
      </c>
      <c r="AO1411" s="94">
        <f>IF(A1411="","",IF(AG1411&lt;&gt;"",1,0))</f>
        <v/>
      </c>
      <c r="AP1411" s="220">
        <f>IF(P1411&lt;&gt;"","・添待ち","")&amp;IF(Q1411&lt;&gt;"","・住民票","")&amp;IF(R1411&lt;&gt;"","・発信","")&amp;IF(S1411&lt;&gt;"","・確認事項","")&amp;IF(T1411&lt;&gt;"","・管","")&amp;IF(U1411&lt;&gt;"","・SV","")&amp;IF(V1411&lt;&gt;"","・データ送付待ち","")&amp;IF(W1411&lt;&gt;"","・削除","")</f>
        <v/>
      </c>
    </row>
    <row r="1412" ht="15" customHeight="1" s="87">
      <c r="AL1412" s="94">
        <f>IF(A1412="","",IF(COUNTIF(A1412:A$2001,A1412)=1,1,0))</f>
        <v/>
      </c>
      <c r="AM1412" s="94">
        <f>IF(I1412="","",TODAY()-I1412)</f>
        <v/>
      </c>
      <c r="AN1412" s="94">
        <f>IF(A1412="","",IF(AND(E1412&lt;&gt;"33 確認済",E1412&lt;&gt;"36 送付中"),1,0))</f>
        <v/>
      </c>
      <c r="AO1412" s="94">
        <f>IF(A1412="","",IF(AG1412&lt;&gt;"",1,0))</f>
        <v/>
      </c>
      <c r="AP1412" s="220">
        <f>IF(P1412&lt;&gt;"","・添待ち","")&amp;IF(Q1412&lt;&gt;"","・住民票","")&amp;IF(R1412&lt;&gt;"","・発信","")&amp;IF(S1412&lt;&gt;"","・確認事項","")&amp;IF(T1412&lt;&gt;"","・管","")&amp;IF(U1412&lt;&gt;"","・SV","")&amp;IF(V1412&lt;&gt;"","・データ送付待ち","")&amp;IF(W1412&lt;&gt;"","・削除","")</f>
        <v/>
      </c>
    </row>
    <row r="1413" ht="15" customHeight="1" s="87">
      <c r="AL1413" s="94">
        <f>IF(A1413="","",IF(COUNTIF(A1413:A$2001,A1413)=1,1,0))</f>
        <v/>
      </c>
      <c r="AM1413" s="94">
        <f>IF(I1413="","",TODAY()-I1413)</f>
        <v/>
      </c>
      <c r="AN1413" s="94">
        <f>IF(A1413="","",IF(AND(E1413&lt;&gt;"33 確認済",E1413&lt;&gt;"36 送付中"),1,0))</f>
        <v/>
      </c>
      <c r="AO1413" s="94">
        <f>IF(A1413="","",IF(AG1413&lt;&gt;"",1,0))</f>
        <v/>
      </c>
      <c r="AP1413" s="220">
        <f>IF(P1413&lt;&gt;"","・添待ち","")&amp;IF(Q1413&lt;&gt;"","・住民票","")&amp;IF(R1413&lt;&gt;"","・発信","")&amp;IF(S1413&lt;&gt;"","・確認事項","")&amp;IF(T1413&lt;&gt;"","・管","")&amp;IF(U1413&lt;&gt;"","・SV","")&amp;IF(V1413&lt;&gt;"","・データ送付待ち","")&amp;IF(W1413&lt;&gt;"","・削除","")</f>
        <v/>
      </c>
    </row>
    <row r="1414" ht="15" customHeight="1" s="87">
      <c r="AL1414" s="94">
        <f>IF(A1414="","",IF(COUNTIF(A1414:A$2001,A1414)=1,1,0))</f>
        <v/>
      </c>
      <c r="AM1414" s="94">
        <f>IF(I1414="","",TODAY()-I1414)</f>
        <v/>
      </c>
      <c r="AN1414" s="94">
        <f>IF(A1414="","",IF(AND(E1414&lt;&gt;"33 確認済",E1414&lt;&gt;"36 送付中"),1,0))</f>
        <v/>
      </c>
      <c r="AO1414" s="94">
        <f>IF(A1414="","",IF(AG1414&lt;&gt;"",1,0))</f>
        <v/>
      </c>
      <c r="AP1414" s="220">
        <f>IF(P1414&lt;&gt;"","・添待ち","")&amp;IF(Q1414&lt;&gt;"","・住民票","")&amp;IF(R1414&lt;&gt;"","・発信","")&amp;IF(S1414&lt;&gt;"","・確認事項","")&amp;IF(T1414&lt;&gt;"","・管","")&amp;IF(U1414&lt;&gt;"","・SV","")&amp;IF(V1414&lt;&gt;"","・データ送付待ち","")&amp;IF(W1414&lt;&gt;"","・削除","")</f>
        <v/>
      </c>
    </row>
    <row r="1415" ht="15" customHeight="1" s="87">
      <c r="AL1415" s="94">
        <f>IF(A1415="","",IF(COUNTIF(A1415:A$2001,A1415)=1,1,0))</f>
        <v/>
      </c>
      <c r="AM1415" s="94">
        <f>IF(I1415="","",TODAY()-I1415)</f>
        <v/>
      </c>
      <c r="AN1415" s="94">
        <f>IF(A1415="","",IF(AND(E1415&lt;&gt;"33 確認済",E1415&lt;&gt;"36 送付中"),1,0))</f>
        <v/>
      </c>
      <c r="AO1415" s="94">
        <f>IF(A1415="","",IF(AG1415&lt;&gt;"",1,0))</f>
        <v/>
      </c>
      <c r="AP1415" s="220">
        <f>IF(P1415&lt;&gt;"","・添待ち","")&amp;IF(Q1415&lt;&gt;"","・住民票","")&amp;IF(R1415&lt;&gt;"","・発信","")&amp;IF(S1415&lt;&gt;"","・確認事項","")&amp;IF(T1415&lt;&gt;"","・管","")&amp;IF(U1415&lt;&gt;"","・SV","")&amp;IF(V1415&lt;&gt;"","・データ送付待ち","")&amp;IF(W1415&lt;&gt;"","・削除","")</f>
        <v/>
      </c>
    </row>
    <row r="1416" ht="15" customHeight="1" s="87">
      <c r="AL1416" s="94">
        <f>IF(A1416="","",IF(COUNTIF(A1416:A$2001,A1416)=1,1,0))</f>
        <v/>
      </c>
      <c r="AM1416" s="94">
        <f>IF(I1416="","",TODAY()-I1416)</f>
        <v/>
      </c>
      <c r="AN1416" s="94">
        <f>IF(A1416="","",IF(AND(E1416&lt;&gt;"33 確認済",E1416&lt;&gt;"36 送付中"),1,0))</f>
        <v/>
      </c>
      <c r="AO1416" s="94">
        <f>IF(A1416="","",IF(AG1416&lt;&gt;"",1,0))</f>
        <v/>
      </c>
      <c r="AP1416" s="220">
        <f>IF(P1416&lt;&gt;"","・添待ち","")&amp;IF(Q1416&lt;&gt;"","・住民票","")&amp;IF(R1416&lt;&gt;"","・発信","")&amp;IF(S1416&lt;&gt;"","・確認事項","")&amp;IF(T1416&lt;&gt;"","・管","")&amp;IF(U1416&lt;&gt;"","・SV","")&amp;IF(V1416&lt;&gt;"","・データ送付待ち","")&amp;IF(W1416&lt;&gt;"","・削除","")</f>
        <v/>
      </c>
    </row>
    <row r="1417" ht="15" customHeight="1" s="87">
      <c r="AL1417" s="94">
        <f>IF(A1417="","",IF(COUNTIF(A1417:A$2001,A1417)=1,1,0))</f>
        <v/>
      </c>
      <c r="AM1417" s="94">
        <f>IF(I1417="","",TODAY()-I1417)</f>
        <v/>
      </c>
      <c r="AN1417" s="94">
        <f>IF(A1417="","",IF(AND(E1417&lt;&gt;"33 確認済",E1417&lt;&gt;"36 送付中"),1,0))</f>
        <v/>
      </c>
      <c r="AO1417" s="94">
        <f>IF(A1417="","",IF(AG1417&lt;&gt;"",1,0))</f>
        <v/>
      </c>
      <c r="AP1417" s="220">
        <f>IF(P1417&lt;&gt;"","・添待ち","")&amp;IF(Q1417&lt;&gt;"","・住民票","")&amp;IF(R1417&lt;&gt;"","・発信","")&amp;IF(S1417&lt;&gt;"","・確認事項","")&amp;IF(T1417&lt;&gt;"","・管","")&amp;IF(U1417&lt;&gt;"","・SV","")&amp;IF(V1417&lt;&gt;"","・データ送付待ち","")&amp;IF(W1417&lt;&gt;"","・削除","")</f>
        <v/>
      </c>
    </row>
    <row r="1418" ht="15" customHeight="1" s="87">
      <c r="AL1418" s="94">
        <f>IF(A1418="","",IF(COUNTIF(A1418:A$2001,A1418)=1,1,0))</f>
        <v/>
      </c>
      <c r="AM1418" s="94">
        <f>IF(I1418="","",TODAY()-I1418)</f>
        <v/>
      </c>
      <c r="AN1418" s="94">
        <f>IF(A1418="","",IF(AND(E1418&lt;&gt;"33 確認済",E1418&lt;&gt;"36 送付中"),1,0))</f>
        <v/>
      </c>
      <c r="AO1418" s="94">
        <f>IF(A1418="","",IF(AG1418&lt;&gt;"",1,0))</f>
        <v/>
      </c>
      <c r="AP1418" s="220">
        <f>IF(P1418&lt;&gt;"","・添待ち","")&amp;IF(Q1418&lt;&gt;"","・住民票","")&amp;IF(R1418&lt;&gt;"","・発信","")&amp;IF(S1418&lt;&gt;"","・確認事項","")&amp;IF(T1418&lt;&gt;"","・管","")&amp;IF(U1418&lt;&gt;"","・SV","")&amp;IF(V1418&lt;&gt;"","・データ送付待ち","")&amp;IF(W1418&lt;&gt;"","・削除","")</f>
        <v/>
      </c>
    </row>
    <row r="1419" ht="15" customHeight="1" s="87">
      <c r="AL1419" s="94">
        <f>IF(A1419="","",IF(COUNTIF(A1419:A$2001,A1419)=1,1,0))</f>
        <v/>
      </c>
      <c r="AM1419" s="94">
        <f>IF(I1419="","",TODAY()-I1419)</f>
        <v/>
      </c>
      <c r="AN1419" s="94">
        <f>IF(A1419="","",IF(AND(E1419&lt;&gt;"33 確認済",E1419&lt;&gt;"36 送付中"),1,0))</f>
        <v/>
      </c>
      <c r="AO1419" s="94">
        <f>IF(A1419="","",IF(AG1419&lt;&gt;"",1,0))</f>
        <v/>
      </c>
      <c r="AP1419" s="220">
        <f>IF(P1419&lt;&gt;"","・添待ち","")&amp;IF(Q1419&lt;&gt;"","・住民票","")&amp;IF(R1419&lt;&gt;"","・発信","")&amp;IF(S1419&lt;&gt;"","・確認事項","")&amp;IF(T1419&lt;&gt;"","・管","")&amp;IF(U1419&lt;&gt;"","・SV","")&amp;IF(V1419&lt;&gt;"","・データ送付待ち","")&amp;IF(W1419&lt;&gt;"","・削除","")</f>
        <v/>
      </c>
    </row>
    <row r="1420" ht="15" customHeight="1" s="87">
      <c r="AL1420" s="94">
        <f>IF(A1420="","",IF(COUNTIF(A1420:A$2001,A1420)=1,1,0))</f>
        <v/>
      </c>
      <c r="AM1420" s="94">
        <f>IF(I1420="","",TODAY()-I1420)</f>
        <v/>
      </c>
      <c r="AN1420" s="94">
        <f>IF(A1420="","",IF(AND(E1420&lt;&gt;"33 確認済",E1420&lt;&gt;"36 送付中"),1,0))</f>
        <v/>
      </c>
      <c r="AO1420" s="94">
        <f>IF(A1420="","",IF(AG1420&lt;&gt;"",1,0))</f>
        <v/>
      </c>
      <c r="AP1420" s="220">
        <f>IF(P1420&lt;&gt;"","・添待ち","")&amp;IF(Q1420&lt;&gt;"","・住民票","")&amp;IF(R1420&lt;&gt;"","・発信","")&amp;IF(S1420&lt;&gt;"","・確認事項","")&amp;IF(T1420&lt;&gt;"","・管","")&amp;IF(U1420&lt;&gt;"","・SV","")&amp;IF(V1420&lt;&gt;"","・データ送付待ち","")&amp;IF(W1420&lt;&gt;"","・削除","")</f>
        <v/>
      </c>
    </row>
    <row r="1421" ht="15" customHeight="1" s="87">
      <c r="AL1421" s="94">
        <f>IF(A1421="","",IF(COUNTIF(A1421:A$2001,A1421)=1,1,0))</f>
        <v/>
      </c>
      <c r="AM1421" s="94">
        <f>IF(I1421="","",TODAY()-I1421)</f>
        <v/>
      </c>
      <c r="AN1421" s="94">
        <f>IF(A1421="","",IF(AND(E1421&lt;&gt;"33 確認済",E1421&lt;&gt;"36 送付中"),1,0))</f>
        <v/>
      </c>
      <c r="AO1421" s="94">
        <f>IF(A1421="","",IF(AG1421&lt;&gt;"",1,0))</f>
        <v/>
      </c>
      <c r="AP1421" s="220">
        <f>IF(P1421&lt;&gt;"","・添待ち","")&amp;IF(Q1421&lt;&gt;"","・住民票","")&amp;IF(R1421&lt;&gt;"","・発信","")&amp;IF(S1421&lt;&gt;"","・確認事項","")&amp;IF(T1421&lt;&gt;"","・管","")&amp;IF(U1421&lt;&gt;"","・SV","")&amp;IF(V1421&lt;&gt;"","・データ送付待ち","")&amp;IF(W1421&lt;&gt;"","・削除","")</f>
        <v/>
      </c>
    </row>
    <row r="1422" ht="15" customHeight="1" s="87">
      <c r="AL1422" s="94">
        <f>IF(A1422="","",IF(COUNTIF(A1422:A$2001,A1422)=1,1,0))</f>
        <v/>
      </c>
      <c r="AM1422" s="94">
        <f>IF(I1422="","",TODAY()-I1422)</f>
        <v/>
      </c>
      <c r="AN1422" s="94">
        <f>IF(A1422="","",IF(AND(E1422&lt;&gt;"33 確認済",E1422&lt;&gt;"36 送付中"),1,0))</f>
        <v/>
      </c>
      <c r="AO1422" s="94">
        <f>IF(A1422="","",IF(AG1422&lt;&gt;"",1,0))</f>
        <v/>
      </c>
      <c r="AP1422" s="220">
        <f>IF(P1422&lt;&gt;"","・添待ち","")&amp;IF(Q1422&lt;&gt;"","・住民票","")&amp;IF(R1422&lt;&gt;"","・発信","")&amp;IF(S1422&lt;&gt;"","・確認事項","")&amp;IF(T1422&lt;&gt;"","・管","")&amp;IF(U1422&lt;&gt;"","・SV","")&amp;IF(V1422&lt;&gt;"","・データ送付待ち","")&amp;IF(W1422&lt;&gt;"","・削除","")</f>
        <v/>
      </c>
    </row>
    <row r="1423" ht="15" customHeight="1" s="87">
      <c r="AL1423" s="94">
        <f>IF(A1423="","",IF(COUNTIF(A1423:A$2001,A1423)=1,1,0))</f>
        <v/>
      </c>
      <c r="AM1423" s="94">
        <f>IF(I1423="","",TODAY()-I1423)</f>
        <v/>
      </c>
      <c r="AN1423" s="94">
        <f>IF(A1423="","",IF(AND(E1423&lt;&gt;"33 確認済",E1423&lt;&gt;"36 送付中"),1,0))</f>
        <v/>
      </c>
      <c r="AO1423" s="94">
        <f>IF(A1423="","",IF(AG1423&lt;&gt;"",1,0))</f>
        <v/>
      </c>
      <c r="AP1423" s="220">
        <f>IF(P1423&lt;&gt;"","・添待ち","")&amp;IF(Q1423&lt;&gt;"","・住民票","")&amp;IF(R1423&lt;&gt;"","・発信","")&amp;IF(S1423&lt;&gt;"","・確認事項","")&amp;IF(T1423&lt;&gt;"","・管","")&amp;IF(U1423&lt;&gt;"","・SV","")&amp;IF(V1423&lt;&gt;"","・データ送付待ち","")&amp;IF(W1423&lt;&gt;"","・削除","")</f>
        <v/>
      </c>
    </row>
    <row r="1424" ht="15" customHeight="1" s="87">
      <c r="AL1424" s="94">
        <f>IF(A1424="","",IF(COUNTIF(A1424:A$2001,A1424)=1,1,0))</f>
        <v/>
      </c>
      <c r="AM1424" s="94">
        <f>IF(I1424="","",TODAY()-I1424)</f>
        <v/>
      </c>
      <c r="AN1424" s="94">
        <f>IF(A1424="","",IF(AND(E1424&lt;&gt;"33 確認済",E1424&lt;&gt;"36 送付中"),1,0))</f>
        <v/>
      </c>
      <c r="AO1424" s="94">
        <f>IF(A1424="","",IF(AG1424&lt;&gt;"",1,0))</f>
        <v/>
      </c>
      <c r="AP1424" s="220">
        <f>IF(P1424&lt;&gt;"","・添待ち","")&amp;IF(Q1424&lt;&gt;"","・住民票","")&amp;IF(R1424&lt;&gt;"","・発信","")&amp;IF(S1424&lt;&gt;"","・確認事項","")&amp;IF(T1424&lt;&gt;"","・管","")&amp;IF(U1424&lt;&gt;"","・SV","")&amp;IF(V1424&lt;&gt;"","・データ送付待ち","")&amp;IF(W1424&lt;&gt;"","・削除","")</f>
        <v/>
      </c>
    </row>
    <row r="1425" ht="15" customHeight="1" s="87">
      <c r="AL1425" s="94">
        <f>IF(A1425="","",IF(COUNTIF(A1425:A$2001,A1425)=1,1,0))</f>
        <v/>
      </c>
      <c r="AM1425" s="94">
        <f>IF(I1425="","",TODAY()-I1425)</f>
        <v/>
      </c>
      <c r="AN1425" s="94">
        <f>IF(A1425="","",IF(AND(E1425&lt;&gt;"33 確認済",E1425&lt;&gt;"36 送付中"),1,0))</f>
        <v/>
      </c>
      <c r="AO1425" s="94">
        <f>IF(A1425="","",IF(AG1425&lt;&gt;"",1,0))</f>
        <v/>
      </c>
      <c r="AP1425" s="220">
        <f>IF(P1425&lt;&gt;"","・添待ち","")&amp;IF(Q1425&lt;&gt;"","・住民票","")&amp;IF(R1425&lt;&gt;"","・発信","")&amp;IF(S1425&lt;&gt;"","・確認事項","")&amp;IF(T1425&lt;&gt;"","・管","")&amp;IF(U1425&lt;&gt;"","・SV","")&amp;IF(V1425&lt;&gt;"","・データ送付待ち","")&amp;IF(W1425&lt;&gt;"","・削除","")</f>
        <v/>
      </c>
    </row>
    <row r="1426" ht="15" customHeight="1" s="87">
      <c r="AL1426" s="94">
        <f>IF(A1426="","",IF(COUNTIF(A1426:A$2001,A1426)=1,1,0))</f>
        <v/>
      </c>
      <c r="AM1426" s="94">
        <f>IF(I1426="","",TODAY()-I1426)</f>
        <v/>
      </c>
      <c r="AN1426" s="94">
        <f>IF(A1426="","",IF(AND(E1426&lt;&gt;"33 確認済",E1426&lt;&gt;"36 送付中"),1,0))</f>
        <v/>
      </c>
      <c r="AO1426" s="94">
        <f>IF(A1426="","",IF(AG1426&lt;&gt;"",1,0))</f>
        <v/>
      </c>
      <c r="AP1426" s="220">
        <f>IF(P1426&lt;&gt;"","・添待ち","")&amp;IF(Q1426&lt;&gt;"","・住民票","")&amp;IF(R1426&lt;&gt;"","・発信","")&amp;IF(S1426&lt;&gt;"","・確認事項","")&amp;IF(T1426&lt;&gt;"","・管","")&amp;IF(U1426&lt;&gt;"","・SV","")&amp;IF(V1426&lt;&gt;"","・データ送付待ち","")&amp;IF(W1426&lt;&gt;"","・削除","")</f>
        <v/>
      </c>
    </row>
    <row r="1427" ht="15" customHeight="1" s="87">
      <c r="AL1427" s="94">
        <f>IF(A1427="","",IF(COUNTIF(A1427:A$2001,A1427)=1,1,0))</f>
        <v/>
      </c>
      <c r="AM1427" s="94">
        <f>IF(I1427="","",TODAY()-I1427)</f>
        <v/>
      </c>
      <c r="AN1427" s="94">
        <f>IF(A1427="","",IF(AND(E1427&lt;&gt;"33 確認済",E1427&lt;&gt;"36 送付中"),1,0))</f>
        <v/>
      </c>
      <c r="AO1427" s="94">
        <f>IF(A1427="","",IF(AG1427&lt;&gt;"",1,0))</f>
        <v/>
      </c>
      <c r="AP1427" s="220">
        <f>IF(P1427&lt;&gt;"","・添待ち","")&amp;IF(Q1427&lt;&gt;"","・住民票","")&amp;IF(R1427&lt;&gt;"","・発信","")&amp;IF(S1427&lt;&gt;"","・確認事項","")&amp;IF(T1427&lt;&gt;"","・管","")&amp;IF(U1427&lt;&gt;"","・SV","")&amp;IF(V1427&lt;&gt;"","・データ送付待ち","")&amp;IF(W1427&lt;&gt;"","・削除","")</f>
        <v/>
      </c>
    </row>
    <row r="1428" ht="15" customHeight="1" s="87">
      <c r="AL1428" s="94">
        <f>IF(A1428="","",IF(COUNTIF(A1428:A$2001,A1428)=1,1,0))</f>
        <v/>
      </c>
      <c r="AM1428" s="94">
        <f>IF(I1428="","",TODAY()-I1428)</f>
        <v/>
      </c>
      <c r="AN1428" s="94">
        <f>IF(A1428="","",IF(AND(E1428&lt;&gt;"33 確認済",E1428&lt;&gt;"36 送付中"),1,0))</f>
        <v/>
      </c>
      <c r="AO1428" s="94">
        <f>IF(A1428="","",IF(AG1428&lt;&gt;"",1,0))</f>
        <v/>
      </c>
      <c r="AP1428" s="220">
        <f>IF(P1428&lt;&gt;"","・添待ち","")&amp;IF(Q1428&lt;&gt;"","・住民票","")&amp;IF(R1428&lt;&gt;"","・発信","")&amp;IF(S1428&lt;&gt;"","・確認事項","")&amp;IF(T1428&lt;&gt;"","・管","")&amp;IF(U1428&lt;&gt;"","・SV","")&amp;IF(V1428&lt;&gt;"","・データ送付待ち","")&amp;IF(W1428&lt;&gt;"","・削除","")</f>
        <v/>
      </c>
    </row>
    <row r="1429" ht="15" customHeight="1" s="87">
      <c r="AL1429" s="94">
        <f>IF(A1429="","",IF(COUNTIF(A1429:A$2001,A1429)=1,1,0))</f>
        <v/>
      </c>
      <c r="AM1429" s="94">
        <f>IF(I1429="","",TODAY()-I1429)</f>
        <v/>
      </c>
      <c r="AN1429" s="94">
        <f>IF(A1429="","",IF(AND(E1429&lt;&gt;"33 確認済",E1429&lt;&gt;"36 送付中"),1,0))</f>
        <v/>
      </c>
      <c r="AO1429" s="94">
        <f>IF(A1429="","",IF(AG1429&lt;&gt;"",1,0))</f>
        <v/>
      </c>
      <c r="AP1429" s="220">
        <f>IF(P1429&lt;&gt;"","・添待ち","")&amp;IF(Q1429&lt;&gt;"","・住民票","")&amp;IF(R1429&lt;&gt;"","・発信","")&amp;IF(S1429&lt;&gt;"","・確認事項","")&amp;IF(T1429&lt;&gt;"","・管","")&amp;IF(U1429&lt;&gt;"","・SV","")&amp;IF(V1429&lt;&gt;"","・データ送付待ち","")&amp;IF(W1429&lt;&gt;"","・削除","")</f>
        <v/>
      </c>
    </row>
    <row r="1430" ht="15" customHeight="1" s="87">
      <c r="AL1430" s="94">
        <f>IF(A1430="","",IF(COUNTIF(A1430:A$2001,A1430)=1,1,0))</f>
        <v/>
      </c>
      <c r="AM1430" s="94">
        <f>IF(I1430="","",TODAY()-I1430)</f>
        <v/>
      </c>
      <c r="AN1430" s="94">
        <f>IF(A1430="","",IF(AND(E1430&lt;&gt;"33 確認済",E1430&lt;&gt;"36 送付中"),1,0))</f>
        <v/>
      </c>
      <c r="AO1430" s="94">
        <f>IF(A1430="","",IF(AG1430&lt;&gt;"",1,0))</f>
        <v/>
      </c>
      <c r="AP1430" s="220">
        <f>IF(P1430&lt;&gt;"","・添待ち","")&amp;IF(Q1430&lt;&gt;"","・住民票","")&amp;IF(R1430&lt;&gt;"","・発信","")&amp;IF(S1430&lt;&gt;"","・確認事項","")&amp;IF(T1430&lt;&gt;"","・管","")&amp;IF(U1430&lt;&gt;"","・SV","")&amp;IF(V1430&lt;&gt;"","・データ送付待ち","")&amp;IF(W1430&lt;&gt;"","・削除","")</f>
        <v/>
      </c>
    </row>
    <row r="1431" ht="15" customHeight="1" s="87">
      <c r="AL1431" s="94">
        <f>IF(A1431="","",IF(COUNTIF(A1431:A$2001,A1431)=1,1,0))</f>
        <v/>
      </c>
      <c r="AM1431" s="94">
        <f>IF(I1431="","",TODAY()-I1431)</f>
        <v/>
      </c>
      <c r="AN1431" s="94">
        <f>IF(A1431="","",IF(AND(E1431&lt;&gt;"33 確認済",E1431&lt;&gt;"36 送付中"),1,0))</f>
        <v/>
      </c>
      <c r="AO1431" s="94">
        <f>IF(A1431="","",IF(AG1431&lt;&gt;"",1,0))</f>
        <v/>
      </c>
      <c r="AP1431" s="220">
        <f>IF(P1431&lt;&gt;"","・添待ち","")&amp;IF(Q1431&lt;&gt;"","・住民票","")&amp;IF(R1431&lt;&gt;"","・発信","")&amp;IF(S1431&lt;&gt;"","・確認事項","")&amp;IF(T1431&lt;&gt;"","・管","")&amp;IF(U1431&lt;&gt;"","・SV","")&amp;IF(V1431&lt;&gt;"","・データ送付待ち","")&amp;IF(W1431&lt;&gt;"","・削除","")</f>
        <v/>
      </c>
    </row>
    <row r="1432" ht="15" customHeight="1" s="87">
      <c r="AL1432" s="94">
        <f>IF(A1432="","",IF(COUNTIF(A1432:A$2001,A1432)=1,1,0))</f>
        <v/>
      </c>
      <c r="AM1432" s="94">
        <f>IF(I1432="","",TODAY()-I1432)</f>
        <v/>
      </c>
      <c r="AN1432" s="94">
        <f>IF(A1432="","",IF(AND(E1432&lt;&gt;"33 確認済",E1432&lt;&gt;"36 送付中"),1,0))</f>
        <v/>
      </c>
      <c r="AO1432" s="94">
        <f>IF(A1432="","",IF(AG1432&lt;&gt;"",1,0))</f>
        <v/>
      </c>
      <c r="AP1432" s="220">
        <f>IF(P1432&lt;&gt;"","・添待ち","")&amp;IF(Q1432&lt;&gt;"","・住民票","")&amp;IF(R1432&lt;&gt;"","・発信","")&amp;IF(S1432&lt;&gt;"","・確認事項","")&amp;IF(T1432&lt;&gt;"","・管","")&amp;IF(U1432&lt;&gt;"","・SV","")&amp;IF(V1432&lt;&gt;"","・データ送付待ち","")&amp;IF(W1432&lt;&gt;"","・削除","")</f>
        <v/>
      </c>
    </row>
    <row r="1433" ht="15" customHeight="1" s="87">
      <c r="AL1433" s="94">
        <f>IF(A1433="","",IF(COUNTIF(A1433:A$2001,A1433)=1,1,0))</f>
        <v/>
      </c>
      <c r="AM1433" s="94">
        <f>IF(I1433="","",TODAY()-I1433)</f>
        <v/>
      </c>
      <c r="AN1433" s="94">
        <f>IF(A1433="","",IF(AND(E1433&lt;&gt;"33 確認済",E1433&lt;&gt;"36 送付中"),1,0))</f>
        <v/>
      </c>
      <c r="AO1433" s="94">
        <f>IF(A1433="","",IF(AG1433&lt;&gt;"",1,0))</f>
        <v/>
      </c>
      <c r="AP1433" s="220">
        <f>IF(P1433&lt;&gt;"","・添待ち","")&amp;IF(Q1433&lt;&gt;"","・住民票","")&amp;IF(R1433&lt;&gt;"","・発信","")&amp;IF(S1433&lt;&gt;"","・確認事項","")&amp;IF(T1433&lt;&gt;"","・管","")&amp;IF(U1433&lt;&gt;"","・SV","")&amp;IF(V1433&lt;&gt;"","・データ送付待ち","")&amp;IF(W1433&lt;&gt;"","・削除","")</f>
        <v/>
      </c>
    </row>
    <row r="1434" ht="15" customHeight="1" s="87">
      <c r="AL1434" s="94">
        <f>IF(A1434="","",IF(COUNTIF(A1434:A$2001,A1434)=1,1,0))</f>
        <v/>
      </c>
      <c r="AM1434" s="94">
        <f>IF(I1434="","",TODAY()-I1434)</f>
        <v/>
      </c>
      <c r="AN1434" s="94">
        <f>IF(A1434="","",IF(AND(E1434&lt;&gt;"33 確認済",E1434&lt;&gt;"36 送付中"),1,0))</f>
        <v/>
      </c>
      <c r="AO1434" s="94">
        <f>IF(A1434="","",IF(AG1434&lt;&gt;"",1,0))</f>
        <v/>
      </c>
      <c r="AP1434" s="220">
        <f>IF(P1434&lt;&gt;"","・添待ち","")&amp;IF(Q1434&lt;&gt;"","・住民票","")&amp;IF(R1434&lt;&gt;"","・発信","")&amp;IF(S1434&lt;&gt;"","・確認事項","")&amp;IF(T1434&lt;&gt;"","・管","")&amp;IF(U1434&lt;&gt;"","・SV","")&amp;IF(V1434&lt;&gt;"","・データ送付待ち","")&amp;IF(W1434&lt;&gt;"","・削除","")</f>
        <v/>
      </c>
    </row>
    <row r="1435" ht="15" customHeight="1" s="87">
      <c r="AL1435" s="94">
        <f>IF(A1435="","",IF(COUNTIF(A1435:A$2001,A1435)=1,1,0))</f>
        <v/>
      </c>
      <c r="AM1435" s="94">
        <f>IF(I1435="","",TODAY()-I1435)</f>
        <v/>
      </c>
      <c r="AN1435" s="94">
        <f>IF(A1435="","",IF(AND(E1435&lt;&gt;"33 確認済",E1435&lt;&gt;"36 送付中"),1,0))</f>
        <v/>
      </c>
      <c r="AO1435" s="94">
        <f>IF(A1435="","",IF(AG1435&lt;&gt;"",1,0))</f>
        <v/>
      </c>
      <c r="AP1435" s="220">
        <f>IF(P1435&lt;&gt;"","・添待ち","")&amp;IF(Q1435&lt;&gt;"","・住民票","")&amp;IF(R1435&lt;&gt;"","・発信","")&amp;IF(S1435&lt;&gt;"","・確認事項","")&amp;IF(T1435&lt;&gt;"","・管","")&amp;IF(U1435&lt;&gt;"","・SV","")&amp;IF(V1435&lt;&gt;"","・データ送付待ち","")&amp;IF(W1435&lt;&gt;"","・削除","")</f>
        <v/>
      </c>
    </row>
    <row r="1436" ht="15" customHeight="1" s="87">
      <c r="AL1436" s="94">
        <f>IF(A1436="","",IF(COUNTIF(A1436:A$2001,A1436)=1,1,0))</f>
        <v/>
      </c>
      <c r="AM1436" s="94">
        <f>IF(I1436="","",TODAY()-I1436)</f>
        <v/>
      </c>
      <c r="AN1436" s="94">
        <f>IF(A1436="","",IF(AND(E1436&lt;&gt;"33 確認済",E1436&lt;&gt;"36 送付中"),1,0))</f>
        <v/>
      </c>
      <c r="AO1436" s="94">
        <f>IF(A1436="","",IF(AG1436&lt;&gt;"",1,0))</f>
        <v/>
      </c>
      <c r="AP1436" s="220">
        <f>IF(P1436&lt;&gt;"","・添待ち","")&amp;IF(Q1436&lt;&gt;"","・住民票","")&amp;IF(R1436&lt;&gt;"","・発信","")&amp;IF(S1436&lt;&gt;"","・確認事項","")&amp;IF(T1436&lt;&gt;"","・管","")&amp;IF(U1436&lt;&gt;"","・SV","")&amp;IF(V1436&lt;&gt;"","・データ送付待ち","")&amp;IF(W1436&lt;&gt;"","・削除","")</f>
        <v/>
      </c>
    </row>
    <row r="1437" ht="15" customHeight="1" s="87">
      <c r="AL1437" s="94">
        <f>IF(A1437="","",IF(COUNTIF(A1437:A$2001,A1437)=1,1,0))</f>
        <v/>
      </c>
      <c r="AM1437" s="94">
        <f>IF(I1437="","",TODAY()-I1437)</f>
        <v/>
      </c>
      <c r="AN1437" s="94">
        <f>IF(A1437="","",IF(AND(E1437&lt;&gt;"33 確認済",E1437&lt;&gt;"36 送付中"),1,0))</f>
        <v/>
      </c>
      <c r="AO1437" s="94">
        <f>IF(A1437="","",IF(AG1437&lt;&gt;"",1,0))</f>
        <v/>
      </c>
      <c r="AP1437" s="220">
        <f>IF(P1437&lt;&gt;"","・添待ち","")&amp;IF(Q1437&lt;&gt;"","・住民票","")&amp;IF(R1437&lt;&gt;"","・発信","")&amp;IF(S1437&lt;&gt;"","・確認事項","")&amp;IF(T1437&lt;&gt;"","・管","")&amp;IF(U1437&lt;&gt;"","・SV","")&amp;IF(V1437&lt;&gt;"","・データ送付待ち","")&amp;IF(W1437&lt;&gt;"","・削除","")</f>
        <v/>
      </c>
    </row>
    <row r="1438" ht="15" customHeight="1" s="87">
      <c r="AL1438" s="94">
        <f>IF(A1438="","",IF(COUNTIF(A1438:A$2001,A1438)=1,1,0))</f>
        <v/>
      </c>
      <c r="AM1438" s="94">
        <f>IF(I1438="","",TODAY()-I1438)</f>
        <v/>
      </c>
      <c r="AN1438" s="94">
        <f>IF(A1438="","",IF(AND(E1438&lt;&gt;"33 確認済",E1438&lt;&gt;"36 送付中"),1,0))</f>
        <v/>
      </c>
      <c r="AO1438" s="94">
        <f>IF(A1438="","",IF(AG1438&lt;&gt;"",1,0))</f>
        <v/>
      </c>
      <c r="AP1438" s="220">
        <f>IF(P1438&lt;&gt;"","・添待ち","")&amp;IF(Q1438&lt;&gt;"","・住民票","")&amp;IF(R1438&lt;&gt;"","・発信","")&amp;IF(S1438&lt;&gt;"","・確認事項","")&amp;IF(T1438&lt;&gt;"","・管","")&amp;IF(U1438&lt;&gt;"","・SV","")&amp;IF(V1438&lt;&gt;"","・データ送付待ち","")&amp;IF(W1438&lt;&gt;"","・削除","")</f>
        <v/>
      </c>
    </row>
    <row r="1439" ht="15" customHeight="1" s="87">
      <c r="AL1439" s="94">
        <f>IF(A1439="","",IF(COUNTIF(A1439:A$2001,A1439)=1,1,0))</f>
        <v/>
      </c>
      <c r="AM1439" s="94">
        <f>IF(I1439="","",TODAY()-I1439)</f>
        <v/>
      </c>
      <c r="AN1439" s="94">
        <f>IF(A1439="","",IF(AND(E1439&lt;&gt;"33 確認済",E1439&lt;&gt;"36 送付中"),1,0))</f>
        <v/>
      </c>
      <c r="AO1439" s="94">
        <f>IF(A1439="","",IF(AG1439&lt;&gt;"",1,0))</f>
        <v/>
      </c>
      <c r="AP1439" s="220">
        <f>IF(P1439&lt;&gt;"","・添待ち","")&amp;IF(Q1439&lt;&gt;"","・住民票","")&amp;IF(R1439&lt;&gt;"","・発信","")&amp;IF(S1439&lt;&gt;"","・確認事項","")&amp;IF(T1439&lt;&gt;"","・管","")&amp;IF(U1439&lt;&gt;"","・SV","")&amp;IF(V1439&lt;&gt;"","・データ送付待ち","")&amp;IF(W1439&lt;&gt;"","・削除","")</f>
        <v/>
      </c>
    </row>
    <row r="1440" ht="15" customHeight="1" s="87">
      <c r="AL1440" s="94">
        <f>IF(A1440="","",IF(COUNTIF(A1440:A$2001,A1440)=1,1,0))</f>
        <v/>
      </c>
      <c r="AM1440" s="94">
        <f>IF(I1440="","",TODAY()-I1440)</f>
        <v/>
      </c>
      <c r="AN1440" s="94">
        <f>IF(A1440="","",IF(AND(E1440&lt;&gt;"33 確認済",E1440&lt;&gt;"36 送付中"),1,0))</f>
        <v/>
      </c>
      <c r="AO1440" s="94">
        <f>IF(A1440="","",IF(AG1440&lt;&gt;"",1,0))</f>
        <v/>
      </c>
      <c r="AP1440" s="220">
        <f>IF(P1440&lt;&gt;"","・添待ち","")&amp;IF(Q1440&lt;&gt;"","・住民票","")&amp;IF(R1440&lt;&gt;"","・発信","")&amp;IF(S1440&lt;&gt;"","・確認事項","")&amp;IF(T1440&lt;&gt;"","・管","")&amp;IF(U1440&lt;&gt;"","・SV","")&amp;IF(V1440&lt;&gt;"","・データ送付待ち","")&amp;IF(W1440&lt;&gt;"","・削除","")</f>
        <v/>
      </c>
    </row>
    <row r="1441" ht="15" customHeight="1" s="87">
      <c r="AL1441" s="94">
        <f>IF(A1441="","",IF(COUNTIF(A1441:A$2001,A1441)=1,1,0))</f>
        <v/>
      </c>
      <c r="AM1441" s="94">
        <f>IF(I1441="","",TODAY()-I1441)</f>
        <v/>
      </c>
      <c r="AN1441" s="94">
        <f>IF(A1441="","",IF(AND(E1441&lt;&gt;"33 確認済",E1441&lt;&gt;"36 送付中"),1,0))</f>
        <v/>
      </c>
      <c r="AO1441" s="94">
        <f>IF(A1441="","",IF(AG1441&lt;&gt;"",1,0))</f>
        <v/>
      </c>
      <c r="AP1441" s="220">
        <f>IF(P1441&lt;&gt;"","・添待ち","")&amp;IF(Q1441&lt;&gt;"","・住民票","")&amp;IF(R1441&lt;&gt;"","・発信","")&amp;IF(S1441&lt;&gt;"","・確認事項","")&amp;IF(T1441&lt;&gt;"","・管","")&amp;IF(U1441&lt;&gt;"","・SV","")&amp;IF(V1441&lt;&gt;"","・データ送付待ち","")&amp;IF(W1441&lt;&gt;"","・削除","")</f>
        <v/>
      </c>
    </row>
    <row r="1442" ht="15" customHeight="1" s="87">
      <c r="AL1442" s="94">
        <f>IF(A1442="","",IF(COUNTIF(A1442:A$2001,A1442)=1,1,0))</f>
        <v/>
      </c>
      <c r="AM1442" s="94">
        <f>IF(I1442="","",TODAY()-I1442)</f>
        <v/>
      </c>
      <c r="AN1442" s="94">
        <f>IF(A1442="","",IF(AND(E1442&lt;&gt;"33 確認済",E1442&lt;&gt;"36 送付中"),1,0))</f>
        <v/>
      </c>
      <c r="AO1442" s="94">
        <f>IF(A1442="","",IF(AG1442&lt;&gt;"",1,0))</f>
        <v/>
      </c>
      <c r="AP1442" s="220">
        <f>IF(P1442&lt;&gt;"","・添待ち","")&amp;IF(Q1442&lt;&gt;"","・住民票","")&amp;IF(R1442&lt;&gt;"","・発信","")&amp;IF(S1442&lt;&gt;"","・確認事項","")&amp;IF(T1442&lt;&gt;"","・管","")&amp;IF(U1442&lt;&gt;"","・SV","")&amp;IF(V1442&lt;&gt;"","・データ送付待ち","")&amp;IF(W1442&lt;&gt;"","・削除","")</f>
        <v/>
      </c>
    </row>
    <row r="1443" ht="15" customHeight="1" s="87">
      <c r="AL1443" s="94">
        <f>IF(A1443="","",IF(COUNTIF(A1443:A$2001,A1443)=1,1,0))</f>
        <v/>
      </c>
      <c r="AM1443" s="94">
        <f>IF(I1443="","",TODAY()-I1443)</f>
        <v/>
      </c>
      <c r="AN1443" s="94">
        <f>IF(A1443="","",IF(AND(E1443&lt;&gt;"33 確認済",E1443&lt;&gt;"36 送付中"),1,0))</f>
        <v/>
      </c>
      <c r="AO1443" s="94">
        <f>IF(A1443="","",IF(AG1443&lt;&gt;"",1,0))</f>
        <v/>
      </c>
      <c r="AP1443" s="220">
        <f>IF(P1443&lt;&gt;"","・添待ち","")&amp;IF(Q1443&lt;&gt;"","・住民票","")&amp;IF(R1443&lt;&gt;"","・発信","")&amp;IF(S1443&lt;&gt;"","・確認事項","")&amp;IF(T1443&lt;&gt;"","・管","")&amp;IF(U1443&lt;&gt;"","・SV","")&amp;IF(V1443&lt;&gt;"","・データ送付待ち","")&amp;IF(W1443&lt;&gt;"","・削除","")</f>
        <v/>
      </c>
    </row>
    <row r="1444" ht="15" customHeight="1" s="87">
      <c r="AL1444" s="94">
        <f>IF(A1444="","",IF(COUNTIF(A1444:A$2001,A1444)=1,1,0))</f>
        <v/>
      </c>
      <c r="AM1444" s="94">
        <f>IF(I1444="","",TODAY()-I1444)</f>
        <v/>
      </c>
      <c r="AN1444" s="94">
        <f>IF(A1444="","",IF(AND(E1444&lt;&gt;"33 確認済",E1444&lt;&gt;"36 送付中"),1,0))</f>
        <v/>
      </c>
      <c r="AO1444" s="94">
        <f>IF(A1444="","",IF(AG1444&lt;&gt;"",1,0))</f>
        <v/>
      </c>
      <c r="AP1444" s="220">
        <f>IF(P1444&lt;&gt;"","・添待ち","")&amp;IF(Q1444&lt;&gt;"","・住民票","")&amp;IF(R1444&lt;&gt;"","・発信","")&amp;IF(S1444&lt;&gt;"","・確認事項","")&amp;IF(T1444&lt;&gt;"","・管","")&amp;IF(U1444&lt;&gt;"","・SV","")&amp;IF(V1444&lt;&gt;"","・データ送付待ち","")&amp;IF(W1444&lt;&gt;"","・削除","")</f>
        <v/>
      </c>
    </row>
    <row r="1445" ht="15" customHeight="1" s="87">
      <c r="AL1445" s="94">
        <f>IF(A1445="","",IF(COUNTIF(A1445:A$2001,A1445)=1,1,0))</f>
        <v/>
      </c>
      <c r="AM1445" s="94">
        <f>IF(I1445="","",TODAY()-I1445)</f>
        <v/>
      </c>
      <c r="AN1445" s="94">
        <f>IF(A1445="","",IF(AND(E1445&lt;&gt;"33 確認済",E1445&lt;&gt;"36 送付中"),1,0))</f>
        <v/>
      </c>
      <c r="AO1445" s="94">
        <f>IF(A1445="","",IF(AG1445&lt;&gt;"",1,0))</f>
        <v/>
      </c>
      <c r="AP1445" s="220">
        <f>IF(P1445&lt;&gt;"","・添待ち","")&amp;IF(Q1445&lt;&gt;"","・住民票","")&amp;IF(R1445&lt;&gt;"","・発信","")&amp;IF(S1445&lt;&gt;"","・確認事項","")&amp;IF(T1445&lt;&gt;"","・管","")&amp;IF(U1445&lt;&gt;"","・SV","")&amp;IF(V1445&lt;&gt;"","・データ送付待ち","")&amp;IF(W1445&lt;&gt;"","・削除","")</f>
        <v/>
      </c>
    </row>
    <row r="1446" ht="15" customHeight="1" s="87">
      <c r="AL1446" s="94">
        <f>IF(A1446="","",IF(COUNTIF(A1446:A$2001,A1446)=1,1,0))</f>
        <v/>
      </c>
      <c r="AM1446" s="94">
        <f>IF(I1446="","",TODAY()-I1446)</f>
        <v/>
      </c>
      <c r="AN1446" s="94">
        <f>IF(A1446="","",IF(AND(E1446&lt;&gt;"33 確認済",E1446&lt;&gt;"36 送付中"),1,0))</f>
        <v/>
      </c>
      <c r="AO1446" s="94">
        <f>IF(A1446="","",IF(AG1446&lt;&gt;"",1,0))</f>
        <v/>
      </c>
      <c r="AP1446" s="220">
        <f>IF(P1446&lt;&gt;"","・添待ち","")&amp;IF(Q1446&lt;&gt;"","・住民票","")&amp;IF(R1446&lt;&gt;"","・発信","")&amp;IF(S1446&lt;&gt;"","・確認事項","")&amp;IF(T1446&lt;&gt;"","・管","")&amp;IF(U1446&lt;&gt;"","・SV","")&amp;IF(V1446&lt;&gt;"","・データ送付待ち","")&amp;IF(W1446&lt;&gt;"","・削除","")</f>
        <v/>
      </c>
    </row>
    <row r="1447" ht="15" customHeight="1" s="87">
      <c r="AL1447" s="94">
        <f>IF(A1447="","",IF(COUNTIF(A1447:A$2001,A1447)=1,1,0))</f>
        <v/>
      </c>
      <c r="AM1447" s="94">
        <f>IF(I1447="","",TODAY()-I1447)</f>
        <v/>
      </c>
      <c r="AN1447" s="94">
        <f>IF(A1447="","",IF(AND(E1447&lt;&gt;"33 確認済",E1447&lt;&gt;"36 送付中"),1,0))</f>
        <v/>
      </c>
      <c r="AO1447" s="94">
        <f>IF(A1447="","",IF(AG1447&lt;&gt;"",1,0))</f>
        <v/>
      </c>
      <c r="AP1447" s="220">
        <f>IF(P1447&lt;&gt;"","・添待ち","")&amp;IF(Q1447&lt;&gt;"","・住民票","")&amp;IF(R1447&lt;&gt;"","・発信","")&amp;IF(S1447&lt;&gt;"","・確認事項","")&amp;IF(T1447&lt;&gt;"","・管","")&amp;IF(U1447&lt;&gt;"","・SV","")&amp;IF(V1447&lt;&gt;"","・データ送付待ち","")&amp;IF(W1447&lt;&gt;"","・削除","")</f>
        <v/>
      </c>
    </row>
    <row r="1448" ht="15" customHeight="1" s="87">
      <c r="AL1448" s="94">
        <f>IF(A1448="","",IF(COUNTIF(A1448:A$2001,A1448)=1,1,0))</f>
        <v/>
      </c>
      <c r="AM1448" s="94">
        <f>IF(I1448="","",TODAY()-I1448)</f>
        <v/>
      </c>
      <c r="AN1448" s="94">
        <f>IF(A1448="","",IF(AND(E1448&lt;&gt;"33 確認済",E1448&lt;&gt;"36 送付中"),1,0))</f>
        <v/>
      </c>
      <c r="AO1448" s="94">
        <f>IF(A1448="","",IF(AG1448&lt;&gt;"",1,0))</f>
        <v/>
      </c>
      <c r="AP1448" s="220">
        <f>IF(P1448&lt;&gt;"","・添待ち","")&amp;IF(Q1448&lt;&gt;"","・住民票","")&amp;IF(R1448&lt;&gt;"","・発信","")&amp;IF(S1448&lt;&gt;"","・確認事項","")&amp;IF(T1448&lt;&gt;"","・管","")&amp;IF(U1448&lt;&gt;"","・SV","")&amp;IF(V1448&lt;&gt;"","・データ送付待ち","")&amp;IF(W1448&lt;&gt;"","・削除","")</f>
        <v/>
      </c>
    </row>
    <row r="1449" ht="15" customHeight="1" s="87">
      <c r="AL1449" s="94">
        <f>IF(A1449="","",IF(COUNTIF(A1449:A$2001,A1449)=1,1,0))</f>
        <v/>
      </c>
      <c r="AM1449" s="94">
        <f>IF(I1449="","",TODAY()-I1449)</f>
        <v/>
      </c>
      <c r="AN1449" s="94">
        <f>IF(A1449="","",IF(AND(E1449&lt;&gt;"33 確認済",E1449&lt;&gt;"36 送付中"),1,0))</f>
        <v/>
      </c>
      <c r="AO1449" s="94">
        <f>IF(A1449="","",IF(AG1449&lt;&gt;"",1,0))</f>
        <v/>
      </c>
      <c r="AP1449" s="220">
        <f>IF(P1449&lt;&gt;"","・添待ち","")&amp;IF(Q1449&lt;&gt;"","・住民票","")&amp;IF(R1449&lt;&gt;"","・発信","")&amp;IF(S1449&lt;&gt;"","・確認事項","")&amp;IF(T1449&lt;&gt;"","・管","")&amp;IF(U1449&lt;&gt;"","・SV","")&amp;IF(V1449&lt;&gt;"","・データ送付待ち","")&amp;IF(W1449&lt;&gt;"","・削除","")</f>
        <v/>
      </c>
    </row>
    <row r="1450" ht="15" customHeight="1" s="87">
      <c r="AL1450" s="94">
        <f>IF(A1450="","",IF(COUNTIF(A1450:A$2001,A1450)=1,1,0))</f>
        <v/>
      </c>
      <c r="AM1450" s="94">
        <f>IF(I1450="","",TODAY()-I1450)</f>
        <v/>
      </c>
      <c r="AN1450" s="94">
        <f>IF(A1450="","",IF(AND(E1450&lt;&gt;"33 確認済",E1450&lt;&gt;"36 送付中"),1,0))</f>
        <v/>
      </c>
      <c r="AO1450" s="94">
        <f>IF(A1450="","",IF(AG1450&lt;&gt;"",1,0))</f>
        <v/>
      </c>
      <c r="AP1450" s="220">
        <f>IF(P1450&lt;&gt;"","・添待ち","")&amp;IF(Q1450&lt;&gt;"","・住民票","")&amp;IF(R1450&lt;&gt;"","・発信","")&amp;IF(S1450&lt;&gt;"","・確認事項","")&amp;IF(T1450&lt;&gt;"","・管","")&amp;IF(U1450&lt;&gt;"","・SV","")&amp;IF(V1450&lt;&gt;"","・データ送付待ち","")&amp;IF(W1450&lt;&gt;"","・削除","")</f>
        <v/>
      </c>
    </row>
    <row r="1451" ht="15" customHeight="1" s="87">
      <c r="AL1451" s="94">
        <f>IF(A1451="","",IF(COUNTIF(A1451:A$2001,A1451)=1,1,0))</f>
        <v/>
      </c>
      <c r="AM1451" s="94">
        <f>IF(I1451="","",TODAY()-I1451)</f>
        <v/>
      </c>
      <c r="AN1451" s="94">
        <f>IF(A1451="","",IF(AND(E1451&lt;&gt;"33 確認済",E1451&lt;&gt;"36 送付中"),1,0))</f>
        <v/>
      </c>
      <c r="AO1451" s="94">
        <f>IF(A1451="","",IF(AG1451&lt;&gt;"",1,0))</f>
        <v/>
      </c>
      <c r="AP1451" s="220">
        <f>IF(P1451&lt;&gt;"","・添待ち","")&amp;IF(Q1451&lt;&gt;"","・住民票","")&amp;IF(R1451&lt;&gt;"","・発信","")&amp;IF(S1451&lt;&gt;"","・確認事項","")&amp;IF(T1451&lt;&gt;"","・管","")&amp;IF(U1451&lt;&gt;"","・SV","")&amp;IF(V1451&lt;&gt;"","・データ送付待ち","")&amp;IF(W1451&lt;&gt;"","・削除","")</f>
        <v/>
      </c>
    </row>
    <row r="1452" ht="15" customHeight="1" s="87">
      <c r="AL1452" s="94">
        <f>IF(A1452="","",IF(COUNTIF(A1452:A$2001,A1452)=1,1,0))</f>
        <v/>
      </c>
      <c r="AM1452" s="94">
        <f>IF(I1452="","",TODAY()-I1452)</f>
        <v/>
      </c>
      <c r="AN1452" s="94">
        <f>IF(A1452="","",IF(AND(E1452&lt;&gt;"33 確認済",E1452&lt;&gt;"36 送付中"),1,0))</f>
        <v/>
      </c>
      <c r="AO1452" s="94">
        <f>IF(A1452="","",IF(AG1452&lt;&gt;"",1,0))</f>
        <v/>
      </c>
      <c r="AP1452" s="220">
        <f>IF(P1452&lt;&gt;"","・添待ち","")&amp;IF(Q1452&lt;&gt;"","・住民票","")&amp;IF(R1452&lt;&gt;"","・発信","")&amp;IF(S1452&lt;&gt;"","・確認事項","")&amp;IF(T1452&lt;&gt;"","・管","")&amp;IF(U1452&lt;&gt;"","・SV","")&amp;IF(V1452&lt;&gt;"","・データ送付待ち","")&amp;IF(W1452&lt;&gt;"","・削除","")</f>
        <v/>
      </c>
    </row>
    <row r="1453" ht="15" customHeight="1" s="87">
      <c r="AL1453" s="94">
        <f>IF(A1453="","",IF(COUNTIF(A1453:A$2001,A1453)=1,1,0))</f>
        <v/>
      </c>
      <c r="AM1453" s="94">
        <f>IF(I1453="","",TODAY()-I1453)</f>
        <v/>
      </c>
      <c r="AN1453" s="94">
        <f>IF(A1453="","",IF(AND(E1453&lt;&gt;"33 確認済",E1453&lt;&gt;"36 送付中"),1,0))</f>
        <v/>
      </c>
      <c r="AO1453" s="94">
        <f>IF(A1453="","",IF(AG1453&lt;&gt;"",1,0))</f>
        <v/>
      </c>
      <c r="AP1453" s="220">
        <f>IF(P1453&lt;&gt;"","・添待ち","")&amp;IF(Q1453&lt;&gt;"","・住民票","")&amp;IF(R1453&lt;&gt;"","・発信","")&amp;IF(S1453&lt;&gt;"","・確認事項","")&amp;IF(T1453&lt;&gt;"","・管","")&amp;IF(U1453&lt;&gt;"","・SV","")&amp;IF(V1453&lt;&gt;"","・データ送付待ち","")&amp;IF(W1453&lt;&gt;"","・削除","")</f>
        <v/>
      </c>
    </row>
    <row r="1454" ht="15" customHeight="1" s="87">
      <c r="AL1454" s="94">
        <f>IF(A1454="","",IF(COUNTIF(A1454:A$2001,A1454)=1,1,0))</f>
        <v/>
      </c>
      <c r="AM1454" s="94">
        <f>IF(I1454="","",TODAY()-I1454)</f>
        <v/>
      </c>
      <c r="AN1454" s="94">
        <f>IF(A1454="","",IF(AND(E1454&lt;&gt;"33 確認済",E1454&lt;&gt;"36 送付中"),1,0))</f>
        <v/>
      </c>
      <c r="AO1454" s="94">
        <f>IF(A1454="","",IF(AG1454&lt;&gt;"",1,0))</f>
        <v/>
      </c>
      <c r="AP1454" s="220">
        <f>IF(P1454&lt;&gt;"","・添待ち","")&amp;IF(Q1454&lt;&gt;"","・住民票","")&amp;IF(R1454&lt;&gt;"","・発信","")&amp;IF(S1454&lt;&gt;"","・確認事項","")&amp;IF(T1454&lt;&gt;"","・管","")&amp;IF(U1454&lt;&gt;"","・SV","")&amp;IF(V1454&lt;&gt;"","・データ送付待ち","")&amp;IF(W1454&lt;&gt;"","・削除","")</f>
        <v/>
      </c>
    </row>
    <row r="1455" ht="15" customHeight="1" s="87">
      <c r="AL1455" s="94">
        <f>IF(A1455="","",IF(COUNTIF(A1455:A$2001,A1455)=1,1,0))</f>
        <v/>
      </c>
      <c r="AM1455" s="94">
        <f>IF(I1455="","",TODAY()-I1455)</f>
        <v/>
      </c>
      <c r="AN1455" s="94">
        <f>IF(A1455="","",IF(AND(E1455&lt;&gt;"33 確認済",E1455&lt;&gt;"36 送付中"),1,0))</f>
        <v/>
      </c>
      <c r="AO1455" s="94">
        <f>IF(A1455="","",IF(AG1455&lt;&gt;"",1,0))</f>
        <v/>
      </c>
      <c r="AP1455" s="220">
        <f>IF(P1455&lt;&gt;"","・添待ち","")&amp;IF(Q1455&lt;&gt;"","・住民票","")&amp;IF(R1455&lt;&gt;"","・発信","")&amp;IF(S1455&lt;&gt;"","・確認事項","")&amp;IF(T1455&lt;&gt;"","・管","")&amp;IF(U1455&lt;&gt;"","・SV","")&amp;IF(V1455&lt;&gt;"","・データ送付待ち","")&amp;IF(W1455&lt;&gt;"","・削除","")</f>
        <v/>
      </c>
    </row>
    <row r="1456" ht="15" customHeight="1" s="87">
      <c r="AL1456" s="94">
        <f>IF(A1456="","",IF(COUNTIF(A1456:A$2001,A1456)=1,1,0))</f>
        <v/>
      </c>
      <c r="AM1456" s="94">
        <f>IF(I1456="","",TODAY()-I1456)</f>
        <v/>
      </c>
      <c r="AN1456" s="94">
        <f>IF(A1456="","",IF(AND(E1456&lt;&gt;"33 確認済",E1456&lt;&gt;"36 送付中"),1,0))</f>
        <v/>
      </c>
      <c r="AO1456" s="94">
        <f>IF(A1456="","",IF(AG1456&lt;&gt;"",1,0))</f>
        <v/>
      </c>
      <c r="AP1456" s="220">
        <f>IF(P1456&lt;&gt;"","・添待ち","")&amp;IF(Q1456&lt;&gt;"","・住民票","")&amp;IF(R1456&lt;&gt;"","・発信","")&amp;IF(S1456&lt;&gt;"","・確認事項","")&amp;IF(T1456&lt;&gt;"","・管","")&amp;IF(U1456&lt;&gt;"","・SV","")&amp;IF(V1456&lt;&gt;"","・データ送付待ち","")&amp;IF(W1456&lt;&gt;"","・削除","")</f>
        <v/>
      </c>
    </row>
    <row r="1457" ht="15" customHeight="1" s="87">
      <c r="AL1457" s="94">
        <f>IF(A1457="","",IF(COUNTIF(A1457:A$2001,A1457)=1,1,0))</f>
        <v/>
      </c>
      <c r="AM1457" s="94">
        <f>IF(I1457="","",TODAY()-I1457)</f>
        <v/>
      </c>
      <c r="AN1457" s="94">
        <f>IF(A1457="","",IF(AND(E1457&lt;&gt;"33 確認済",E1457&lt;&gt;"36 送付中"),1,0))</f>
        <v/>
      </c>
      <c r="AO1457" s="94">
        <f>IF(A1457="","",IF(AG1457&lt;&gt;"",1,0))</f>
        <v/>
      </c>
      <c r="AP1457" s="220">
        <f>IF(P1457&lt;&gt;"","・添待ち","")&amp;IF(Q1457&lt;&gt;"","・住民票","")&amp;IF(R1457&lt;&gt;"","・発信","")&amp;IF(S1457&lt;&gt;"","・確認事項","")&amp;IF(T1457&lt;&gt;"","・管","")&amp;IF(U1457&lt;&gt;"","・SV","")&amp;IF(V1457&lt;&gt;"","・データ送付待ち","")&amp;IF(W1457&lt;&gt;"","・削除","")</f>
        <v/>
      </c>
    </row>
    <row r="1458" ht="15" customHeight="1" s="87">
      <c r="AL1458" s="94">
        <f>IF(A1458="","",IF(COUNTIF(A1458:A$2001,A1458)=1,1,0))</f>
        <v/>
      </c>
      <c r="AM1458" s="94">
        <f>IF(I1458="","",TODAY()-I1458)</f>
        <v/>
      </c>
      <c r="AN1458" s="94">
        <f>IF(A1458="","",IF(AND(E1458&lt;&gt;"33 確認済",E1458&lt;&gt;"36 送付中"),1,0))</f>
        <v/>
      </c>
      <c r="AO1458" s="94">
        <f>IF(A1458="","",IF(AG1458&lt;&gt;"",1,0))</f>
        <v/>
      </c>
      <c r="AP1458" s="220">
        <f>IF(P1458&lt;&gt;"","・添待ち","")&amp;IF(Q1458&lt;&gt;"","・住民票","")&amp;IF(R1458&lt;&gt;"","・発信","")&amp;IF(S1458&lt;&gt;"","・確認事項","")&amp;IF(T1458&lt;&gt;"","・管","")&amp;IF(U1458&lt;&gt;"","・SV","")&amp;IF(V1458&lt;&gt;"","・データ送付待ち","")&amp;IF(W1458&lt;&gt;"","・削除","")</f>
        <v/>
      </c>
    </row>
    <row r="1459" ht="15" customHeight="1" s="87">
      <c r="AL1459" s="94">
        <f>IF(A1459="","",IF(COUNTIF(A1459:A$2001,A1459)=1,1,0))</f>
        <v/>
      </c>
      <c r="AM1459" s="94">
        <f>IF(I1459="","",TODAY()-I1459)</f>
        <v/>
      </c>
      <c r="AN1459" s="94">
        <f>IF(A1459="","",IF(AND(E1459&lt;&gt;"33 確認済",E1459&lt;&gt;"36 送付中"),1,0))</f>
        <v/>
      </c>
      <c r="AO1459" s="94">
        <f>IF(A1459="","",IF(AG1459&lt;&gt;"",1,0))</f>
        <v/>
      </c>
      <c r="AP1459" s="220">
        <f>IF(P1459&lt;&gt;"","・添待ち","")&amp;IF(Q1459&lt;&gt;"","・住民票","")&amp;IF(R1459&lt;&gt;"","・発信","")&amp;IF(S1459&lt;&gt;"","・確認事項","")&amp;IF(T1459&lt;&gt;"","・管","")&amp;IF(U1459&lt;&gt;"","・SV","")&amp;IF(V1459&lt;&gt;"","・データ送付待ち","")&amp;IF(W1459&lt;&gt;"","・削除","")</f>
        <v/>
      </c>
    </row>
    <row r="1460" ht="15" customHeight="1" s="87">
      <c r="AL1460" s="94">
        <f>IF(A1460="","",IF(COUNTIF(A1460:A$2001,A1460)=1,1,0))</f>
        <v/>
      </c>
      <c r="AM1460" s="94">
        <f>IF(I1460="","",TODAY()-I1460)</f>
        <v/>
      </c>
      <c r="AN1460" s="94">
        <f>IF(A1460="","",IF(AND(E1460&lt;&gt;"33 確認済",E1460&lt;&gt;"36 送付中"),1,0))</f>
        <v/>
      </c>
      <c r="AO1460" s="94">
        <f>IF(A1460="","",IF(AG1460&lt;&gt;"",1,0))</f>
        <v/>
      </c>
      <c r="AP1460" s="220">
        <f>IF(P1460&lt;&gt;"","・添待ち","")&amp;IF(Q1460&lt;&gt;"","・住民票","")&amp;IF(R1460&lt;&gt;"","・発信","")&amp;IF(S1460&lt;&gt;"","・確認事項","")&amp;IF(T1460&lt;&gt;"","・管","")&amp;IF(U1460&lt;&gt;"","・SV","")&amp;IF(V1460&lt;&gt;"","・データ送付待ち","")&amp;IF(W1460&lt;&gt;"","・削除","")</f>
        <v/>
      </c>
    </row>
    <row r="1461" ht="15" customHeight="1" s="87">
      <c r="AL1461" s="94">
        <f>IF(A1461="","",IF(COUNTIF(A1461:A$2001,A1461)=1,1,0))</f>
        <v/>
      </c>
      <c r="AM1461" s="94">
        <f>IF(I1461="","",TODAY()-I1461)</f>
        <v/>
      </c>
      <c r="AN1461" s="94">
        <f>IF(A1461="","",IF(AND(E1461&lt;&gt;"33 確認済",E1461&lt;&gt;"36 送付中"),1,0))</f>
        <v/>
      </c>
      <c r="AO1461" s="94">
        <f>IF(A1461="","",IF(AG1461&lt;&gt;"",1,0))</f>
        <v/>
      </c>
      <c r="AP1461" s="220">
        <f>IF(P1461&lt;&gt;"","・添待ち","")&amp;IF(Q1461&lt;&gt;"","・住民票","")&amp;IF(R1461&lt;&gt;"","・発信","")&amp;IF(S1461&lt;&gt;"","・確認事項","")&amp;IF(T1461&lt;&gt;"","・管","")&amp;IF(U1461&lt;&gt;"","・SV","")&amp;IF(V1461&lt;&gt;"","・データ送付待ち","")&amp;IF(W1461&lt;&gt;"","・削除","")</f>
        <v/>
      </c>
    </row>
    <row r="1462" ht="15" customHeight="1" s="87">
      <c r="AL1462" s="94">
        <f>IF(A1462="","",IF(COUNTIF(A1462:A$2001,A1462)=1,1,0))</f>
        <v/>
      </c>
      <c r="AM1462" s="94">
        <f>IF(I1462="","",TODAY()-I1462)</f>
        <v/>
      </c>
      <c r="AN1462" s="94">
        <f>IF(A1462="","",IF(AND(E1462&lt;&gt;"33 確認済",E1462&lt;&gt;"36 送付中"),1,0))</f>
        <v/>
      </c>
      <c r="AO1462" s="94">
        <f>IF(A1462="","",IF(AG1462&lt;&gt;"",1,0))</f>
        <v/>
      </c>
      <c r="AP1462" s="220">
        <f>IF(P1462&lt;&gt;"","・添待ち","")&amp;IF(Q1462&lt;&gt;"","・住民票","")&amp;IF(R1462&lt;&gt;"","・発信","")&amp;IF(S1462&lt;&gt;"","・確認事項","")&amp;IF(T1462&lt;&gt;"","・管","")&amp;IF(U1462&lt;&gt;"","・SV","")&amp;IF(V1462&lt;&gt;"","・データ送付待ち","")&amp;IF(W1462&lt;&gt;"","・削除","")</f>
        <v/>
      </c>
    </row>
    <row r="1463" ht="15" customHeight="1" s="87">
      <c r="AL1463" s="94">
        <f>IF(A1463="","",IF(COUNTIF(A1463:A$2001,A1463)=1,1,0))</f>
        <v/>
      </c>
      <c r="AM1463" s="94">
        <f>IF(I1463="","",TODAY()-I1463)</f>
        <v/>
      </c>
      <c r="AN1463" s="94">
        <f>IF(A1463="","",IF(AND(E1463&lt;&gt;"33 確認済",E1463&lt;&gt;"36 送付中"),1,0))</f>
        <v/>
      </c>
      <c r="AO1463" s="94">
        <f>IF(A1463="","",IF(AG1463&lt;&gt;"",1,0))</f>
        <v/>
      </c>
      <c r="AP1463" s="220">
        <f>IF(P1463&lt;&gt;"","・添待ち","")&amp;IF(Q1463&lt;&gt;"","・住民票","")&amp;IF(R1463&lt;&gt;"","・発信","")&amp;IF(S1463&lt;&gt;"","・確認事項","")&amp;IF(T1463&lt;&gt;"","・管","")&amp;IF(U1463&lt;&gt;"","・SV","")&amp;IF(V1463&lt;&gt;"","・データ送付待ち","")&amp;IF(W1463&lt;&gt;"","・削除","")</f>
        <v/>
      </c>
    </row>
    <row r="1464" ht="15" customHeight="1" s="87">
      <c r="AL1464" s="94">
        <f>IF(A1464="","",IF(COUNTIF(A1464:A$2001,A1464)=1,1,0))</f>
        <v/>
      </c>
      <c r="AM1464" s="94">
        <f>IF(I1464="","",TODAY()-I1464)</f>
        <v/>
      </c>
      <c r="AN1464" s="94">
        <f>IF(A1464="","",IF(AND(E1464&lt;&gt;"33 確認済",E1464&lt;&gt;"36 送付中"),1,0))</f>
        <v/>
      </c>
      <c r="AO1464" s="94">
        <f>IF(A1464="","",IF(AG1464&lt;&gt;"",1,0))</f>
        <v/>
      </c>
      <c r="AP1464" s="220">
        <f>IF(P1464&lt;&gt;"","・添待ち","")&amp;IF(Q1464&lt;&gt;"","・住民票","")&amp;IF(R1464&lt;&gt;"","・発信","")&amp;IF(S1464&lt;&gt;"","・確認事項","")&amp;IF(T1464&lt;&gt;"","・管","")&amp;IF(U1464&lt;&gt;"","・SV","")&amp;IF(V1464&lt;&gt;"","・データ送付待ち","")&amp;IF(W1464&lt;&gt;"","・削除","")</f>
        <v/>
      </c>
    </row>
    <row r="1465" ht="15" customHeight="1" s="87">
      <c r="AL1465" s="94">
        <f>IF(A1465="","",IF(COUNTIF(A1465:A$2001,A1465)=1,1,0))</f>
        <v/>
      </c>
      <c r="AM1465" s="94">
        <f>IF(I1465="","",TODAY()-I1465)</f>
        <v/>
      </c>
      <c r="AN1465" s="94">
        <f>IF(A1465="","",IF(AND(E1465&lt;&gt;"33 確認済",E1465&lt;&gt;"36 送付中"),1,0))</f>
        <v/>
      </c>
      <c r="AO1465" s="94">
        <f>IF(A1465="","",IF(AG1465&lt;&gt;"",1,0))</f>
        <v/>
      </c>
      <c r="AP1465" s="220">
        <f>IF(P1465&lt;&gt;"","・添待ち","")&amp;IF(Q1465&lt;&gt;"","・住民票","")&amp;IF(R1465&lt;&gt;"","・発信","")&amp;IF(S1465&lt;&gt;"","・確認事項","")&amp;IF(T1465&lt;&gt;"","・管","")&amp;IF(U1465&lt;&gt;"","・SV","")&amp;IF(V1465&lt;&gt;"","・データ送付待ち","")&amp;IF(W1465&lt;&gt;"","・削除","")</f>
        <v/>
      </c>
    </row>
    <row r="1466" ht="15" customHeight="1" s="87">
      <c r="AL1466" s="94">
        <f>IF(A1466="","",IF(COUNTIF(A1466:A$2001,A1466)=1,1,0))</f>
        <v/>
      </c>
      <c r="AM1466" s="94">
        <f>IF(I1466="","",TODAY()-I1466)</f>
        <v/>
      </c>
      <c r="AN1466" s="94">
        <f>IF(A1466="","",IF(AND(E1466&lt;&gt;"33 確認済",E1466&lt;&gt;"36 送付中"),1,0))</f>
        <v/>
      </c>
      <c r="AO1466" s="94">
        <f>IF(A1466="","",IF(AG1466&lt;&gt;"",1,0))</f>
        <v/>
      </c>
      <c r="AP1466" s="220">
        <f>IF(P1466&lt;&gt;"","・添待ち","")&amp;IF(Q1466&lt;&gt;"","・住民票","")&amp;IF(R1466&lt;&gt;"","・発信","")&amp;IF(S1466&lt;&gt;"","・確認事項","")&amp;IF(T1466&lt;&gt;"","・管","")&amp;IF(U1466&lt;&gt;"","・SV","")&amp;IF(V1466&lt;&gt;"","・データ送付待ち","")&amp;IF(W1466&lt;&gt;"","・削除","")</f>
        <v/>
      </c>
    </row>
    <row r="1467" ht="15" customHeight="1" s="87">
      <c r="AL1467" s="94">
        <f>IF(A1467="","",IF(COUNTIF(A1467:A$2001,A1467)=1,1,0))</f>
        <v/>
      </c>
      <c r="AM1467" s="94">
        <f>IF(I1467="","",TODAY()-I1467)</f>
        <v/>
      </c>
      <c r="AN1467" s="94">
        <f>IF(A1467="","",IF(AND(E1467&lt;&gt;"33 確認済",E1467&lt;&gt;"36 送付中"),1,0))</f>
        <v/>
      </c>
      <c r="AO1467" s="94">
        <f>IF(A1467="","",IF(AG1467&lt;&gt;"",1,0))</f>
        <v/>
      </c>
      <c r="AP1467" s="220">
        <f>IF(P1467&lt;&gt;"","・添待ち","")&amp;IF(Q1467&lt;&gt;"","・住民票","")&amp;IF(R1467&lt;&gt;"","・発信","")&amp;IF(S1467&lt;&gt;"","・確認事項","")&amp;IF(T1467&lt;&gt;"","・管","")&amp;IF(U1467&lt;&gt;"","・SV","")&amp;IF(V1467&lt;&gt;"","・データ送付待ち","")&amp;IF(W1467&lt;&gt;"","・削除","")</f>
        <v/>
      </c>
    </row>
    <row r="1468" ht="15" customHeight="1" s="87">
      <c r="AL1468" s="94">
        <f>IF(A1468="","",IF(COUNTIF(A1468:A$2001,A1468)=1,1,0))</f>
        <v/>
      </c>
      <c r="AM1468" s="94">
        <f>IF(I1468="","",TODAY()-I1468)</f>
        <v/>
      </c>
      <c r="AN1468" s="94">
        <f>IF(A1468="","",IF(AND(E1468&lt;&gt;"33 確認済",E1468&lt;&gt;"36 送付中"),1,0))</f>
        <v/>
      </c>
      <c r="AO1468" s="94">
        <f>IF(A1468="","",IF(AG1468&lt;&gt;"",1,0))</f>
        <v/>
      </c>
      <c r="AP1468" s="220">
        <f>IF(P1468&lt;&gt;"","・添待ち","")&amp;IF(Q1468&lt;&gt;"","・住民票","")&amp;IF(R1468&lt;&gt;"","・発信","")&amp;IF(S1468&lt;&gt;"","・確認事項","")&amp;IF(T1468&lt;&gt;"","・管","")&amp;IF(U1468&lt;&gt;"","・SV","")&amp;IF(V1468&lt;&gt;"","・データ送付待ち","")&amp;IF(W1468&lt;&gt;"","・削除","")</f>
        <v/>
      </c>
    </row>
    <row r="1469" ht="15" customHeight="1" s="87">
      <c r="AL1469" s="94">
        <f>IF(A1469="","",IF(COUNTIF(A1469:A$2001,A1469)=1,1,0))</f>
        <v/>
      </c>
      <c r="AM1469" s="94">
        <f>IF(I1469="","",TODAY()-I1469)</f>
        <v/>
      </c>
      <c r="AN1469" s="94">
        <f>IF(A1469="","",IF(AND(E1469&lt;&gt;"33 確認済",E1469&lt;&gt;"36 送付中"),1,0))</f>
        <v/>
      </c>
      <c r="AO1469" s="94">
        <f>IF(A1469="","",IF(AG1469&lt;&gt;"",1,0))</f>
        <v/>
      </c>
      <c r="AP1469" s="220">
        <f>IF(P1469&lt;&gt;"","・添待ち","")&amp;IF(Q1469&lt;&gt;"","・住民票","")&amp;IF(R1469&lt;&gt;"","・発信","")&amp;IF(S1469&lt;&gt;"","・確認事項","")&amp;IF(T1469&lt;&gt;"","・管","")&amp;IF(U1469&lt;&gt;"","・SV","")&amp;IF(V1469&lt;&gt;"","・データ送付待ち","")&amp;IF(W1469&lt;&gt;"","・削除","")</f>
        <v/>
      </c>
    </row>
    <row r="1470" ht="15" customHeight="1" s="87">
      <c r="AL1470" s="94">
        <f>IF(A1470="","",IF(COUNTIF(A1470:A$2001,A1470)=1,1,0))</f>
        <v/>
      </c>
      <c r="AM1470" s="94">
        <f>IF(I1470="","",TODAY()-I1470)</f>
        <v/>
      </c>
      <c r="AN1470" s="94">
        <f>IF(A1470="","",IF(AND(E1470&lt;&gt;"33 確認済",E1470&lt;&gt;"36 送付中"),1,0))</f>
        <v/>
      </c>
      <c r="AO1470" s="94">
        <f>IF(A1470="","",IF(AG1470&lt;&gt;"",1,0))</f>
        <v/>
      </c>
      <c r="AP1470" s="220">
        <f>IF(P1470&lt;&gt;"","・添待ち","")&amp;IF(Q1470&lt;&gt;"","・住民票","")&amp;IF(R1470&lt;&gt;"","・発信","")&amp;IF(S1470&lt;&gt;"","・確認事項","")&amp;IF(T1470&lt;&gt;"","・管","")&amp;IF(U1470&lt;&gt;"","・SV","")&amp;IF(V1470&lt;&gt;"","・データ送付待ち","")&amp;IF(W1470&lt;&gt;"","・削除","")</f>
        <v/>
      </c>
    </row>
    <row r="1471" ht="15" customHeight="1" s="87">
      <c r="AL1471" s="94">
        <f>IF(A1471="","",IF(COUNTIF(A1471:A$2001,A1471)=1,1,0))</f>
        <v/>
      </c>
      <c r="AM1471" s="94">
        <f>IF(I1471="","",TODAY()-I1471)</f>
        <v/>
      </c>
      <c r="AN1471" s="94">
        <f>IF(A1471="","",IF(AND(E1471&lt;&gt;"33 確認済",E1471&lt;&gt;"36 送付中"),1,0))</f>
        <v/>
      </c>
      <c r="AO1471" s="94">
        <f>IF(A1471="","",IF(AG1471&lt;&gt;"",1,0))</f>
        <v/>
      </c>
      <c r="AP1471" s="220">
        <f>IF(P1471&lt;&gt;"","・添待ち","")&amp;IF(Q1471&lt;&gt;"","・住民票","")&amp;IF(R1471&lt;&gt;"","・発信","")&amp;IF(S1471&lt;&gt;"","・確認事項","")&amp;IF(T1471&lt;&gt;"","・管","")&amp;IF(U1471&lt;&gt;"","・SV","")&amp;IF(V1471&lt;&gt;"","・データ送付待ち","")&amp;IF(W1471&lt;&gt;"","・削除","")</f>
        <v/>
      </c>
    </row>
    <row r="1472" ht="15" customHeight="1" s="87">
      <c r="AL1472" s="94">
        <f>IF(A1472="","",IF(COUNTIF(A1472:A$2001,A1472)=1,1,0))</f>
        <v/>
      </c>
      <c r="AM1472" s="94">
        <f>IF(I1472="","",TODAY()-I1472)</f>
        <v/>
      </c>
      <c r="AN1472" s="94">
        <f>IF(A1472="","",IF(AND(E1472&lt;&gt;"33 確認済",E1472&lt;&gt;"36 送付中"),1,0))</f>
        <v/>
      </c>
      <c r="AO1472" s="94">
        <f>IF(A1472="","",IF(AG1472&lt;&gt;"",1,0))</f>
        <v/>
      </c>
      <c r="AP1472" s="220">
        <f>IF(P1472&lt;&gt;"","・添待ち","")&amp;IF(Q1472&lt;&gt;"","・住民票","")&amp;IF(R1472&lt;&gt;"","・発信","")&amp;IF(S1472&lt;&gt;"","・確認事項","")&amp;IF(T1472&lt;&gt;"","・管","")&amp;IF(U1472&lt;&gt;"","・SV","")&amp;IF(V1472&lt;&gt;"","・データ送付待ち","")&amp;IF(W1472&lt;&gt;"","・削除","")</f>
        <v/>
      </c>
    </row>
    <row r="1473" ht="15" customHeight="1" s="87">
      <c r="AL1473" s="94">
        <f>IF(A1473="","",IF(COUNTIF(A1473:A$2001,A1473)=1,1,0))</f>
        <v/>
      </c>
      <c r="AM1473" s="94">
        <f>IF(I1473="","",TODAY()-I1473)</f>
        <v/>
      </c>
      <c r="AN1473" s="94">
        <f>IF(A1473="","",IF(AND(E1473&lt;&gt;"33 確認済",E1473&lt;&gt;"36 送付中"),1,0))</f>
        <v/>
      </c>
      <c r="AO1473" s="94">
        <f>IF(A1473="","",IF(AG1473&lt;&gt;"",1,0))</f>
        <v/>
      </c>
      <c r="AP1473" s="220">
        <f>IF(P1473&lt;&gt;"","・添待ち","")&amp;IF(Q1473&lt;&gt;"","・住民票","")&amp;IF(R1473&lt;&gt;"","・発信","")&amp;IF(S1473&lt;&gt;"","・確認事項","")&amp;IF(T1473&lt;&gt;"","・管","")&amp;IF(U1473&lt;&gt;"","・SV","")&amp;IF(V1473&lt;&gt;"","・データ送付待ち","")&amp;IF(W1473&lt;&gt;"","・削除","")</f>
        <v/>
      </c>
    </row>
    <row r="1474" ht="15" customHeight="1" s="87">
      <c r="AL1474" s="94">
        <f>IF(A1474="","",IF(COUNTIF(A1474:A$2001,A1474)=1,1,0))</f>
        <v/>
      </c>
      <c r="AM1474" s="94">
        <f>IF(I1474="","",TODAY()-I1474)</f>
        <v/>
      </c>
      <c r="AN1474" s="94">
        <f>IF(A1474="","",IF(AND(E1474&lt;&gt;"33 確認済",E1474&lt;&gt;"36 送付中"),1,0))</f>
        <v/>
      </c>
      <c r="AO1474" s="94">
        <f>IF(A1474="","",IF(AG1474&lt;&gt;"",1,0))</f>
        <v/>
      </c>
      <c r="AP1474" s="220">
        <f>IF(P1474&lt;&gt;"","・添待ち","")&amp;IF(Q1474&lt;&gt;"","・住民票","")&amp;IF(R1474&lt;&gt;"","・発信","")&amp;IF(S1474&lt;&gt;"","・確認事項","")&amp;IF(T1474&lt;&gt;"","・管","")&amp;IF(U1474&lt;&gt;"","・SV","")&amp;IF(V1474&lt;&gt;"","・データ送付待ち","")&amp;IF(W1474&lt;&gt;"","・削除","")</f>
        <v/>
      </c>
    </row>
    <row r="1475" ht="15" customHeight="1" s="87">
      <c r="AL1475" s="94">
        <f>IF(A1475="","",IF(COUNTIF(A1475:A$2001,A1475)=1,1,0))</f>
        <v/>
      </c>
      <c r="AM1475" s="94">
        <f>IF(I1475="","",TODAY()-I1475)</f>
        <v/>
      </c>
      <c r="AN1475" s="94">
        <f>IF(A1475="","",IF(AND(E1475&lt;&gt;"33 確認済",E1475&lt;&gt;"36 送付中"),1,0))</f>
        <v/>
      </c>
      <c r="AO1475" s="94">
        <f>IF(A1475="","",IF(AG1475&lt;&gt;"",1,0))</f>
        <v/>
      </c>
      <c r="AP1475" s="220">
        <f>IF(P1475&lt;&gt;"","・添待ち","")&amp;IF(Q1475&lt;&gt;"","・住民票","")&amp;IF(R1475&lt;&gt;"","・発信","")&amp;IF(S1475&lt;&gt;"","・確認事項","")&amp;IF(T1475&lt;&gt;"","・管","")&amp;IF(U1475&lt;&gt;"","・SV","")&amp;IF(V1475&lt;&gt;"","・データ送付待ち","")&amp;IF(W1475&lt;&gt;"","・削除","")</f>
        <v/>
      </c>
    </row>
    <row r="1476" ht="15" customHeight="1" s="87">
      <c r="AL1476" s="94">
        <f>IF(A1476="","",IF(COUNTIF(A1476:A$2001,A1476)=1,1,0))</f>
        <v/>
      </c>
      <c r="AM1476" s="94">
        <f>IF(I1476="","",TODAY()-I1476)</f>
        <v/>
      </c>
      <c r="AN1476" s="94">
        <f>IF(A1476="","",IF(AND(E1476&lt;&gt;"33 確認済",E1476&lt;&gt;"36 送付中"),1,0))</f>
        <v/>
      </c>
      <c r="AO1476" s="94">
        <f>IF(A1476="","",IF(AG1476&lt;&gt;"",1,0))</f>
        <v/>
      </c>
      <c r="AP1476" s="220">
        <f>IF(P1476&lt;&gt;"","・添待ち","")&amp;IF(Q1476&lt;&gt;"","・住民票","")&amp;IF(R1476&lt;&gt;"","・発信","")&amp;IF(S1476&lt;&gt;"","・確認事項","")&amp;IF(T1476&lt;&gt;"","・管","")&amp;IF(U1476&lt;&gt;"","・SV","")&amp;IF(V1476&lt;&gt;"","・データ送付待ち","")&amp;IF(W1476&lt;&gt;"","・削除","")</f>
        <v/>
      </c>
    </row>
    <row r="1477" ht="15" customHeight="1" s="87">
      <c r="AL1477" s="94">
        <f>IF(A1477="","",IF(COUNTIF(A1477:A$2001,A1477)=1,1,0))</f>
        <v/>
      </c>
      <c r="AM1477" s="94">
        <f>IF(I1477="","",TODAY()-I1477)</f>
        <v/>
      </c>
      <c r="AN1477" s="94">
        <f>IF(A1477="","",IF(AND(E1477&lt;&gt;"33 確認済",E1477&lt;&gt;"36 送付中"),1,0))</f>
        <v/>
      </c>
      <c r="AO1477" s="94">
        <f>IF(A1477="","",IF(AG1477&lt;&gt;"",1,0))</f>
        <v/>
      </c>
      <c r="AP1477" s="220">
        <f>IF(P1477&lt;&gt;"","・添待ち","")&amp;IF(Q1477&lt;&gt;"","・住民票","")&amp;IF(R1477&lt;&gt;"","・発信","")&amp;IF(S1477&lt;&gt;"","・確認事項","")&amp;IF(T1477&lt;&gt;"","・管","")&amp;IF(U1477&lt;&gt;"","・SV","")&amp;IF(V1477&lt;&gt;"","・データ送付待ち","")&amp;IF(W1477&lt;&gt;"","・削除","")</f>
        <v/>
      </c>
    </row>
    <row r="1478" ht="15" customHeight="1" s="87">
      <c r="AL1478" s="94">
        <f>IF(A1478="","",IF(COUNTIF(A1478:A$2001,A1478)=1,1,0))</f>
        <v/>
      </c>
      <c r="AM1478" s="94">
        <f>IF(I1478="","",TODAY()-I1478)</f>
        <v/>
      </c>
      <c r="AN1478" s="94">
        <f>IF(A1478="","",IF(AND(E1478&lt;&gt;"33 確認済",E1478&lt;&gt;"36 送付中"),1,0))</f>
        <v/>
      </c>
      <c r="AO1478" s="94">
        <f>IF(A1478="","",IF(AG1478&lt;&gt;"",1,0))</f>
        <v/>
      </c>
      <c r="AP1478" s="220">
        <f>IF(P1478&lt;&gt;"","・添待ち","")&amp;IF(Q1478&lt;&gt;"","・住民票","")&amp;IF(R1478&lt;&gt;"","・発信","")&amp;IF(S1478&lt;&gt;"","・確認事項","")&amp;IF(T1478&lt;&gt;"","・管","")&amp;IF(U1478&lt;&gt;"","・SV","")&amp;IF(V1478&lt;&gt;"","・データ送付待ち","")&amp;IF(W1478&lt;&gt;"","・削除","")</f>
        <v/>
      </c>
    </row>
    <row r="1479" ht="15" customHeight="1" s="87">
      <c r="AL1479" s="94">
        <f>IF(A1479="","",IF(COUNTIF(A1479:A$2001,A1479)=1,1,0))</f>
        <v/>
      </c>
      <c r="AM1479" s="94">
        <f>IF(I1479="","",TODAY()-I1479)</f>
        <v/>
      </c>
      <c r="AN1479" s="94">
        <f>IF(A1479="","",IF(AND(E1479&lt;&gt;"33 確認済",E1479&lt;&gt;"36 送付中"),1,0))</f>
        <v/>
      </c>
      <c r="AO1479" s="94">
        <f>IF(A1479="","",IF(AG1479&lt;&gt;"",1,0))</f>
        <v/>
      </c>
      <c r="AP1479" s="220">
        <f>IF(P1479&lt;&gt;"","・添待ち","")&amp;IF(Q1479&lt;&gt;"","・住民票","")&amp;IF(R1479&lt;&gt;"","・発信","")&amp;IF(S1479&lt;&gt;"","・確認事項","")&amp;IF(T1479&lt;&gt;"","・管","")&amp;IF(U1479&lt;&gt;"","・SV","")&amp;IF(V1479&lt;&gt;"","・データ送付待ち","")&amp;IF(W1479&lt;&gt;"","・削除","")</f>
        <v/>
      </c>
    </row>
    <row r="1480" ht="15" customHeight="1" s="87">
      <c r="AL1480" s="94">
        <f>IF(A1480="","",IF(COUNTIF(A1480:A$2001,A1480)=1,1,0))</f>
        <v/>
      </c>
      <c r="AM1480" s="94">
        <f>IF(I1480="","",TODAY()-I1480)</f>
        <v/>
      </c>
      <c r="AN1480" s="94">
        <f>IF(A1480="","",IF(AND(E1480&lt;&gt;"33 確認済",E1480&lt;&gt;"36 送付中"),1,0))</f>
        <v/>
      </c>
      <c r="AO1480" s="94">
        <f>IF(A1480="","",IF(AG1480&lt;&gt;"",1,0))</f>
        <v/>
      </c>
      <c r="AP1480" s="220">
        <f>IF(P1480&lt;&gt;"","・添待ち","")&amp;IF(Q1480&lt;&gt;"","・住民票","")&amp;IF(R1480&lt;&gt;"","・発信","")&amp;IF(S1480&lt;&gt;"","・確認事項","")&amp;IF(T1480&lt;&gt;"","・管","")&amp;IF(U1480&lt;&gt;"","・SV","")&amp;IF(V1480&lt;&gt;"","・データ送付待ち","")&amp;IF(W1480&lt;&gt;"","・削除","")</f>
        <v/>
      </c>
    </row>
    <row r="1481" ht="15" customHeight="1" s="87">
      <c r="AL1481" s="94">
        <f>IF(A1481="","",IF(COUNTIF(A1481:A$2001,A1481)=1,1,0))</f>
        <v/>
      </c>
      <c r="AM1481" s="94">
        <f>IF(I1481="","",TODAY()-I1481)</f>
        <v/>
      </c>
      <c r="AN1481" s="94">
        <f>IF(A1481="","",IF(AND(E1481&lt;&gt;"33 確認済",E1481&lt;&gt;"36 送付中"),1,0))</f>
        <v/>
      </c>
      <c r="AO1481" s="94">
        <f>IF(A1481="","",IF(AG1481&lt;&gt;"",1,0))</f>
        <v/>
      </c>
      <c r="AP1481" s="220">
        <f>IF(P1481&lt;&gt;"","・添待ち","")&amp;IF(Q1481&lt;&gt;"","・住民票","")&amp;IF(R1481&lt;&gt;"","・発信","")&amp;IF(S1481&lt;&gt;"","・確認事項","")&amp;IF(T1481&lt;&gt;"","・管","")&amp;IF(U1481&lt;&gt;"","・SV","")&amp;IF(V1481&lt;&gt;"","・データ送付待ち","")&amp;IF(W1481&lt;&gt;"","・削除","")</f>
        <v/>
      </c>
    </row>
    <row r="1482" ht="15" customHeight="1" s="87">
      <c r="AL1482" s="94">
        <f>IF(A1482="","",IF(COUNTIF(A1482:A$2001,A1482)=1,1,0))</f>
        <v/>
      </c>
      <c r="AM1482" s="94">
        <f>IF(I1482="","",TODAY()-I1482)</f>
        <v/>
      </c>
      <c r="AN1482" s="94">
        <f>IF(A1482="","",IF(AND(E1482&lt;&gt;"33 確認済",E1482&lt;&gt;"36 送付中"),1,0))</f>
        <v/>
      </c>
      <c r="AO1482" s="94">
        <f>IF(A1482="","",IF(AG1482&lt;&gt;"",1,0))</f>
        <v/>
      </c>
      <c r="AP1482" s="220">
        <f>IF(P1482&lt;&gt;"","・添待ち","")&amp;IF(Q1482&lt;&gt;"","・住民票","")&amp;IF(R1482&lt;&gt;"","・発信","")&amp;IF(S1482&lt;&gt;"","・確認事項","")&amp;IF(T1482&lt;&gt;"","・管","")&amp;IF(U1482&lt;&gt;"","・SV","")&amp;IF(V1482&lt;&gt;"","・データ送付待ち","")&amp;IF(W1482&lt;&gt;"","・削除","")</f>
        <v/>
      </c>
    </row>
    <row r="1483" ht="15" customHeight="1" s="87">
      <c r="AL1483" s="94">
        <f>IF(A1483="","",IF(COUNTIF(A1483:A$2001,A1483)=1,1,0))</f>
        <v/>
      </c>
      <c r="AM1483" s="94">
        <f>IF(I1483="","",TODAY()-I1483)</f>
        <v/>
      </c>
      <c r="AN1483" s="94">
        <f>IF(A1483="","",IF(AND(E1483&lt;&gt;"33 確認済",E1483&lt;&gt;"36 送付中"),1,0))</f>
        <v/>
      </c>
      <c r="AO1483" s="94">
        <f>IF(A1483="","",IF(AG1483&lt;&gt;"",1,0))</f>
        <v/>
      </c>
      <c r="AP1483" s="220">
        <f>IF(P1483&lt;&gt;"","・添待ち","")&amp;IF(Q1483&lt;&gt;"","・住民票","")&amp;IF(R1483&lt;&gt;"","・発信","")&amp;IF(S1483&lt;&gt;"","・確認事項","")&amp;IF(T1483&lt;&gt;"","・管","")&amp;IF(U1483&lt;&gt;"","・SV","")&amp;IF(V1483&lt;&gt;"","・データ送付待ち","")&amp;IF(W1483&lt;&gt;"","・削除","")</f>
        <v/>
      </c>
    </row>
    <row r="1484" ht="15" customHeight="1" s="87">
      <c r="AL1484" s="94">
        <f>IF(A1484="","",IF(COUNTIF(A1484:A$2001,A1484)=1,1,0))</f>
        <v/>
      </c>
      <c r="AM1484" s="94">
        <f>IF(I1484="","",TODAY()-I1484)</f>
        <v/>
      </c>
      <c r="AN1484" s="94">
        <f>IF(A1484="","",IF(AND(E1484&lt;&gt;"33 確認済",E1484&lt;&gt;"36 送付中"),1,0))</f>
        <v/>
      </c>
      <c r="AO1484" s="94">
        <f>IF(A1484="","",IF(AG1484&lt;&gt;"",1,0))</f>
        <v/>
      </c>
      <c r="AP1484" s="220">
        <f>IF(P1484&lt;&gt;"","・添待ち","")&amp;IF(Q1484&lt;&gt;"","・住民票","")&amp;IF(R1484&lt;&gt;"","・発信","")&amp;IF(S1484&lt;&gt;"","・確認事項","")&amp;IF(T1484&lt;&gt;"","・管","")&amp;IF(U1484&lt;&gt;"","・SV","")&amp;IF(V1484&lt;&gt;"","・データ送付待ち","")&amp;IF(W1484&lt;&gt;"","・削除","")</f>
        <v/>
      </c>
    </row>
    <row r="1485" ht="15" customHeight="1" s="87">
      <c r="AL1485" s="94">
        <f>IF(A1485="","",IF(COUNTIF(A1485:A$2001,A1485)=1,1,0))</f>
        <v/>
      </c>
      <c r="AM1485" s="94">
        <f>IF(I1485="","",TODAY()-I1485)</f>
        <v/>
      </c>
      <c r="AN1485" s="94">
        <f>IF(A1485="","",IF(AND(E1485&lt;&gt;"33 確認済",E1485&lt;&gt;"36 送付中"),1,0))</f>
        <v/>
      </c>
      <c r="AO1485" s="94">
        <f>IF(A1485="","",IF(AG1485&lt;&gt;"",1,0))</f>
        <v/>
      </c>
      <c r="AP1485" s="220">
        <f>IF(P1485&lt;&gt;"","・添待ち","")&amp;IF(Q1485&lt;&gt;"","・住民票","")&amp;IF(R1485&lt;&gt;"","・発信","")&amp;IF(S1485&lt;&gt;"","・確認事項","")&amp;IF(T1485&lt;&gt;"","・管","")&amp;IF(U1485&lt;&gt;"","・SV","")&amp;IF(V1485&lt;&gt;"","・データ送付待ち","")&amp;IF(W1485&lt;&gt;"","・削除","")</f>
        <v/>
      </c>
    </row>
    <row r="1486" ht="15" customHeight="1" s="87">
      <c r="AL1486" s="94">
        <f>IF(A1486="","",IF(COUNTIF(A1486:A$2001,A1486)=1,1,0))</f>
        <v/>
      </c>
      <c r="AM1486" s="94">
        <f>IF(I1486="","",TODAY()-I1486)</f>
        <v/>
      </c>
      <c r="AN1486" s="94">
        <f>IF(A1486="","",IF(AND(E1486&lt;&gt;"33 確認済",E1486&lt;&gt;"36 送付中"),1,0))</f>
        <v/>
      </c>
      <c r="AO1486" s="94">
        <f>IF(A1486="","",IF(AG1486&lt;&gt;"",1,0))</f>
        <v/>
      </c>
      <c r="AP1486" s="220">
        <f>IF(P1486&lt;&gt;"","・添待ち","")&amp;IF(Q1486&lt;&gt;"","・住民票","")&amp;IF(R1486&lt;&gt;"","・発信","")&amp;IF(S1486&lt;&gt;"","・確認事項","")&amp;IF(T1486&lt;&gt;"","・管","")&amp;IF(U1486&lt;&gt;"","・SV","")&amp;IF(V1486&lt;&gt;"","・データ送付待ち","")&amp;IF(W1486&lt;&gt;"","・削除","")</f>
        <v/>
      </c>
    </row>
    <row r="1487" ht="15" customHeight="1" s="87">
      <c r="AL1487" s="94">
        <f>IF(A1487="","",IF(COUNTIF(A1487:A$2001,A1487)=1,1,0))</f>
        <v/>
      </c>
      <c r="AM1487" s="94">
        <f>IF(I1487="","",TODAY()-I1487)</f>
        <v/>
      </c>
      <c r="AN1487" s="94">
        <f>IF(A1487="","",IF(AND(E1487&lt;&gt;"33 確認済",E1487&lt;&gt;"36 送付中"),1,0))</f>
        <v/>
      </c>
      <c r="AO1487" s="94">
        <f>IF(A1487="","",IF(AG1487&lt;&gt;"",1,0))</f>
        <v/>
      </c>
      <c r="AP1487" s="220">
        <f>IF(P1487&lt;&gt;"","・添待ち","")&amp;IF(Q1487&lt;&gt;"","・住民票","")&amp;IF(R1487&lt;&gt;"","・発信","")&amp;IF(S1487&lt;&gt;"","・確認事項","")&amp;IF(T1487&lt;&gt;"","・管","")&amp;IF(U1487&lt;&gt;"","・SV","")&amp;IF(V1487&lt;&gt;"","・データ送付待ち","")&amp;IF(W1487&lt;&gt;"","・削除","")</f>
        <v/>
      </c>
    </row>
    <row r="1488" ht="15" customHeight="1" s="87">
      <c r="AL1488" s="94">
        <f>IF(A1488="","",IF(COUNTIF(A1488:A$2001,A1488)=1,1,0))</f>
        <v/>
      </c>
      <c r="AM1488" s="94">
        <f>IF(I1488="","",TODAY()-I1488)</f>
        <v/>
      </c>
      <c r="AN1488" s="94">
        <f>IF(A1488="","",IF(AND(E1488&lt;&gt;"33 確認済",E1488&lt;&gt;"36 送付中"),1,0))</f>
        <v/>
      </c>
      <c r="AO1488" s="94">
        <f>IF(A1488="","",IF(AG1488&lt;&gt;"",1,0))</f>
        <v/>
      </c>
      <c r="AP1488" s="220">
        <f>IF(P1488&lt;&gt;"","・添待ち","")&amp;IF(Q1488&lt;&gt;"","・住民票","")&amp;IF(R1488&lt;&gt;"","・発信","")&amp;IF(S1488&lt;&gt;"","・確認事項","")&amp;IF(T1488&lt;&gt;"","・管","")&amp;IF(U1488&lt;&gt;"","・SV","")&amp;IF(V1488&lt;&gt;"","・データ送付待ち","")&amp;IF(W1488&lt;&gt;"","・削除","")</f>
        <v/>
      </c>
    </row>
    <row r="1489" ht="15" customHeight="1" s="87">
      <c r="AL1489" s="94">
        <f>IF(A1489="","",IF(COUNTIF(A1489:A$2001,A1489)=1,1,0))</f>
        <v/>
      </c>
      <c r="AM1489" s="94">
        <f>IF(I1489="","",TODAY()-I1489)</f>
        <v/>
      </c>
      <c r="AN1489" s="94">
        <f>IF(A1489="","",IF(AND(E1489&lt;&gt;"33 確認済",E1489&lt;&gt;"36 送付中"),1,0))</f>
        <v/>
      </c>
      <c r="AO1489" s="94">
        <f>IF(A1489="","",IF(AG1489&lt;&gt;"",1,0))</f>
        <v/>
      </c>
      <c r="AP1489" s="220">
        <f>IF(P1489&lt;&gt;"","・添待ち","")&amp;IF(Q1489&lt;&gt;"","・住民票","")&amp;IF(R1489&lt;&gt;"","・発信","")&amp;IF(S1489&lt;&gt;"","・確認事項","")&amp;IF(T1489&lt;&gt;"","・管","")&amp;IF(U1489&lt;&gt;"","・SV","")&amp;IF(V1489&lt;&gt;"","・データ送付待ち","")&amp;IF(W1489&lt;&gt;"","・削除","")</f>
        <v/>
      </c>
    </row>
    <row r="1490" ht="15" customHeight="1" s="87">
      <c r="AL1490" s="94">
        <f>IF(A1490="","",IF(COUNTIF(A1490:A$2001,A1490)=1,1,0))</f>
        <v/>
      </c>
      <c r="AM1490" s="94">
        <f>IF(I1490="","",TODAY()-I1490)</f>
        <v/>
      </c>
      <c r="AN1490" s="94">
        <f>IF(A1490="","",IF(AND(E1490&lt;&gt;"33 確認済",E1490&lt;&gt;"36 送付中"),1,0))</f>
        <v/>
      </c>
      <c r="AO1490" s="94">
        <f>IF(A1490="","",IF(AG1490&lt;&gt;"",1,0))</f>
        <v/>
      </c>
      <c r="AP1490" s="220">
        <f>IF(P1490&lt;&gt;"","・添待ち","")&amp;IF(Q1490&lt;&gt;"","・住民票","")&amp;IF(R1490&lt;&gt;"","・発信","")&amp;IF(S1490&lt;&gt;"","・確認事項","")&amp;IF(T1490&lt;&gt;"","・管","")&amp;IF(U1490&lt;&gt;"","・SV","")&amp;IF(V1490&lt;&gt;"","・データ送付待ち","")&amp;IF(W1490&lt;&gt;"","・削除","")</f>
        <v/>
      </c>
    </row>
    <row r="1491" ht="15" customHeight="1" s="87">
      <c r="AL1491" s="94">
        <f>IF(A1491="","",IF(COUNTIF(A1491:A$2001,A1491)=1,1,0))</f>
        <v/>
      </c>
      <c r="AM1491" s="94">
        <f>IF(I1491="","",TODAY()-I1491)</f>
        <v/>
      </c>
      <c r="AN1491" s="94">
        <f>IF(A1491="","",IF(AND(E1491&lt;&gt;"33 確認済",E1491&lt;&gt;"36 送付中"),1,0))</f>
        <v/>
      </c>
      <c r="AO1491" s="94">
        <f>IF(A1491="","",IF(AG1491&lt;&gt;"",1,0))</f>
        <v/>
      </c>
      <c r="AP1491" s="220">
        <f>IF(P1491&lt;&gt;"","・添待ち","")&amp;IF(Q1491&lt;&gt;"","・住民票","")&amp;IF(R1491&lt;&gt;"","・発信","")&amp;IF(S1491&lt;&gt;"","・確認事項","")&amp;IF(T1491&lt;&gt;"","・管","")&amp;IF(U1491&lt;&gt;"","・SV","")&amp;IF(V1491&lt;&gt;"","・データ送付待ち","")&amp;IF(W1491&lt;&gt;"","・削除","")</f>
        <v/>
      </c>
    </row>
    <row r="1492" ht="15" customHeight="1" s="87">
      <c r="AL1492" s="94">
        <f>IF(A1492="","",IF(COUNTIF(A1492:A$2001,A1492)=1,1,0))</f>
        <v/>
      </c>
      <c r="AM1492" s="94">
        <f>IF(I1492="","",TODAY()-I1492)</f>
        <v/>
      </c>
      <c r="AN1492" s="94">
        <f>IF(A1492="","",IF(AND(E1492&lt;&gt;"33 確認済",E1492&lt;&gt;"36 送付中"),1,0))</f>
        <v/>
      </c>
      <c r="AO1492" s="94">
        <f>IF(A1492="","",IF(AG1492&lt;&gt;"",1,0))</f>
        <v/>
      </c>
      <c r="AP1492" s="220">
        <f>IF(P1492&lt;&gt;"","・添待ち","")&amp;IF(Q1492&lt;&gt;"","・住民票","")&amp;IF(R1492&lt;&gt;"","・発信","")&amp;IF(S1492&lt;&gt;"","・確認事項","")&amp;IF(T1492&lt;&gt;"","・管","")&amp;IF(U1492&lt;&gt;"","・SV","")&amp;IF(V1492&lt;&gt;"","・データ送付待ち","")&amp;IF(W1492&lt;&gt;"","・削除","")</f>
        <v/>
      </c>
    </row>
    <row r="1493" ht="15" customHeight="1" s="87">
      <c r="AL1493" s="94">
        <f>IF(A1493="","",IF(COUNTIF(A1493:A$2001,A1493)=1,1,0))</f>
        <v/>
      </c>
      <c r="AM1493" s="94">
        <f>IF(I1493="","",TODAY()-I1493)</f>
        <v/>
      </c>
      <c r="AN1493" s="94">
        <f>IF(A1493="","",IF(AND(E1493&lt;&gt;"33 確認済",E1493&lt;&gt;"36 送付中"),1,0))</f>
        <v/>
      </c>
      <c r="AO1493" s="94">
        <f>IF(A1493="","",IF(AG1493&lt;&gt;"",1,0))</f>
        <v/>
      </c>
      <c r="AP1493" s="220">
        <f>IF(P1493&lt;&gt;"","・添待ち","")&amp;IF(Q1493&lt;&gt;"","・住民票","")&amp;IF(R1493&lt;&gt;"","・発信","")&amp;IF(S1493&lt;&gt;"","・確認事項","")&amp;IF(T1493&lt;&gt;"","・管","")&amp;IF(U1493&lt;&gt;"","・SV","")&amp;IF(V1493&lt;&gt;"","・データ送付待ち","")&amp;IF(W1493&lt;&gt;"","・削除","")</f>
        <v/>
      </c>
    </row>
    <row r="1494" ht="15" customHeight="1" s="87">
      <c r="AL1494" s="94">
        <f>IF(A1494="","",IF(COUNTIF(A1494:A$2001,A1494)=1,1,0))</f>
        <v/>
      </c>
      <c r="AM1494" s="94">
        <f>IF(I1494="","",TODAY()-I1494)</f>
        <v/>
      </c>
      <c r="AN1494" s="94">
        <f>IF(A1494="","",IF(AND(E1494&lt;&gt;"33 確認済",E1494&lt;&gt;"36 送付中"),1,0))</f>
        <v/>
      </c>
      <c r="AO1494" s="94">
        <f>IF(A1494="","",IF(AG1494&lt;&gt;"",1,0))</f>
        <v/>
      </c>
      <c r="AP1494" s="220">
        <f>IF(P1494&lt;&gt;"","・添待ち","")&amp;IF(Q1494&lt;&gt;"","・住民票","")&amp;IF(R1494&lt;&gt;"","・発信","")&amp;IF(S1494&lt;&gt;"","・確認事項","")&amp;IF(T1494&lt;&gt;"","・管","")&amp;IF(U1494&lt;&gt;"","・SV","")&amp;IF(V1494&lt;&gt;"","・データ送付待ち","")&amp;IF(W1494&lt;&gt;"","・削除","")</f>
        <v/>
      </c>
    </row>
    <row r="1495" ht="15" customHeight="1" s="87">
      <c r="AL1495" s="94">
        <f>IF(A1495="","",IF(COUNTIF(A1495:A$2001,A1495)=1,1,0))</f>
        <v/>
      </c>
      <c r="AM1495" s="94">
        <f>IF(I1495="","",TODAY()-I1495)</f>
        <v/>
      </c>
      <c r="AN1495" s="94">
        <f>IF(A1495="","",IF(AND(E1495&lt;&gt;"33 確認済",E1495&lt;&gt;"36 送付中"),1,0))</f>
        <v/>
      </c>
      <c r="AO1495" s="94">
        <f>IF(A1495="","",IF(AG1495&lt;&gt;"",1,0))</f>
        <v/>
      </c>
      <c r="AP1495" s="220">
        <f>IF(P1495&lt;&gt;"","・添待ち","")&amp;IF(Q1495&lt;&gt;"","・住民票","")&amp;IF(R1495&lt;&gt;"","・発信","")&amp;IF(S1495&lt;&gt;"","・確認事項","")&amp;IF(T1495&lt;&gt;"","・管","")&amp;IF(U1495&lt;&gt;"","・SV","")&amp;IF(V1495&lt;&gt;"","・データ送付待ち","")&amp;IF(W1495&lt;&gt;"","・削除","")</f>
        <v/>
      </c>
    </row>
    <row r="1496" ht="15" customHeight="1" s="87">
      <c r="AL1496" s="94">
        <f>IF(A1496="","",IF(COUNTIF(A1496:A$2001,A1496)=1,1,0))</f>
        <v/>
      </c>
      <c r="AM1496" s="94">
        <f>IF(I1496="","",TODAY()-I1496)</f>
        <v/>
      </c>
      <c r="AN1496" s="94">
        <f>IF(A1496="","",IF(AND(E1496&lt;&gt;"33 確認済",E1496&lt;&gt;"36 送付中"),1,0))</f>
        <v/>
      </c>
      <c r="AO1496" s="94">
        <f>IF(A1496="","",IF(AG1496&lt;&gt;"",1,0))</f>
        <v/>
      </c>
      <c r="AP1496" s="220">
        <f>IF(P1496&lt;&gt;"","・添待ち","")&amp;IF(Q1496&lt;&gt;"","・住民票","")&amp;IF(R1496&lt;&gt;"","・発信","")&amp;IF(S1496&lt;&gt;"","・確認事項","")&amp;IF(T1496&lt;&gt;"","・管","")&amp;IF(U1496&lt;&gt;"","・SV","")&amp;IF(V1496&lt;&gt;"","・データ送付待ち","")&amp;IF(W1496&lt;&gt;"","・削除","")</f>
        <v/>
      </c>
    </row>
    <row r="1497" ht="15" customHeight="1" s="87">
      <c r="AL1497" s="94">
        <f>IF(A1497="","",IF(COUNTIF(A1497:A$2001,A1497)=1,1,0))</f>
        <v/>
      </c>
      <c r="AM1497" s="94">
        <f>IF(I1497="","",TODAY()-I1497)</f>
        <v/>
      </c>
      <c r="AN1497" s="94">
        <f>IF(A1497="","",IF(AND(E1497&lt;&gt;"33 確認済",E1497&lt;&gt;"36 送付中"),1,0))</f>
        <v/>
      </c>
      <c r="AO1497" s="94">
        <f>IF(A1497="","",IF(AG1497&lt;&gt;"",1,0))</f>
        <v/>
      </c>
      <c r="AP1497" s="220">
        <f>IF(P1497&lt;&gt;"","・添待ち","")&amp;IF(Q1497&lt;&gt;"","・住民票","")&amp;IF(R1497&lt;&gt;"","・発信","")&amp;IF(S1497&lt;&gt;"","・確認事項","")&amp;IF(T1497&lt;&gt;"","・管","")&amp;IF(U1497&lt;&gt;"","・SV","")&amp;IF(V1497&lt;&gt;"","・データ送付待ち","")&amp;IF(W1497&lt;&gt;"","・削除","")</f>
        <v/>
      </c>
    </row>
    <row r="1498" ht="15" customHeight="1" s="87">
      <c r="AL1498" s="94">
        <f>IF(A1498="","",IF(COUNTIF(A1498:A$2001,A1498)=1,1,0))</f>
        <v/>
      </c>
      <c r="AM1498" s="94">
        <f>IF(I1498="","",TODAY()-I1498)</f>
        <v/>
      </c>
      <c r="AN1498" s="94">
        <f>IF(A1498="","",IF(AND(E1498&lt;&gt;"33 確認済",E1498&lt;&gt;"36 送付中"),1,0))</f>
        <v/>
      </c>
      <c r="AO1498" s="94">
        <f>IF(A1498="","",IF(AG1498&lt;&gt;"",1,0))</f>
        <v/>
      </c>
      <c r="AP1498" s="220">
        <f>IF(P1498&lt;&gt;"","・添待ち","")&amp;IF(Q1498&lt;&gt;"","・住民票","")&amp;IF(R1498&lt;&gt;"","・発信","")&amp;IF(S1498&lt;&gt;"","・確認事項","")&amp;IF(T1498&lt;&gt;"","・管","")&amp;IF(U1498&lt;&gt;"","・SV","")&amp;IF(V1498&lt;&gt;"","・データ送付待ち","")&amp;IF(W1498&lt;&gt;"","・削除","")</f>
        <v/>
      </c>
    </row>
    <row r="1499" ht="15" customHeight="1" s="87">
      <c r="AL1499" s="94">
        <f>IF(A1499="","",IF(COUNTIF(A1499:A$2001,A1499)=1,1,0))</f>
        <v/>
      </c>
      <c r="AM1499" s="94">
        <f>IF(I1499="","",TODAY()-I1499)</f>
        <v/>
      </c>
      <c r="AN1499" s="94">
        <f>IF(A1499="","",IF(AND(E1499&lt;&gt;"33 確認済",E1499&lt;&gt;"36 送付中"),1,0))</f>
        <v/>
      </c>
      <c r="AO1499" s="94">
        <f>IF(A1499="","",IF(AG1499&lt;&gt;"",1,0))</f>
        <v/>
      </c>
      <c r="AP1499" s="220">
        <f>IF(P1499&lt;&gt;"","・添待ち","")&amp;IF(Q1499&lt;&gt;"","・住民票","")&amp;IF(R1499&lt;&gt;"","・発信","")&amp;IF(S1499&lt;&gt;"","・確認事項","")&amp;IF(T1499&lt;&gt;"","・管","")&amp;IF(U1499&lt;&gt;"","・SV","")&amp;IF(V1499&lt;&gt;"","・データ送付待ち","")&amp;IF(W1499&lt;&gt;"","・削除","")</f>
        <v/>
      </c>
    </row>
    <row r="1500" ht="15" customHeight="1" s="87">
      <c r="AL1500" s="94">
        <f>IF(A1500="","",IF(COUNTIF(A1500:A$2001,A1500)=1,1,0))</f>
        <v/>
      </c>
      <c r="AM1500" s="94">
        <f>IF(I1500="","",TODAY()-I1500)</f>
        <v/>
      </c>
      <c r="AN1500" s="94">
        <f>IF(A1500="","",IF(AND(E1500&lt;&gt;"33 確認済",E1500&lt;&gt;"36 送付中"),1,0))</f>
        <v/>
      </c>
      <c r="AO1500" s="94">
        <f>IF(A1500="","",IF(AG1500&lt;&gt;"",1,0))</f>
        <v/>
      </c>
      <c r="AP1500" s="220">
        <f>IF(P1500&lt;&gt;"","・添待ち","")&amp;IF(Q1500&lt;&gt;"","・住民票","")&amp;IF(R1500&lt;&gt;"","・発信","")&amp;IF(S1500&lt;&gt;"","・確認事項","")&amp;IF(T1500&lt;&gt;"","・管","")&amp;IF(U1500&lt;&gt;"","・SV","")&amp;IF(V1500&lt;&gt;"","・データ送付待ち","")&amp;IF(W1500&lt;&gt;"","・削除","")</f>
        <v/>
      </c>
    </row>
    <row r="1501" ht="15" customHeight="1" s="87">
      <c r="AL1501" s="94">
        <f>IF(A1501="","",IF(COUNTIF(A1501:A$2001,A1501)=1,1,0))</f>
        <v/>
      </c>
      <c r="AM1501" s="94">
        <f>IF(I1501="","",TODAY()-I1501)</f>
        <v/>
      </c>
      <c r="AN1501" s="94">
        <f>IF(A1501="","",IF(AND(E1501&lt;&gt;"33 確認済",E1501&lt;&gt;"36 送付中"),1,0))</f>
        <v/>
      </c>
      <c r="AO1501" s="94">
        <f>IF(A1501="","",IF(AG1501&lt;&gt;"",1,0))</f>
        <v/>
      </c>
      <c r="AP1501" s="220">
        <f>IF(P1501&lt;&gt;"","・添待ち","")&amp;IF(Q1501&lt;&gt;"","・住民票","")&amp;IF(R1501&lt;&gt;"","・発信","")&amp;IF(S1501&lt;&gt;"","・確認事項","")&amp;IF(T1501&lt;&gt;"","・管","")&amp;IF(U1501&lt;&gt;"","・SV","")&amp;IF(V1501&lt;&gt;"","・データ送付待ち","")&amp;IF(W1501&lt;&gt;"","・削除","")</f>
        <v/>
      </c>
    </row>
    <row r="1502" ht="15" customHeight="1" s="87">
      <c r="AL1502" s="94">
        <f>IF(A1502="","",IF(COUNTIF(A1502:A$2001,A1502)=1,1,0))</f>
        <v/>
      </c>
      <c r="AM1502" s="94">
        <f>IF(I1502="","",TODAY()-I1502)</f>
        <v/>
      </c>
      <c r="AN1502" s="94">
        <f>IF(A1502="","",IF(AND(E1502&lt;&gt;"33 確認済",E1502&lt;&gt;"36 送付中"),1,0))</f>
        <v/>
      </c>
      <c r="AO1502" s="94">
        <f>IF(A1502="","",IF(AG1502&lt;&gt;"",1,0))</f>
        <v/>
      </c>
      <c r="AP1502" s="220">
        <f>IF(P1502&lt;&gt;"","・添待ち","")&amp;IF(Q1502&lt;&gt;"","・住民票","")&amp;IF(R1502&lt;&gt;"","・発信","")&amp;IF(S1502&lt;&gt;"","・確認事項","")&amp;IF(T1502&lt;&gt;"","・管","")&amp;IF(U1502&lt;&gt;"","・SV","")&amp;IF(V1502&lt;&gt;"","・データ送付待ち","")&amp;IF(W1502&lt;&gt;"","・削除","")</f>
        <v/>
      </c>
    </row>
    <row r="1503" ht="15" customHeight="1" s="87">
      <c r="AL1503" s="94">
        <f>IF(A1503="","",IF(COUNTIF(A1503:A$2001,A1503)=1,1,0))</f>
        <v/>
      </c>
      <c r="AM1503" s="94">
        <f>IF(I1503="","",TODAY()-I1503)</f>
        <v/>
      </c>
      <c r="AN1503" s="94">
        <f>IF(A1503="","",IF(AND(E1503&lt;&gt;"33 確認済",E1503&lt;&gt;"36 送付中"),1,0))</f>
        <v/>
      </c>
      <c r="AO1503" s="94">
        <f>IF(A1503="","",IF(AG1503&lt;&gt;"",1,0))</f>
        <v/>
      </c>
      <c r="AP1503" s="220">
        <f>IF(P1503&lt;&gt;"","・添待ち","")&amp;IF(Q1503&lt;&gt;"","・住民票","")&amp;IF(R1503&lt;&gt;"","・発信","")&amp;IF(S1503&lt;&gt;"","・確認事項","")&amp;IF(T1503&lt;&gt;"","・管","")&amp;IF(U1503&lt;&gt;"","・SV","")&amp;IF(V1503&lt;&gt;"","・データ送付待ち","")&amp;IF(W1503&lt;&gt;"","・削除","")</f>
        <v/>
      </c>
    </row>
    <row r="1504" ht="15" customHeight="1" s="87">
      <c r="AL1504" s="94">
        <f>IF(A1504="","",IF(COUNTIF(A1504:A$2001,A1504)=1,1,0))</f>
        <v/>
      </c>
      <c r="AM1504" s="94">
        <f>IF(I1504="","",TODAY()-I1504)</f>
        <v/>
      </c>
      <c r="AN1504" s="94">
        <f>IF(A1504="","",IF(AND(E1504&lt;&gt;"33 確認済",E1504&lt;&gt;"36 送付中"),1,0))</f>
        <v/>
      </c>
      <c r="AO1504" s="94">
        <f>IF(A1504="","",IF(AG1504&lt;&gt;"",1,0))</f>
        <v/>
      </c>
      <c r="AP1504" s="220">
        <f>IF(P1504&lt;&gt;"","・添待ち","")&amp;IF(Q1504&lt;&gt;"","・住民票","")&amp;IF(R1504&lt;&gt;"","・発信","")&amp;IF(S1504&lt;&gt;"","・確認事項","")&amp;IF(T1504&lt;&gt;"","・管","")&amp;IF(U1504&lt;&gt;"","・SV","")&amp;IF(V1504&lt;&gt;"","・データ送付待ち","")&amp;IF(W1504&lt;&gt;"","・削除","")</f>
        <v/>
      </c>
    </row>
    <row r="1505" ht="15" customHeight="1" s="87">
      <c r="AL1505" s="94">
        <f>IF(A1505="","",IF(COUNTIF(A1505:A$2001,A1505)=1,1,0))</f>
        <v/>
      </c>
      <c r="AM1505" s="94">
        <f>IF(I1505="","",TODAY()-I1505)</f>
        <v/>
      </c>
      <c r="AN1505" s="94">
        <f>IF(A1505="","",IF(AND(E1505&lt;&gt;"33 確認済",E1505&lt;&gt;"36 送付中"),1,0))</f>
        <v/>
      </c>
      <c r="AO1505" s="94">
        <f>IF(A1505="","",IF(AG1505&lt;&gt;"",1,0))</f>
        <v/>
      </c>
      <c r="AP1505" s="220">
        <f>IF(P1505&lt;&gt;"","・添待ち","")&amp;IF(Q1505&lt;&gt;"","・住民票","")&amp;IF(R1505&lt;&gt;"","・発信","")&amp;IF(S1505&lt;&gt;"","・確認事項","")&amp;IF(T1505&lt;&gt;"","・管","")&amp;IF(U1505&lt;&gt;"","・SV","")&amp;IF(V1505&lt;&gt;"","・データ送付待ち","")&amp;IF(W1505&lt;&gt;"","・削除","")</f>
        <v/>
      </c>
    </row>
    <row r="1506" ht="15" customHeight="1" s="87">
      <c r="AL1506" s="94">
        <f>IF(A1506="","",IF(COUNTIF(A1506:A$2001,A1506)=1,1,0))</f>
        <v/>
      </c>
      <c r="AM1506" s="94">
        <f>IF(I1506="","",TODAY()-I1506)</f>
        <v/>
      </c>
      <c r="AN1506" s="94">
        <f>IF(A1506="","",IF(AND(E1506&lt;&gt;"33 確認済",E1506&lt;&gt;"36 送付中"),1,0))</f>
        <v/>
      </c>
      <c r="AO1506" s="94">
        <f>IF(A1506="","",IF(AG1506&lt;&gt;"",1,0))</f>
        <v/>
      </c>
      <c r="AP1506" s="220">
        <f>IF(P1506&lt;&gt;"","・添待ち","")&amp;IF(Q1506&lt;&gt;"","・住民票","")&amp;IF(R1506&lt;&gt;"","・発信","")&amp;IF(S1506&lt;&gt;"","・確認事項","")&amp;IF(T1506&lt;&gt;"","・管","")&amp;IF(U1506&lt;&gt;"","・SV","")&amp;IF(V1506&lt;&gt;"","・データ送付待ち","")&amp;IF(W1506&lt;&gt;"","・削除","")</f>
        <v/>
      </c>
    </row>
    <row r="1507" ht="15" customHeight="1" s="87">
      <c r="AL1507" s="94">
        <f>IF(A1507="","",IF(COUNTIF(A1507:A$2001,A1507)=1,1,0))</f>
        <v/>
      </c>
      <c r="AM1507" s="94">
        <f>IF(I1507="","",TODAY()-I1507)</f>
        <v/>
      </c>
      <c r="AN1507" s="94">
        <f>IF(A1507="","",IF(AND(E1507&lt;&gt;"33 確認済",E1507&lt;&gt;"36 送付中"),1,0))</f>
        <v/>
      </c>
      <c r="AO1507" s="94">
        <f>IF(A1507="","",IF(AG1507&lt;&gt;"",1,0))</f>
        <v/>
      </c>
      <c r="AP1507" s="220">
        <f>IF(P1507&lt;&gt;"","・添待ち","")&amp;IF(Q1507&lt;&gt;"","・住民票","")&amp;IF(R1507&lt;&gt;"","・発信","")&amp;IF(S1507&lt;&gt;"","・確認事項","")&amp;IF(T1507&lt;&gt;"","・管","")&amp;IF(U1507&lt;&gt;"","・SV","")&amp;IF(V1507&lt;&gt;"","・データ送付待ち","")&amp;IF(W1507&lt;&gt;"","・削除","")</f>
        <v/>
      </c>
    </row>
    <row r="1508" ht="15" customHeight="1" s="87">
      <c r="AL1508" s="94">
        <f>IF(A1508="","",IF(COUNTIF(A1508:A$2001,A1508)=1,1,0))</f>
        <v/>
      </c>
      <c r="AM1508" s="94">
        <f>IF(I1508="","",TODAY()-I1508)</f>
        <v/>
      </c>
      <c r="AN1508" s="94">
        <f>IF(A1508="","",IF(AND(E1508&lt;&gt;"33 確認済",E1508&lt;&gt;"36 送付中"),1,0))</f>
        <v/>
      </c>
      <c r="AO1508" s="94">
        <f>IF(A1508="","",IF(AG1508&lt;&gt;"",1,0))</f>
        <v/>
      </c>
      <c r="AP1508" s="220">
        <f>IF(P1508&lt;&gt;"","・添待ち","")&amp;IF(Q1508&lt;&gt;"","・住民票","")&amp;IF(R1508&lt;&gt;"","・発信","")&amp;IF(S1508&lt;&gt;"","・確認事項","")&amp;IF(T1508&lt;&gt;"","・管","")&amp;IF(U1508&lt;&gt;"","・SV","")&amp;IF(V1508&lt;&gt;"","・データ送付待ち","")&amp;IF(W1508&lt;&gt;"","・削除","")</f>
        <v/>
      </c>
    </row>
    <row r="1509" ht="15" customHeight="1" s="87">
      <c r="AL1509" s="94">
        <f>IF(A1509="","",IF(COUNTIF(A1509:A$2001,A1509)=1,1,0))</f>
        <v/>
      </c>
      <c r="AM1509" s="94">
        <f>IF(I1509="","",TODAY()-I1509)</f>
        <v/>
      </c>
      <c r="AN1509" s="94">
        <f>IF(A1509="","",IF(AND(E1509&lt;&gt;"33 確認済",E1509&lt;&gt;"36 送付中"),1,0))</f>
        <v/>
      </c>
      <c r="AO1509" s="94">
        <f>IF(A1509="","",IF(AG1509&lt;&gt;"",1,0))</f>
        <v/>
      </c>
      <c r="AP1509" s="220">
        <f>IF(P1509&lt;&gt;"","・添待ち","")&amp;IF(Q1509&lt;&gt;"","・住民票","")&amp;IF(R1509&lt;&gt;"","・発信","")&amp;IF(S1509&lt;&gt;"","・確認事項","")&amp;IF(T1509&lt;&gt;"","・管","")&amp;IF(U1509&lt;&gt;"","・SV","")&amp;IF(V1509&lt;&gt;"","・データ送付待ち","")&amp;IF(W1509&lt;&gt;"","・削除","")</f>
        <v/>
      </c>
    </row>
    <row r="1510" ht="15" customHeight="1" s="87">
      <c r="AL1510" s="94">
        <f>IF(A1510="","",IF(COUNTIF(A1510:A$2001,A1510)=1,1,0))</f>
        <v/>
      </c>
      <c r="AM1510" s="94">
        <f>IF(I1510="","",TODAY()-I1510)</f>
        <v/>
      </c>
      <c r="AN1510" s="94">
        <f>IF(A1510="","",IF(AND(E1510&lt;&gt;"33 確認済",E1510&lt;&gt;"36 送付中"),1,0))</f>
        <v/>
      </c>
      <c r="AO1510" s="94">
        <f>IF(A1510="","",IF(AG1510&lt;&gt;"",1,0))</f>
        <v/>
      </c>
      <c r="AP1510" s="220">
        <f>IF(P1510&lt;&gt;"","・添待ち","")&amp;IF(Q1510&lt;&gt;"","・住民票","")&amp;IF(R1510&lt;&gt;"","・発信","")&amp;IF(S1510&lt;&gt;"","・確認事項","")&amp;IF(T1510&lt;&gt;"","・管","")&amp;IF(U1510&lt;&gt;"","・SV","")&amp;IF(V1510&lt;&gt;"","・データ送付待ち","")&amp;IF(W1510&lt;&gt;"","・削除","")</f>
        <v/>
      </c>
    </row>
    <row r="1511" ht="15" customHeight="1" s="87">
      <c r="AL1511" s="94">
        <f>IF(A1511="","",IF(COUNTIF(A1511:A$2001,A1511)=1,1,0))</f>
        <v/>
      </c>
      <c r="AM1511" s="94">
        <f>IF(I1511="","",TODAY()-I1511)</f>
        <v/>
      </c>
      <c r="AN1511" s="94">
        <f>IF(A1511="","",IF(AND(E1511&lt;&gt;"33 確認済",E1511&lt;&gt;"36 送付中"),1,0))</f>
        <v/>
      </c>
      <c r="AO1511" s="94">
        <f>IF(A1511="","",IF(AG1511&lt;&gt;"",1,0))</f>
        <v/>
      </c>
      <c r="AP1511" s="220">
        <f>IF(P1511&lt;&gt;"","・添待ち","")&amp;IF(Q1511&lt;&gt;"","・住民票","")&amp;IF(R1511&lt;&gt;"","・発信","")&amp;IF(S1511&lt;&gt;"","・確認事項","")&amp;IF(T1511&lt;&gt;"","・管","")&amp;IF(U1511&lt;&gt;"","・SV","")&amp;IF(V1511&lt;&gt;"","・データ送付待ち","")&amp;IF(W1511&lt;&gt;"","・削除","")</f>
        <v/>
      </c>
    </row>
    <row r="1512" ht="15" customHeight="1" s="87">
      <c r="AL1512" s="94">
        <f>IF(A1512="","",IF(COUNTIF(A1512:A$2001,A1512)=1,1,0))</f>
        <v/>
      </c>
      <c r="AM1512" s="94">
        <f>IF(I1512="","",TODAY()-I1512)</f>
        <v/>
      </c>
      <c r="AN1512" s="94">
        <f>IF(A1512="","",IF(AND(E1512&lt;&gt;"33 確認済",E1512&lt;&gt;"36 送付中"),1,0))</f>
        <v/>
      </c>
      <c r="AO1512" s="94">
        <f>IF(A1512="","",IF(AG1512&lt;&gt;"",1,0))</f>
        <v/>
      </c>
      <c r="AP1512" s="220">
        <f>IF(P1512&lt;&gt;"","・添待ち","")&amp;IF(Q1512&lt;&gt;"","・住民票","")&amp;IF(R1512&lt;&gt;"","・発信","")&amp;IF(S1512&lt;&gt;"","・確認事項","")&amp;IF(T1512&lt;&gt;"","・管","")&amp;IF(U1512&lt;&gt;"","・SV","")&amp;IF(V1512&lt;&gt;"","・データ送付待ち","")&amp;IF(W1512&lt;&gt;"","・削除","")</f>
        <v/>
      </c>
    </row>
    <row r="1513" ht="15" customHeight="1" s="87">
      <c r="AL1513" s="94">
        <f>IF(A1513="","",IF(COUNTIF(A1513:A$2001,A1513)=1,1,0))</f>
        <v/>
      </c>
      <c r="AM1513" s="94">
        <f>IF(I1513="","",TODAY()-I1513)</f>
        <v/>
      </c>
      <c r="AN1513" s="94">
        <f>IF(A1513="","",IF(AND(E1513&lt;&gt;"33 確認済",E1513&lt;&gt;"36 送付中"),1,0))</f>
        <v/>
      </c>
      <c r="AO1513" s="94">
        <f>IF(A1513="","",IF(AG1513&lt;&gt;"",1,0))</f>
        <v/>
      </c>
      <c r="AP1513" s="220">
        <f>IF(P1513&lt;&gt;"","・添待ち","")&amp;IF(Q1513&lt;&gt;"","・住民票","")&amp;IF(R1513&lt;&gt;"","・発信","")&amp;IF(S1513&lt;&gt;"","・確認事項","")&amp;IF(T1513&lt;&gt;"","・管","")&amp;IF(U1513&lt;&gt;"","・SV","")&amp;IF(V1513&lt;&gt;"","・データ送付待ち","")&amp;IF(W1513&lt;&gt;"","・削除","")</f>
        <v/>
      </c>
    </row>
    <row r="1514" ht="15" customHeight="1" s="87">
      <c r="AL1514" s="94">
        <f>IF(A1514="","",IF(COUNTIF(A1514:A$2001,A1514)=1,1,0))</f>
        <v/>
      </c>
      <c r="AM1514" s="94">
        <f>IF(I1514="","",TODAY()-I1514)</f>
        <v/>
      </c>
      <c r="AN1514" s="94">
        <f>IF(A1514="","",IF(AND(E1514&lt;&gt;"33 確認済",E1514&lt;&gt;"36 送付中"),1,0))</f>
        <v/>
      </c>
      <c r="AO1514" s="94">
        <f>IF(A1514="","",IF(AG1514&lt;&gt;"",1,0))</f>
        <v/>
      </c>
      <c r="AP1514" s="220">
        <f>IF(P1514&lt;&gt;"","・添待ち","")&amp;IF(Q1514&lt;&gt;"","・住民票","")&amp;IF(R1514&lt;&gt;"","・発信","")&amp;IF(S1514&lt;&gt;"","・確認事項","")&amp;IF(T1514&lt;&gt;"","・管","")&amp;IF(U1514&lt;&gt;"","・SV","")&amp;IF(V1514&lt;&gt;"","・データ送付待ち","")&amp;IF(W1514&lt;&gt;"","・削除","")</f>
        <v/>
      </c>
    </row>
    <row r="1515" ht="15" customHeight="1" s="87">
      <c r="AL1515" s="94">
        <f>IF(A1515="","",IF(COUNTIF(A1515:A$2001,A1515)=1,1,0))</f>
        <v/>
      </c>
      <c r="AM1515" s="94">
        <f>IF(I1515="","",TODAY()-I1515)</f>
        <v/>
      </c>
      <c r="AN1515" s="94">
        <f>IF(A1515="","",IF(AND(E1515&lt;&gt;"33 確認済",E1515&lt;&gt;"36 送付中"),1,0))</f>
        <v/>
      </c>
      <c r="AO1515" s="94">
        <f>IF(A1515="","",IF(AG1515&lt;&gt;"",1,0))</f>
        <v/>
      </c>
      <c r="AP1515" s="220">
        <f>IF(P1515&lt;&gt;"","・添待ち","")&amp;IF(Q1515&lt;&gt;"","・住民票","")&amp;IF(R1515&lt;&gt;"","・発信","")&amp;IF(S1515&lt;&gt;"","・確認事項","")&amp;IF(T1515&lt;&gt;"","・管","")&amp;IF(U1515&lt;&gt;"","・SV","")&amp;IF(V1515&lt;&gt;"","・データ送付待ち","")&amp;IF(W1515&lt;&gt;"","・削除","")</f>
        <v/>
      </c>
    </row>
    <row r="1516" ht="15" customHeight="1" s="87">
      <c r="AL1516" s="94">
        <f>IF(A1516="","",IF(COUNTIF(A1516:A$2001,A1516)=1,1,0))</f>
        <v/>
      </c>
      <c r="AM1516" s="94">
        <f>IF(I1516="","",TODAY()-I1516)</f>
        <v/>
      </c>
      <c r="AN1516" s="94">
        <f>IF(A1516="","",IF(AND(E1516&lt;&gt;"33 確認済",E1516&lt;&gt;"36 送付中"),1,0))</f>
        <v/>
      </c>
      <c r="AO1516" s="94">
        <f>IF(A1516="","",IF(AG1516&lt;&gt;"",1,0))</f>
        <v/>
      </c>
      <c r="AP1516" s="220">
        <f>IF(P1516&lt;&gt;"","・添待ち","")&amp;IF(Q1516&lt;&gt;"","・住民票","")&amp;IF(R1516&lt;&gt;"","・発信","")&amp;IF(S1516&lt;&gt;"","・確認事項","")&amp;IF(T1516&lt;&gt;"","・管","")&amp;IF(U1516&lt;&gt;"","・SV","")&amp;IF(V1516&lt;&gt;"","・データ送付待ち","")&amp;IF(W1516&lt;&gt;"","・削除","")</f>
        <v/>
      </c>
    </row>
    <row r="1517" ht="15" customHeight="1" s="87">
      <c r="AL1517" s="94">
        <f>IF(A1517="","",IF(COUNTIF(A1517:A$2001,A1517)=1,1,0))</f>
        <v/>
      </c>
      <c r="AM1517" s="94">
        <f>IF(I1517="","",TODAY()-I1517)</f>
        <v/>
      </c>
      <c r="AN1517" s="94">
        <f>IF(A1517="","",IF(AND(E1517&lt;&gt;"33 確認済",E1517&lt;&gt;"36 送付中"),1,0))</f>
        <v/>
      </c>
      <c r="AO1517" s="94">
        <f>IF(A1517="","",IF(AG1517&lt;&gt;"",1,0))</f>
        <v/>
      </c>
      <c r="AP1517" s="220">
        <f>IF(P1517&lt;&gt;"","・添待ち","")&amp;IF(Q1517&lt;&gt;"","・住民票","")&amp;IF(R1517&lt;&gt;"","・発信","")&amp;IF(S1517&lt;&gt;"","・確認事項","")&amp;IF(T1517&lt;&gt;"","・管","")&amp;IF(U1517&lt;&gt;"","・SV","")&amp;IF(V1517&lt;&gt;"","・データ送付待ち","")&amp;IF(W1517&lt;&gt;"","・削除","")</f>
        <v/>
      </c>
    </row>
    <row r="1518" ht="15" customHeight="1" s="87">
      <c r="AL1518" s="94">
        <f>IF(A1518="","",IF(COUNTIF(A1518:A$2001,A1518)=1,1,0))</f>
        <v/>
      </c>
      <c r="AM1518" s="94">
        <f>IF(I1518="","",TODAY()-I1518)</f>
        <v/>
      </c>
      <c r="AN1518" s="94">
        <f>IF(A1518="","",IF(AND(E1518&lt;&gt;"33 確認済",E1518&lt;&gt;"36 送付中"),1,0))</f>
        <v/>
      </c>
      <c r="AO1518" s="94">
        <f>IF(A1518="","",IF(AG1518&lt;&gt;"",1,0))</f>
        <v/>
      </c>
      <c r="AP1518" s="220">
        <f>IF(P1518&lt;&gt;"","・添待ち","")&amp;IF(Q1518&lt;&gt;"","・住民票","")&amp;IF(R1518&lt;&gt;"","・発信","")&amp;IF(S1518&lt;&gt;"","・確認事項","")&amp;IF(T1518&lt;&gt;"","・管","")&amp;IF(U1518&lt;&gt;"","・SV","")&amp;IF(V1518&lt;&gt;"","・データ送付待ち","")&amp;IF(W1518&lt;&gt;"","・削除","")</f>
        <v/>
      </c>
    </row>
    <row r="1519" ht="15" customHeight="1" s="87">
      <c r="AL1519" s="94">
        <f>IF(A1519="","",IF(COUNTIF(A1519:A$2001,A1519)=1,1,0))</f>
        <v/>
      </c>
      <c r="AM1519" s="94">
        <f>IF(I1519="","",TODAY()-I1519)</f>
        <v/>
      </c>
      <c r="AN1519" s="94">
        <f>IF(A1519="","",IF(AND(E1519&lt;&gt;"33 確認済",E1519&lt;&gt;"36 送付中"),1,0))</f>
        <v/>
      </c>
      <c r="AO1519" s="94">
        <f>IF(A1519="","",IF(AG1519&lt;&gt;"",1,0))</f>
        <v/>
      </c>
      <c r="AP1519" s="220">
        <f>IF(P1519&lt;&gt;"","・添待ち","")&amp;IF(Q1519&lt;&gt;"","・住民票","")&amp;IF(R1519&lt;&gt;"","・発信","")&amp;IF(S1519&lt;&gt;"","・確認事項","")&amp;IF(T1519&lt;&gt;"","・管","")&amp;IF(U1519&lt;&gt;"","・SV","")&amp;IF(V1519&lt;&gt;"","・データ送付待ち","")&amp;IF(W1519&lt;&gt;"","・削除","")</f>
        <v/>
      </c>
    </row>
    <row r="1520" ht="15" customHeight="1" s="87">
      <c r="AL1520" s="94">
        <f>IF(A1520="","",IF(COUNTIF(A1520:A$2001,A1520)=1,1,0))</f>
        <v/>
      </c>
      <c r="AM1520" s="94">
        <f>IF(I1520="","",TODAY()-I1520)</f>
        <v/>
      </c>
      <c r="AN1520" s="94">
        <f>IF(A1520="","",IF(AND(E1520&lt;&gt;"33 確認済",E1520&lt;&gt;"36 送付中"),1,0))</f>
        <v/>
      </c>
      <c r="AO1520" s="94">
        <f>IF(A1520="","",IF(AG1520&lt;&gt;"",1,0))</f>
        <v/>
      </c>
      <c r="AP1520" s="220">
        <f>IF(P1520&lt;&gt;"","・添待ち","")&amp;IF(Q1520&lt;&gt;"","・住民票","")&amp;IF(R1520&lt;&gt;"","・発信","")&amp;IF(S1520&lt;&gt;"","・確認事項","")&amp;IF(T1520&lt;&gt;"","・管","")&amp;IF(U1520&lt;&gt;"","・SV","")&amp;IF(V1520&lt;&gt;"","・データ送付待ち","")&amp;IF(W1520&lt;&gt;"","・削除","")</f>
        <v/>
      </c>
    </row>
    <row r="1521" ht="15" customHeight="1" s="87">
      <c r="AL1521" s="94">
        <f>IF(A1521="","",IF(COUNTIF(A1521:A$2001,A1521)=1,1,0))</f>
        <v/>
      </c>
      <c r="AM1521" s="94">
        <f>IF(I1521="","",TODAY()-I1521)</f>
        <v/>
      </c>
      <c r="AN1521" s="94">
        <f>IF(A1521="","",IF(AND(E1521&lt;&gt;"33 確認済",E1521&lt;&gt;"36 送付中"),1,0))</f>
        <v/>
      </c>
      <c r="AO1521" s="94">
        <f>IF(A1521="","",IF(AG1521&lt;&gt;"",1,0))</f>
        <v/>
      </c>
      <c r="AP1521" s="220">
        <f>IF(P1521&lt;&gt;"","・添待ち","")&amp;IF(Q1521&lt;&gt;"","・住民票","")&amp;IF(R1521&lt;&gt;"","・発信","")&amp;IF(S1521&lt;&gt;"","・確認事項","")&amp;IF(T1521&lt;&gt;"","・管","")&amp;IF(U1521&lt;&gt;"","・SV","")&amp;IF(V1521&lt;&gt;"","・データ送付待ち","")&amp;IF(W1521&lt;&gt;"","・削除","")</f>
        <v/>
      </c>
    </row>
    <row r="1522" ht="15" customHeight="1" s="87">
      <c r="AL1522" s="94">
        <f>IF(A1522="","",IF(COUNTIF(A1522:A$2001,A1522)=1,1,0))</f>
        <v/>
      </c>
      <c r="AM1522" s="94">
        <f>IF(I1522="","",TODAY()-I1522)</f>
        <v/>
      </c>
      <c r="AN1522" s="94">
        <f>IF(A1522="","",IF(AND(E1522&lt;&gt;"33 確認済",E1522&lt;&gt;"36 送付中"),1,0))</f>
        <v/>
      </c>
      <c r="AO1522" s="94">
        <f>IF(A1522="","",IF(AG1522&lt;&gt;"",1,0))</f>
        <v/>
      </c>
      <c r="AP1522" s="220">
        <f>IF(P1522&lt;&gt;"","・添待ち","")&amp;IF(Q1522&lt;&gt;"","・住民票","")&amp;IF(R1522&lt;&gt;"","・発信","")&amp;IF(S1522&lt;&gt;"","・確認事項","")&amp;IF(T1522&lt;&gt;"","・管","")&amp;IF(U1522&lt;&gt;"","・SV","")&amp;IF(V1522&lt;&gt;"","・データ送付待ち","")&amp;IF(W1522&lt;&gt;"","・削除","")</f>
        <v/>
      </c>
    </row>
    <row r="1523" ht="15" customHeight="1" s="87">
      <c r="AL1523" s="94">
        <f>IF(A1523="","",IF(COUNTIF(A1523:A$2001,A1523)=1,1,0))</f>
        <v/>
      </c>
      <c r="AM1523" s="94">
        <f>IF(I1523="","",TODAY()-I1523)</f>
        <v/>
      </c>
      <c r="AN1523" s="94">
        <f>IF(A1523="","",IF(AND(E1523&lt;&gt;"33 確認済",E1523&lt;&gt;"36 送付中"),1,0))</f>
        <v/>
      </c>
      <c r="AO1523" s="94">
        <f>IF(A1523="","",IF(AG1523&lt;&gt;"",1,0))</f>
        <v/>
      </c>
      <c r="AP1523" s="220">
        <f>IF(P1523&lt;&gt;"","・添待ち","")&amp;IF(Q1523&lt;&gt;"","・住民票","")&amp;IF(R1523&lt;&gt;"","・発信","")&amp;IF(S1523&lt;&gt;"","・確認事項","")&amp;IF(T1523&lt;&gt;"","・管","")&amp;IF(U1523&lt;&gt;"","・SV","")&amp;IF(V1523&lt;&gt;"","・データ送付待ち","")&amp;IF(W1523&lt;&gt;"","・削除","")</f>
        <v/>
      </c>
    </row>
    <row r="1524" ht="15" customHeight="1" s="87">
      <c r="AL1524" s="94">
        <f>IF(A1524="","",IF(COUNTIF(A1524:A$2001,A1524)=1,1,0))</f>
        <v/>
      </c>
      <c r="AM1524" s="94">
        <f>IF(I1524="","",TODAY()-I1524)</f>
        <v/>
      </c>
      <c r="AN1524" s="94">
        <f>IF(A1524="","",IF(AND(E1524&lt;&gt;"33 確認済",E1524&lt;&gt;"36 送付中"),1,0))</f>
        <v/>
      </c>
      <c r="AO1524" s="94">
        <f>IF(A1524="","",IF(AG1524&lt;&gt;"",1,0))</f>
        <v/>
      </c>
      <c r="AP1524" s="220">
        <f>IF(P1524&lt;&gt;"","・添待ち","")&amp;IF(Q1524&lt;&gt;"","・住民票","")&amp;IF(R1524&lt;&gt;"","・発信","")&amp;IF(S1524&lt;&gt;"","・確認事項","")&amp;IF(T1524&lt;&gt;"","・管","")&amp;IF(U1524&lt;&gt;"","・SV","")&amp;IF(V1524&lt;&gt;"","・データ送付待ち","")&amp;IF(W1524&lt;&gt;"","・削除","")</f>
        <v/>
      </c>
    </row>
    <row r="1525" ht="15" customHeight="1" s="87">
      <c r="AL1525" s="94">
        <f>IF(A1525="","",IF(COUNTIF(A1525:A$2001,A1525)=1,1,0))</f>
        <v/>
      </c>
      <c r="AM1525" s="94">
        <f>IF(I1525="","",TODAY()-I1525)</f>
        <v/>
      </c>
      <c r="AN1525" s="94">
        <f>IF(A1525="","",IF(AND(E1525&lt;&gt;"33 確認済",E1525&lt;&gt;"36 送付中"),1,0))</f>
        <v/>
      </c>
      <c r="AO1525" s="94">
        <f>IF(A1525="","",IF(AG1525&lt;&gt;"",1,0))</f>
        <v/>
      </c>
      <c r="AP1525" s="220">
        <f>IF(P1525&lt;&gt;"","・添待ち","")&amp;IF(Q1525&lt;&gt;"","・住民票","")&amp;IF(R1525&lt;&gt;"","・発信","")&amp;IF(S1525&lt;&gt;"","・確認事項","")&amp;IF(T1525&lt;&gt;"","・管","")&amp;IF(U1525&lt;&gt;"","・SV","")&amp;IF(V1525&lt;&gt;"","・データ送付待ち","")&amp;IF(W1525&lt;&gt;"","・削除","")</f>
        <v/>
      </c>
    </row>
    <row r="1526" ht="15" customHeight="1" s="87">
      <c r="AL1526" s="94">
        <f>IF(A1526="","",IF(COUNTIF(A1526:A$2001,A1526)=1,1,0))</f>
        <v/>
      </c>
      <c r="AM1526" s="94">
        <f>IF(I1526="","",TODAY()-I1526)</f>
        <v/>
      </c>
      <c r="AN1526" s="94">
        <f>IF(A1526="","",IF(AND(E1526&lt;&gt;"33 確認済",E1526&lt;&gt;"36 送付中"),1,0))</f>
        <v/>
      </c>
      <c r="AO1526" s="94">
        <f>IF(A1526="","",IF(AG1526&lt;&gt;"",1,0))</f>
        <v/>
      </c>
      <c r="AP1526" s="220">
        <f>IF(P1526&lt;&gt;"","・添待ち","")&amp;IF(Q1526&lt;&gt;"","・住民票","")&amp;IF(R1526&lt;&gt;"","・発信","")&amp;IF(S1526&lt;&gt;"","・確認事項","")&amp;IF(T1526&lt;&gt;"","・管","")&amp;IF(U1526&lt;&gt;"","・SV","")&amp;IF(V1526&lt;&gt;"","・データ送付待ち","")&amp;IF(W1526&lt;&gt;"","・削除","")</f>
        <v/>
      </c>
    </row>
    <row r="1527" ht="15" customHeight="1" s="87">
      <c r="AL1527" s="94">
        <f>IF(A1527="","",IF(COUNTIF(A1527:A$2001,A1527)=1,1,0))</f>
        <v/>
      </c>
      <c r="AM1527" s="94">
        <f>IF(I1527="","",TODAY()-I1527)</f>
        <v/>
      </c>
      <c r="AN1527" s="94">
        <f>IF(A1527="","",IF(AND(E1527&lt;&gt;"33 確認済",E1527&lt;&gt;"36 送付中"),1,0))</f>
        <v/>
      </c>
      <c r="AO1527" s="94">
        <f>IF(A1527="","",IF(AG1527&lt;&gt;"",1,0))</f>
        <v/>
      </c>
      <c r="AP1527" s="220">
        <f>IF(P1527&lt;&gt;"","・添待ち","")&amp;IF(Q1527&lt;&gt;"","・住民票","")&amp;IF(R1527&lt;&gt;"","・発信","")&amp;IF(S1527&lt;&gt;"","・確認事項","")&amp;IF(T1527&lt;&gt;"","・管","")&amp;IF(U1527&lt;&gt;"","・SV","")&amp;IF(V1527&lt;&gt;"","・データ送付待ち","")&amp;IF(W1527&lt;&gt;"","・削除","")</f>
        <v/>
      </c>
    </row>
    <row r="1528" ht="15" customHeight="1" s="87">
      <c r="AL1528" s="94">
        <f>IF(A1528="","",IF(COUNTIF(A1528:A$2001,A1528)=1,1,0))</f>
        <v/>
      </c>
      <c r="AM1528" s="94">
        <f>IF(I1528="","",TODAY()-I1528)</f>
        <v/>
      </c>
      <c r="AN1528" s="94">
        <f>IF(A1528="","",IF(AND(E1528&lt;&gt;"33 確認済",E1528&lt;&gt;"36 送付中"),1,0))</f>
        <v/>
      </c>
      <c r="AO1528" s="94">
        <f>IF(A1528="","",IF(AG1528&lt;&gt;"",1,0))</f>
        <v/>
      </c>
      <c r="AP1528" s="220">
        <f>IF(P1528&lt;&gt;"","・添待ち","")&amp;IF(Q1528&lt;&gt;"","・住民票","")&amp;IF(R1528&lt;&gt;"","・発信","")&amp;IF(S1528&lt;&gt;"","・確認事項","")&amp;IF(T1528&lt;&gt;"","・管","")&amp;IF(U1528&lt;&gt;"","・SV","")&amp;IF(V1528&lt;&gt;"","・データ送付待ち","")&amp;IF(W1528&lt;&gt;"","・削除","")</f>
        <v/>
      </c>
    </row>
    <row r="1529" ht="15" customHeight="1" s="87">
      <c r="AL1529" s="94">
        <f>IF(A1529="","",IF(COUNTIF(A1529:A$2001,A1529)=1,1,0))</f>
        <v/>
      </c>
      <c r="AM1529" s="94">
        <f>IF(I1529="","",TODAY()-I1529)</f>
        <v/>
      </c>
      <c r="AN1529" s="94">
        <f>IF(A1529="","",IF(AND(E1529&lt;&gt;"33 確認済",E1529&lt;&gt;"36 送付中"),1,0))</f>
        <v/>
      </c>
      <c r="AO1529" s="94">
        <f>IF(A1529="","",IF(AG1529&lt;&gt;"",1,0))</f>
        <v/>
      </c>
      <c r="AP1529" s="220">
        <f>IF(P1529&lt;&gt;"","・添待ち","")&amp;IF(Q1529&lt;&gt;"","・住民票","")&amp;IF(R1529&lt;&gt;"","・発信","")&amp;IF(S1529&lt;&gt;"","・確認事項","")&amp;IF(T1529&lt;&gt;"","・管","")&amp;IF(U1529&lt;&gt;"","・SV","")&amp;IF(V1529&lt;&gt;"","・データ送付待ち","")&amp;IF(W1529&lt;&gt;"","・削除","")</f>
        <v/>
      </c>
    </row>
    <row r="1530" ht="15" customHeight="1" s="87">
      <c r="AL1530" s="94">
        <f>IF(A1530="","",IF(COUNTIF(A1530:A$2001,A1530)=1,1,0))</f>
        <v/>
      </c>
      <c r="AM1530" s="94">
        <f>IF(I1530="","",TODAY()-I1530)</f>
        <v/>
      </c>
      <c r="AN1530" s="94">
        <f>IF(A1530="","",IF(AND(E1530&lt;&gt;"33 確認済",E1530&lt;&gt;"36 送付中"),1,0))</f>
        <v/>
      </c>
      <c r="AO1530" s="94">
        <f>IF(A1530="","",IF(AG1530&lt;&gt;"",1,0))</f>
        <v/>
      </c>
      <c r="AP1530" s="220">
        <f>IF(P1530&lt;&gt;"","・添待ち","")&amp;IF(Q1530&lt;&gt;"","・住民票","")&amp;IF(R1530&lt;&gt;"","・発信","")&amp;IF(S1530&lt;&gt;"","・確認事項","")&amp;IF(T1530&lt;&gt;"","・管","")&amp;IF(U1530&lt;&gt;"","・SV","")&amp;IF(V1530&lt;&gt;"","・データ送付待ち","")&amp;IF(W1530&lt;&gt;"","・削除","")</f>
        <v/>
      </c>
    </row>
    <row r="1531" ht="15" customHeight="1" s="87">
      <c r="AL1531" s="94">
        <f>IF(A1531="","",IF(COUNTIF(A1531:A$2001,A1531)=1,1,0))</f>
        <v/>
      </c>
      <c r="AM1531" s="94">
        <f>IF(I1531="","",TODAY()-I1531)</f>
        <v/>
      </c>
      <c r="AN1531" s="94">
        <f>IF(A1531="","",IF(AND(E1531&lt;&gt;"33 確認済",E1531&lt;&gt;"36 送付中"),1,0))</f>
        <v/>
      </c>
      <c r="AO1531" s="94">
        <f>IF(A1531="","",IF(AG1531&lt;&gt;"",1,0))</f>
        <v/>
      </c>
      <c r="AP1531" s="220">
        <f>IF(P1531&lt;&gt;"","・添待ち","")&amp;IF(Q1531&lt;&gt;"","・住民票","")&amp;IF(R1531&lt;&gt;"","・発信","")&amp;IF(S1531&lt;&gt;"","・確認事項","")&amp;IF(T1531&lt;&gt;"","・管","")&amp;IF(U1531&lt;&gt;"","・SV","")&amp;IF(V1531&lt;&gt;"","・データ送付待ち","")&amp;IF(W1531&lt;&gt;"","・削除","")</f>
        <v/>
      </c>
    </row>
    <row r="1532" ht="15" customHeight="1" s="87">
      <c r="AL1532" s="94">
        <f>IF(A1532="","",IF(COUNTIF(A1532:A$2001,A1532)=1,1,0))</f>
        <v/>
      </c>
      <c r="AM1532" s="94">
        <f>IF(I1532="","",TODAY()-I1532)</f>
        <v/>
      </c>
      <c r="AN1532" s="94">
        <f>IF(A1532="","",IF(AND(E1532&lt;&gt;"33 確認済",E1532&lt;&gt;"36 送付中"),1,0))</f>
        <v/>
      </c>
      <c r="AO1532" s="94">
        <f>IF(A1532="","",IF(AG1532&lt;&gt;"",1,0))</f>
        <v/>
      </c>
      <c r="AP1532" s="220">
        <f>IF(P1532&lt;&gt;"","・添待ち","")&amp;IF(Q1532&lt;&gt;"","・住民票","")&amp;IF(R1532&lt;&gt;"","・発信","")&amp;IF(S1532&lt;&gt;"","・確認事項","")&amp;IF(T1532&lt;&gt;"","・管","")&amp;IF(U1532&lt;&gt;"","・SV","")&amp;IF(V1532&lt;&gt;"","・データ送付待ち","")&amp;IF(W1532&lt;&gt;"","・削除","")</f>
        <v/>
      </c>
    </row>
    <row r="1533" ht="15" customHeight="1" s="87">
      <c r="AL1533" s="94">
        <f>IF(A1533="","",IF(COUNTIF(A1533:A$2001,A1533)=1,1,0))</f>
        <v/>
      </c>
      <c r="AM1533" s="94">
        <f>IF(I1533="","",TODAY()-I1533)</f>
        <v/>
      </c>
      <c r="AN1533" s="94">
        <f>IF(A1533="","",IF(AND(E1533&lt;&gt;"33 確認済",E1533&lt;&gt;"36 送付中"),1,0))</f>
        <v/>
      </c>
      <c r="AO1533" s="94">
        <f>IF(A1533="","",IF(AG1533&lt;&gt;"",1,0))</f>
        <v/>
      </c>
      <c r="AP1533" s="220">
        <f>IF(P1533&lt;&gt;"","・添待ち","")&amp;IF(Q1533&lt;&gt;"","・住民票","")&amp;IF(R1533&lt;&gt;"","・発信","")&amp;IF(S1533&lt;&gt;"","・確認事項","")&amp;IF(T1533&lt;&gt;"","・管","")&amp;IF(U1533&lt;&gt;"","・SV","")&amp;IF(V1533&lt;&gt;"","・データ送付待ち","")&amp;IF(W1533&lt;&gt;"","・削除","")</f>
        <v/>
      </c>
    </row>
    <row r="1534" ht="15" customHeight="1" s="87">
      <c r="AL1534" s="94">
        <f>IF(A1534="","",IF(COUNTIF(A1534:A$2001,A1534)=1,1,0))</f>
        <v/>
      </c>
      <c r="AM1534" s="94">
        <f>IF(I1534="","",TODAY()-I1534)</f>
        <v/>
      </c>
      <c r="AN1534" s="94">
        <f>IF(A1534="","",IF(AND(E1534&lt;&gt;"33 確認済",E1534&lt;&gt;"36 送付中"),1,0))</f>
        <v/>
      </c>
      <c r="AO1534" s="94">
        <f>IF(A1534="","",IF(AG1534&lt;&gt;"",1,0))</f>
        <v/>
      </c>
      <c r="AP1534" s="220">
        <f>IF(P1534&lt;&gt;"","・添待ち","")&amp;IF(Q1534&lt;&gt;"","・住民票","")&amp;IF(R1534&lt;&gt;"","・発信","")&amp;IF(S1534&lt;&gt;"","・確認事項","")&amp;IF(T1534&lt;&gt;"","・管","")&amp;IF(U1534&lt;&gt;"","・SV","")&amp;IF(V1534&lt;&gt;"","・データ送付待ち","")&amp;IF(W1534&lt;&gt;"","・削除","")</f>
        <v/>
      </c>
    </row>
    <row r="1535" ht="15" customHeight="1" s="87">
      <c r="AL1535" s="94">
        <f>IF(A1535="","",IF(COUNTIF(A1535:A$2001,A1535)=1,1,0))</f>
        <v/>
      </c>
      <c r="AM1535" s="94">
        <f>IF(I1535="","",TODAY()-I1535)</f>
        <v/>
      </c>
      <c r="AN1535" s="94">
        <f>IF(A1535="","",IF(AND(E1535&lt;&gt;"33 確認済",E1535&lt;&gt;"36 送付中"),1,0))</f>
        <v/>
      </c>
      <c r="AO1535" s="94">
        <f>IF(A1535="","",IF(AG1535&lt;&gt;"",1,0))</f>
        <v/>
      </c>
      <c r="AP1535" s="220">
        <f>IF(P1535&lt;&gt;"","・添待ち","")&amp;IF(Q1535&lt;&gt;"","・住民票","")&amp;IF(R1535&lt;&gt;"","・発信","")&amp;IF(S1535&lt;&gt;"","・確認事項","")&amp;IF(T1535&lt;&gt;"","・管","")&amp;IF(U1535&lt;&gt;"","・SV","")&amp;IF(V1535&lt;&gt;"","・データ送付待ち","")&amp;IF(W1535&lt;&gt;"","・削除","")</f>
        <v/>
      </c>
    </row>
    <row r="1536" ht="15" customHeight="1" s="87">
      <c r="AL1536" s="94">
        <f>IF(A1536="","",IF(COUNTIF(A1536:A$2001,A1536)=1,1,0))</f>
        <v/>
      </c>
      <c r="AM1536" s="94">
        <f>IF(I1536="","",TODAY()-I1536)</f>
        <v/>
      </c>
      <c r="AN1536" s="94">
        <f>IF(A1536="","",IF(AND(E1536&lt;&gt;"33 確認済",E1536&lt;&gt;"36 送付中"),1,0))</f>
        <v/>
      </c>
      <c r="AO1536" s="94">
        <f>IF(A1536="","",IF(AG1536&lt;&gt;"",1,0))</f>
        <v/>
      </c>
      <c r="AP1536" s="220">
        <f>IF(P1536&lt;&gt;"","・添待ち","")&amp;IF(Q1536&lt;&gt;"","・住民票","")&amp;IF(R1536&lt;&gt;"","・発信","")&amp;IF(S1536&lt;&gt;"","・確認事項","")&amp;IF(T1536&lt;&gt;"","・管","")&amp;IF(U1536&lt;&gt;"","・SV","")&amp;IF(V1536&lt;&gt;"","・データ送付待ち","")&amp;IF(W1536&lt;&gt;"","・削除","")</f>
        <v/>
      </c>
    </row>
    <row r="1537" ht="15" customHeight="1" s="87">
      <c r="AL1537" s="94">
        <f>IF(A1537="","",IF(COUNTIF(A1537:A$2001,A1537)=1,1,0))</f>
        <v/>
      </c>
      <c r="AM1537" s="94">
        <f>IF(I1537="","",TODAY()-I1537)</f>
        <v/>
      </c>
      <c r="AN1537" s="94">
        <f>IF(A1537="","",IF(AND(E1537&lt;&gt;"33 確認済",E1537&lt;&gt;"36 送付中"),1,0))</f>
        <v/>
      </c>
      <c r="AO1537" s="94">
        <f>IF(A1537="","",IF(AG1537&lt;&gt;"",1,0))</f>
        <v/>
      </c>
      <c r="AP1537" s="220">
        <f>IF(P1537&lt;&gt;"","・添待ち","")&amp;IF(Q1537&lt;&gt;"","・住民票","")&amp;IF(R1537&lt;&gt;"","・発信","")&amp;IF(S1537&lt;&gt;"","・確認事項","")&amp;IF(T1537&lt;&gt;"","・管","")&amp;IF(U1537&lt;&gt;"","・SV","")&amp;IF(V1537&lt;&gt;"","・データ送付待ち","")&amp;IF(W1537&lt;&gt;"","・削除","")</f>
        <v/>
      </c>
    </row>
    <row r="1538" ht="15" customHeight="1" s="87">
      <c r="AL1538" s="94">
        <f>IF(A1538="","",IF(COUNTIF(A1538:A$2001,A1538)=1,1,0))</f>
        <v/>
      </c>
      <c r="AM1538" s="94">
        <f>IF(I1538="","",TODAY()-I1538)</f>
        <v/>
      </c>
      <c r="AN1538" s="94">
        <f>IF(A1538="","",IF(AND(E1538&lt;&gt;"33 確認済",E1538&lt;&gt;"36 送付中"),1,0))</f>
        <v/>
      </c>
      <c r="AO1538" s="94">
        <f>IF(A1538="","",IF(AG1538&lt;&gt;"",1,0))</f>
        <v/>
      </c>
      <c r="AP1538" s="220">
        <f>IF(P1538&lt;&gt;"","・添待ち","")&amp;IF(Q1538&lt;&gt;"","・住民票","")&amp;IF(R1538&lt;&gt;"","・発信","")&amp;IF(S1538&lt;&gt;"","・確認事項","")&amp;IF(T1538&lt;&gt;"","・管","")&amp;IF(U1538&lt;&gt;"","・SV","")&amp;IF(V1538&lt;&gt;"","・データ送付待ち","")&amp;IF(W1538&lt;&gt;"","・削除","")</f>
        <v/>
      </c>
    </row>
    <row r="1539" ht="15" customHeight="1" s="87">
      <c r="AL1539" s="94">
        <f>IF(A1539="","",IF(COUNTIF(A1539:A$2001,A1539)=1,1,0))</f>
        <v/>
      </c>
      <c r="AM1539" s="94">
        <f>IF(I1539="","",TODAY()-I1539)</f>
        <v/>
      </c>
      <c r="AN1539" s="94">
        <f>IF(A1539="","",IF(AND(E1539&lt;&gt;"33 確認済",E1539&lt;&gt;"36 送付中"),1,0))</f>
        <v/>
      </c>
      <c r="AO1539" s="94">
        <f>IF(A1539="","",IF(AG1539&lt;&gt;"",1,0))</f>
        <v/>
      </c>
      <c r="AP1539" s="220">
        <f>IF(P1539&lt;&gt;"","・添待ち","")&amp;IF(Q1539&lt;&gt;"","・住民票","")&amp;IF(R1539&lt;&gt;"","・発信","")&amp;IF(S1539&lt;&gt;"","・確認事項","")&amp;IF(T1539&lt;&gt;"","・管","")&amp;IF(U1539&lt;&gt;"","・SV","")&amp;IF(V1539&lt;&gt;"","・データ送付待ち","")&amp;IF(W1539&lt;&gt;"","・削除","")</f>
        <v/>
      </c>
    </row>
    <row r="1540" ht="15" customHeight="1" s="87">
      <c r="AL1540" s="94">
        <f>IF(A1540="","",IF(COUNTIF(A1540:A$2001,A1540)=1,1,0))</f>
        <v/>
      </c>
      <c r="AM1540" s="94">
        <f>IF(I1540="","",TODAY()-I1540)</f>
        <v/>
      </c>
      <c r="AN1540" s="94">
        <f>IF(A1540="","",IF(AND(E1540&lt;&gt;"33 確認済",E1540&lt;&gt;"36 送付中"),1,0))</f>
        <v/>
      </c>
      <c r="AO1540" s="94">
        <f>IF(A1540="","",IF(AG1540&lt;&gt;"",1,0))</f>
        <v/>
      </c>
      <c r="AP1540" s="220">
        <f>IF(P1540&lt;&gt;"","・添待ち","")&amp;IF(Q1540&lt;&gt;"","・住民票","")&amp;IF(R1540&lt;&gt;"","・発信","")&amp;IF(S1540&lt;&gt;"","・確認事項","")&amp;IF(T1540&lt;&gt;"","・管","")&amp;IF(U1540&lt;&gt;"","・SV","")&amp;IF(V1540&lt;&gt;"","・データ送付待ち","")&amp;IF(W1540&lt;&gt;"","・削除","")</f>
        <v/>
      </c>
    </row>
    <row r="1541" ht="15" customHeight="1" s="87">
      <c r="AL1541" s="94">
        <f>IF(A1541="","",IF(COUNTIF(A1541:A$2001,A1541)=1,1,0))</f>
        <v/>
      </c>
      <c r="AM1541" s="94">
        <f>IF(I1541="","",TODAY()-I1541)</f>
        <v/>
      </c>
      <c r="AN1541" s="94">
        <f>IF(A1541="","",IF(AND(E1541&lt;&gt;"33 確認済",E1541&lt;&gt;"36 送付中"),1,0))</f>
        <v/>
      </c>
      <c r="AO1541" s="94">
        <f>IF(A1541="","",IF(AG1541&lt;&gt;"",1,0))</f>
        <v/>
      </c>
      <c r="AP1541" s="220">
        <f>IF(P1541&lt;&gt;"","・添待ち","")&amp;IF(Q1541&lt;&gt;"","・住民票","")&amp;IF(R1541&lt;&gt;"","・発信","")&amp;IF(S1541&lt;&gt;"","・確認事項","")&amp;IF(T1541&lt;&gt;"","・管","")&amp;IF(U1541&lt;&gt;"","・SV","")&amp;IF(V1541&lt;&gt;"","・データ送付待ち","")&amp;IF(W1541&lt;&gt;"","・削除","")</f>
        <v/>
      </c>
    </row>
    <row r="1542" ht="15" customHeight="1" s="87">
      <c r="AL1542" s="94">
        <f>IF(A1542="","",IF(COUNTIF(A1542:A$2001,A1542)=1,1,0))</f>
        <v/>
      </c>
      <c r="AM1542" s="94">
        <f>IF(I1542="","",TODAY()-I1542)</f>
        <v/>
      </c>
      <c r="AN1542" s="94">
        <f>IF(A1542="","",IF(AND(E1542&lt;&gt;"33 確認済",E1542&lt;&gt;"36 送付中"),1,0))</f>
        <v/>
      </c>
      <c r="AO1542" s="94">
        <f>IF(A1542="","",IF(AG1542&lt;&gt;"",1,0))</f>
        <v/>
      </c>
      <c r="AP1542" s="220">
        <f>IF(P1542&lt;&gt;"","・添待ち","")&amp;IF(Q1542&lt;&gt;"","・住民票","")&amp;IF(R1542&lt;&gt;"","・発信","")&amp;IF(S1542&lt;&gt;"","・確認事項","")&amp;IF(T1542&lt;&gt;"","・管","")&amp;IF(U1542&lt;&gt;"","・SV","")&amp;IF(V1542&lt;&gt;"","・データ送付待ち","")&amp;IF(W1542&lt;&gt;"","・削除","")</f>
        <v/>
      </c>
    </row>
    <row r="1543" ht="15" customHeight="1" s="87">
      <c r="AL1543" s="94">
        <f>IF(A1543="","",IF(COUNTIF(A1543:A$2001,A1543)=1,1,0))</f>
        <v/>
      </c>
      <c r="AM1543" s="94">
        <f>IF(I1543="","",TODAY()-I1543)</f>
        <v/>
      </c>
      <c r="AN1543" s="94">
        <f>IF(A1543="","",IF(AND(E1543&lt;&gt;"33 確認済",E1543&lt;&gt;"36 送付中"),1,0))</f>
        <v/>
      </c>
      <c r="AO1543" s="94">
        <f>IF(A1543="","",IF(AG1543&lt;&gt;"",1,0))</f>
        <v/>
      </c>
      <c r="AP1543" s="220">
        <f>IF(P1543&lt;&gt;"","・添待ち","")&amp;IF(Q1543&lt;&gt;"","・住民票","")&amp;IF(R1543&lt;&gt;"","・発信","")&amp;IF(S1543&lt;&gt;"","・確認事項","")&amp;IF(T1543&lt;&gt;"","・管","")&amp;IF(U1543&lt;&gt;"","・SV","")&amp;IF(V1543&lt;&gt;"","・データ送付待ち","")&amp;IF(W1543&lt;&gt;"","・削除","")</f>
        <v/>
      </c>
    </row>
    <row r="1544" ht="15" customHeight="1" s="87">
      <c r="AL1544" s="94">
        <f>IF(A1544="","",IF(COUNTIF(A1544:A$2001,A1544)=1,1,0))</f>
        <v/>
      </c>
      <c r="AM1544" s="94">
        <f>IF(I1544="","",TODAY()-I1544)</f>
        <v/>
      </c>
      <c r="AN1544" s="94">
        <f>IF(A1544="","",IF(AND(E1544&lt;&gt;"33 確認済",E1544&lt;&gt;"36 送付中"),1,0))</f>
        <v/>
      </c>
      <c r="AO1544" s="94">
        <f>IF(A1544="","",IF(AG1544&lt;&gt;"",1,0))</f>
        <v/>
      </c>
      <c r="AP1544" s="220">
        <f>IF(P1544&lt;&gt;"","・添待ち","")&amp;IF(Q1544&lt;&gt;"","・住民票","")&amp;IF(R1544&lt;&gt;"","・発信","")&amp;IF(S1544&lt;&gt;"","・確認事項","")&amp;IF(T1544&lt;&gt;"","・管","")&amp;IF(U1544&lt;&gt;"","・SV","")&amp;IF(V1544&lt;&gt;"","・データ送付待ち","")&amp;IF(W1544&lt;&gt;"","・削除","")</f>
        <v/>
      </c>
    </row>
    <row r="1545" ht="15" customHeight="1" s="87">
      <c r="AL1545" s="94">
        <f>IF(A1545="","",IF(COUNTIF(A1545:A$2001,A1545)=1,1,0))</f>
        <v/>
      </c>
      <c r="AM1545" s="94">
        <f>IF(I1545="","",TODAY()-I1545)</f>
        <v/>
      </c>
      <c r="AN1545" s="94">
        <f>IF(A1545="","",IF(AND(E1545&lt;&gt;"33 確認済",E1545&lt;&gt;"36 送付中"),1,0))</f>
        <v/>
      </c>
      <c r="AO1545" s="94">
        <f>IF(A1545="","",IF(AG1545&lt;&gt;"",1,0))</f>
        <v/>
      </c>
      <c r="AP1545" s="220">
        <f>IF(P1545&lt;&gt;"","・添待ち","")&amp;IF(Q1545&lt;&gt;"","・住民票","")&amp;IF(R1545&lt;&gt;"","・発信","")&amp;IF(S1545&lt;&gt;"","・確認事項","")&amp;IF(T1545&lt;&gt;"","・管","")&amp;IF(U1545&lt;&gt;"","・SV","")&amp;IF(V1545&lt;&gt;"","・データ送付待ち","")&amp;IF(W1545&lt;&gt;"","・削除","")</f>
        <v/>
      </c>
    </row>
    <row r="1546" ht="15" customHeight="1" s="87">
      <c r="AL1546" s="94">
        <f>IF(A1546="","",IF(COUNTIF(A1546:A$2001,A1546)=1,1,0))</f>
        <v/>
      </c>
      <c r="AM1546" s="94">
        <f>IF(I1546="","",TODAY()-I1546)</f>
        <v/>
      </c>
      <c r="AN1546" s="94">
        <f>IF(A1546="","",IF(AND(E1546&lt;&gt;"33 確認済",E1546&lt;&gt;"36 送付中"),1,0))</f>
        <v/>
      </c>
      <c r="AO1546" s="94">
        <f>IF(A1546="","",IF(AG1546&lt;&gt;"",1,0))</f>
        <v/>
      </c>
      <c r="AP1546" s="220">
        <f>IF(P1546&lt;&gt;"","・添待ち","")&amp;IF(Q1546&lt;&gt;"","・住民票","")&amp;IF(R1546&lt;&gt;"","・発信","")&amp;IF(S1546&lt;&gt;"","・確認事項","")&amp;IF(T1546&lt;&gt;"","・管","")&amp;IF(U1546&lt;&gt;"","・SV","")&amp;IF(V1546&lt;&gt;"","・データ送付待ち","")&amp;IF(W1546&lt;&gt;"","・削除","")</f>
        <v/>
      </c>
    </row>
    <row r="1547" ht="15" customHeight="1" s="87">
      <c r="AL1547" s="94">
        <f>IF(A1547="","",IF(COUNTIF(A1547:A$2001,A1547)=1,1,0))</f>
        <v/>
      </c>
      <c r="AM1547" s="94">
        <f>IF(I1547="","",TODAY()-I1547)</f>
        <v/>
      </c>
      <c r="AN1547" s="94">
        <f>IF(A1547="","",IF(AND(E1547&lt;&gt;"33 確認済",E1547&lt;&gt;"36 送付中"),1,0))</f>
        <v/>
      </c>
      <c r="AO1547" s="94">
        <f>IF(A1547="","",IF(AG1547&lt;&gt;"",1,0))</f>
        <v/>
      </c>
      <c r="AP1547" s="220">
        <f>IF(P1547&lt;&gt;"","・添待ち","")&amp;IF(Q1547&lt;&gt;"","・住民票","")&amp;IF(R1547&lt;&gt;"","・発信","")&amp;IF(S1547&lt;&gt;"","・確認事項","")&amp;IF(T1547&lt;&gt;"","・管","")&amp;IF(U1547&lt;&gt;"","・SV","")&amp;IF(V1547&lt;&gt;"","・データ送付待ち","")&amp;IF(W1547&lt;&gt;"","・削除","")</f>
        <v/>
      </c>
    </row>
    <row r="1548" ht="15" customHeight="1" s="87">
      <c r="AL1548" s="94">
        <f>IF(A1548="","",IF(COUNTIF(A1548:A$2001,A1548)=1,1,0))</f>
        <v/>
      </c>
      <c r="AM1548" s="94">
        <f>IF(I1548="","",TODAY()-I1548)</f>
        <v/>
      </c>
      <c r="AN1548" s="94">
        <f>IF(A1548="","",IF(AND(E1548&lt;&gt;"33 確認済",E1548&lt;&gt;"36 送付中"),1,0))</f>
        <v/>
      </c>
      <c r="AO1548" s="94">
        <f>IF(A1548="","",IF(AG1548&lt;&gt;"",1,0))</f>
        <v/>
      </c>
      <c r="AP1548" s="220">
        <f>IF(P1548&lt;&gt;"","・添待ち","")&amp;IF(Q1548&lt;&gt;"","・住民票","")&amp;IF(R1548&lt;&gt;"","・発信","")&amp;IF(S1548&lt;&gt;"","・確認事項","")&amp;IF(T1548&lt;&gt;"","・管","")&amp;IF(U1548&lt;&gt;"","・SV","")&amp;IF(V1548&lt;&gt;"","・データ送付待ち","")&amp;IF(W1548&lt;&gt;"","・削除","")</f>
        <v/>
      </c>
    </row>
    <row r="1549" ht="15" customHeight="1" s="87">
      <c r="AL1549" s="94">
        <f>IF(A1549="","",IF(COUNTIF(A1549:A$2001,A1549)=1,1,0))</f>
        <v/>
      </c>
      <c r="AM1549" s="94">
        <f>IF(I1549="","",TODAY()-I1549)</f>
        <v/>
      </c>
      <c r="AN1549" s="94">
        <f>IF(A1549="","",IF(AND(E1549&lt;&gt;"33 確認済",E1549&lt;&gt;"36 送付中"),1,0))</f>
        <v/>
      </c>
      <c r="AO1549" s="94">
        <f>IF(A1549="","",IF(AG1549&lt;&gt;"",1,0))</f>
        <v/>
      </c>
      <c r="AP1549" s="220">
        <f>IF(P1549&lt;&gt;"","・添待ち","")&amp;IF(Q1549&lt;&gt;"","・住民票","")&amp;IF(R1549&lt;&gt;"","・発信","")&amp;IF(S1549&lt;&gt;"","・確認事項","")&amp;IF(T1549&lt;&gt;"","・管","")&amp;IF(U1549&lt;&gt;"","・SV","")&amp;IF(V1549&lt;&gt;"","・データ送付待ち","")&amp;IF(W1549&lt;&gt;"","・削除","")</f>
        <v/>
      </c>
    </row>
    <row r="1550" ht="15" customHeight="1" s="87">
      <c r="AL1550" s="94">
        <f>IF(A1550="","",IF(COUNTIF(A1550:A$2001,A1550)=1,1,0))</f>
        <v/>
      </c>
      <c r="AM1550" s="94">
        <f>IF(I1550="","",TODAY()-I1550)</f>
        <v/>
      </c>
      <c r="AN1550" s="94">
        <f>IF(A1550="","",IF(AND(E1550&lt;&gt;"33 確認済",E1550&lt;&gt;"36 送付中"),1,0))</f>
        <v/>
      </c>
      <c r="AO1550" s="94">
        <f>IF(A1550="","",IF(AG1550&lt;&gt;"",1,0))</f>
        <v/>
      </c>
      <c r="AP1550" s="220">
        <f>IF(P1550&lt;&gt;"","・添待ち","")&amp;IF(Q1550&lt;&gt;"","・住民票","")&amp;IF(R1550&lt;&gt;"","・発信","")&amp;IF(S1550&lt;&gt;"","・確認事項","")&amp;IF(T1550&lt;&gt;"","・管","")&amp;IF(U1550&lt;&gt;"","・SV","")&amp;IF(V1550&lt;&gt;"","・データ送付待ち","")&amp;IF(W1550&lt;&gt;"","・削除","")</f>
        <v/>
      </c>
    </row>
    <row r="1551" ht="15" customHeight="1" s="87">
      <c r="AL1551" s="94">
        <f>IF(A1551="","",IF(COUNTIF(A1551:A$2001,A1551)=1,1,0))</f>
        <v/>
      </c>
      <c r="AM1551" s="94">
        <f>IF(I1551="","",TODAY()-I1551)</f>
        <v/>
      </c>
      <c r="AN1551" s="94">
        <f>IF(A1551="","",IF(AND(E1551&lt;&gt;"33 確認済",E1551&lt;&gt;"36 送付中"),1,0))</f>
        <v/>
      </c>
      <c r="AO1551" s="94">
        <f>IF(A1551="","",IF(AG1551&lt;&gt;"",1,0))</f>
        <v/>
      </c>
      <c r="AP1551" s="220">
        <f>IF(P1551&lt;&gt;"","・添待ち","")&amp;IF(Q1551&lt;&gt;"","・住民票","")&amp;IF(R1551&lt;&gt;"","・発信","")&amp;IF(S1551&lt;&gt;"","・確認事項","")&amp;IF(T1551&lt;&gt;"","・管","")&amp;IF(U1551&lt;&gt;"","・SV","")&amp;IF(V1551&lt;&gt;"","・データ送付待ち","")&amp;IF(W1551&lt;&gt;"","・削除","")</f>
        <v/>
      </c>
    </row>
    <row r="1552" ht="15" customHeight="1" s="87">
      <c r="AL1552" s="94">
        <f>IF(A1552="","",IF(COUNTIF(A1552:A$2001,A1552)=1,1,0))</f>
        <v/>
      </c>
      <c r="AM1552" s="94">
        <f>IF(I1552="","",TODAY()-I1552)</f>
        <v/>
      </c>
      <c r="AN1552" s="94">
        <f>IF(A1552="","",IF(AND(E1552&lt;&gt;"33 確認済",E1552&lt;&gt;"36 送付中"),1,0))</f>
        <v/>
      </c>
      <c r="AO1552" s="94">
        <f>IF(A1552="","",IF(AG1552&lt;&gt;"",1,0))</f>
        <v/>
      </c>
      <c r="AP1552" s="220">
        <f>IF(P1552&lt;&gt;"","・添待ち","")&amp;IF(Q1552&lt;&gt;"","・住民票","")&amp;IF(R1552&lt;&gt;"","・発信","")&amp;IF(S1552&lt;&gt;"","・確認事項","")&amp;IF(T1552&lt;&gt;"","・管","")&amp;IF(U1552&lt;&gt;"","・SV","")&amp;IF(V1552&lt;&gt;"","・データ送付待ち","")&amp;IF(W1552&lt;&gt;"","・削除","")</f>
        <v/>
      </c>
    </row>
    <row r="1553" ht="15" customHeight="1" s="87">
      <c r="AL1553" s="94">
        <f>IF(A1553="","",IF(COUNTIF(A1553:A$2001,A1553)=1,1,0))</f>
        <v/>
      </c>
      <c r="AM1553" s="94">
        <f>IF(I1553="","",TODAY()-I1553)</f>
        <v/>
      </c>
      <c r="AN1553" s="94">
        <f>IF(A1553="","",IF(AND(E1553&lt;&gt;"33 確認済",E1553&lt;&gt;"36 送付中"),1,0))</f>
        <v/>
      </c>
      <c r="AO1553" s="94">
        <f>IF(A1553="","",IF(AG1553&lt;&gt;"",1,0))</f>
        <v/>
      </c>
      <c r="AP1553" s="220">
        <f>IF(P1553&lt;&gt;"","・添待ち","")&amp;IF(Q1553&lt;&gt;"","・住民票","")&amp;IF(R1553&lt;&gt;"","・発信","")&amp;IF(S1553&lt;&gt;"","・確認事項","")&amp;IF(T1553&lt;&gt;"","・管","")&amp;IF(U1553&lt;&gt;"","・SV","")&amp;IF(V1553&lt;&gt;"","・データ送付待ち","")&amp;IF(W1553&lt;&gt;"","・削除","")</f>
        <v/>
      </c>
    </row>
    <row r="1554" ht="15" customHeight="1" s="87">
      <c r="AL1554" s="94">
        <f>IF(A1554="","",IF(COUNTIF(A1554:A$2001,A1554)=1,1,0))</f>
        <v/>
      </c>
      <c r="AM1554" s="94">
        <f>IF(I1554="","",TODAY()-I1554)</f>
        <v/>
      </c>
      <c r="AN1554" s="94">
        <f>IF(A1554="","",IF(AND(E1554&lt;&gt;"33 確認済",E1554&lt;&gt;"36 送付中"),1,0))</f>
        <v/>
      </c>
      <c r="AO1554" s="94">
        <f>IF(A1554="","",IF(AG1554&lt;&gt;"",1,0))</f>
        <v/>
      </c>
      <c r="AP1554" s="220">
        <f>IF(P1554&lt;&gt;"","・添待ち","")&amp;IF(Q1554&lt;&gt;"","・住民票","")&amp;IF(R1554&lt;&gt;"","・発信","")&amp;IF(S1554&lt;&gt;"","・確認事項","")&amp;IF(T1554&lt;&gt;"","・管","")&amp;IF(U1554&lt;&gt;"","・SV","")&amp;IF(V1554&lt;&gt;"","・データ送付待ち","")&amp;IF(W1554&lt;&gt;"","・削除","")</f>
        <v/>
      </c>
    </row>
    <row r="1555" ht="15" customHeight="1" s="87">
      <c r="AL1555" s="94">
        <f>IF(A1555="","",IF(COUNTIF(A1555:A$2001,A1555)=1,1,0))</f>
        <v/>
      </c>
      <c r="AM1555" s="94">
        <f>IF(I1555="","",TODAY()-I1555)</f>
        <v/>
      </c>
      <c r="AN1555" s="94">
        <f>IF(A1555="","",IF(AND(E1555&lt;&gt;"33 確認済",E1555&lt;&gt;"36 送付中"),1,0))</f>
        <v/>
      </c>
      <c r="AO1555" s="94">
        <f>IF(A1555="","",IF(AG1555&lt;&gt;"",1,0))</f>
        <v/>
      </c>
      <c r="AP1555" s="220">
        <f>IF(P1555&lt;&gt;"","・添待ち","")&amp;IF(Q1555&lt;&gt;"","・住民票","")&amp;IF(R1555&lt;&gt;"","・発信","")&amp;IF(S1555&lt;&gt;"","・確認事項","")&amp;IF(T1555&lt;&gt;"","・管","")&amp;IF(U1555&lt;&gt;"","・SV","")&amp;IF(V1555&lt;&gt;"","・データ送付待ち","")&amp;IF(W1555&lt;&gt;"","・削除","")</f>
        <v/>
      </c>
    </row>
    <row r="1556" ht="15" customHeight="1" s="87">
      <c r="AL1556" s="94">
        <f>IF(A1556="","",IF(COUNTIF(A1556:A$2001,A1556)=1,1,0))</f>
        <v/>
      </c>
      <c r="AM1556" s="94">
        <f>IF(I1556="","",TODAY()-I1556)</f>
        <v/>
      </c>
      <c r="AN1556" s="94">
        <f>IF(A1556="","",IF(AND(E1556&lt;&gt;"33 確認済",E1556&lt;&gt;"36 送付中"),1,0))</f>
        <v/>
      </c>
      <c r="AO1556" s="94">
        <f>IF(A1556="","",IF(AG1556&lt;&gt;"",1,0))</f>
        <v/>
      </c>
      <c r="AP1556" s="220">
        <f>IF(P1556&lt;&gt;"","・添待ち","")&amp;IF(Q1556&lt;&gt;"","・住民票","")&amp;IF(R1556&lt;&gt;"","・発信","")&amp;IF(S1556&lt;&gt;"","・確認事項","")&amp;IF(T1556&lt;&gt;"","・管","")&amp;IF(U1556&lt;&gt;"","・SV","")&amp;IF(V1556&lt;&gt;"","・データ送付待ち","")&amp;IF(W1556&lt;&gt;"","・削除","")</f>
        <v/>
      </c>
    </row>
    <row r="1557" ht="15" customHeight="1" s="87">
      <c r="AL1557" s="94">
        <f>IF(A1557="","",IF(COUNTIF(A1557:A$2001,A1557)=1,1,0))</f>
        <v/>
      </c>
      <c r="AM1557" s="94">
        <f>IF(I1557="","",TODAY()-I1557)</f>
        <v/>
      </c>
      <c r="AN1557" s="94">
        <f>IF(A1557="","",IF(AND(E1557&lt;&gt;"33 確認済",E1557&lt;&gt;"36 送付中"),1,0))</f>
        <v/>
      </c>
      <c r="AO1557" s="94">
        <f>IF(A1557="","",IF(AG1557&lt;&gt;"",1,0))</f>
        <v/>
      </c>
      <c r="AP1557" s="220">
        <f>IF(P1557&lt;&gt;"","・添待ち","")&amp;IF(Q1557&lt;&gt;"","・住民票","")&amp;IF(R1557&lt;&gt;"","・発信","")&amp;IF(S1557&lt;&gt;"","・確認事項","")&amp;IF(T1557&lt;&gt;"","・管","")&amp;IF(U1557&lt;&gt;"","・SV","")&amp;IF(V1557&lt;&gt;"","・データ送付待ち","")&amp;IF(W1557&lt;&gt;"","・削除","")</f>
        <v/>
      </c>
    </row>
    <row r="1558" ht="15" customHeight="1" s="87">
      <c r="AL1558" s="94">
        <f>IF(A1558="","",IF(COUNTIF(A1558:A$2001,A1558)=1,1,0))</f>
        <v/>
      </c>
      <c r="AM1558" s="94">
        <f>IF(I1558="","",TODAY()-I1558)</f>
        <v/>
      </c>
      <c r="AN1558" s="94">
        <f>IF(A1558="","",IF(AND(E1558&lt;&gt;"33 確認済",E1558&lt;&gt;"36 送付中"),1,0))</f>
        <v/>
      </c>
      <c r="AO1558" s="94">
        <f>IF(A1558="","",IF(AG1558&lt;&gt;"",1,0))</f>
        <v/>
      </c>
      <c r="AP1558" s="220">
        <f>IF(P1558&lt;&gt;"","・添待ち","")&amp;IF(Q1558&lt;&gt;"","・住民票","")&amp;IF(R1558&lt;&gt;"","・発信","")&amp;IF(S1558&lt;&gt;"","・確認事項","")&amp;IF(T1558&lt;&gt;"","・管","")&amp;IF(U1558&lt;&gt;"","・SV","")&amp;IF(V1558&lt;&gt;"","・データ送付待ち","")&amp;IF(W1558&lt;&gt;"","・削除","")</f>
        <v/>
      </c>
    </row>
    <row r="1559" ht="15" customHeight="1" s="87">
      <c r="AL1559" s="94">
        <f>IF(A1559="","",IF(COUNTIF(A1559:A$2001,A1559)=1,1,0))</f>
        <v/>
      </c>
      <c r="AM1559" s="94">
        <f>IF(I1559="","",TODAY()-I1559)</f>
        <v/>
      </c>
      <c r="AN1559" s="94">
        <f>IF(A1559="","",IF(AND(E1559&lt;&gt;"33 確認済",E1559&lt;&gt;"36 送付中"),1,0))</f>
        <v/>
      </c>
      <c r="AO1559" s="94">
        <f>IF(A1559="","",IF(AG1559&lt;&gt;"",1,0))</f>
        <v/>
      </c>
      <c r="AP1559" s="220">
        <f>IF(P1559&lt;&gt;"","・添待ち","")&amp;IF(Q1559&lt;&gt;"","・住民票","")&amp;IF(R1559&lt;&gt;"","・発信","")&amp;IF(S1559&lt;&gt;"","・確認事項","")&amp;IF(T1559&lt;&gt;"","・管","")&amp;IF(U1559&lt;&gt;"","・SV","")&amp;IF(V1559&lt;&gt;"","・データ送付待ち","")&amp;IF(W1559&lt;&gt;"","・削除","")</f>
        <v/>
      </c>
    </row>
    <row r="1560" ht="15" customHeight="1" s="87">
      <c r="AL1560" s="94">
        <f>IF(A1560="","",IF(COUNTIF(A1560:A$2001,A1560)=1,1,0))</f>
        <v/>
      </c>
      <c r="AM1560" s="94">
        <f>IF(I1560="","",TODAY()-I1560)</f>
        <v/>
      </c>
      <c r="AN1560" s="94">
        <f>IF(A1560="","",IF(AND(E1560&lt;&gt;"33 確認済",E1560&lt;&gt;"36 送付中"),1,0))</f>
        <v/>
      </c>
      <c r="AO1560" s="94">
        <f>IF(A1560="","",IF(AG1560&lt;&gt;"",1,0))</f>
        <v/>
      </c>
      <c r="AP1560" s="220">
        <f>IF(P1560&lt;&gt;"","・添待ち","")&amp;IF(Q1560&lt;&gt;"","・住民票","")&amp;IF(R1560&lt;&gt;"","・発信","")&amp;IF(S1560&lt;&gt;"","・確認事項","")&amp;IF(T1560&lt;&gt;"","・管","")&amp;IF(U1560&lt;&gt;"","・SV","")&amp;IF(V1560&lt;&gt;"","・データ送付待ち","")&amp;IF(W1560&lt;&gt;"","・削除","")</f>
        <v/>
      </c>
    </row>
    <row r="1561" ht="15" customHeight="1" s="87">
      <c r="AL1561" s="94">
        <f>IF(A1561="","",IF(COUNTIF(A1561:A$2001,A1561)=1,1,0))</f>
        <v/>
      </c>
      <c r="AM1561" s="94">
        <f>IF(I1561="","",TODAY()-I1561)</f>
        <v/>
      </c>
      <c r="AN1561" s="94">
        <f>IF(A1561="","",IF(AND(E1561&lt;&gt;"33 確認済",E1561&lt;&gt;"36 送付中"),1,0))</f>
        <v/>
      </c>
      <c r="AO1561" s="94">
        <f>IF(A1561="","",IF(AG1561&lt;&gt;"",1,0))</f>
        <v/>
      </c>
      <c r="AP1561" s="220">
        <f>IF(P1561&lt;&gt;"","・添待ち","")&amp;IF(Q1561&lt;&gt;"","・住民票","")&amp;IF(R1561&lt;&gt;"","・発信","")&amp;IF(S1561&lt;&gt;"","・確認事項","")&amp;IF(T1561&lt;&gt;"","・管","")&amp;IF(U1561&lt;&gt;"","・SV","")&amp;IF(V1561&lt;&gt;"","・データ送付待ち","")&amp;IF(W1561&lt;&gt;"","・削除","")</f>
        <v/>
      </c>
    </row>
    <row r="1562" ht="15" customHeight="1" s="87">
      <c r="AL1562" s="94">
        <f>IF(A1562="","",IF(COUNTIF(A1562:A$2001,A1562)=1,1,0))</f>
        <v/>
      </c>
      <c r="AM1562" s="94">
        <f>IF(I1562="","",TODAY()-I1562)</f>
        <v/>
      </c>
      <c r="AN1562" s="94">
        <f>IF(A1562="","",IF(AND(E1562&lt;&gt;"33 確認済",E1562&lt;&gt;"36 送付中"),1,0))</f>
        <v/>
      </c>
      <c r="AO1562" s="94">
        <f>IF(A1562="","",IF(AG1562&lt;&gt;"",1,0))</f>
        <v/>
      </c>
      <c r="AP1562" s="220">
        <f>IF(P1562&lt;&gt;"","・添待ち","")&amp;IF(Q1562&lt;&gt;"","・住民票","")&amp;IF(R1562&lt;&gt;"","・発信","")&amp;IF(S1562&lt;&gt;"","・確認事項","")&amp;IF(T1562&lt;&gt;"","・管","")&amp;IF(U1562&lt;&gt;"","・SV","")&amp;IF(V1562&lt;&gt;"","・データ送付待ち","")&amp;IF(W1562&lt;&gt;"","・削除","")</f>
        <v/>
      </c>
    </row>
    <row r="1563" ht="15" customHeight="1" s="87">
      <c r="AL1563" s="94">
        <f>IF(A1563="","",IF(COUNTIF(A1563:A$2001,A1563)=1,1,0))</f>
        <v/>
      </c>
      <c r="AM1563" s="94">
        <f>IF(I1563="","",TODAY()-I1563)</f>
        <v/>
      </c>
      <c r="AN1563" s="94">
        <f>IF(A1563="","",IF(AND(E1563&lt;&gt;"33 確認済",E1563&lt;&gt;"36 送付中"),1,0))</f>
        <v/>
      </c>
      <c r="AO1563" s="94">
        <f>IF(A1563="","",IF(AG1563&lt;&gt;"",1,0))</f>
        <v/>
      </c>
      <c r="AP1563" s="220">
        <f>IF(P1563&lt;&gt;"","・添待ち","")&amp;IF(Q1563&lt;&gt;"","・住民票","")&amp;IF(R1563&lt;&gt;"","・発信","")&amp;IF(S1563&lt;&gt;"","・確認事項","")&amp;IF(T1563&lt;&gt;"","・管","")&amp;IF(U1563&lt;&gt;"","・SV","")&amp;IF(V1563&lt;&gt;"","・データ送付待ち","")&amp;IF(W1563&lt;&gt;"","・削除","")</f>
        <v/>
      </c>
    </row>
    <row r="1564" ht="15" customHeight="1" s="87">
      <c r="AL1564" s="94">
        <f>IF(A1564="","",IF(COUNTIF(A1564:A$2001,A1564)=1,1,0))</f>
        <v/>
      </c>
      <c r="AM1564" s="94">
        <f>IF(I1564="","",TODAY()-I1564)</f>
        <v/>
      </c>
      <c r="AN1564" s="94">
        <f>IF(A1564="","",IF(AND(E1564&lt;&gt;"33 確認済",E1564&lt;&gt;"36 送付中"),1,0))</f>
        <v/>
      </c>
      <c r="AO1564" s="94">
        <f>IF(A1564="","",IF(AG1564&lt;&gt;"",1,0))</f>
        <v/>
      </c>
      <c r="AP1564" s="220">
        <f>IF(P1564&lt;&gt;"","・添待ち","")&amp;IF(Q1564&lt;&gt;"","・住民票","")&amp;IF(R1564&lt;&gt;"","・発信","")&amp;IF(S1564&lt;&gt;"","・確認事項","")&amp;IF(T1564&lt;&gt;"","・管","")&amp;IF(U1564&lt;&gt;"","・SV","")&amp;IF(V1564&lt;&gt;"","・データ送付待ち","")&amp;IF(W1564&lt;&gt;"","・削除","")</f>
        <v/>
      </c>
    </row>
    <row r="1565" ht="15" customHeight="1" s="87">
      <c r="AL1565" s="94">
        <f>IF(A1565="","",IF(COUNTIF(A1565:A$2001,A1565)=1,1,0))</f>
        <v/>
      </c>
      <c r="AM1565" s="94">
        <f>IF(I1565="","",TODAY()-I1565)</f>
        <v/>
      </c>
      <c r="AN1565" s="94">
        <f>IF(A1565="","",IF(AND(E1565&lt;&gt;"33 確認済",E1565&lt;&gt;"36 送付中"),1,0))</f>
        <v/>
      </c>
      <c r="AO1565" s="94">
        <f>IF(A1565="","",IF(AG1565&lt;&gt;"",1,0))</f>
        <v/>
      </c>
      <c r="AP1565" s="220">
        <f>IF(P1565&lt;&gt;"","・添待ち","")&amp;IF(Q1565&lt;&gt;"","・住民票","")&amp;IF(R1565&lt;&gt;"","・発信","")&amp;IF(S1565&lt;&gt;"","・確認事項","")&amp;IF(T1565&lt;&gt;"","・管","")&amp;IF(U1565&lt;&gt;"","・SV","")&amp;IF(V1565&lt;&gt;"","・データ送付待ち","")&amp;IF(W1565&lt;&gt;"","・削除","")</f>
        <v/>
      </c>
    </row>
    <row r="1566" ht="15" customHeight="1" s="87">
      <c r="AL1566" s="94">
        <f>IF(A1566="","",IF(COUNTIF(A1566:A$2001,A1566)=1,1,0))</f>
        <v/>
      </c>
      <c r="AM1566" s="94">
        <f>IF(I1566="","",TODAY()-I1566)</f>
        <v/>
      </c>
      <c r="AN1566" s="94">
        <f>IF(A1566="","",IF(AND(E1566&lt;&gt;"33 確認済",E1566&lt;&gt;"36 送付中"),1,0))</f>
        <v/>
      </c>
      <c r="AO1566" s="94">
        <f>IF(A1566="","",IF(AG1566&lt;&gt;"",1,0))</f>
        <v/>
      </c>
      <c r="AP1566" s="220">
        <f>IF(P1566&lt;&gt;"","・添待ち","")&amp;IF(Q1566&lt;&gt;"","・住民票","")&amp;IF(R1566&lt;&gt;"","・発信","")&amp;IF(S1566&lt;&gt;"","・確認事項","")&amp;IF(T1566&lt;&gt;"","・管","")&amp;IF(U1566&lt;&gt;"","・SV","")&amp;IF(V1566&lt;&gt;"","・データ送付待ち","")&amp;IF(W1566&lt;&gt;"","・削除","")</f>
        <v/>
      </c>
    </row>
    <row r="1567" ht="15" customHeight="1" s="87">
      <c r="AL1567" s="94">
        <f>IF(A1567="","",IF(COUNTIF(A1567:A$2001,A1567)=1,1,0))</f>
        <v/>
      </c>
      <c r="AM1567" s="94">
        <f>IF(I1567="","",TODAY()-I1567)</f>
        <v/>
      </c>
      <c r="AN1567" s="94">
        <f>IF(A1567="","",IF(AND(E1567&lt;&gt;"33 確認済",E1567&lt;&gt;"36 送付中"),1,0))</f>
        <v/>
      </c>
      <c r="AO1567" s="94">
        <f>IF(A1567="","",IF(AG1567&lt;&gt;"",1,0))</f>
        <v/>
      </c>
      <c r="AP1567" s="220">
        <f>IF(P1567&lt;&gt;"","・添待ち","")&amp;IF(Q1567&lt;&gt;"","・住民票","")&amp;IF(R1567&lt;&gt;"","・発信","")&amp;IF(S1567&lt;&gt;"","・確認事項","")&amp;IF(T1567&lt;&gt;"","・管","")&amp;IF(U1567&lt;&gt;"","・SV","")&amp;IF(V1567&lt;&gt;"","・データ送付待ち","")&amp;IF(W1567&lt;&gt;"","・削除","")</f>
        <v/>
      </c>
    </row>
    <row r="1568" ht="15" customHeight="1" s="87">
      <c r="AL1568" s="94">
        <f>IF(A1568="","",IF(COUNTIF(A1568:A$2001,A1568)=1,1,0))</f>
        <v/>
      </c>
      <c r="AM1568" s="94">
        <f>IF(I1568="","",TODAY()-I1568)</f>
        <v/>
      </c>
      <c r="AN1568" s="94">
        <f>IF(A1568="","",IF(AND(E1568&lt;&gt;"33 確認済",E1568&lt;&gt;"36 送付中"),1,0))</f>
        <v/>
      </c>
      <c r="AO1568" s="94">
        <f>IF(A1568="","",IF(AG1568&lt;&gt;"",1,0))</f>
        <v/>
      </c>
      <c r="AP1568" s="220">
        <f>IF(P1568&lt;&gt;"","・添待ち","")&amp;IF(Q1568&lt;&gt;"","・住民票","")&amp;IF(R1568&lt;&gt;"","・発信","")&amp;IF(S1568&lt;&gt;"","・確認事項","")&amp;IF(T1568&lt;&gt;"","・管","")&amp;IF(U1568&lt;&gt;"","・SV","")&amp;IF(V1568&lt;&gt;"","・データ送付待ち","")&amp;IF(W1568&lt;&gt;"","・削除","")</f>
        <v/>
      </c>
    </row>
    <row r="1569" ht="15" customHeight="1" s="87">
      <c r="AL1569" s="94">
        <f>IF(A1569="","",IF(COUNTIF(A1569:A$2001,A1569)=1,1,0))</f>
        <v/>
      </c>
      <c r="AM1569" s="94">
        <f>IF(I1569="","",TODAY()-I1569)</f>
        <v/>
      </c>
      <c r="AN1569" s="94">
        <f>IF(A1569="","",IF(AND(E1569&lt;&gt;"33 確認済",E1569&lt;&gt;"36 送付中"),1,0))</f>
        <v/>
      </c>
      <c r="AO1569" s="94">
        <f>IF(A1569="","",IF(AG1569&lt;&gt;"",1,0))</f>
        <v/>
      </c>
      <c r="AP1569" s="220">
        <f>IF(P1569&lt;&gt;"","・添待ち","")&amp;IF(Q1569&lt;&gt;"","・住民票","")&amp;IF(R1569&lt;&gt;"","・発信","")&amp;IF(S1569&lt;&gt;"","・確認事項","")&amp;IF(T1569&lt;&gt;"","・管","")&amp;IF(U1569&lt;&gt;"","・SV","")&amp;IF(V1569&lt;&gt;"","・データ送付待ち","")&amp;IF(W1569&lt;&gt;"","・削除","")</f>
        <v/>
      </c>
    </row>
    <row r="1570" ht="15" customHeight="1" s="87">
      <c r="AL1570" s="94">
        <f>IF(A1570="","",IF(COUNTIF(A1570:A$2001,A1570)=1,1,0))</f>
        <v/>
      </c>
      <c r="AM1570" s="94">
        <f>IF(I1570="","",TODAY()-I1570)</f>
        <v/>
      </c>
      <c r="AN1570" s="94">
        <f>IF(A1570="","",IF(AND(E1570&lt;&gt;"33 確認済",E1570&lt;&gt;"36 送付中"),1,0))</f>
        <v/>
      </c>
      <c r="AO1570" s="94">
        <f>IF(A1570="","",IF(AG1570&lt;&gt;"",1,0))</f>
        <v/>
      </c>
      <c r="AP1570" s="220">
        <f>IF(P1570&lt;&gt;"","・添待ち","")&amp;IF(Q1570&lt;&gt;"","・住民票","")&amp;IF(R1570&lt;&gt;"","・発信","")&amp;IF(S1570&lt;&gt;"","・確認事項","")&amp;IF(T1570&lt;&gt;"","・管","")&amp;IF(U1570&lt;&gt;"","・SV","")&amp;IF(V1570&lt;&gt;"","・データ送付待ち","")&amp;IF(W1570&lt;&gt;"","・削除","")</f>
        <v/>
      </c>
    </row>
    <row r="1571" ht="15" customHeight="1" s="87">
      <c r="AL1571" s="94">
        <f>IF(A1571="","",IF(COUNTIF(A1571:A$2001,A1571)=1,1,0))</f>
        <v/>
      </c>
      <c r="AM1571" s="94">
        <f>IF(I1571="","",TODAY()-I1571)</f>
        <v/>
      </c>
      <c r="AN1571" s="94">
        <f>IF(A1571="","",IF(AND(E1571&lt;&gt;"33 確認済",E1571&lt;&gt;"36 送付中"),1,0))</f>
        <v/>
      </c>
      <c r="AO1571" s="94">
        <f>IF(A1571="","",IF(AG1571&lt;&gt;"",1,0))</f>
        <v/>
      </c>
      <c r="AP1571" s="220">
        <f>IF(P1571&lt;&gt;"","・添待ち","")&amp;IF(Q1571&lt;&gt;"","・住民票","")&amp;IF(R1571&lt;&gt;"","・発信","")&amp;IF(S1571&lt;&gt;"","・確認事項","")&amp;IF(T1571&lt;&gt;"","・管","")&amp;IF(U1571&lt;&gt;"","・SV","")&amp;IF(V1571&lt;&gt;"","・データ送付待ち","")&amp;IF(W1571&lt;&gt;"","・削除","")</f>
        <v/>
      </c>
    </row>
    <row r="1572" ht="15" customHeight="1" s="87">
      <c r="AL1572" s="94">
        <f>IF(A1572="","",IF(COUNTIF(A1572:A$2001,A1572)=1,1,0))</f>
        <v/>
      </c>
      <c r="AM1572" s="94">
        <f>IF(I1572="","",TODAY()-I1572)</f>
        <v/>
      </c>
      <c r="AN1572" s="94">
        <f>IF(A1572="","",IF(AND(E1572&lt;&gt;"33 確認済",E1572&lt;&gt;"36 送付中"),1,0))</f>
        <v/>
      </c>
      <c r="AO1572" s="94">
        <f>IF(A1572="","",IF(AG1572&lt;&gt;"",1,0))</f>
        <v/>
      </c>
      <c r="AP1572" s="220">
        <f>IF(P1572&lt;&gt;"","・添待ち","")&amp;IF(Q1572&lt;&gt;"","・住民票","")&amp;IF(R1572&lt;&gt;"","・発信","")&amp;IF(S1572&lt;&gt;"","・確認事項","")&amp;IF(T1572&lt;&gt;"","・管","")&amp;IF(U1572&lt;&gt;"","・SV","")&amp;IF(V1572&lt;&gt;"","・データ送付待ち","")&amp;IF(W1572&lt;&gt;"","・削除","")</f>
        <v/>
      </c>
    </row>
    <row r="1573" ht="15" customHeight="1" s="87">
      <c r="AL1573" s="94">
        <f>IF(A1573="","",IF(COUNTIF(A1573:A$2001,A1573)=1,1,0))</f>
        <v/>
      </c>
      <c r="AM1573" s="94">
        <f>IF(I1573="","",TODAY()-I1573)</f>
        <v/>
      </c>
      <c r="AN1573" s="94">
        <f>IF(A1573="","",IF(AND(E1573&lt;&gt;"33 確認済",E1573&lt;&gt;"36 送付中"),1,0))</f>
        <v/>
      </c>
      <c r="AO1573" s="94">
        <f>IF(A1573="","",IF(AG1573&lt;&gt;"",1,0))</f>
        <v/>
      </c>
      <c r="AP1573" s="220">
        <f>IF(P1573&lt;&gt;"","・添待ち","")&amp;IF(Q1573&lt;&gt;"","・住民票","")&amp;IF(R1573&lt;&gt;"","・発信","")&amp;IF(S1573&lt;&gt;"","・確認事項","")&amp;IF(T1573&lt;&gt;"","・管","")&amp;IF(U1573&lt;&gt;"","・SV","")&amp;IF(V1573&lt;&gt;"","・データ送付待ち","")&amp;IF(W1573&lt;&gt;"","・削除","")</f>
        <v/>
      </c>
    </row>
    <row r="1574" ht="15" customHeight="1" s="87">
      <c r="AL1574" s="94">
        <f>IF(A1574="","",IF(COUNTIF(A1574:A$2001,A1574)=1,1,0))</f>
        <v/>
      </c>
      <c r="AM1574" s="94">
        <f>IF(I1574="","",TODAY()-I1574)</f>
        <v/>
      </c>
      <c r="AN1574" s="94">
        <f>IF(A1574="","",IF(AND(E1574&lt;&gt;"33 確認済",E1574&lt;&gt;"36 送付中"),1,0))</f>
        <v/>
      </c>
      <c r="AO1574" s="94">
        <f>IF(A1574="","",IF(AG1574&lt;&gt;"",1,0))</f>
        <v/>
      </c>
      <c r="AP1574" s="220">
        <f>IF(P1574&lt;&gt;"","・添待ち","")&amp;IF(Q1574&lt;&gt;"","・住民票","")&amp;IF(R1574&lt;&gt;"","・発信","")&amp;IF(S1574&lt;&gt;"","・確認事項","")&amp;IF(T1574&lt;&gt;"","・管","")&amp;IF(U1574&lt;&gt;"","・SV","")&amp;IF(V1574&lt;&gt;"","・データ送付待ち","")&amp;IF(W1574&lt;&gt;"","・削除","")</f>
        <v/>
      </c>
    </row>
    <row r="1575" ht="15" customHeight="1" s="87">
      <c r="AL1575" s="94">
        <f>IF(A1575="","",IF(COUNTIF(A1575:A$2001,A1575)=1,1,0))</f>
        <v/>
      </c>
      <c r="AM1575" s="94">
        <f>IF(I1575="","",TODAY()-I1575)</f>
        <v/>
      </c>
      <c r="AN1575" s="94">
        <f>IF(A1575="","",IF(AND(E1575&lt;&gt;"33 確認済",E1575&lt;&gt;"36 送付中"),1,0))</f>
        <v/>
      </c>
      <c r="AO1575" s="94">
        <f>IF(A1575="","",IF(AG1575&lt;&gt;"",1,0))</f>
        <v/>
      </c>
      <c r="AP1575" s="220">
        <f>IF(P1575&lt;&gt;"","・添待ち","")&amp;IF(Q1575&lt;&gt;"","・住民票","")&amp;IF(R1575&lt;&gt;"","・発信","")&amp;IF(S1575&lt;&gt;"","・確認事項","")&amp;IF(T1575&lt;&gt;"","・管","")&amp;IF(U1575&lt;&gt;"","・SV","")&amp;IF(V1575&lt;&gt;"","・データ送付待ち","")&amp;IF(W1575&lt;&gt;"","・削除","")</f>
        <v/>
      </c>
    </row>
    <row r="1576" ht="15" customHeight="1" s="87">
      <c r="AL1576" s="94">
        <f>IF(A1576="","",IF(COUNTIF(A1576:A$2001,A1576)=1,1,0))</f>
        <v/>
      </c>
      <c r="AM1576" s="94">
        <f>IF(I1576="","",TODAY()-I1576)</f>
        <v/>
      </c>
      <c r="AN1576" s="94">
        <f>IF(A1576="","",IF(AND(E1576&lt;&gt;"33 確認済",E1576&lt;&gt;"36 送付中"),1,0))</f>
        <v/>
      </c>
      <c r="AO1576" s="94">
        <f>IF(A1576="","",IF(AG1576&lt;&gt;"",1,0))</f>
        <v/>
      </c>
      <c r="AP1576" s="220">
        <f>IF(P1576&lt;&gt;"","・添待ち","")&amp;IF(Q1576&lt;&gt;"","・住民票","")&amp;IF(R1576&lt;&gt;"","・発信","")&amp;IF(S1576&lt;&gt;"","・確認事項","")&amp;IF(T1576&lt;&gt;"","・管","")&amp;IF(U1576&lt;&gt;"","・SV","")&amp;IF(V1576&lt;&gt;"","・データ送付待ち","")&amp;IF(W1576&lt;&gt;"","・削除","")</f>
        <v/>
      </c>
    </row>
    <row r="1577" ht="15" customHeight="1" s="87">
      <c r="AL1577" s="94">
        <f>IF(A1577="","",IF(COUNTIF(A1577:A$2001,A1577)=1,1,0))</f>
        <v/>
      </c>
      <c r="AM1577" s="94">
        <f>IF(I1577="","",TODAY()-I1577)</f>
        <v/>
      </c>
      <c r="AN1577" s="94">
        <f>IF(A1577="","",IF(AND(E1577&lt;&gt;"33 確認済",E1577&lt;&gt;"36 送付中"),1,0))</f>
        <v/>
      </c>
      <c r="AO1577" s="94">
        <f>IF(A1577="","",IF(AG1577&lt;&gt;"",1,0))</f>
        <v/>
      </c>
      <c r="AP1577" s="220">
        <f>IF(P1577&lt;&gt;"","・添待ち","")&amp;IF(Q1577&lt;&gt;"","・住民票","")&amp;IF(R1577&lt;&gt;"","・発信","")&amp;IF(S1577&lt;&gt;"","・確認事項","")&amp;IF(T1577&lt;&gt;"","・管","")&amp;IF(U1577&lt;&gt;"","・SV","")&amp;IF(V1577&lt;&gt;"","・データ送付待ち","")&amp;IF(W1577&lt;&gt;"","・削除","")</f>
        <v/>
      </c>
    </row>
    <row r="1578" ht="15" customHeight="1" s="87">
      <c r="AL1578" s="94">
        <f>IF(A1578="","",IF(COUNTIF(A1578:A$2001,A1578)=1,1,0))</f>
        <v/>
      </c>
      <c r="AM1578" s="94">
        <f>IF(I1578="","",TODAY()-I1578)</f>
        <v/>
      </c>
      <c r="AN1578" s="94">
        <f>IF(A1578="","",IF(AND(E1578&lt;&gt;"33 確認済",E1578&lt;&gt;"36 送付中"),1,0))</f>
        <v/>
      </c>
      <c r="AO1578" s="94">
        <f>IF(A1578="","",IF(AG1578&lt;&gt;"",1,0))</f>
        <v/>
      </c>
      <c r="AP1578" s="220">
        <f>IF(P1578&lt;&gt;"","・添待ち","")&amp;IF(Q1578&lt;&gt;"","・住民票","")&amp;IF(R1578&lt;&gt;"","・発信","")&amp;IF(S1578&lt;&gt;"","・確認事項","")&amp;IF(T1578&lt;&gt;"","・管","")&amp;IF(U1578&lt;&gt;"","・SV","")&amp;IF(V1578&lt;&gt;"","・データ送付待ち","")&amp;IF(W1578&lt;&gt;"","・削除","")</f>
        <v/>
      </c>
    </row>
    <row r="1579" ht="15" customHeight="1" s="87">
      <c r="AL1579" s="94">
        <f>IF(A1579="","",IF(COUNTIF(A1579:A$2001,A1579)=1,1,0))</f>
        <v/>
      </c>
      <c r="AM1579" s="94">
        <f>IF(I1579="","",TODAY()-I1579)</f>
        <v/>
      </c>
      <c r="AN1579" s="94">
        <f>IF(A1579="","",IF(AND(E1579&lt;&gt;"33 確認済",E1579&lt;&gt;"36 送付中"),1,0))</f>
        <v/>
      </c>
      <c r="AO1579" s="94">
        <f>IF(A1579="","",IF(AG1579&lt;&gt;"",1,0))</f>
        <v/>
      </c>
      <c r="AP1579" s="220">
        <f>IF(P1579&lt;&gt;"","・添待ち","")&amp;IF(Q1579&lt;&gt;"","・住民票","")&amp;IF(R1579&lt;&gt;"","・発信","")&amp;IF(S1579&lt;&gt;"","・確認事項","")&amp;IF(T1579&lt;&gt;"","・管","")&amp;IF(U1579&lt;&gt;"","・SV","")&amp;IF(V1579&lt;&gt;"","・データ送付待ち","")&amp;IF(W1579&lt;&gt;"","・削除","")</f>
        <v/>
      </c>
    </row>
    <row r="1580" ht="15" customHeight="1" s="87">
      <c r="AL1580" s="94">
        <f>IF(A1580="","",IF(COUNTIF(A1580:A$2001,A1580)=1,1,0))</f>
        <v/>
      </c>
      <c r="AM1580" s="94">
        <f>IF(I1580="","",TODAY()-I1580)</f>
        <v/>
      </c>
      <c r="AN1580" s="94">
        <f>IF(A1580="","",IF(AND(E1580&lt;&gt;"33 確認済",E1580&lt;&gt;"36 送付中"),1,0))</f>
        <v/>
      </c>
      <c r="AO1580" s="94">
        <f>IF(A1580="","",IF(AG1580&lt;&gt;"",1,0))</f>
        <v/>
      </c>
      <c r="AP1580" s="220">
        <f>IF(P1580&lt;&gt;"","・添待ち","")&amp;IF(Q1580&lt;&gt;"","・住民票","")&amp;IF(R1580&lt;&gt;"","・発信","")&amp;IF(S1580&lt;&gt;"","・確認事項","")&amp;IF(T1580&lt;&gt;"","・管","")&amp;IF(U1580&lt;&gt;"","・SV","")&amp;IF(V1580&lt;&gt;"","・データ送付待ち","")&amp;IF(W1580&lt;&gt;"","・削除","")</f>
        <v/>
      </c>
    </row>
    <row r="1581" ht="15" customHeight="1" s="87">
      <c r="AL1581" s="94">
        <f>IF(A1581="","",IF(COUNTIF(A1581:A$2001,A1581)=1,1,0))</f>
        <v/>
      </c>
      <c r="AM1581" s="94">
        <f>IF(I1581="","",TODAY()-I1581)</f>
        <v/>
      </c>
      <c r="AN1581" s="94">
        <f>IF(A1581="","",IF(AND(E1581&lt;&gt;"33 確認済",E1581&lt;&gt;"36 送付中"),1,0))</f>
        <v/>
      </c>
      <c r="AO1581" s="94">
        <f>IF(A1581="","",IF(AG1581&lt;&gt;"",1,0))</f>
        <v/>
      </c>
      <c r="AP1581" s="220">
        <f>IF(P1581&lt;&gt;"","・添待ち","")&amp;IF(Q1581&lt;&gt;"","・住民票","")&amp;IF(R1581&lt;&gt;"","・発信","")&amp;IF(S1581&lt;&gt;"","・確認事項","")&amp;IF(T1581&lt;&gt;"","・管","")&amp;IF(U1581&lt;&gt;"","・SV","")&amp;IF(V1581&lt;&gt;"","・データ送付待ち","")&amp;IF(W1581&lt;&gt;"","・削除","")</f>
        <v/>
      </c>
    </row>
    <row r="1582" ht="15" customHeight="1" s="87">
      <c r="AL1582" s="94">
        <f>IF(A1582="","",IF(COUNTIF(A1582:A$2001,A1582)=1,1,0))</f>
        <v/>
      </c>
      <c r="AM1582" s="94">
        <f>IF(I1582="","",TODAY()-I1582)</f>
        <v/>
      </c>
      <c r="AN1582" s="94">
        <f>IF(A1582="","",IF(AND(E1582&lt;&gt;"33 確認済",E1582&lt;&gt;"36 送付中"),1,0))</f>
        <v/>
      </c>
      <c r="AO1582" s="94">
        <f>IF(A1582="","",IF(AG1582&lt;&gt;"",1,0))</f>
        <v/>
      </c>
      <c r="AP1582" s="220">
        <f>IF(P1582&lt;&gt;"","・添待ち","")&amp;IF(Q1582&lt;&gt;"","・住民票","")&amp;IF(R1582&lt;&gt;"","・発信","")&amp;IF(S1582&lt;&gt;"","・確認事項","")&amp;IF(T1582&lt;&gt;"","・管","")&amp;IF(U1582&lt;&gt;"","・SV","")&amp;IF(V1582&lt;&gt;"","・データ送付待ち","")&amp;IF(W1582&lt;&gt;"","・削除","")</f>
        <v/>
      </c>
    </row>
    <row r="1583" ht="15" customHeight="1" s="87">
      <c r="AL1583" s="94">
        <f>IF(A1583="","",IF(COUNTIF(A1583:A$2001,A1583)=1,1,0))</f>
        <v/>
      </c>
      <c r="AM1583" s="94">
        <f>IF(I1583="","",TODAY()-I1583)</f>
        <v/>
      </c>
      <c r="AN1583" s="94">
        <f>IF(A1583="","",IF(AND(E1583&lt;&gt;"33 確認済",E1583&lt;&gt;"36 送付中"),1,0))</f>
        <v/>
      </c>
      <c r="AO1583" s="94">
        <f>IF(A1583="","",IF(AG1583&lt;&gt;"",1,0))</f>
        <v/>
      </c>
      <c r="AP1583" s="220">
        <f>IF(P1583&lt;&gt;"","・添待ち","")&amp;IF(Q1583&lt;&gt;"","・住民票","")&amp;IF(R1583&lt;&gt;"","・発信","")&amp;IF(S1583&lt;&gt;"","・確認事項","")&amp;IF(T1583&lt;&gt;"","・管","")&amp;IF(U1583&lt;&gt;"","・SV","")&amp;IF(V1583&lt;&gt;"","・データ送付待ち","")&amp;IF(W1583&lt;&gt;"","・削除","")</f>
        <v/>
      </c>
    </row>
    <row r="1584" ht="15" customHeight="1" s="87">
      <c r="AL1584" s="94">
        <f>IF(A1584="","",IF(COUNTIF(A1584:A$2001,A1584)=1,1,0))</f>
        <v/>
      </c>
      <c r="AM1584" s="94">
        <f>IF(I1584="","",TODAY()-I1584)</f>
        <v/>
      </c>
      <c r="AN1584" s="94">
        <f>IF(A1584="","",IF(AND(E1584&lt;&gt;"33 確認済",E1584&lt;&gt;"36 送付中"),1,0))</f>
        <v/>
      </c>
      <c r="AO1584" s="94">
        <f>IF(A1584="","",IF(AG1584&lt;&gt;"",1,0))</f>
        <v/>
      </c>
      <c r="AP1584" s="220">
        <f>IF(P1584&lt;&gt;"","・添待ち","")&amp;IF(Q1584&lt;&gt;"","・住民票","")&amp;IF(R1584&lt;&gt;"","・発信","")&amp;IF(S1584&lt;&gt;"","・確認事項","")&amp;IF(T1584&lt;&gt;"","・管","")&amp;IF(U1584&lt;&gt;"","・SV","")&amp;IF(V1584&lt;&gt;"","・データ送付待ち","")&amp;IF(W1584&lt;&gt;"","・削除","")</f>
        <v/>
      </c>
    </row>
    <row r="1585" ht="15" customHeight="1" s="87">
      <c r="AL1585" s="94">
        <f>IF(A1585="","",IF(COUNTIF(A1585:A$2001,A1585)=1,1,0))</f>
        <v/>
      </c>
      <c r="AM1585" s="94">
        <f>IF(I1585="","",TODAY()-I1585)</f>
        <v/>
      </c>
      <c r="AN1585" s="94">
        <f>IF(A1585="","",IF(AND(E1585&lt;&gt;"33 確認済",E1585&lt;&gt;"36 送付中"),1,0))</f>
        <v/>
      </c>
      <c r="AO1585" s="94">
        <f>IF(A1585="","",IF(AG1585&lt;&gt;"",1,0))</f>
        <v/>
      </c>
      <c r="AP1585" s="220">
        <f>IF(P1585&lt;&gt;"","・添待ち","")&amp;IF(Q1585&lt;&gt;"","・住民票","")&amp;IF(R1585&lt;&gt;"","・発信","")&amp;IF(S1585&lt;&gt;"","・確認事項","")&amp;IF(T1585&lt;&gt;"","・管","")&amp;IF(U1585&lt;&gt;"","・SV","")&amp;IF(V1585&lt;&gt;"","・データ送付待ち","")&amp;IF(W1585&lt;&gt;"","・削除","")</f>
        <v/>
      </c>
    </row>
    <row r="1586" ht="15" customHeight="1" s="87">
      <c r="AL1586" s="94">
        <f>IF(A1586="","",IF(COUNTIF(A1586:A$2001,A1586)=1,1,0))</f>
        <v/>
      </c>
      <c r="AM1586" s="94">
        <f>IF(I1586="","",TODAY()-I1586)</f>
        <v/>
      </c>
      <c r="AN1586" s="94">
        <f>IF(A1586="","",IF(AND(E1586&lt;&gt;"33 確認済",E1586&lt;&gt;"36 送付中"),1,0))</f>
        <v/>
      </c>
      <c r="AO1586" s="94">
        <f>IF(A1586="","",IF(AG1586&lt;&gt;"",1,0))</f>
        <v/>
      </c>
      <c r="AP1586" s="220">
        <f>IF(P1586&lt;&gt;"","・添待ち","")&amp;IF(Q1586&lt;&gt;"","・住民票","")&amp;IF(R1586&lt;&gt;"","・発信","")&amp;IF(S1586&lt;&gt;"","・確認事項","")&amp;IF(T1586&lt;&gt;"","・管","")&amp;IF(U1586&lt;&gt;"","・SV","")&amp;IF(V1586&lt;&gt;"","・データ送付待ち","")&amp;IF(W1586&lt;&gt;"","・削除","")</f>
        <v/>
      </c>
    </row>
    <row r="1587" ht="15" customHeight="1" s="87">
      <c r="AL1587" s="94">
        <f>IF(A1587="","",IF(COUNTIF(A1587:A$2001,A1587)=1,1,0))</f>
        <v/>
      </c>
      <c r="AM1587" s="94">
        <f>IF(I1587="","",TODAY()-I1587)</f>
        <v/>
      </c>
      <c r="AN1587" s="94">
        <f>IF(A1587="","",IF(AND(E1587&lt;&gt;"33 確認済",E1587&lt;&gt;"36 送付中"),1,0))</f>
        <v/>
      </c>
      <c r="AO1587" s="94">
        <f>IF(A1587="","",IF(AG1587&lt;&gt;"",1,0))</f>
        <v/>
      </c>
      <c r="AP1587" s="220">
        <f>IF(P1587&lt;&gt;"","・添待ち","")&amp;IF(Q1587&lt;&gt;"","・住民票","")&amp;IF(R1587&lt;&gt;"","・発信","")&amp;IF(S1587&lt;&gt;"","・確認事項","")&amp;IF(T1587&lt;&gt;"","・管","")&amp;IF(U1587&lt;&gt;"","・SV","")&amp;IF(V1587&lt;&gt;"","・データ送付待ち","")&amp;IF(W1587&lt;&gt;"","・削除","")</f>
        <v/>
      </c>
    </row>
    <row r="1588" ht="15" customHeight="1" s="87">
      <c r="AL1588" s="94">
        <f>IF(A1588="","",IF(COUNTIF(A1588:A$2001,A1588)=1,1,0))</f>
        <v/>
      </c>
      <c r="AM1588" s="94">
        <f>IF(I1588="","",TODAY()-I1588)</f>
        <v/>
      </c>
      <c r="AN1588" s="94">
        <f>IF(A1588="","",IF(AND(E1588&lt;&gt;"33 確認済",E1588&lt;&gt;"36 送付中"),1,0))</f>
        <v/>
      </c>
      <c r="AO1588" s="94">
        <f>IF(A1588="","",IF(AG1588&lt;&gt;"",1,0))</f>
        <v/>
      </c>
      <c r="AP1588" s="220">
        <f>IF(P1588&lt;&gt;"","・添待ち","")&amp;IF(Q1588&lt;&gt;"","・住民票","")&amp;IF(R1588&lt;&gt;"","・発信","")&amp;IF(S1588&lt;&gt;"","・確認事項","")&amp;IF(T1588&lt;&gt;"","・管","")&amp;IF(U1588&lt;&gt;"","・SV","")&amp;IF(V1588&lt;&gt;"","・データ送付待ち","")&amp;IF(W1588&lt;&gt;"","・削除","")</f>
        <v/>
      </c>
    </row>
    <row r="1589" ht="15" customHeight="1" s="87">
      <c r="AL1589" s="94">
        <f>IF(A1589="","",IF(COUNTIF(A1589:A$2001,A1589)=1,1,0))</f>
        <v/>
      </c>
      <c r="AM1589" s="94">
        <f>IF(I1589="","",TODAY()-I1589)</f>
        <v/>
      </c>
      <c r="AN1589" s="94">
        <f>IF(A1589="","",IF(AND(E1589&lt;&gt;"33 確認済",E1589&lt;&gt;"36 送付中"),1,0))</f>
        <v/>
      </c>
      <c r="AO1589" s="94">
        <f>IF(A1589="","",IF(AG1589&lt;&gt;"",1,0))</f>
        <v/>
      </c>
      <c r="AP1589" s="220">
        <f>IF(P1589&lt;&gt;"","・添待ち","")&amp;IF(Q1589&lt;&gt;"","・住民票","")&amp;IF(R1589&lt;&gt;"","・発信","")&amp;IF(S1589&lt;&gt;"","・確認事項","")&amp;IF(T1589&lt;&gt;"","・管","")&amp;IF(U1589&lt;&gt;"","・SV","")&amp;IF(V1589&lt;&gt;"","・データ送付待ち","")&amp;IF(W1589&lt;&gt;"","・削除","")</f>
        <v/>
      </c>
    </row>
    <row r="1590" ht="15" customHeight="1" s="87">
      <c r="AL1590" s="94">
        <f>IF(A1590="","",IF(COUNTIF(A1590:A$2001,A1590)=1,1,0))</f>
        <v/>
      </c>
      <c r="AM1590" s="94">
        <f>IF(I1590="","",TODAY()-I1590)</f>
        <v/>
      </c>
      <c r="AN1590" s="94">
        <f>IF(A1590="","",IF(AND(E1590&lt;&gt;"33 確認済",E1590&lt;&gt;"36 送付中"),1,0))</f>
        <v/>
      </c>
      <c r="AO1590" s="94">
        <f>IF(A1590="","",IF(AG1590&lt;&gt;"",1,0))</f>
        <v/>
      </c>
      <c r="AP1590" s="220">
        <f>IF(P1590&lt;&gt;"","・添待ち","")&amp;IF(Q1590&lt;&gt;"","・住民票","")&amp;IF(R1590&lt;&gt;"","・発信","")&amp;IF(S1590&lt;&gt;"","・確認事項","")&amp;IF(T1590&lt;&gt;"","・管","")&amp;IF(U1590&lt;&gt;"","・SV","")&amp;IF(V1590&lt;&gt;"","・データ送付待ち","")&amp;IF(W1590&lt;&gt;"","・削除","")</f>
        <v/>
      </c>
    </row>
    <row r="1591" ht="15" customHeight="1" s="87">
      <c r="AL1591" s="94">
        <f>IF(A1591="","",IF(COUNTIF(A1591:A$2001,A1591)=1,1,0))</f>
        <v/>
      </c>
      <c r="AM1591" s="94">
        <f>IF(I1591="","",TODAY()-I1591)</f>
        <v/>
      </c>
      <c r="AN1591" s="94">
        <f>IF(A1591="","",IF(AND(E1591&lt;&gt;"33 確認済",E1591&lt;&gt;"36 送付中"),1,0))</f>
        <v/>
      </c>
      <c r="AO1591" s="94">
        <f>IF(A1591="","",IF(AG1591&lt;&gt;"",1,0))</f>
        <v/>
      </c>
      <c r="AP1591" s="220">
        <f>IF(P1591&lt;&gt;"","・添待ち","")&amp;IF(Q1591&lt;&gt;"","・住民票","")&amp;IF(R1591&lt;&gt;"","・発信","")&amp;IF(S1591&lt;&gt;"","・確認事項","")&amp;IF(T1591&lt;&gt;"","・管","")&amp;IF(U1591&lt;&gt;"","・SV","")&amp;IF(V1591&lt;&gt;"","・データ送付待ち","")&amp;IF(W1591&lt;&gt;"","・削除","")</f>
        <v/>
      </c>
    </row>
    <row r="1592" ht="15" customHeight="1" s="87">
      <c r="AL1592" s="94">
        <f>IF(A1592="","",IF(COUNTIF(A1592:A$2001,A1592)=1,1,0))</f>
        <v/>
      </c>
      <c r="AM1592" s="94">
        <f>IF(I1592="","",TODAY()-I1592)</f>
        <v/>
      </c>
      <c r="AN1592" s="94">
        <f>IF(A1592="","",IF(AND(E1592&lt;&gt;"33 確認済",E1592&lt;&gt;"36 送付中"),1,0))</f>
        <v/>
      </c>
      <c r="AO1592" s="94">
        <f>IF(A1592="","",IF(AG1592&lt;&gt;"",1,0))</f>
        <v/>
      </c>
      <c r="AP1592" s="220">
        <f>IF(P1592&lt;&gt;"","・添待ち","")&amp;IF(Q1592&lt;&gt;"","・住民票","")&amp;IF(R1592&lt;&gt;"","・発信","")&amp;IF(S1592&lt;&gt;"","・確認事項","")&amp;IF(T1592&lt;&gt;"","・管","")&amp;IF(U1592&lt;&gt;"","・SV","")&amp;IF(V1592&lt;&gt;"","・データ送付待ち","")&amp;IF(W1592&lt;&gt;"","・削除","")</f>
        <v/>
      </c>
    </row>
    <row r="1593" ht="15" customHeight="1" s="87">
      <c r="AL1593" s="94">
        <f>IF(A1593="","",IF(COUNTIF(A1593:A$2001,A1593)=1,1,0))</f>
        <v/>
      </c>
      <c r="AM1593" s="94">
        <f>IF(I1593="","",TODAY()-I1593)</f>
        <v/>
      </c>
      <c r="AN1593" s="94">
        <f>IF(A1593="","",IF(AND(E1593&lt;&gt;"33 確認済",E1593&lt;&gt;"36 送付中"),1,0))</f>
        <v/>
      </c>
      <c r="AO1593" s="94">
        <f>IF(A1593="","",IF(AG1593&lt;&gt;"",1,0))</f>
        <v/>
      </c>
      <c r="AP1593" s="220">
        <f>IF(P1593&lt;&gt;"","・添待ち","")&amp;IF(Q1593&lt;&gt;"","・住民票","")&amp;IF(R1593&lt;&gt;"","・発信","")&amp;IF(S1593&lt;&gt;"","・確認事項","")&amp;IF(T1593&lt;&gt;"","・管","")&amp;IF(U1593&lt;&gt;"","・SV","")&amp;IF(V1593&lt;&gt;"","・データ送付待ち","")&amp;IF(W1593&lt;&gt;"","・削除","")</f>
        <v/>
      </c>
    </row>
    <row r="1594" ht="15" customHeight="1" s="87">
      <c r="AL1594" s="94">
        <f>IF(A1594="","",IF(COUNTIF(A1594:A$2001,A1594)=1,1,0))</f>
        <v/>
      </c>
      <c r="AM1594" s="94">
        <f>IF(I1594="","",TODAY()-I1594)</f>
        <v/>
      </c>
      <c r="AN1594" s="94">
        <f>IF(A1594="","",IF(AND(E1594&lt;&gt;"33 確認済",E1594&lt;&gt;"36 送付中"),1,0))</f>
        <v/>
      </c>
      <c r="AO1594" s="94">
        <f>IF(A1594="","",IF(AG1594&lt;&gt;"",1,0))</f>
        <v/>
      </c>
      <c r="AP1594" s="220">
        <f>IF(P1594&lt;&gt;"","・添待ち","")&amp;IF(Q1594&lt;&gt;"","・住民票","")&amp;IF(R1594&lt;&gt;"","・発信","")&amp;IF(S1594&lt;&gt;"","・確認事項","")&amp;IF(T1594&lt;&gt;"","・管","")&amp;IF(U1594&lt;&gt;"","・SV","")&amp;IF(V1594&lt;&gt;"","・データ送付待ち","")&amp;IF(W1594&lt;&gt;"","・削除","")</f>
        <v/>
      </c>
    </row>
    <row r="1595" ht="15" customHeight="1" s="87">
      <c r="AL1595" s="94">
        <f>IF(A1595="","",IF(COUNTIF(A1595:A$2001,A1595)=1,1,0))</f>
        <v/>
      </c>
      <c r="AM1595" s="94">
        <f>IF(I1595="","",TODAY()-I1595)</f>
        <v/>
      </c>
      <c r="AN1595" s="94">
        <f>IF(A1595="","",IF(AND(E1595&lt;&gt;"33 確認済",E1595&lt;&gt;"36 送付中"),1,0))</f>
        <v/>
      </c>
      <c r="AO1595" s="94">
        <f>IF(A1595="","",IF(AG1595&lt;&gt;"",1,0))</f>
        <v/>
      </c>
      <c r="AP1595" s="220">
        <f>IF(P1595&lt;&gt;"","・添待ち","")&amp;IF(Q1595&lt;&gt;"","・住民票","")&amp;IF(R1595&lt;&gt;"","・発信","")&amp;IF(S1595&lt;&gt;"","・確認事項","")&amp;IF(T1595&lt;&gt;"","・管","")&amp;IF(U1595&lt;&gt;"","・SV","")&amp;IF(V1595&lt;&gt;"","・データ送付待ち","")&amp;IF(W1595&lt;&gt;"","・削除","")</f>
        <v/>
      </c>
    </row>
    <row r="1596" ht="15" customHeight="1" s="87">
      <c r="AL1596" s="94">
        <f>IF(A1596="","",IF(COUNTIF(A1596:A$2001,A1596)=1,1,0))</f>
        <v/>
      </c>
      <c r="AM1596" s="94">
        <f>IF(I1596="","",TODAY()-I1596)</f>
        <v/>
      </c>
      <c r="AN1596" s="94">
        <f>IF(A1596="","",IF(AND(E1596&lt;&gt;"33 確認済",E1596&lt;&gt;"36 送付中"),1,0))</f>
        <v/>
      </c>
      <c r="AO1596" s="94">
        <f>IF(A1596="","",IF(AG1596&lt;&gt;"",1,0))</f>
        <v/>
      </c>
      <c r="AP1596" s="220">
        <f>IF(P1596&lt;&gt;"","・添待ち","")&amp;IF(Q1596&lt;&gt;"","・住民票","")&amp;IF(R1596&lt;&gt;"","・発信","")&amp;IF(S1596&lt;&gt;"","・確認事項","")&amp;IF(T1596&lt;&gt;"","・管","")&amp;IF(U1596&lt;&gt;"","・SV","")&amp;IF(V1596&lt;&gt;"","・データ送付待ち","")&amp;IF(W1596&lt;&gt;"","・削除","")</f>
        <v/>
      </c>
    </row>
    <row r="1597" ht="15" customHeight="1" s="87">
      <c r="AL1597" s="94">
        <f>IF(A1597="","",IF(COUNTIF(A1597:A$2001,A1597)=1,1,0))</f>
        <v/>
      </c>
      <c r="AM1597" s="94">
        <f>IF(I1597="","",TODAY()-I1597)</f>
        <v/>
      </c>
      <c r="AN1597" s="94">
        <f>IF(A1597="","",IF(AND(E1597&lt;&gt;"33 確認済",E1597&lt;&gt;"36 送付中"),1,0))</f>
        <v/>
      </c>
      <c r="AO1597" s="94">
        <f>IF(A1597="","",IF(AG1597&lt;&gt;"",1,0))</f>
        <v/>
      </c>
      <c r="AP1597" s="220">
        <f>IF(P1597&lt;&gt;"","・添待ち","")&amp;IF(Q1597&lt;&gt;"","・住民票","")&amp;IF(R1597&lt;&gt;"","・発信","")&amp;IF(S1597&lt;&gt;"","・確認事項","")&amp;IF(T1597&lt;&gt;"","・管","")&amp;IF(U1597&lt;&gt;"","・SV","")&amp;IF(V1597&lt;&gt;"","・データ送付待ち","")&amp;IF(W1597&lt;&gt;"","・削除","")</f>
        <v/>
      </c>
    </row>
    <row r="1598" ht="15" customHeight="1" s="87">
      <c r="AL1598" s="94">
        <f>IF(A1598="","",IF(COUNTIF(A1598:A$2001,A1598)=1,1,0))</f>
        <v/>
      </c>
      <c r="AM1598" s="94">
        <f>IF(I1598="","",TODAY()-I1598)</f>
        <v/>
      </c>
      <c r="AN1598" s="94">
        <f>IF(A1598="","",IF(AND(E1598&lt;&gt;"33 確認済",E1598&lt;&gt;"36 送付中"),1,0))</f>
        <v/>
      </c>
      <c r="AO1598" s="94">
        <f>IF(A1598="","",IF(AG1598&lt;&gt;"",1,0))</f>
        <v/>
      </c>
      <c r="AP1598" s="220">
        <f>IF(P1598&lt;&gt;"","・添待ち","")&amp;IF(Q1598&lt;&gt;"","・住民票","")&amp;IF(R1598&lt;&gt;"","・発信","")&amp;IF(S1598&lt;&gt;"","・確認事項","")&amp;IF(T1598&lt;&gt;"","・管","")&amp;IF(U1598&lt;&gt;"","・SV","")&amp;IF(V1598&lt;&gt;"","・データ送付待ち","")&amp;IF(W1598&lt;&gt;"","・削除","")</f>
        <v/>
      </c>
    </row>
    <row r="1599" ht="15" customHeight="1" s="87">
      <c r="AL1599" s="94">
        <f>IF(A1599="","",IF(COUNTIF(A1599:A$2001,A1599)=1,1,0))</f>
        <v/>
      </c>
      <c r="AM1599" s="94">
        <f>IF(I1599="","",TODAY()-I1599)</f>
        <v/>
      </c>
      <c r="AN1599" s="94">
        <f>IF(A1599="","",IF(AND(E1599&lt;&gt;"33 確認済",E1599&lt;&gt;"36 送付中"),1,0))</f>
        <v/>
      </c>
      <c r="AO1599" s="94">
        <f>IF(A1599="","",IF(AG1599&lt;&gt;"",1,0))</f>
        <v/>
      </c>
      <c r="AP1599" s="220">
        <f>IF(P1599&lt;&gt;"","・添待ち","")&amp;IF(Q1599&lt;&gt;"","・住民票","")&amp;IF(R1599&lt;&gt;"","・発信","")&amp;IF(S1599&lt;&gt;"","・確認事項","")&amp;IF(T1599&lt;&gt;"","・管","")&amp;IF(U1599&lt;&gt;"","・SV","")&amp;IF(V1599&lt;&gt;"","・データ送付待ち","")&amp;IF(W1599&lt;&gt;"","・削除","")</f>
        <v/>
      </c>
    </row>
    <row r="1600" ht="15" customHeight="1" s="87">
      <c r="AL1600" s="94">
        <f>IF(A1600="","",IF(COUNTIF(A1600:A$2001,A1600)=1,1,0))</f>
        <v/>
      </c>
      <c r="AM1600" s="94">
        <f>IF(I1600="","",TODAY()-I1600)</f>
        <v/>
      </c>
      <c r="AN1600" s="94">
        <f>IF(A1600="","",IF(AND(E1600&lt;&gt;"33 確認済",E1600&lt;&gt;"36 送付中"),1,0))</f>
        <v/>
      </c>
      <c r="AO1600" s="94">
        <f>IF(A1600="","",IF(AG1600&lt;&gt;"",1,0))</f>
        <v/>
      </c>
      <c r="AP1600" s="220">
        <f>IF(P1600&lt;&gt;"","・添待ち","")&amp;IF(Q1600&lt;&gt;"","・住民票","")&amp;IF(R1600&lt;&gt;"","・発信","")&amp;IF(S1600&lt;&gt;"","・確認事項","")&amp;IF(T1600&lt;&gt;"","・管","")&amp;IF(U1600&lt;&gt;"","・SV","")&amp;IF(V1600&lt;&gt;"","・データ送付待ち","")&amp;IF(W1600&lt;&gt;"","・削除","")</f>
        <v/>
      </c>
    </row>
    <row r="1601" ht="15" customHeight="1" s="87">
      <c r="AL1601" s="94">
        <f>IF(A1601="","",IF(COUNTIF(A1601:A$2001,A1601)=1,1,0))</f>
        <v/>
      </c>
      <c r="AM1601" s="94">
        <f>IF(I1601="","",TODAY()-I1601)</f>
        <v/>
      </c>
      <c r="AN1601" s="94">
        <f>IF(A1601="","",IF(AND(E1601&lt;&gt;"33 確認済",E1601&lt;&gt;"36 送付中"),1,0))</f>
        <v/>
      </c>
      <c r="AO1601" s="94">
        <f>IF(A1601="","",IF(AG1601&lt;&gt;"",1,0))</f>
        <v/>
      </c>
      <c r="AP1601" s="220">
        <f>IF(P1601&lt;&gt;"","・添待ち","")&amp;IF(Q1601&lt;&gt;"","・住民票","")&amp;IF(R1601&lt;&gt;"","・発信","")&amp;IF(S1601&lt;&gt;"","・確認事項","")&amp;IF(T1601&lt;&gt;"","・管","")&amp;IF(U1601&lt;&gt;"","・SV","")&amp;IF(V1601&lt;&gt;"","・データ送付待ち","")&amp;IF(W1601&lt;&gt;"","・削除","")</f>
        <v/>
      </c>
    </row>
    <row r="1602" ht="15" customHeight="1" s="87">
      <c r="AL1602" s="94">
        <f>IF(A1602="","",IF(COUNTIF(A1602:A$2001,A1602)=1,1,0))</f>
        <v/>
      </c>
      <c r="AM1602" s="94">
        <f>IF(I1602="","",TODAY()-I1602)</f>
        <v/>
      </c>
      <c r="AN1602" s="94">
        <f>IF(A1602="","",IF(AND(E1602&lt;&gt;"33 確認済",E1602&lt;&gt;"36 送付中"),1,0))</f>
        <v/>
      </c>
      <c r="AO1602" s="94">
        <f>IF(A1602="","",IF(AG1602&lt;&gt;"",1,0))</f>
        <v/>
      </c>
      <c r="AP1602" s="220">
        <f>IF(P1602&lt;&gt;"","・添待ち","")&amp;IF(Q1602&lt;&gt;"","・住民票","")&amp;IF(R1602&lt;&gt;"","・発信","")&amp;IF(S1602&lt;&gt;"","・確認事項","")&amp;IF(T1602&lt;&gt;"","・管","")&amp;IF(U1602&lt;&gt;"","・SV","")&amp;IF(V1602&lt;&gt;"","・データ送付待ち","")&amp;IF(W1602&lt;&gt;"","・削除","")</f>
        <v/>
      </c>
    </row>
    <row r="1603" ht="15" customHeight="1" s="87">
      <c r="AL1603" s="94">
        <f>IF(A1603="","",IF(COUNTIF(A1603:A$2001,A1603)=1,1,0))</f>
        <v/>
      </c>
      <c r="AM1603" s="94">
        <f>IF(I1603="","",TODAY()-I1603)</f>
        <v/>
      </c>
      <c r="AN1603" s="94">
        <f>IF(A1603="","",IF(AND(E1603&lt;&gt;"33 確認済",E1603&lt;&gt;"36 送付中"),1,0))</f>
        <v/>
      </c>
      <c r="AO1603" s="94">
        <f>IF(A1603="","",IF(AG1603&lt;&gt;"",1,0))</f>
        <v/>
      </c>
      <c r="AP1603" s="220">
        <f>IF(P1603&lt;&gt;"","・添待ち","")&amp;IF(Q1603&lt;&gt;"","・住民票","")&amp;IF(R1603&lt;&gt;"","・発信","")&amp;IF(S1603&lt;&gt;"","・確認事項","")&amp;IF(T1603&lt;&gt;"","・管","")&amp;IF(U1603&lt;&gt;"","・SV","")&amp;IF(V1603&lt;&gt;"","・データ送付待ち","")&amp;IF(W1603&lt;&gt;"","・削除","")</f>
        <v/>
      </c>
    </row>
    <row r="1604" ht="15" customHeight="1" s="87">
      <c r="AL1604" s="94">
        <f>IF(A1604="","",IF(COUNTIF(A1604:A$2001,A1604)=1,1,0))</f>
        <v/>
      </c>
      <c r="AM1604" s="94">
        <f>IF(I1604="","",TODAY()-I1604)</f>
        <v/>
      </c>
      <c r="AN1604" s="94">
        <f>IF(A1604="","",IF(AND(E1604&lt;&gt;"33 確認済",E1604&lt;&gt;"36 送付中"),1,0))</f>
        <v/>
      </c>
      <c r="AO1604" s="94">
        <f>IF(A1604="","",IF(AG1604&lt;&gt;"",1,0))</f>
        <v/>
      </c>
      <c r="AP1604" s="220">
        <f>IF(P1604&lt;&gt;"","・添待ち","")&amp;IF(Q1604&lt;&gt;"","・住民票","")&amp;IF(R1604&lt;&gt;"","・発信","")&amp;IF(S1604&lt;&gt;"","・確認事項","")&amp;IF(T1604&lt;&gt;"","・管","")&amp;IF(U1604&lt;&gt;"","・SV","")&amp;IF(V1604&lt;&gt;"","・データ送付待ち","")&amp;IF(W1604&lt;&gt;"","・削除","")</f>
        <v/>
      </c>
    </row>
    <row r="1605" ht="15" customHeight="1" s="87">
      <c r="AL1605" s="94">
        <f>IF(A1605="","",IF(COUNTIF(A1605:A$2001,A1605)=1,1,0))</f>
        <v/>
      </c>
      <c r="AM1605" s="94">
        <f>IF(I1605="","",TODAY()-I1605)</f>
        <v/>
      </c>
      <c r="AN1605" s="94">
        <f>IF(A1605="","",IF(AND(E1605&lt;&gt;"33 確認済",E1605&lt;&gt;"36 送付中"),1,0))</f>
        <v/>
      </c>
      <c r="AO1605" s="94">
        <f>IF(A1605="","",IF(AG1605&lt;&gt;"",1,0))</f>
        <v/>
      </c>
      <c r="AP1605" s="220">
        <f>IF(P1605&lt;&gt;"","・添待ち","")&amp;IF(Q1605&lt;&gt;"","・住民票","")&amp;IF(R1605&lt;&gt;"","・発信","")&amp;IF(S1605&lt;&gt;"","・確認事項","")&amp;IF(T1605&lt;&gt;"","・管","")&amp;IF(U1605&lt;&gt;"","・SV","")&amp;IF(V1605&lt;&gt;"","・データ送付待ち","")&amp;IF(W1605&lt;&gt;"","・削除","")</f>
        <v/>
      </c>
    </row>
    <row r="1606" ht="15" customHeight="1" s="87">
      <c r="AL1606" s="94">
        <f>IF(A1606="","",IF(COUNTIF(A1606:A$2001,A1606)=1,1,0))</f>
        <v/>
      </c>
      <c r="AM1606" s="94">
        <f>IF(I1606="","",TODAY()-I1606)</f>
        <v/>
      </c>
      <c r="AN1606" s="94">
        <f>IF(A1606="","",IF(AND(E1606&lt;&gt;"33 確認済",E1606&lt;&gt;"36 送付中"),1,0))</f>
        <v/>
      </c>
      <c r="AO1606" s="94">
        <f>IF(A1606="","",IF(AG1606&lt;&gt;"",1,0))</f>
        <v/>
      </c>
      <c r="AP1606" s="220">
        <f>IF(P1606&lt;&gt;"","・添待ち","")&amp;IF(Q1606&lt;&gt;"","・住民票","")&amp;IF(R1606&lt;&gt;"","・発信","")&amp;IF(S1606&lt;&gt;"","・確認事項","")&amp;IF(T1606&lt;&gt;"","・管","")&amp;IF(U1606&lt;&gt;"","・SV","")&amp;IF(V1606&lt;&gt;"","・データ送付待ち","")&amp;IF(W1606&lt;&gt;"","・削除","")</f>
        <v/>
      </c>
    </row>
    <row r="1607" ht="15" customHeight="1" s="87">
      <c r="AL1607" s="94">
        <f>IF(A1607="","",IF(COUNTIF(A1607:A$2001,A1607)=1,1,0))</f>
        <v/>
      </c>
      <c r="AM1607" s="94">
        <f>IF(I1607="","",TODAY()-I1607)</f>
        <v/>
      </c>
      <c r="AN1607" s="94">
        <f>IF(A1607="","",IF(AND(E1607&lt;&gt;"33 確認済",E1607&lt;&gt;"36 送付中"),1,0))</f>
        <v/>
      </c>
      <c r="AO1607" s="94">
        <f>IF(A1607="","",IF(AG1607&lt;&gt;"",1,0))</f>
        <v/>
      </c>
      <c r="AP1607" s="220">
        <f>IF(P1607&lt;&gt;"","・添待ち","")&amp;IF(Q1607&lt;&gt;"","・住民票","")&amp;IF(R1607&lt;&gt;"","・発信","")&amp;IF(S1607&lt;&gt;"","・確認事項","")&amp;IF(T1607&lt;&gt;"","・管","")&amp;IF(U1607&lt;&gt;"","・SV","")&amp;IF(V1607&lt;&gt;"","・データ送付待ち","")&amp;IF(W1607&lt;&gt;"","・削除","")</f>
        <v/>
      </c>
    </row>
    <row r="1608" ht="15" customHeight="1" s="87">
      <c r="AL1608" s="94">
        <f>IF(A1608="","",IF(COUNTIF(A1608:A$2001,A1608)=1,1,0))</f>
        <v/>
      </c>
      <c r="AM1608" s="94">
        <f>IF(I1608="","",TODAY()-I1608)</f>
        <v/>
      </c>
      <c r="AN1608" s="94">
        <f>IF(A1608="","",IF(AND(E1608&lt;&gt;"33 確認済",E1608&lt;&gt;"36 送付中"),1,0))</f>
        <v/>
      </c>
      <c r="AO1608" s="94">
        <f>IF(A1608="","",IF(AG1608&lt;&gt;"",1,0))</f>
        <v/>
      </c>
      <c r="AP1608" s="220">
        <f>IF(P1608&lt;&gt;"","・添待ち","")&amp;IF(Q1608&lt;&gt;"","・住民票","")&amp;IF(R1608&lt;&gt;"","・発信","")&amp;IF(S1608&lt;&gt;"","・確認事項","")&amp;IF(T1608&lt;&gt;"","・管","")&amp;IF(U1608&lt;&gt;"","・SV","")&amp;IF(V1608&lt;&gt;"","・データ送付待ち","")&amp;IF(W1608&lt;&gt;"","・削除","")</f>
        <v/>
      </c>
    </row>
    <row r="1609" ht="15" customHeight="1" s="87">
      <c r="AL1609" s="94">
        <f>IF(A1609="","",IF(COUNTIF(A1609:A$2001,A1609)=1,1,0))</f>
        <v/>
      </c>
      <c r="AM1609" s="94">
        <f>IF(I1609="","",TODAY()-I1609)</f>
        <v/>
      </c>
      <c r="AN1609" s="94">
        <f>IF(A1609="","",IF(AND(E1609&lt;&gt;"33 確認済",E1609&lt;&gt;"36 送付中"),1,0))</f>
        <v/>
      </c>
      <c r="AO1609" s="94">
        <f>IF(A1609="","",IF(AG1609&lt;&gt;"",1,0))</f>
        <v/>
      </c>
      <c r="AP1609" s="220">
        <f>IF(P1609&lt;&gt;"","・添待ち","")&amp;IF(Q1609&lt;&gt;"","・住民票","")&amp;IF(R1609&lt;&gt;"","・発信","")&amp;IF(S1609&lt;&gt;"","・確認事項","")&amp;IF(T1609&lt;&gt;"","・管","")&amp;IF(U1609&lt;&gt;"","・SV","")&amp;IF(V1609&lt;&gt;"","・データ送付待ち","")&amp;IF(W1609&lt;&gt;"","・削除","")</f>
        <v/>
      </c>
    </row>
    <row r="1610" ht="15" customHeight="1" s="87">
      <c r="AL1610" s="94">
        <f>IF(A1610="","",IF(COUNTIF(A1610:A$2001,A1610)=1,1,0))</f>
        <v/>
      </c>
      <c r="AM1610" s="94">
        <f>IF(I1610="","",TODAY()-I1610)</f>
        <v/>
      </c>
      <c r="AN1610" s="94">
        <f>IF(A1610="","",IF(AND(E1610&lt;&gt;"33 確認済",E1610&lt;&gt;"36 送付中"),1,0))</f>
        <v/>
      </c>
      <c r="AO1610" s="94">
        <f>IF(A1610="","",IF(AG1610&lt;&gt;"",1,0))</f>
        <v/>
      </c>
      <c r="AP1610" s="220">
        <f>IF(P1610&lt;&gt;"","・添待ち","")&amp;IF(Q1610&lt;&gt;"","・住民票","")&amp;IF(R1610&lt;&gt;"","・発信","")&amp;IF(S1610&lt;&gt;"","・確認事項","")&amp;IF(T1610&lt;&gt;"","・管","")&amp;IF(U1610&lt;&gt;"","・SV","")&amp;IF(V1610&lt;&gt;"","・データ送付待ち","")&amp;IF(W1610&lt;&gt;"","・削除","")</f>
        <v/>
      </c>
    </row>
    <row r="1611" ht="15" customHeight="1" s="87">
      <c r="AL1611" s="94">
        <f>IF(A1611="","",IF(COUNTIF(A1611:A$2001,A1611)=1,1,0))</f>
        <v/>
      </c>
      <c r="AM1611" s="94">
        <f>IF(I1611="","",TODAY()-I1611)</f>
        <v/>
      </c>
      <c r="AN1611" s="94">
        <f>IF(A1611="","",IF(AND(E1611&lt;&gt;"33 確認済",E1611&lt;&gt;"36 送付中"),1,0))</f>
        <v/>
      </c>
      <c r="AO1611" s="94">
        <f>IF(A1611="","",IF(AG1611&lt;&gt;"",1,0))</f>
        <v/>
      </c>
      <c r="AP1611" s="220">
        <f>IF(P1611&lt;&gt;"","・添待ち","")&amp;IF(Q1611&lt;&gt;"","・住民票","")&amp;IF(R1611&lt;&gt;"","・発信","")&amp;IF(S1611&lt;&gt;"","・確認事項","")&amp;IF(T1611&lt;&gt;"","・管","")&amp;IF(U1611&lt;&gt;"","・SV","")&amp;IF(V1611&lt;&gt;"","・データ送付待ち","")&amp;IF(W1611&lt;&gt;"","・削除","")</f>
        <v/>
      </c>
    </row>
    <row r="1612" ht="15" customHeight="1" s="87">
      <c r="AL1612" s="94">
        <f>IF(A1612="","",IF(COUNTIF(A1612:A$2001,A1612)=1,1,0))</f>
        <v/>
      </c>
      <c r="AM1612" s="94">
        <f>IF(I1612="","",TODAY()-I1612)</f>
        <v/>
      </c>
      <c r="AN1612" s="94">
        <f>IF(A1612="","",IF(AND(E1612&lt;&gt;"33 確認済",E1612&lt;&gt;"36 送付中"),1,0))</f>
        <v/>
      </c>
      <c r="AO1612" s="94">
        <f>IF(A1612="","",IF(AG1612&lt;&gt;"",1,0))</f>
        <v/>
      </c>
      <c r="AP1612" s="220">
        <f>IF(P1612&lt;&gt;"","・添待ち","")&amp;IF(Q1612&lt;&gt;"","・住民票","")&amp;IF(R1612&lt;&gt;"","・発信","")&amp;IF(S1612&lt;&gt;"","・確認事項","")&amp;IF(T1612&lt;&gt;"","・管","")&amp;IF(U1612&lt;&gt;"","・SV","")&amp;IF(V1612&lt;&gt;"","・データ送付待ち","")&amp;IF(W1612&lt;&gt;"","・削除","")</f>
        <v/>
      </c>
    </row>
    <row r="1613" ht="15" customHeight="1" s="87">
      <c r="AL1613" s="94">
        <f>IF(A1613="","",IF(COUNTIF(A1613:A$2001,A1613)=1,1,0))</f>
        <v/>
      </c>
      <c r="AM1613" s="94">
        <f>IF(I1613="","",TODAY()-I1613)</f>
        <v/>
      </c>
      <c r="AN1613" s="94">
        <f>IF(A1613="","",IF(AND(E1613&lt;&gt;"33 確認済",E1613&lt;&gt;"36 送付中"),1,0))</f>
        <v/>
      </c>
      <c r="AO1613" s="94">
        <f>IF(A1613="","",IF(AG1613&lt;&gt;"",1,0))</f>
        <v/>
      </c>
      <c r="AP1613" s="220">
        <f>IF(P1613&lt;&gt;"","・添待ち","")&amp;IF(Q1613&lt;&gt;"","・住民票","")&amp;IF(R1613&lt;&gt;"","・発信","")&amp;IF(S1613&lt;&gt;"","・確認事項","")&amp;IF(T1613&lt;&gt;"","・管","")&amp;IF(U1613&lt;&gt;"","・SV","")&amp;IF(V1613&lt;&gt;"","・データ送付待ち","")&amp;IF(W1613&lt;&gt;"","・削除","")</f>
        <v/>
      </c>
    </row>
    <row r="1614" ht="15" customHeight="1" s="87">
      <c r="AL1614" s="94">
        <f>IF(A1614="","",IF(COUNTIF(A1614:A$2001,A1614)=1,1,0))</f>
        <v/>
      </c>
      <c r="AM1614" s="94">
        <f>IF(I1614="","",TODAY()-I1614)</f>
        <v/>
      </c>
      <c r="AN1614" s="94">
        <f>IF(A1614="","",IF(AND(E1614&lt;&gt;"33 確認済",E1614&lt;&gt;"36 送付中"),1,0))</f>
        <v/>
      </c>
      <c r="AO1614" s="94">
        <f>IF(A1614="","",IF(AG1614&lt;&gt;"",1,0))</f>
        <v/>
      </c>
      <c r="AP1614" s="220">
        <f>IF(P1614&lt;&gt;"","・添待ち","")&amp;IF(Q1614&lt;&gt;"","・住民票","")&amp;IF(R1614&lt;&gt;"","・発信","")&amp;IF(S1614&lt;&gt;"","・確認事項","")&amp;IF(T1614&lt;&gt;"","・管","")&amp;IF(U1614&lt;&gt;"","・SV","")&amp;IF(V1614&lt;&gt;"","・データ送付待ち","")&amp;IF(W1614&lt;&gt;"","・削除","")</f>
        <v/>
      </c>
    </row>
    <row r="1615" ht="15" customHeight="1" s="87">
      <c r="AL1615" s="94">
        <f>IF(A1615="","",IF(COUNTIF(A1615:A$2001,A1615)=1,1,0))</f>
        <v/>
      </c>
      <c r="AM1615" s="94">
        <f>IF(I1615="","",TODAY()-I1615)</f>
        <v/>
      </c>
      <c r="AN1615" s="94">
        <f>IF(A1615="","",IF(AND(E1615&lt;&gt;"33 確認済",E1615&lt;&gt;"36 送付中"),1,0))</f>
        <v/>
      </c>
      <c r="AO1615" s="94">
        <f>IF(A1615="","",IF(AG1615&lt;&gt;"",1,0))</f>
        <v/>
      </c>
      <c r="AP1615" s="220">
        <f>IF(P1615&lt;&gt;"","・添待ち","")&amp;IF(Q1615&lt;&gt;"","・住民票","")&amp;IF(R1615&lt;&gt;"","・発信","")&amp;IF(S1615&lt;&gt;"","・確認事項","")&amp;IF(T1615&lt;&gt;"","・管","")&amp;IF(U1615&lt;&gt;"","・SV","")&amp;IF(V1615&lt;&gt;"","・データ送付待ち","")&amp;IF(W1615&lt;&gt;"","・削除","")</f>
        <v/>
      </c>
    </row>
    <row r="1616" ht="15" customHeight="1" s="87">
      <c r="AL1616" s="94">
        <f>IF(A1616="","",IF(COUNTIF(A1616:A$2001,A1616)=1,1,0))</f>
        <v/>
      </c>
      <c r="AM1616" s="94">
        <f>IF(I1616="","",TODAY()-I1616)</f>
        <v/>
      </c>
      <c r="AN1616" s="94">
        <f>IF(A1616="","",IF(AND(E1616&lt;&gt;"33 確認済",E1616&lt;&gt;"36 送付中"),1,0))</f>
        <v/>
      </c>
      <c r="AO1616" s="94">
        <f>IF(A1616="","",IF(AG1616&lt;&gt;"",1,0))</f>
        <v/>
      </c>
      <c r="AP1616" s="220">
        <f>IF(P1616&lt;&gt;"","・添待ち","")&amp;IF(Q1616&lt;&gt;"","・住民票","")&amp;IF(R1616&lt;&gt;"","・発信","")&amp;IF(S1616&lt;&gt;"","・確認事項","")&amp;IF(T1616&lt;&gt;"","・管","")&amp;IF(U1616&lt;&gt;"","・SV","")&amp;IF(V1616&lt;&gt;"","・データ送付待ち","")&amp;IF(W1616&lt;&gt;"","・削除","")</f>
        <v/>
      </c>
    </row>
    <row r="1617" ht="15" customHeight="1" s="87">
      <c r="AL1617" s="94">
        <f>IF(A1617="","",IF(COUNTIF(A1617:A$2001,A1617)=1,1,0))</f>
        <v/>
      </c>
      <c r="AM1617" s="94">
        <f>IF(I1617="","",TODAY()-I1617)</f>
        <v/>
      </c>
      <c r="AN1617" s="94">
        <f>IF(A1617="","",IF(AND(E1617&lt;&gt;"33 確認済",E1617&lt;&gt;"36 送付中"),1,0))</f>
        <v/>
      </c>
      <c r="AO1617" s="94">
        <f>IF(A1617="","",IF(AG1617&lt;&gt;"",1,0))</f>
        <v/>
      </c>
      <c r="AP1617" s="220">
        <f>IF(P1617&lt;&gt;"","・添待ち","")&amp;IF(Q1617&lt;&gt;"","・住民票","")&amp;IF(R1617&lt;&gt;"","・発信","")&amp;IF(S1617&lt;&gt;"","・確認事項","")&amp;IF(T1617&lt;&gt;"","・管","")&amp;IF(U1617&lt;&gt;"","・SV","")&amp;IF(V1617&lt;&gt;"","・データ送付待ち","")&amp;IF(W1617&lt;&gt;"","・削除","")</f>
        <v/>
      </c>
    </row>
    <row r="1618" ht="15" customHeight="1" s="87">
      <c r="AL1618" s="94">
        <f>IF(A1618="","",IF(COUNTIF(A1618:A$2001,A1618)=1,1,0))</f>
        <v/>
      </c>
      <c r="AM1618" s="94">
        <f>IF(I1618="","",TODAY()-I1618)</f>
        <v/>
      </c>
      <c r="AN1618" s="94">
        <f>IF(A1618="","",IF(AND(E1618&lt;&gt;"33 確認済",E1618&lt;&gt;"36 送付中"),1,0))</f>
        <v/>
      </c>
      <c r="AO1618" s="94">
        <f>IF(A1618="","",IF(AG1618&lt;&gt;"",1,0))</f>
        <v/>
      </c>
      <c r="AP1618" s="220">
        <f>IF(P1618&lt;&gt;"","・添待ち","")&amp;IF(Q1618&lt;&gt;"","・住民票","")&amp;IF(R1618&lt;&gt;"","・発信","")&amp;IF(S1618&lt;&gt;"","・確認事項","")&amp;IF(T1618&lt;&gt;"","・管","")&amp;IF(U1618&lt;&gt;"","・SV","")&amp;IF(V1618&lt;&gt;"","・データ送付待ち","")&amp;IF(W1618&lt;&gt;"","・削除","")</f>
        <v/>
      </c>
    </row>
    <row r="1619" ht="15" customHeight="1" s="87">
      <c r="AL1619" s="94">
        <f>IF(A1619="","",IF(COUNTIF(A1619:A$2001,A1619)=1,1,0))</f>
        <v/>
      </c>
      <c r="AM1619" s="94">
        <f>IF(I1619="","",TODAY()-I1619)</f>
        <v/>
      </c>
      <c r="AN1619" s="94">
        <f>IF(A1619="","",IF(AND(E1619&lt;&gt;"33 確認済",E1619&lt;&gt;"36 送付中"),1,0))</f>
        <v/>
      </c>
      <c r="AO1619" s="94">
        <f>IF(A1619="","",IF(AG1619&lt;&gt;"",1,0))</f>
        <v/>
      </c>
      <c r="AP1619" s="220">
        <f>IF(P1619&lt;&gt;"","・添待ち","")&amp;IF(Q1619&lt;&gt;"","・住民票","")&amp;IF(R1619&lt;&gt;"","・発信","")&amp;IF(S1619&lt;&gt;"","・確認事項","")&amp;IF(T1619&lt;&gt;"","・管","")&amp;IF(U1619&lt;&gt;"","・SV","")&amp;IF(V1619&lt;&gt;"","・データ送付待ち","")&amp;IF(W1619&lt;&gt;"","・削除","")</f>
        <v/>
      </c>
    </row>
    <row r="1620" ht="15" customHeight="1" s="87">
      <c r="AL1620" s="94">
        <f>IF(A1620="","",IF(COUNTIF(A1620:A$2001,A1620)=1,1,0))</f>
        <v/>
      </c>
      <c r="AM1620" s="94">
        <f>IF(I1620="","",TODAY()-I1620)</f>
        <v/>
      </c>
      <c r="AN1620" s="94">
        <f>IF(A1620="","",IF(AND(E1620&lt;&gt;"33 確認済",E1620&lt;&gt;"36 送付中"),1,0))</f>
        <v/>
      </c>
      <c r="AO1620" s="94">
        <f>IF(A1620="","",IF(AG1620&lt;&gt;"",1,0))</f>
        <v/>
      </c>
      <c r="AP1620" s="220">
        <f>IF(P1620&lt;&gt;"","・添待ち","")&amp;IF(Q1620&lt;&gt;"","・住民票","")&amp;IF(R1620&lt;&gt;"","・発信","")&amp;IF(S1620&lt;&gt;"","・確認事項","")&amp;IF(T1620&lt;&gt;"","・管","")&amp;IF(U1620&lt;&gt;"","・SV","")&amp;IF(V1620&lt;&gt;"","・データ送付待ち","")&amp;IF(W1620&lt;&gt;"","・削除","")</f>
        <v/>
      </c>
    </row>
    <row r="1621" ht="15" customHeight="1" s="87">
      <c r="AL1621" s="94">
        <f>IF(A1621="","",IF(COUNTIF(A1621:A$2001,A1621)=1,1,0))</f>
        <v/>
      </c>
      <c r="AM1621" s="94">
        <f>IF(I1621="","",TODAY()-I1621)</f>
        <v/>
      </c>
      <c r="AN1621" s="94">
        <f>IF(A1621="","",IF(AND(E1621&lt;&gt;"33 確認済",E1621&lt;&gt;"36 送付中"),1,0))</f>
        <v/>
      </c>
      <c r="AO1621" s="94">
        <f>IF(A1621="","",IF(AG1621&lt;&gt;"",1,0))</f>
        <v/>
      </c>
      <c r="AP1621" s="220">
        <f>IF(P1621&lt;&gt;"","・添待ち","")&amp;IF(Q1621&lt;&gt;"","・住民票","")&amp;IF(R1621&lt;&gt;"","・発信","")&amp;IF(S1621&lt;&gt;"","・確認事項","")&amp;IF(T1621&lt;&gt;"","・管","")&amp;IF(U1621&lt;&gt;"","・SV","")&amp;IF(V1621&lt;&gt;"","・データ送付待ち","")&amp;IF(W1621&lt;&gt;"","・削除","")</f>
        <v/>
      </c>
    </row>
    <row r="1622" ht="15" customHeight="1" s="87">
      <c r="AL1622" s="94">
        <f>IF(A1622="","",IF(COUNTIF(A1622:A$2001,A1622)=1,1,0))</f>
        <v/>
      </c>
      <c r="AM1622" s="94">
        <f>IF(I1622="","",TODAY()-I1622)</f>
        <v/>
      </c>
      <c r="AN1622" s="94">
        <f>IF(A1622="","",IF(AND(E1622&lt;&gt;"33 確認済",E1622&lt;&gt;"36 送付中"),1,0))</f>
        <v/>
      </c>
      <c r="AO1622" s="94">
        <f>IF(A1622="","",IF(AG1622&lt;&gt;"",1,0))</f>
        <v/>
      </c>
      <c r="AP1622" s="220">
        <f>IF(P1622&lt;&gt;"","・添待ち","")&amp;IF(Q1622&lt;&gt;"","・住民票","")&amp;IF(R1622&lt;&gt;"","・発信","")&amp;IF(S1622&lt;&gt;"","・確認事項","")&amp;IF(T1622&lt;&gt;"","・管","")&amp;IF(U1622&lt;&gt;"","・SV","")&amp;IF(V1622&lt;&gt;"","・データ送付待ち","")&amp;IF(W1622&lt;&gt;"","・削除","")</f>
        <v/>
      </c>
    </row>
    <row r="1623" ht="15" customHeight="1" s="87">
      <c r="AL1623" s="94">
        <f>IF(A1623="","",IF(COUNTIF(A1623:A$2001,A1623)=1,1,0))</f>
        <v/>
      </c>
      <c r="AM1623" s="94">
        <f>IF(I1623="","",TODAY()-I1623)</f>
        <v/>
      </c>
      <c r="AN1623" s="94">
        <f>IF(A1623="","",IF(AND(E1623&lt;&gt;"33 確認済",E1623&lt;&gt;"36 送付中"),1,0))</f>
        <v/>
      </c>
      <c r="AO1623" s="94">
        <f>IF(A1623="","",IF(AG1623&lt;&gt;"",1,0))</f>
        <v/>
      </c>
      <c r="AP1623" s="220">
        <f>IF(P1623&lt;&gt;"","・添待ち","")&amp;IF(Q1623&lt;&gt;"","・住民票","")&amp;IF(R1623&lt;&gt;"","・発信","")&amp;IF(S1623&lt;&gt;"","・確認事項","")&amp;IF(T1623&lt;&gt;"","・管","")&amp;IF(U1623&lt;&gt;"","・SV","")&amp;IF(V1623&lt;&gt;"","・データ送付待ち","")&amp;IF(W1623&lt;&gt;"","・削除","")</f>
        <v/>
      </c>
    </row>
    <row r="1624" ht="15" customHeight="1" s="87">
      <c r="AL1624" s="94">
        <f>IF(A1624="","",IF(COUNTIF(A1624:A$2001,A1624)=1,1,0))</f>
        <v/>
      </c>
      <c r="AM1624" s="94">
        <f>IF(I1624="","",TODAY()-I1624)</f>
        <v/>
      </c>
      <c r="AN1624" s="94">
        <f>IF(A1624="","",IF(AND(E1624&lt;&gt;"33 確認済",E1624&lt;&gt;"36 送付中"),1,0))</f>
        <v/>
      </c>
      <c r="AO1624" s="94">
        <f>IF(A1624="","",IF(AG1624&lt;&gt;"",1,0))</f>
        <v/>
      </c>
      <c r="AP1624" s="220">
        <f>IF(P1624&lt;&gt;"","・添待ち","")&amp;IF(Q1624&lt;&gt;"","・住民票","")&amp;IF(R1624&lt;&gt;"","・発信","")&amp;IF(S1624&lt;&gt;"","・確認事項","")&amp;IF(T1624&lt;&gt;"","・管","")&amp;IF(U1624&lt;&gt;"","・SV","")&amp;IF(V1624&lt;&gt;"","・データ送付待ち","")&amp;IF(W1624&lt;&gt;"","・削除","")</f>
        <v/>
      </c>
    </row>
    <row r="1625" ht="15" customHeight="1" s="87">
      <c r="AL1625" s="94">
        <f>IF(A1625="","",IF(COUNTIF(A1625:A$2001,A1625)=1,1,0))</f>
        <v/>
      </c>
      <c r="AM1625" s="94">
        <f>IF(I1625="","",TODAY()-I1625)</f>
        <v/>
      </c>
      <c r="AN1625" s="94">
        <f>IF(A1625="","",IF(AND(E1625&lt;&gt;"33 確認済",E1625&lt;&gt;"36 送付中"),1,0))</f>
        <v/>
      </c>
      <c r="AO1625" s="94">
        <f>IF(A1625="","",IF(AG1625&lt;&gt;"",1,0))</f>
        <v/>
      </c>
      <c r="AP1625" s="220">
        <f>IF(P1625&lt;&gt;"","・添待ち","")&amp;IF(Q1625&lt;&gt;"","・住民票","")&amp;IF(R1625&lt;&gt;"","・発信","")&amp;IF(S1625&lt;&gt;"","・確認事項","")&amp;IF(T1625&lt;&gt;"","・管","")&amp;IF(U1625&lt;&gt;"","・SV","")&amp;IF(V1625&lt;&gt;"","・データ送付待ち","")&amp;IF(W1625&lt;&gt;"","・削除","")</f>
        <v/>
      </c>
    </row>
    <row r="1626" ht="15" customHeight="1" s="87">
      <c r="AL1626" s="94">
        <f>IF(A1626="","",IF(COUNTIF(A1626:A$2001,A1626)=1,1,0))</f>
        <v/>
      </c>
      <c r="AM1626" s="94">
        <f>IF(I1626="","",TODAY()-I1626)</f>
        <v/>
      </c>
      <c r="AN1626" s="94">
        <f>IF(A1626="","",IF(AND(E1626&lt;&gt;"33 確認済",E1626&lt;&gt;"36 送付中"),1,0))</f>
        <v/>
      </c>
      <c r="AO1626" s="94">
        <f>IF(A1626="","",IF(AG1626&lt;&gt;"",1,0))</f>
        <v/>
      </c>
      <c r="AP1626" s="220">
        <f>IF(P1626&lt;&gt;"","・添待ち","")&amp;IF(Q1626&lt;&gt;"","・住民票","")&amp;IF(R1626&lt;&gt;"","・発信","")&amp;IF(S1626&lt;&gt;"","・確認事項","")&amp;IF(T1626&lt;&gt;"","・管","")&amp;IF(U1626&lt;&gt;"","・SV","")&amp;IF(V1626&lt;&gt;"","・データ送付待ち","")&amp;IF(W1626&lt;&gt;"","・削除","")</f>
        <v/>
      </c>
    </row>
    <row r="1627" ht="15" customHeight="1" s="87">
      <c r="AL1627" s="94">
        <f>IF(A1627="","",IF(COUNTIF(A1627:A$2001,A1627)=1,1,0))</f>
        <v/>
      </c>
      <c r="AM1627" s="94">
        <f>IF(I1627="","",TODAY()-I1627)</f>
        <v/>
      </c>
      <c r="AN1627" s="94">
        <f>IF(A1627="","",IF(AND(E1627&lt;&gt;"33 確認済",E1627&lt;&gt;"36 送付中"),1,0))</f>
        <v/>
      </c>
      <c r="AO1627" s="94">
        <f>IF(A1627="","",IF(AG1627&lt;&gt;"",1,0))</f>
        <v/>
      </c>
      <c r="AP1627" s="220">
        <f>IF(P1627&lt;&gt;"","・添待ち","")&amp;IF(Q1627&lt;&gt;"","・住民票","")&amp;IF(R1627&lt;&gt;"","・発信","")&amp;IF(S1627&lt;&gt;"","・確認事項","")&amp;IF(T1627&lt;&gt;"","・管","")&amp;IF(U1627&lt;&gt;"","・SV","")&amp;IF(V1627&lt;&gt;"","・データ送付待ち","")&amp;IF(W1627&lt;&gt;"","・削除","")</f>
        <v/>
      </c>
    </row>
    <row r="1628" ht="15" customHeight="1" s="87">
      <c r="AL1628" s="94">
        <f>IF(A1628="","",IF(COUNTIF(A1628:A$2001,A1628)=1,1,0))</f>
        <v/>
      </c>
      <c r="AM1628" s="94">
        <f>IF(I1628="","",TODAY()-I1628)</f>
        <v/>
      </c>
      <c r="AN1628" s="94">
        <f>IF(A1628="","",IF(AND(E1628&lt;&gt;"33 確認済",E1628&lt;&gt;"36 送付中"),1,0))</f>
        <v/>
      </c>
      <c r="AO1628" s="94">
        <f>IF(A1628="","",IF(AG1628&lt;&gt;"",1,0))</f>
        <v/>
      </c>
      <c r="AP1628" s="220">
        <f>IF(P1628&lt;&gt;"","・添待ち","")&amp;IF(Q1628&lt;&gt;"","・住民票","")&amp;IF(R1628&lt;&gt;"","・発信","")&amp;IF(S1628&lt;&gt;"","・確認事項","")&amp;IF(T1628&lt;&gt;"","・管","")&amp;IF(U1628&lt;&gt;"","・SV","")&amp;IF(V1628&lt;&gt;"","・データ送付待ち","")&amp;IF(W1628&lt;&gt;"","・削除","")</f>
        <v/>
      </c>
    </row>
    <row r="1629" ht="15" customHeight="1" s="87">
      <c r="AL1629" s="94">
        <f>IF(A1629="","",IF(COUNTIF(A1629:A$2001,A1629)=1,1,0))</f>
        <v/>
      </c>
      <c r="AM1629" s="94">
        <f>IF(I1629="","",TODAY()-I1629)</f>
        <v/>
      </c>
      <c r="AN1629" s="94">
        <f>IF(A1629="","",IF(AND(E1629&lt;&gt;"33 確認済",E1629&lt;&gt;"36 送付中"),1,0))</f>
        <v/>
      </c>
      <c r="AO1629" s="94">
        <f>IF(A1629="","",IF(AG1629&lt;&gt;"",1,0))</f>
        <v/>
      </c>
      <c r="AP1629" s="220">
        <f>IF(P1629&lt;&gt;"","・添待ち","")&amp;IF(Q1629&lt;&gt;"","・住民票","")&amp;IF(R1629&lt;&gt;"","・発信","")&amp;IF(S1629&lt;&gt;"","・確認事項","")&amp;IF(T1629&lt;&gt;"","・管","")&amp;IF(U1629&lt;&gt;"","・SV","")&amp;IF(V1629&lt;&gt;"","・データ送付待ち","")&amp;IF(W1629&lt;&gt;"","・削除","")</f>
        <v/>
      </c>
    </row>
    <row r="1630" ht="15" customHeight="1" s="87">
      <c r="AL1630" s="94">
        <f>IF(A1630="","",IF(COUNTIF(A1630:A$2001,A1630)=1,1,0))</f>
        <v/>
      </c>
      <c r="AM1630" s="94">
        <f>IF(I1630="","",TODAY()-I1630)</f>
        <v/>
      </c>
      <c r="AN1630" s="94">
        <f>IF(A1630="","",IF(AND(E1630&lt;&gt;"33 確認済",E1630&lt;&gt;"36 送付中"),1,0))</f>
        <v/>
      </c>
      <c r="AO1630" s="94">
        <f>IF(A1630="","",IF(AG1630&lt;&gt;"",1,0))</f>
        <v/>
      </c>
      <c r="AP1630" s="220">
        <f>IF(P1630&lt;&gt;"","・添待ち","")&amp;IF(Q1630&lt;&gt;"","・住民票","")&amp;IF(R1630&lt;&gt;"","・発信","")&amp;IF(S1630&lt;&gt;"","・確認事項","")&amp;IF(T1630&lt;&gt;"","・管","")&amp;IF(U1630&lt;&gt;"","・SV","")&amp;IF(V1630&lt;&gt;"","・データ送付待ち","")&amp;IF(W1630&lt;&gt;"","・削除","")</f>
        <v/>
      </c>
    </row>
    <row r="1631" ht="15" customHeight="1" s="87">
      <c r="AL1631" s="94">
        <f>IF(A1631="","",IF(COUNTIF(A1631:A$2001,A1631)=1,1,0))</f>
        <v/>
      </c>
      <c r="AM1631" s="94">
        <f>IF(I1631="","",TODAY()-I1631)</f>
        <v/>
      </c>
      <c r="AN1631" s="94">
        <f>IF(A1631="","",IF(AND(E1631&lt;&gt;"33 確認済",E1631&lt;&gt;"36 送付中"),1,0))</f>
        <v/>
      </c>
      <c r="AO1631" s="94">
        <f>IF(A1631="","",IF(AG1631&lt;&gt;"",1,0))</f>
        <v/>
      </c>
      <c r="AP1631" s="220">
        <f>IF(P1631&lt;&gt;"","・添待ち","")&amp;IF(Q1631&lt;&gt;"","・住民票","")&amp;IF(R1631&lt;&gt;"","・発信","")&amp;IF(S1631&lt;&gt;"","・確認事項","")&amp;IF(T1631&lt;&gt;"","・管","")&amp;IF(U1631&lt;&gt;"","・SV","")&amp;IF(V1631&lt;&gt;"","・データ送付待ち","")&amp;IF(W1631&lt;&gt;"","・削除","")</f>
        <v/>
      </c>
    </row>
    <row r="1632" ht="15" customHeight="1" s="87">
      <c r="AL1632" s="94">
        <f>IF(A1632="","",IF(COUNTIF(A1632:A$2001,A1632)=1,1,0))</f>
        <v/>
      </c>
      <c r="AM1632" s="94">
        <f>IF(I1632="","",TODAY()-I1632)</f>
        <v/>
      </c>
      <c r="AN1632" s="94">
        <f>IF(A1632="","",IF(AND(E1632&lt;&gt;"33 確認済",E1632&lt;&gt;"36 送付中"),1,0))</f>
        <v/>
      </c>
      <c r="AO1632" s="94">
        <f>IF(A1632="","",IF(AG1632&lt;&gt;"",1,0))</f>
        <v/>
      </c>
      <c r="AP1632" s="220">
        <f>IF(P1632&lt;&gt;"","・添待ち","")&amp;IF(Q1632&lt;&gt;"","・住民票","")&amp;IF(R1632&lt;&gt;"","・発信","")&amp;IF(S1632&lt;&gt;"","・確認事項","")&amp;IF(T1632&lt;&gt;"","・管","")&amp;IF(U1632&lt;&gt;"","・SV","")&amp;IF(V1632&lt;&gt;"","・データ送付待ち","")&amp;IF(W1632&lt;&gt;"","・削除","")</f>
        <v/>
      </c>
    </row>
    <row r="1633" ht="15" customHeight="1" s="87">
      <c r="AL1633" s="94">
        <f>IF(A1633="","",IF(COUNTIF(A1633:A$2001,A1633)=1,1,0))</f>
        <v/>
      </c>
      <c r="AM1633" s="94">
        <f>IF(I1633="","",TODAY()-I1633)</f>
        <v/>
      </c>
      <c r="AN1633" s="94">
        <f>IF(A1633="","",IF(AND(E1633&lt;&gt;"33 確認済",E1633&lt;&gt;"36 送付中"),1,0))</f>
        <v/>
      </c>
      <c r="AO1633" s="94">
        <f>IF(A1633="","",IF(AG1633&lt;&gt;"",1,0))</f>
        <v/>
      </c>
      <c r="AP1633" s="220">
        <f>IF(P1633&lt;&gt;"","・添待ち","")&amp;IF(Q1633&lt;&gt;"","・住民票","")&amp;IF(R1633&lt;&gt;"","・発信","")&amp;IF(S1633&lt;&gt;"","・確認事項","")&amp;IF(T1633&lt;&gt;"","・管","")&amp;IF(U1633&lt;&gt;"","・SV","")&amp;IF(V1633&lt;&gt;"","・データ送付待ち","")&amp;IF(W1633&lt;&gt;"","・削除","")</f>
        <v/>
      </c>
    </row>
    <row r="1634" ht="15" customHeight="1" s="87">
      <c r="AL1634" s="94">
        <f>IF(A1634="","",IF(COUNTIF(A1634:A$2001,A1634)=1,1,0))</f>
        <v/>
      </c>
      <c r="AM1634" s="94">
        <f>IF(I1634="","",TODAY()-I1634)</f>
        <v/>
      </c>
      <c r="AN1634" s="94">
        <f>IF(A1634="","",IF(AND(E1634&lt;&gt;"33 確認済",E1634&lt;&gt;"36 送付中"),1,0))</f>
        <v/>
      </c>
      <c r="AO1634" s="94">
        <f>IF(A1634="","",IF(AG1634&lt;&gt;"",1,0))</f>
        <v/>
      </c>
      <c r="AP1634" s="220">
        <f>IF(P1634&lt;&gt;"","・添待ち","")&amp;IF(Q1634&lt;&gt;"","・住民票","")&amp;IF(R1634&lt;&gt;"","・発信","")&amp;IF(S1634&lt;&gt;"","・確認事項","")&amp;IF(T1634&lt;&gt;"","・管","")&amp;IF(U1634&lt;&gt;"","・SV","")&amp;IF(V1634&lt;&gt;"","・データ送付待ち","")&amp;IF(W1634&lt;&gt;"","・削除","")</f>
        <v/>
      </c>
    </row>
    <row r="1635" ht="15" customHeight="1" s="87">
      <c r="AL1635" s="94">
        <f>IF(A1635="","",IF(COUNTIF(A1635:A$2001,A1635)=1,1,0))</f>
        <v/>
      </c>
      <c r="AM1635" s="94">
        <f>IF(I1635="","",TODAY()-I1635)</f>
        <v/>
      </c>
      <c r="AN1635" s="94">
        <f>IF(A1635="","",IF(AND(E1635&lt;&gt;"33 確認済",E1635&lt;&gt;"36 送付中"),1,0))</f>
        <v/>
      </c>
      <c r="AO1635" s="94">
        <f>IF(A1635="","",IF(AG1635&lt;&gt;"",1,0))</f>
        <v/>
      </c>
      <c r="AP1635" s="220">
        <f>IF(P1635&lt;&gt;"","・添待ち","")&amp;IF(Q1635&lt;&gt;"","・住民票","")&amp;IF(R1635&lt;&gt;"","・発信","")&amp;IF(S1635&lt;&gt;"","・確認事項","")&amp;IF(T1635&lt;&gt;"","・管","")&amp;IF(U1635&lt;&gt;"","・SV","")&amp;IF(V1635&lt;&gt;"","・データ送付待ち","")&amp;IF(W1635&lt;&gt;"","・削除","")</f>
        <v/>
      </c>
    </row>
    <row r="1636" ht="15" customHeight="1" s="87">
      <c r="AL1636" s="94">
        <f>IF(A1636="","",IF(COUNTIF(A1636:A$2001,A1636)=1,1,0))</f>
        <v/>
      </c>
      <c r="AM1636" s="94">
        <f>IF(I1636="","",TODAY()-I1636)</f>
        <v/>
      </c>
      <c r="AN1636" s="94">
        <f>IF(A1636="","",IF(AND(E1636&lt;&gt;"33 確認済",E1636&lt;&gt;"36 送付中"),1,0))</f>
        <v/>
      </c>
      <c r="AO1636" s="94">
        <f>IF(A1636="","",IF(AG1636&lt;&gt;"",1,0))</f>
        <v/>
      </c>
      <c r="AP1636" s="220">
        <f>IF(P1636&lt;&gt;"","・添待ち","")&amp;IF(Q1636&lt;&gt;"","・住民票","")&amp;IF(R1636&lt;&gt;"","・発信","")&amp;IF(S1636&lt;&gt;"","・確認事項","")&amp;IF(T1636&lt;&gt;"","・管","")&amp;IF(U1636&lt;&gt;"","・SV","")&amp;IF(V1636&lt;&gt;"","・データ送付待ち","")&amp;IF(W1636&lt;&gt;"","・削除","")</f>
        <v/>
      </c>
    </row>
    <row r="1637" ht="15" customHeight="1" s="87">
      <c r="AL1637" s="94">
        <f>IF(A1637="","",IF(COUNTIF(A1637:A$2001,A1637)=1,1,0))</f>
        <v/>
      </c>
      <c r="AM1637" s="94">
        <f>IF(I1637="","",TODAY()-I1637)</f>
        <v/>
      </c>
      <c r="AN1637" s="94">
        <f>IF(A1637="","",IF(AND(E1637&lt;&gt;"33 確認済",E1637&lt;&gt;"36 送付中"),1,0))</f>
        <v/>
      </c>
      <c r="AO1637" s="94">
        <f>IF(A1637="","",IF(AG1637&lt;&gt;"",1,0))</f>
        <v/>
      </c>
      <c r="AP1637" s="220">
        <f>IF(P1637&lt;&gt;"","・添待ち","")&amp;IF(Q1637&lt;&gt;"","・住民票","")&amp;IF(R1637&lt;&gt;"","・発信","")&amp;IF(S1637&lt;&gt;"","・確認事項","")&amp;IF(T1637&lt;&gt;"","・管","")&amp;IF(U1637&lt;&gt;"","・SV","")&amp;IF(V1637&lt;&gt;"","・データ送付待ち","")&amp;IF(W1637&lt;&gt;"","・削除","")</f>
        <v/>
      </c>
    </row>
    <row r="1638" ht="15" customHeight="1" s="87">
      <c r="AL1638" s="94">
        <f>IF(A1638="","",IF(COUNTIF(A1638:A$2001,A1638)=1,1,0))</f>
        <v/>
      </c>
      <c r="AM1638" s="94">
        <f>IF(I1638="","",TODAY()-I1638)</f>
        <v/>
      </c>
      <c r="AN1638" s="94">
        <f>IF(A1638="","",IF(AND(E1638&lt;&gt;"33 確認済",E1638&lt;&gt;"36 送付中"),1,0))</f>
        <v/>
      </c>
      <c r="AO1638" s="94">
        <f>IF(A1638="","",IF(AG1638&lt;&gt;"",1,0))</f>
        <v/>
      </c>
      <c r="AP1638" s="220">
        <f>IF(P1638&lt;&gt;"","・添待ち","")&amp;IF(Q1638&lt;&gt;"","・住民票","")&amp;IF(R1638&lt;&gt;"","・発信","")&amp;IF(S1638&lt;&gt;"","・確認事項","")&amp;IF(T1638&lt;&gt;"","・管","")&amp;IF(U1638&lt;&gt;"","・SV","")&amp;IF(V1638&lt;&gt;"","・データ送付待ち","")&amp;IF(W1638&lt;&gt;"","・削除","")</f>
        <v/>
      </c>
    </row>
    <row r="1639" ht="15" customHeight="1" s="87">
      <c r="AL1639" s="94">
        <f>IF(A1639="","",IF(COUNTIF(A1639:A$2001,A1639)=1,1,0))</f>
        <v/>
      </c>
      <c r="AM1639" s="94">
        <f>IF(I1639="","",TODAY()-I1639)</f>
        <v/>
      </c>
      <c r="AN1639" s="94">
        <f>IF(A1639="","",IF(AND(E1639&lt;&gt;"33 確認済",E1639&lt;&gt;"36 送付中"),1,0))</f>
        <v/>
      </c>
      <c r="AO1639" s="94">
        <f>IF(A1639="","",IF(AG1639&lt;&gt;"",1,0))</f>
        <v/>
      </c>
      <c r="AP1639" s="220">
        <f>IF(P1639&lt;&gt;"","・添待ち","")&amp;IF(Q1639&lt;&gt;"","・住民票","")&amp;IF(R1639&lt;&gt;"","・発信","")&amp;IF(S1639&lt;&gt;"","・確認事項","")&amp;IF(T1639&lt;&gt;"","・管","")&amp;IF(U1639&lt;&gt;"","・SV","")&amp;IF(V1639&lt;&gt;"","・データ送付待ち","")&amp;IF(W1639&lt;&gt;"","・削除","")</f>
        <v/>
      </c>
    </row>
    <row r="1640" ht="15" customHeight="1" s="87">
      <c r="AL1640" s="94">
        <f>IF(A1640="","",IF(COUNTIF(A1640:A$2001,A1640)=1,1,0))</f>
        <v/>
      </c>
      <c r="AM1640" s="94">
        <f>IF(I1640="","",TODAY()-I1640)</f>
        <v/>
      </c>
      <c r="AN1640" s="94">
        <f>IF(A1640="","",IF(AND(E1640&lt;&gt;"33 確認済",E1640&lt;&gt;"36 送付中"),1,0))</f>
        <v/>
      </c>
      <c r="AO1640" s="94">
        <f>IF(A1640="","",IF(AG1640&lt;&gt;"",1,0))</f>
        <v/>
      </c>
      <c r="AP1640" s="220">
        <f>IF(P1640&lt;&gt;"","・添待ち","")&amp;IF(Q1640&lt;&gt;"","・住民票","")&amp;IF(R1640&lt;&gt;"","・発信","")&amp;IF(S1640&lt;&gt;"","・確認事項","")&amp;IF(T1640&lt;&gt;"","・管","")&amp;IF(U1640&lt;&gt;"","・SV","")&amp;IF(V1640&lt;&gt;"","・データ送付待ち","")&amp;IF(W1640&lt;&gt;"","・削除","")</f>
        <v/>
      </c>
    </row>
    <row r="1641" ht="15" customHeight="1" s="87">
      <c r="AL1641" s="94">
        <f>IF(A1641="","",IF(COUNTIF(A1641:A$2001,A1641)=1,1,0))</f>
        <v/>
      </c>
      <c r="AM1641" s="94">
        <f>IF(I1641="","",TODAY()-I1641)</f>
        <v/>
      </c>
      <c r="AN1641" s="94">
        <f>IF(A1641="","",IF(AND(E1641&lt;&gt;"33 確認済",E1641&lt;&gt;"36 送付中"),1,0))</f>
        <v/>
      </c>
      <c r="AO1641" s="94">
        <f>IF(A1641="","",IF(AG1641&lt;&gt;"",1,0))</f>
        <v/>
      </c>
      <c r="AP1641" s="220">
        <f>IF(P1641&lt;&gt;"","・添待ち","")&amp;IF(Q1641&lt;&gt;"","・住民票","")&amp;IF(R1641&lt;&gt;"","・発信","")&amp;IF(S1641&lt;&gt;"","・確認事項","")&amp;IF(T1641&lt;&gt;"","・管","")&amp;IF(U1641&lt;&gt;"","・SV","")&amp;IF(V1641&lt;&gt;"","・データ送付待ち","")&amp;IF(W1641&lt;&gt;"","・削除","")</f>
        <v/>
      </c>
    </row>
    <row r="1642" ht="15" customHeight="1" s="87">
      <c r="AL1642" s="94">
        <f>IF(A1642="","",IF(COUNTIF(A1642:A$2001,A1642)=1,1,0))</f>
        <v/>
      </c>
      <c r="AM1642" s="94">
        <f>IF(I1642="","",TODAY()-I1642)</f>
        <v/>
      </c>
      <c r="AN1642" s="94">
        <f>IF(A1642="","",IF(AND(E1642&lt;&gt;"33 確認済",E1642&lt;&gt;"36 送付中"),1,0))</f>
        <v/>
      </c>
      <c r="AO1642" s="94">
        <f>IF(A1642="","",IF(AG1642&lt;&gt;"",1,0))</f>
        <v/>
      </c>
      <c r="AP1642" s="220">
        <f>IF(P1642&lt;&gt;"","・添待ち","")&amp;IF(Q1642&lt;&gt;"","・住民票","")&amp;IF(R1642&lt;&gt;"","・発信","")&amp;IF(S1642&lt;&gt;"","・確認事項","")&amp;IF(T1642&lt;&gt;"","・管","")&amp;IF(U1642&lt;&gt;"","・SV","")&amp;IF(V1642&lt;&gt;"","・データ送付待ち","")&amp;IF(W1642&lt;&gt;"","・削除","")</f>
        <v/>
      </c>
    </row>
    <row r="1643" ht="15" customHeight="1" s="87">
      <c r="AL1643" s="94">
        <f>IF(A1643="","",IF(COUNTIF(A1643:A$2001,A1643)=1,1,0))</f>
        <v/>
      </c>
      <c r="AM1643" s="94">
        <f>IF(I1643="","",TODAY()-I1643)</f>
        <v/>
      </c>
      <c r="AN1643" s="94">
        <f>IF(A1643="","",IF(AND(E1643&lt;&gt;"33 確認済",E1643&lt;&gt;"36 送付中"),1,0))</f>
        <v/>
      </c>
      <c r="AO1643" s="94">
        <f>IF(A1643="","",IF(AG1643&lt;&gt;"",1,0))</f>
        <v/>
      </c>
      <c r="AP1643" s="220">
        <f>IF(P1643&lt;&gt;"","・添待ち","")&amp;IF(Q1643&lt;&gt;"","・住民票","")&amp;IF(R1643&lt;&gt;"","・発信","")&amp;IF(S1643&lt;&gt;"","・確認事項","")&amp;IF(T1643&lt;&gt;"","・管","")&amp;IF(U1643&lt;&gt;"","・SV","")&amp;IF(V1643&lt;&gt;"","・データ送付待ち","")&amp;IF(W1643&lt;&gt;"","・削除","")</f>
        <v/>
      </c>
    </row>
    <row r="1644" ht="15" customHeight="1" s="87">
      <c r="AL1644" s="94">
        <f>IF(A1644="","",IF(COUNTIF(A1644:A$2001,A1644)=1,1,0))</f>
        <v/>
      </c>
      <c r="AM1644" s="94">
        <f>IF(I1644="","",TODAY()-I1644)</f>
        <v/>
      </c>
      <c r="AN1644" s="94">
        <f>IF(A1644="","",IF(AND(E1644&lt;&gt;"33 確認済",E1644&lt;&gt;"36 送付中"),1,0))</f>
        <v/>
      </c>
      <c r="AO1644" s="94">
        <f>IF(A1644="","",IF(AG1644&lt;&gt;"",1,0))</f>
        <v/>
      </c>
      <c r="AP1644" s="220">
        <f>IF(P1644&lt;&gt;"","・添待ち","")&amp;IF(Q1644&lt;&gt;"","・住民票","")&amp;IF(R1644&lt;&gt;"","・発信","")&amp;IF(S1644&lt;&gt;"","・確認事項","")&amp;IF(T1644&lt;&gt;"","・管","")&amp;IF(U1644&lt;&gt;"","・SV","")&amp;IF(V1644&lt;&gt;"","・データ送付待ち","")&amp;IF(W1644&lt;&gt;"","・削除","")</f>
        <v/>
      </c>
    </row>
    <row r="1645" ht="15" customHeight="1" s="87">
      <c r="AL1645" s="94">
        <f>IF(A1645="","",IF(COUNTIF(A1645:A$2001,A1645)=1,1,0))</f>
        <v/>
      </c>
      <c r="AM1645" s="94">
        <f>IF(I1645="","",TODAY()-I1645)</f>
        <v/>
      </c>
      <c r="AN1645" s="94">
        <f>IF(A1645="","",IF(AND(E1645&lt;&gt;"33 確認済",E1645&lt;&gt;"36 送付中"),1,0))</f>
        <v/>
      </c>
      <c r="AO1645" s="94">
        <f>IF(A1645="","",IF(AG1645&lt;&gt;"",1,0))</f>
        <v/>
      </c>
      <c r="AP1645" s="220">
        <f>IF(P1645&lt;&gt;"","・添待ち","")&amp;IF(Q1645&lt;&gt;"","・住民票","")&amp;IF(R1645&lt;&gt;"","・発信","")&amp;IF(S1645&lt;&gt;"","・確認事項","")&amp;IF(T1645&lt;&gt;"","・管","")&amp;IF(U1645&lt;&gt;"","・SV","")&amp;IF(V1645&lt;&gt;"","・データ送付待ち","")&amp;IF(W1645&lt;&gt;"","・削除","")</f>
        <v/>
      </c>
    </row>
    <row r="1646" ht="15" customHeight="1" s="87">
      <c r="AL1646" s="94">
        <f>IF(A1646="","",IF(COUNTIF(A1646:A$2001,A1646)=1,1,0))</f>
        <v/>
      </c>
      <c r="AM1646" s="94">
        <f>IF(I1646="","",TODAY()-I1646)</f>
        <v/>
      </c>
      <c r="AN1646" s="94">
        <f>IF(A1646="","",IF(AND(E1646&lt;&gt;"33 確認済",E1646&lt;&gt;"36 送付中"),1,0))</f>
        <v/>
      </c>
      <c r="AO1646" s="94">
        <f>IF(A1646="","",IF(AG1646&lt;&gt;"",1,0))</f>
        <v/>
      </c>
      <c r="AP1646" s="220">
        <f>IF(P1646&lt;&gt;"","・添待ち","")&amp;IF(Q1646&lt;&gt;"","・住民票","")&amp;IF(R1646&lt;&gt;"","・発信","")&amp;IF(S1646&lt;&gt;"","・確認事項","")&amp;IF(T1646&lt;&gt;"","・管","")&amp;IF(U1646&lt;&gt;"","・SV","")&amp;IF(V1646&lt;&gt;"","・データ送付待ち","")&amp;IF(W1646&lt;&gt;"","・削除","")</f>
        <v/>
      </c>
    </row>
    <row r="1647" ht="15" customHeight="1" s="87">
      <c r="AL1647" s="94">
        <f>IF(A1647="","",IF(COUNTIF(A1647:A$2001,A1647)=1,1,0))</f>
        <v/>
      </c>
      <c r="AM1647" s="94">
        <f>IF(I1647="","",TODAY()-I1647)</f>
        <v/>
      </c>
      <c r="AN1647" s="94">
        <f>IF(A1647="","",IF(AND(E1647&lt;&gt;"33 確認済",E1647&lt;&gt;"36 送付中"),1,0))</f>
        <v/>
      </c>
      <c r="AO1647" s="94">
        <f>IF(A1647="","",IF(AG1647&lt;&gt;"",1,0))</f>
        <v/>
      </c>
      <c r="AP1647" s="220">
        <f>IF(P1647&lt;&gt;"","・添待ち","")&amp;IF(Q1647&lt;&gt;"","・住民票","")&amp;IF(R1647&lt;&gt;"","・発信","")&amp;IF(S1647&lt;&gt;"","・確認事項","")&amp;IF(T1647&lt;&gt;"","・管","")&amp;IF(U1647&lt;&gt;"","・SV","")&amp;IF(V1647&lt;&gt;"","・データ送付待ち","")&amp;IF(W1647&lt;&gt;"","・削除","")</f>
        <v/>
      </c>
    </row>
    <row r="1648" ht="15" customHeight="1" s="87">
      <c r="AL1648" s="94">
        <f>IF(A1648="","",IF(COUNTIF(A1648:A$2001,A1648)=1,1,0))</f>
        <v/>
      </c>
      <c r="AM1648" s="94">
        <f>IF(I1648="","",TODAY()-I1648)</f>
        <v/>
      </c>
      <c r="AN1648" s="94">
        <f>IF(A1648="","",IF(AND(E1648&lt;&gt;"33 確認済",E1648&lt;&gt;"36 送付中"),1,0))</f>
        <v/>
      </c>
      <c r="AO1648" s="94">
        <f>IF(A1648="","",IF(AG1648&lt;&gt;"",1,0))</f>
        <v/>
      </c>
      <c r="AP1648" s="220">
        <f>IF(P1648&lt;&gt;"","・添待ち","")&amp;IF(Q1648&lt;&gt;"","・住民票","")&amp;IF(R1648&lt;&gt;"","・発信","")&amp;IF(S1648&lt;&gt;"","・確認事項","")&amp;IF(T1648&lt;&gt;"","・管","")&amp;IF(U1648&lt;&gt;"","・SV","")&amp;IF(V1648&lt;&gt;"","・データ送付待ち","")&amp;IF(W1648&lt;&gt;"","・削除","")</f>
        <v/>
      </c>
    </row>
    <row r="1649" ht="15" customHeight="1" s="87">
      <c r="AL1649" s="94">
        <f>IF(A1649="","",IF(COUNTIF(A1649:A$2001,A1649)=1,1,0))</f>
        <v/>
      </c>
      <c r="AM1649" s="94">
        <f>IF(I1649="","",TODAY()-I1649)</f>
        <v/>
      </c>
      <c r="AN1649" s="94">
        <f>IF(A1649="","",IF(AND(E1649&lt;&gt;"33 確認済",E1649&lt;&gt;"36 送付中"),1,0))</f>
        <v/>
      </c>
      <c r="AO1649" s="94">
        <f>IF(A1649="","",IF(AG1649&lt;&gt;"",1,0))</f>
        <v/>
      </c>
      <c r="AP1649" s="220">
        <f>IF(P1649&lt;&gt;"","・添待ち","")&amp;IF(Q1649&lt;&gt;"","・住民票","")&amp;IF(R1649&lt;&gt;"","・発信","")&amp;IF(S1649&lt;&gt;"","・確認事項","")&amp;IF(T1649&lt;&gt;"","・管","")&amp;IF(U1649&lt;&gt;"","・SV","")&amp;IF(V1649&lt;&gt;"","・データ送付待ち","")&amp;IF(W1649&lt;&gt;"","・削除","")</f>
        <v/>
      </c>
    </row>
    <row r="1650" ht="15" customHeight="1" s="87">
      <c r="AL1650" s="94">
        <f>IF(A1650="","",IF(COUNTIF(A1650:A$2001,A1650)=1,1,0))</f>
        <v/>
      </c>
      <c r="AM1650" s="94">
        <f>IF(I1650="","",TODAY()-I1650)</f>
        <v/>
      </c>
      <c r="AN1650" s="94">
        <f>IF(A1650="","",IF(AND(E1650&lt;&gt;"33 確認済",E1650&lt;&gt;"36 送付中"),1,0))</f>
        <v/>
      </c>
      <c r="AO1650" s="94">
        <f>IF(A1650="","",IF(AG1650&lt;&gt;"",1,0))</f>
        <v/>
      </c>
      <c r="AP1650" s="220">
        <f>IF(P1650&lt;&gt;"","・添待ち","")&amp;IF(Q1650&lt;&gt;"","・住民票","")&amp;IF(R1650&lt;&gt;"","・発信","")&amp;IF(S1650&lt;&gt;"","・確認事項","")&amp;IF(T1650&lt;&gt;"","・管","")&amp;IF(U1650&lt;&gt;"","・SV","")&amp;IF(V1650&lt;&gt;"","・データ送付待ち","")&amp;IF(W1650&lt;&gt;"","・削除","")</f>
        <v/>
      </c>
    </row>
    <row r="1651" ht="15" customHeight="1" s="87">
      <c r="AL1651" s="94">
        <f>IF(A1651="","",IF(COUNTIF(A1651:A$2001,A1651)=1,1,0))</f>
        <v/>
      </c>
      <c r="AM1651" s="94">
        <f>IF(I1651="","",TODAY()-I1651)</f>
        <v/>
      </c>
      <c r="AN1651" s="94">
        <f>IF(A1651="","",IF(AND(E1651&lt;&gt;"33 確認済",E1651&lt;&gt;"36 送付中"),1,0))</f>
        <v/>
      </c>
      <c r="AO1651" s="94">
        <f>IF(A1651="","",IF(AG1651&lt;&gt;"",1,0))</f>
        <v/>
      </c>
      <c r="AP1651" s="220">
        <f>IF(P1651&lt;&gt;"","・添待ち","")&amp;IF(Q1651&lt;&gt;"","・住民票","")&amp;IF(R1651&lt;&gt;"","・発信","")&amp;IF(S1651&lt;&gt;"","・確認事項","")&amp;IF(T1651&lt;&gt;"","・管","")&amp;IF(U1651&lt;&gt;"","・SV","")&amp;IF(V1651&lt;&gt;"","・データ送付待ち","")&amp;IF(W1651&lt;&gt;"","・削除","")</f>
        <v/>
      </c>
    </row>
    <row r="1652" ht="15" customHeight="1" s="87">
      <c r="AL1652" s="94">
        <f>IF(A1652="","",IF(COUNTIF(A1652:A$2001,A1652)=1,1,0))</f>
        <v/>
      </c>
      <c r="AM1652" s="94">
        <f>IF(I1652="","",TODAY()-I1652)</f>
        <v/>
      </c>
      <c r="AN1652" s="94">
        <f>IF(A1652="","",IF(AND(E1652&lt;&gt;"33 確認済",E1652&lt;&gt;"36 送付中"),1,0))</f>
        <v/>
      </c>
      <c r="AO1652" s="94">
        <f>IF(A1652="","",IF(AG1652&lt;&gt;"",1,0))</f>
        <v/>
      </c>
      <c r="AP1652" s="220">
        <f>IF(P1652&lt;&gt;"","・添待ち","")&amp;IF(Q1652&lt;&gt;"","・住民票","")&amp;IF(R1652&lt;&gt;"","・発信","")&amp;IF(S1652&lt;&gt;"","・確認事項","")&amp;IF(T1652&lt;&gt;"","・管","")&amp;IF(U1652&lt;&gt;"","・SV","")&amp;IF(V1652&lt;&gt;"","・データ送付待ち","")&amp;IF(W1652&lt;&gt;"","・削除","")</f>
        <v/>
      </c>
    </row>
    <row r="1653" ht="15" customHeight="1" s="87">
      <c r="AL1653" s="94">
        <f>IF(A1653="","",IF(COUNTIF(A1653:A$2001,A1653)=1,1,0))</f>
        <v/>
      </c>
      <c r="AM1653" s="94">
        <f>IF(I1653="","",TODAY()-I1653)</f>
        <v/>
      </c>
      <c r="AN1653" s="94">
        <f>IF(A1653="","",IF(AND(E1653&lt;&gt;"33 確認済",E1653&lt;&gt;"36 送付中"),1,0))</f>
        <v/>
      </c>
      <c r="AO1653" s="94">
        <f>IF(A1653="","",IF(AG1653&lt;&gt;"",1,0))</f>
        <v/>
      </c>
      <c r="AP1653" s="220">
        <f>IF(P1653&lt;&gt;"","・添待ち","")&amp;IF(Q1653&lt;&gt;"","・住民票","")&amp;IF(R1653&lt;&gt;"","・発信","")&amp;IF(S1653&lt;&gt;"","・確認事項","")&amp;IF(T1653&lt;&gt;"","・管","")&amp;IF(U1653&lt;&gt;"","・SV","")&amp;IF(V1653&lt;&gt;"","・データ送付待ち","")&amp;IF(W1653&lt;&gt;"","・削除","")</f>
        <v/>
      </c>
    </row>
    <row r="1654" ht="15" customHeight="1" s="87">
      <c r="AL1654" s="94">
        <f>IF(A1654="","",IF(COUNTIF(A1654:A$2001,A1654)=1,1,0))</f>
        <v/>
      </c>
      <c r="AM1654" s="94">
        <f>IF(I1654="","",TODAY()-I1654)</f>
        <v/>
      </c>
      <c r="AN1654" s="94">
        <f>IF(A1654="","",IF(AND(E1654&lt;&gt;"33 確認済",E1654&lt;&gt;"36 送付中"),1,0))</f>
        <v/>
      </c>
      <c r="AO1654" s="94">
        <f>IF(A1654="","",IF(AG1654&lt;&gt;"",1,0))</f>
        <v/>
      </c>
      <c r="AP1654" s="220">
        <f>IF(P1654&lt;&gt;"","・添待ち","")&amp;IF(Q1654&lt;&gt;"","・住民票","")&amp;IF(R1654&lt;&gt;"","・発信","")&amp;IF(S1654&lt;&gt;"","・確認事項","")&amp;IF(T1654&lt;&gt;"","・管","")&amp;IF(U1654&lt;&gt;"","・SV","")&amp;IF(V1654&lt;&gt;"","・データ送付待ち","")&amp;IF(W1654&lt;&gt;"","・削除","")</f>
        <v/>
      </c>
    </row>
    <row r="1655" ht="15" customHeight="1" s="87">
      <c r="AL1655" s="94">
        <f>IF(A1655="","",IF(COUNTIF(A1655:A$2001,A1655)=1,1,0))</f>
        <v/>
      </c>
      <c r="AM1655" s="94">
        <f>IF(I1655="","",TODAY()-I1655)</f>
        <v/>
      </c>
      <c r="AN1655" s="94">
        <f>IF(A1655="","",IF(AND(E1655&lt;&gt;"33 確認済",E1655&lt;&gt;"36 送付中"),1,0))</f>
        <v/>
      </c>
      <c r="AO1655" s="94">
        <f>IF(A1655="","",IF(AG1655&lt;&gt;"",1,0))</f>
        <v/>
      </c>
      <c r="AP1655" s="220">
        <f>IF(P1655&lt;&gt;"","・添待ち","")&amp;IF(Q1655&lt;&gt;"","・住民票","")&amp;IF(R1655&lt;&gt;"","・発信","")&amp;IF(S1655&lt;&gt;"","・確認事項","")&amp;IF(T1655&lt;&gt;"","・管","")&amp;IF(U1655&lt;&gt;"","・SV","")&amp;IF(V1655&lt;&gt;"","・データ送付待ち","")&amp;IF(W1655&lt;&gt;"","・削除","")</f>
        <v/>
      </c>
    </row>
    <row r="1656" ht="15" customHeight="1" s="87">
      <c r="AL1656" s="94">
        <f>IF(A1656="","",IF(COUNTIF(A1656:A$2001,A1656)=1,1,0))</f>
        <v/>
      </c>
      <c r="AM1656" s="94">
        <f>IF(I1656="","",TODAY()-I1656)</f>
        <v/>
      </c>
      <c r="AN1656" s="94">
        <f>IF(A1656="","",IF(AND(E1656&lt;&gt;"33 確認済",E1656&lt;&gt;"36 送付中"),1,0))</f>
        <v/>
      </c>
      <c r="AO1656" s="94">
        <f>IF(A1656="","",IF(AG1656&lt;&gt;"",1,0))</f>
        <v/>
      </c>
      <c r="AP1656" s="220">
        <f>IF(P1656&lt;&gt;"","・添待ち","")&amp;IF(Q1656&lt;&gt;"","・住民票","")&amp;IF(R1656&lt;&gt;"","・発信","")&amp;IF(S1656&lt;&gt;"","・確認事項","")&amp;IF(T1656&lt;&gt;"","・管","")&amp;IF(U1656&lt;&gt;"","・SV","")&amp;IF(V1656&lt;&gt;"","・データ送付待ち","")&amp;IF(W1656&lt;&gt;"","・削除","")</f>
        <v/>
      </c>
    </row>
    <row r="1657" ht="15" customHeight="1" s="87">
      <c r="AL1657" s="94">
        <f>IF(A1657="","",IF(COUNTIF(A1657:A$2001,A1657)=1,1,0))</f>
        <v/>
      </c>
      <c r="AM1657" s="94">
        <f>IF(I1657="","",TODAY()-I1657)</f>
        <v/>
      </c>
      <c r="AN1657" s="94">
        <f>IF(A1657="","",IF(AND(E1657&lt;&gt;"33 確認済",E1657&lt;&gt;"36 送付中"),1,0))</f>
        <v/>
      </c>
      <c r="AO1657" s="94">
        <f>IF(A1657="","",IF(AG1657&lt;&gt;"",1,0))</f>
        <v/>
      </c>
      <c r="AP1657" s="220">
        <f>IF(P1657&lt;&gt;"","・添待ち","")&amp;IF(Q1657&lt;&gt;"","・住民票","")&amp;IF(R1657&lt;&gt;"","・発信","")&amp;IF(S1657&lt;&gt;"","・確認事項","")&amp;IF(T1657&lt;&gt;"","・管","")&amp;IF(U1657&lt;&gt;"","・SV","")&amp;IF(V1657&lt;&gt;"","・データ送付待ち","")&amp;IF(W1657&lt;&gt;"","・削除","")</f>
        <v/>
      </c>
    </row>
    <row r="1658" ht="15" customHeight="1" s="87">
      <c r="AL1658" s="94">
        <f>IF(A1658="","",IF(COUNTIF(A1658:A$2001,A1658)=1,1,0))</f>
        <v/>
      </c>
      <c r="AM1658" s="94">
        <f>IF(I1658="","",TODAY()-I1658)</f>
        <v/>
      </c>
      <c r="AN1658" s="94">
        <f>IF(A1658="","",IF(AND(E1658&lt;&gt;"33 確認済",E1658&lt;&gt;"36 送付中"),1,0))</f>
        <v/>
      </c>
      <c r="AO1658" s="94">
        <f>IF(A1658="","",IF(AG1658&lt;&gt;"",1,0))</f>
        <v/>
      </c>
      <c r="AP1658" s="220">
        <f>IF(P1658&lt;&gt;"","・添待ち","")&amp;IF(Q1658&lt;&gt;"","・住民票","")&amp;IF(R1658&lt;&gt;"","・発信","")&amp;IF(S1658&lt;&gt;"","・確認事項","")&amp;IF(T1658&lt;&gt;"","・管","")&amp;IF(U1658&lt;&gt;"","・SV","")&amp;IF(V1658&lt;&gt;"","・データ送付待ち","")&amp;IF(W1658&lt;&gt;"","・削除","")</f>
        <v/>
      </c>
    </row>
    <row r="1659" ht="15" customHeight="1" s="87">
      <c r="AL1659" s="94">
        <f>IF(A1659="","",IF(COUNTIF(A1659:A$2001,A1659)=1,1,0))</f>
        <v/>
      </c>
      <c r="AM1659" s="94">
        <f>IF(I1659="","",TODAY()-I1659)</f>
        <v/>
      </c>
      <c r="AN1659" s="94">
        <f>IF(A1659="","",IF(AND(E1659&lt;&gt;"33 確認済",E1659&lt;&gt;"36 送付中"),1,0))</f>
        <v/>
      </c>
      <c r="AO1659" s="94">
        <f>IF(A1659="","",IF(AG1659&lt;&gt;"",1,0))</f>
        <v/>
      </c>
      <c r="AP1659" s="220">
        <f>IF(P1659&lt;&gt;"","・添待ち","")&amp;IF(Q1659&lt;&gt;"","・住民票","")&amp;IF(R1659&lt;&gt;"","・発信","")&amp;IF(S1659&lt;&gt;"","・確認事項","")&amp;IF(T1659&lt;&gt;"","・管","")&amp;IF(U1659&lt;&gt;"","・SV","")&amp;IF(V1659&lt;&gt;"","・データ送付待ち","")&amp;IF(W1659&lt;&gt;"","・削除","")</f>
        <v/>
      </c>
    </row>
    <row r="1660" ht="15" customHeight="1" s="87">
      <c r="AL1660" s="94">
        <f>IF(A1660="","",IF(COUNTIF(A1660:A$2001,A1660)=1,1,0))</f>
        <v/>
      </c>
      <c r="AM1660" s="94">
        <f>IF(I1660="","",TODAY()-I1660)</f>
        <v/>
      </c>
      <c r="AN1660" s="94">
        <f>IF(A1660="","",IF(AND(E1660&lt;&gt;"33 確認済",E1660&lt;&gt;"36 送付中"),1,0))</f>
        <v/>
      </c>
      <c r="AO1660" s="94">
        <f>IF(A1660="","",IF(AG1660&lt;&gt;"",1,0))</f>
        <v/>
      </c>
      <c r="AP1660" s="220">
        <f>IF(P1660&lt;&gt;"","・添待ち","")&amp;IF(Q1660&lt;&gt;"","・住民票","")&amp;IF(R1660&lt;&gt;"","・発信","")&amp;IF(S1660&lt;&gt;"","・確認事項","")&amp;IF(T1660&lt;&gt;"","・管","")&amp;IF(U1660&lt;&gt;"","・SV","")&amp;IF(V1660&lt;&gt;"","・データ送付待ち","")&amp;IF(W1660&lt;&gt;"","・削除","")</f>
        <v/>
      </c>
    </row>
    <row r="1661" ht="15" customHeight="1" s="87">
      <c r="AL1661" s="94">
        <f>IF(A1661="","",IF(COUNTIF(A1661:A$2001,A1661)=1,1,0))</f>
        <v/>
      </c>
      <c r="AM1661" s="94">
        <f>IF(I1661="","",TODAY()-I1661)</f>
        <v/>
      </c>
      <c r="AN1661" s="94">
        <f>IF(A1661="","",IF(AND(E1661&lt;&gt;"33 確認済",E1661&lt;&gt;"36 送付中"),1,0))</f>
        <v/>
      </c>
      <c r="AO1661" s="94">
        <f>IF(A1661="","",IF(AG1661&lt;&gt;"",1,0))</f>
        <v/>
      </c>
      <c r="AP1661" s="220">
        <f>IF(P1661&lt;&gt;"","・添待ち","")&amp;IF(Q1661&lt;&gt;"","・住民票","")&amp;IF(R1661&lt;&gt;"","・発信","")&amp;IF(S1661&lt;&gt;"","・確認事項","")&amp;IF(T1661&lt;&gt;"","・管","")&amp;IF(U1661&lt;&gt;"","・SV","")&amp;IF(V1661&lt;&gt;"","・データ送付待ち","")&amp;IF(W1661&lt;&gt;"","・削除","")</f>
        <v/>
      </c>
    </row>
    <row r="1662" ht="15" customHeight="1" s="87">
      <c r="AL1662" s="94">
        <f>IF(A1662="","",IF(COUNTIF(A1662:A$2001,A1662)=1,1,0))</f>
        <v/>
      </c>
      <c r="AM1662" s="94">
        <f>IF(I1662="","",TODAY()-I1662)</f>
        <v/>
      </c>
      <c r="AN1662" s="94">
        <f>IF(A1662="","",IF(AND(E1662&lt;&gt;"33 確認済",E1662&lt;&gt;"36 送付中"),1,0))</f>
        <v/>
      </c>
      <c r="AO1662" s="94">
        <f>IF(A1662="","",IF(AG1662&lt;&gt;"",1,0))</f>
        <v/>
      </c>
      <c r="AP1662" s="220">
        <f>IF(P1662&lt;&gt;"","・添待ち","")&amp;IF(Q1662&lt;&gt;"","・住民票","")&amp;IF(R1662&lt;&gt;"","・発信","")&amp;IF(S1662&lt;&gt;"","・確認事項","")&amp;IF(T1662&lt;&gt;"","・管","")&amp;IF(U1662&lt;&gt;"","・SV","")&amp;IF(V1662&lt;&gt;"","・データ送付待ち","")&amp;IF(W1662&lt;&gt;"","・削除","")</f>
        <v/>
      </c>
    </row>
    <row r="1663" ht="15" customHeight="1" s="87">
      <c r="AL1663" s="94">
        <f>IF(A1663="","",IF(COUNTIF(A1663:A$2001,A1663)=1,1,0))</f>
        <v/>
      </c>
      <c r="AM1663" s="94">
        <f>IF(I1663="","",TODAY()-I1663)</f>
        <v/>
      </c>
      <c r="AN1663" s="94">
        <f>IF(A1663="","",IF(AND(E1663&lt;&gt;"33 確認済",E1663&lt;&gt;"36 送付中"),1,0))</f>
        <v/>
      </c>
      <c r="AO1663" s="94">
        <f>IF(A1663="","",IF(AG1663&lt;&gt;"",1,0))</f>
        <v/>
      </c>
      <c r="AP1663" s="220">
        <f>IF(P1663&lt;&gt;"","・添待ち","")&amp;IF(Q1663&lt;&gt;"","・住民票","")&amp;IF(R1663&lt;&gt;"","・発信","")&amp;IF(S1663&lt;&gt;"","・確認事項","")&amp;IF(T1663&lt;&gt;"","・管","")&amp;IF(U1663&lt;&gt;"","・SV","")&amp;IF(V1663&lt;&gt;"","・データ送付待ち","")&amp;IF(W1663&lt;&gt;"","・削除","")</f>
        <v/>
      </c>
    </row>
    <row r="1664" ht="15" customHeight="1" s="87">
      <c r="AL1664" s="94">
        <f>IF(A1664="","",IF(COUNTIF(A1664:A$2001,A1664)=1,1,0))</f>
        <v/>
      </c>
      <c r="AM1664" s="94">
        <f>IF(I1664="","",TODAY()-I1664)</f>
        <v/>
      </c>
      <c r="AN1664" s="94">
        <f>IF(A1664="","",IF(AND(E1664&lt;&gt;"33 確認済",E1664&lt;&gt;"36 送付中"),1,0))</f>
        <v/>
      </c>
      <c r="AO1664" s="94">
        <f>IF(A1664="","",IF(AG1664&lt;&gt;"",1,0))</f>
        <v/>
      </c>
      <c r="AP1664" s="220">
        <f>IF(P1664&lt;&gt;"","・添待ち","")&amp;IF(Q1664&lt;&gt;"","・住民票","")&amp;IF(R1664&lt;&gt;"","・発信","")&amp;IF(S1664&lt;&gt;"","・確認事項","")&amp;IF(T1664&lt;&gt;"","・管","")&amp;IF(U1664&lt;&gt;"","・SV","")&amp;IF(V1664&lt;&gt;"","・データ送付待ち","")&amp;IF(W1664&lt;&gt;"","・削除","")</f>
        <v/>
      </c>
    </row>
    <row r="1665" ht="15" customHeight="1" s="87">
      <c r="AL1665" s="94">
        <f>IF(A1665="","",IF(COUNTIF(A1665:A$2001,A1665)=1,1,0))</f>
        <v/>
      </c>
      <c r="AM1665" s="94">
        <f>IF(I1665="","",TODAY()-I1665)</f>
        <v/>
      </c>
      <c r="AN1665" s="94">
        <f>IF(A1665="","",IF(AND(E1665&lt;&gt;"33 確認済",E1665&lt;&gt;"36 送付中"),1,0))</f>
        <v/>
      </c>
      <c r="AO1665" s="94">
        <f>IF(A1665="","",IF(AG1665&lt;&gt;"",1,0))</f>
        <v/>
      </c>
      <c r="AP1665" s="220">
        <f>IF(P1665&lt;&gt;"","・添待ち","")&amp;IF(Q1665&lt;&gt;"","・住民票","")&amp;IF(R1665&lt;&gt;"","・発信","")&amp;IF(S1665&lt;&gt;"","・確認事項","")&amp;IF(T1665&lt;&gt;"","・管","")&amp;IF(U1665&lt;&gt;"","・SV","")&amp;IF(V1665&lt;&gt;"","・データ送付待ち","")&amp;IF(W1665&lt;&gt;"","・削除","")</f>
        <v/>
      </c>
    </row>
    <row r="1666" ht="15" customHeight="1" s="87">
      <c r="AL1666" s="94">
        <f>IF(A1666="","",IF(COUNTIF(A1666:A$2001,A1666)=1,1,0))</f>
        <v/>
      </c>
      <c r="AM1666" s="94">
        <f>IF(I1666="","",TODAY()-I1666)</f>
        <v/>
      </c>
      <c r="AN1666" s="94">
        <f>IF(A1666="","",IF(AND(E1666&lt;&gt;"33 確認済",E1666&lt;&gt;"36 送付中"),1,0))</f>
        <v/>
      </c>
      <c r="AO1666" s="94">
        <f>IF(A1666="","",IF(AG1666&lt;&gt;"",1,0))</f>
        <v/>
      </c>
      <c r="AP1666" s="220">
        <f>IF(P1666&lt;&gt;"","・添待ち","")&amp;IF(Q1666&lt;&gt;"","・住民票","")&amp;IF(R1666&lt;&gt;"","・発信","")&amp;IF(S1666&lt;&gt;"","・確認事項","")&amp;IF(T1666&lt;&gt;"","・管","")&amp;IF(U1666&lt;&gt;"","・SV","")&amp;IF(V1666&lt;&gt;"","・データ送付待ち","")&amp;IF(W1666&lt;&gt;"","・削除","")</f>
        <v/>
      </c>
    </row>
    <row r="1667" ht="15" customHeight="1" s="87">
      <c r="AL1667" s="94">
        <f>IF(A1667="","",IF(COUNTIF(A1667:A$2001,A1667)=1,1,0))</f>
        <v/>
      </c>
      <c r="AM1667" s="94">
        <f>IF(I1667="","",TODAY()-I1667)</f>
        <v/>
      </c>
      <c r="AN1667" s="94">
        <f>IF(A1667="","",IF(AND(E1667&lt;&gt;"33 確認済",E1667&lt;&gt;"36 送付中"),1,0))</f>
        <v/>
      </c>
      <c r="AO1667" s="94">
        <f>IF(A1667="","",IF(AG1667&lt;&gt;"",1,0))</f>
        <v/>
      </c>
      <c r="AP1667" s="220">
        <f>IF(P1667&lt;&gt;"","・添待ち","")&amp;IF(Q1667&lt;&gt;"","・住民票","")&amp;IF(R1667&lt;&gt;"","・発信","")&amp;IF(S1667&lt;&gt;"","・確認事項","")&amp;IF(T1667&lt;&gt;"","・管","")&amp;IF(U1667&lt;&gt;"","・SV","")&amp;IF(V1667&lt;&gt;"","・データ送付待ち","")&amp;IF(W1667&lt;&gt;"","・削除","")</f>
        <v/>
      </c>
    </row>
    <row r="1668" ht="15" customHeight="1" s="87">
      <c r="AL1668" s="94">
        <f>IF(A1668="","",IF(COUNTIF(A1668:A$2001,A1668)=1,1,0))</f>
        <v/>
      </c>
      <c r="AM1668" s="94">
        <f>IF(I1668="","",TODAY()-I1668)</f>
        <v/>
      </c>
      <c r="AN1668" s="94">
        <f>IF(A1668="","",IF(AND(E1668&lt;&gt;"33 確認済",E1668&lt;&gt;"36 送付中"),1,0))</f>
        <v/>
      </c>
      <c r="AO1668" s="94">
        <f>IF(A1668="","",IF(AG1668&lt;&gt;"",1,0))</f>
        <v/>
      </c>
      <c r="AP1668" s="220">
        <f>IF(P1668&lt;&gt;"","・添待ち","")&amp;IF(Q1668&lt;&gt;"","・住民票","")&amp;IF(R1668&lt;&gt;"","・発信","")&amp;IF(S1668&lt;&gt;"","・確認事項","")&amp;IF(T1668&lt;&gt;"","・管","")&amp;IF(U1668&lt;&gt;"","・SV","")&amp;IF(V1668&lt;&gt;"","・データ送付待ち","")&amp;IF(W1668&lt;&gt;"","・削除","")</f>
        <v/>
      </c>
    </row>
    <row r="1669" ht="15" customHeight="1" s="87">
      <c r="AL1669" s="94">
        <f>IF(A1669="","",IF(COUNTIF(A1669:A$2001,A1669)=1,1,0))</f>
        <v/>
      </c>
      <c r="AM1669" s="94">
        <f>IF(I1669="","",TODAY()-I1669)</f>
        <v/>
      </c>
      <c r="AN1669" s="94">
        <f>IF(A1669="","",IF(AND(E1669&lt;&gt;"33 確認済",E1669&lt;&gt;"36 送付中"),1,0))</f>
        <v/>
      </c>
      <c r="AO1669" s="94">
        <f>IF(A1669="","",IF(AG1669&lt;&gt;"",1,0))</f>
        <v/>
      </c>
      <c r="AP1669" s="220">
        <f>IF(P1669&lt;&gt;"","・添待ち","")&amp;IF(Q1669&lt;&gt;"","・住民票","")&amp;IF(R1669&lt;&gt;"","・発信","")&amp;IF(S1669&lt;&gt;"","・確認事項","")&amp;IF(T1669&lt;&gt;"","・管","")&amp;IF(U1669&lt;&gt;"","・SV","")&amp;IF(V1669&lt;&gt;"","・データ送付待ち","")&amp;IF(W1669&lt;&gt;"","・削除","")</f>
        <v/>
      </c>
    </row>
    <row r="1670" ht="15" customHeight="1" s="87">
      <c r="AL1670" s="94">
        <f>IF(A1670="","",IF(COUNTIF(A1670:A$2001,A1670)=1,1,0))</f>
        <v/>
      </c>
      <c r="AM1670" s="94">
        <f>IF(I1670="","",TODAY()-I1670)</f>
        <v/>
      </c>
      <c r="AN1670" s="94">
        <f>IF(A1670="","",IF(AND(E1670&lt;&gt;"33 確認済",E1670&lt;&gt;"36 送付中"),1,0))</f>
        <v/>
      </c>
      <c r="AO1670" s="94">
        <f>IF(A1670="","",IF(AG1670&lt;&gt;"",1,0))</f>
        <v/>
      </c>
      <c r="AP1670" s="220">
        <f>IF(P1670&lt;&gt;"","・添待ち","")&amp;IF(Q1670&lt;&gt;"","・住民票","")&amp;IF(R1670&lt;&gt;"","・発信","")&amp;IF(S1670&lt;&gt;"","・確認事項","")&amp;IF(T1670&lt;&gt;"","・管","")&amp;IF(U1670&lt;&gt;"","・SV","")&amp;IF(V1670&lt;&gt;"","・データ送付待ち","")&amp;IF(W1670&lt;&gt;"","・削除","")</f>
        <v/>
      </c>
    </row>
    <row r="1671" ht="15" customHeight="1" s="87">
      <c r="AL1671" s="94">
        <f>IF(A1671="","",IF(COUNTIF(A1671:A$2001,A1671)=1,1,0))</f>
        <v/>
      </c>
      <c r="AM1671" s="94">
        <f>IF(I1671="","",TODAY()-I1671)</f>
        <v/>
      </c>
      <c r="AN1671" s="94">
        <f>IF(A1671="","",IF(AND(E1671&lt;&gt;"33 確認済",E1671&lt;&gt;"36 送付中"),1,0))</f>
        <v/>
      </c>
      <c r="AO1671" s="94">
        <f>IF(A1671="","",IF(AG1671&lt;&gt;"",1,0))</f>
        <v/>
      </c>
      <c r="AP1671" s="220">
        <f>IF(P1671&lt;&gt;"","・添待ち","")&amp;IF(Q1671&lt;&gt;"","・住民票","")&amp;IF(R1671&lt;&gt;"","・発信","")&amp;IF(S1671&lt;&gt;"","・確認事項","")&amp;IF(T1671&lt;&gt;"","・管","")&amp;IF(U1671&lt;&gt;"","・SV","")&amp;IF(V1671&lt;&gt;"","・データ送付待ち","")&amp;IF(W1671&lt;&gt;"","・削除","")</f>
        <v/>
      </c>
    </row>
    <row r="1672" ht="15" customHeight="1" s="87">
      <c r="AL1672" s="94">
        <f>IF(A1672="","",IF(COUNTIF(A1672:A$2001,A1672)=1,1,0))</f>
        <v/>
      </c>
      <c r="AM1672" s="94">
        <f>IF(I1672="","",TODAY()-I1672)</f>
        <v/>
      </c>
      <c r="AN1672" s="94">
        <f>IF(A1672="","",IF(AND(E1672&lt;&gt;"33 確認済",E1672&lt;&gt;"36 送付中"),1,0))</f>
        <v/>
      </c>
      <c r="AO1672" s="94">
        <f>IF(A1672="","",IF(AG1672&lt;&gt;"",1,0))</f>
        <v/>
      </c>
      <c r="AP1672" s="220">
        <f>IF(P1672&lt;&gt;"","・添待ち","")&amp;IF(Q1672&lt;&gt;"","・住民票","")&amp;IF(R1672&lt;&gt;"","・発信","")&amp;IF(S1672&lt;&gt;"","・確認事項","")&amp;IF(T1672&lt;&gt;"","・管","")&amp;IF(U1672&lt;&gt;"","・SV","")&amp;IF(V1672&lt;&gt;"","・データ送付待ち","")&amp;IF(W1672&lt;&gt;"","・削除","")</f>
        <v/>
      </c>
    </row>
    <row r="1673" ht="15" customHeight="1" s="87">
      <c r="AL1673" s="94">
        <f>IF(A1673="","",IF(COUNTIF(A1673:A$2001,A1673)=1,1,0))</f>
        <v/>
      </c>
      <c r="AM1673" s="94">
        <f>IF(I1673="","",TODAY()-I1673)</f>
        <v/>
      </c>
      <c r="AN1673" s="94">
        <f>IF(A1673="","",IF(AND(E1673&lt;&gt;"33 確認済",E1673&lt;&gt;"36 送付中"),1,0))</f>
        <v/>
      </c>
      <c r="AO1673" s="94">
        <f>IF(A1673="","",IF(AG1673&lt;&gt;"",1,0))</f>
        <v/>
      </c>
      <c r="AP1673" s="220">
        <f>IF(P1673&lt;&gt;"","・添待ち","")&amp;IF(Q1673&lt;&gt;"","・住民票","")&amp;IF(R1673&lt;&gt;"","・発信","")&amp;IF(S1673&lt;&gt;"","・確認事項","")&amp;IF(T1673&lt;&gt;"","・管","")&amp;IF(U1673&lt;&gt;"","・SV","")&amp;IF(V1673&lt;&gt;"","・データ送付待ち","")&amp;IF(W1673&lt;&gt;"","・削除","")</f>
        <v/>
      </c>
    </row>
    <row r="1674" ht="15" customHeight="1" s="87">
      <c r="AL1674" s="94">
        <f>IF(A1674="","",IF(COUNTIF(A1674:A$2001,A1674)=1,1,0))</f>
        <v/>
      </c>
      <c r="AM1674" s="94">
        <f>IF(I1674="","",TODAY()-I1674)</f>
        <v/>
      </c>
      <c r="AN1674" s="94">
        <f>IF(A1674="","",IF(AND(E1674&lt;&gt;"33 確認済",E1674&lt;&gt;"36 送付中"),1,0))</f>
        <v/>
      </c>
      <c r="AO1674" s="94">
        <f>IF(A1674="","",IF(AG1674&lt;&gt;"",1,0))</f>
        <v/>
      </c>
      <c r="AP1674" s="220">
        <f>IF(P1674&lt;&gt;"","・添待ち","")&amp;IF(Q1674&lt;&gt;"","・住民票","")&amp;IF(R1674&lt;&gt;"","・発信","")&amp;IF(S1674&lt;&gt;"","・確認事項","")&amp;IF(T1674&lt;&gt;"","・管","")&amp;IF(U1674&lt;&gt;"","・SV","")&amp;IF(V1674&lt;&gt;"","・データ送付待ち","")&amp;IF(W1674&lt;&gt;"","・削除","")</f>
        <v/>
      </c>
    </row>
    <row r="1675" ht="15" customHeight="1" s="87">
      <c r="AL1675" s="94">
        <f>IF(A1675="","",IF(COUNTIF(A1675:A$2001,A1675)=1,1,0))</f>
        <v/>
      </c>
      <c r="AM1675" s="94">
        <f>IF(I1675="","",TODAY()-I1675)</f>
        <v/>
      </c>
      <c r="AN1675" s="94">
        <f>IF(A1675="","",IF(AND(E1675&lt;&gt;"33 確認済",E1675&lt;&gt;"36 送付中"),1,0))</f>
        <v/>
      </c>
      <c r="AO1675" s="94">
        <f>IF(A1675="","",IF(AG1675&lt;&gt;"",1,0))</f>
        <v/>
      </c>
      <c r="AP1675" s="220">
        <f>IF(P1675&lt;&gt;"","・添待ち","")&amp;IF(Q1675&lt;&gt;"","・住民票","")&amp;IF(R1675&lt;&gt;"","・発信","")&amp;IF(S1675&lt;&gt;"","・確認事項","")&amp;IF(T1675&lt;&gt;"","・管","")&amp;IF(U1675&lt;&gt;"","・SV","")&amp;IF(V1675&lt;&gt;"","・データ送付待ち","")&amp;IF(W1675&lt;&gt;"","・削除","")</f>
        <v/>
      </c>
    </row>
    <row r="1676" ht="15" customHeight="1" s="87">
      <c r="AL1676" s="94">
        <f>IF(A1676="","",IF(COUNTIF(A1676:A$2001,A1676)=1,1,0))</f>
        <v/>
      </c>
      <c r="AM1676" s="94">
        <f>IF(I1676="","",TODAY()-I1676)</f>
        <v/>
      </c>
      <c r="AN1676" s="94">
        <f>IF(A1676="","",IF(AND(E1676&lt;&gt;"33 確認済",E1676&lt;&gt;"36 送付中"),1,0))</f>
        <v/>
      </c>
      <c r="AO1676" s="94">
        <f>IF(A1676="","",IF(AG1676&lt;&gt;"",1,0))</f>
        <v/>
      </c>
      <c r="AP1676" s="220">
        <f>IF(P1676&lt;&gt;"","・添待ち","")&amp;IF(Q1676&lt;&gt;"","・住民票","")&amp;IF(R1676&lt;&gt;"","・発信","")&amp;IF(S1676&lt;&gt;"","・確認事項","")&amp;IF(T1676&lt;&gt;"","・管","")&amp;IF(U1676&lt;&gt;"","・SV","")&amp;IF(V1676&lt;&gt;"","・データ送付待ち","")&amp;IF(W1676&lt;&gt;"","・削除","")</f>
        <v/>
      </c>
    </row>
    <row r="1677" ht="15" customHeight="1" s="87">
      <c r="AL1677" s="94">
        <f>IF(A1677="","",IF(COUNTIF(A1677:A$2001,A1677)=1,1,0))</f>
        <v/>
      </c>
      <c r="AM1677" s="94">
        <f>IF(I1677="","",TODAY()-I1677)</f>
        <v/>
      </c>
      <c r="AN1677" s="94">
        <f>IF(A1677="","",IF(AND(E1677&lt;&gt;"33 確認済",E1677&lt;&gt;"36 送付中"),1,0))</f>
        <v/>
      </c>
      <c r="AO1677" s="94">
        <f>IF(A1677="","",IF(AG1677&lt;&gt;"",1,0))</f>
        <v/>
      </c>
      <c r="AP1677" s="220">
        <f>IF(P1677&lt;&gt;"","・添待ち","")&amp;IF(Q1677&lt;&gt;"","・住民票","")&amp;IF(R1677&lt;&gt;"","・発信","")&amp;IF(S1677&lt;&gt;"","・確認事項","")&amp;IF(T1677&lt;&gt;"","・管","")&amp;IF(U1677&lt;&gt;"","・SV","")&amp;IF(V1677&lt;&gt;"","・データ送付待ち","")&amp;IF(W1677&lt;&gt;"","・削除","")</f>
        <v/>
      </c>
    </row>
    <row r="1678" ht="15" customHeight="1" s="87">
      <c r="AL1678" s="94">
        <f>IF(A1678="","",IF(COUNTIF(A1678:A$2001,A1678)=1,1,0))</f>
        <v/>
      </c>
      <c r="AM1678" s="94">
        <f>IF(I1678="","",TODAY()-I1678)</f>
        <v/>
      </c>
      <c r="AN1678" s="94">
        <f>IF(A1678="","",IF(AND(E1678&lt;&gt;"33 確認済",E1678&lt;&gt;"36 送付中"),1,0))</f>
        <v/>
      </c>
      <c r="AO1678" s="94">
        <f>IF(A1678="","",IF(AG1678&lt;&gt;"",1,0))</f>
        <v/>
      </c>
      <c r="AP1678" s="220">
        <f>IF(P1678&lt;&gt;"","・添待ち","")&amp;IF(Q1678&lt;&gt;"","・住民票","")&amp;IF(R1678&lt;&gt;"","・発信","")&amp;IF(S1678&lt;&gt;"","・確認事項","")&amp;IF(T1678&lt;&gt;"","・管","")&amp;IF(U1678&lt;&gt;"","・SV","")&amp;IF(V1678&lt;&gt;"","・データ送付待ち","")&amp;IF(W1678&lt;&gt;"","・削除","")</f>
        <v/>
      </c>
    </row>
    <row r="1679" ht="15" customHeight="1" s="87">
      <c r="AL1679" s="94">
        <f>IF(A1679="","",IF(COUNTIF(A1679:A$2001,A1679)=1,1,0))</f>
        <v/>
      </c>
      <c r="AM1679" s="94">
        <f>IF(I1679="","",TODAY()-I1679)</f>
        <v/>
      </c>
      <c r="AN1679" s="94">
        <f>IF(A1679="","",IF(AND(E1679&lt;&gt;"33 確認済",E1679&lt;&gt;"36 送付中"),1,0))</f>
        <v/>
      </c>
      <c r="AO1679" s="94">
        <f>IF(A1679="","",IF(AG1679&lt;&gt;"",1,0))</f>
        <v/>
      </c>
      <c r="AP1679" s="220">
        <f>IF(P1679&lt;&gt;"","・添待ち","")&amp;IF(Q1679&lt;&gt;"","・住民票","")&amp;IF(R1679&lt;&gt;"","・発信","")&amp;IF(S1679&lt;&gt;"","・確認事項","")&amp;IF(T1679&lt;&gt;"","・管","")&amp;IF(U1679&lt;&gt;"","・SV","")&amp;IF(V1679&lt;&gt;"","・データ送付待ち","")&amp;IF(W1679&lt;&gt;"","・削除","")</f>
        <v/>
      </c>
    </row>
    <row r="1680" ht="15" customHeight="1" s="87">
      <c r="AL1680" s="94">
        <f>IF(A1680="","",IF(COUNTIF(A1680:A$2001,A1680)=1,1,0))</f>
        <v/>
      </c>
      <c r="AM1680" s="94">
        <f>IF(I1680="","",TODAY()-I1680)</f>
        <v/>
      </c>
      <c r="AN1680" s="94">
        <f>IF(A1680="","",IF(AND(E1680&lt;&gt;"33 確認済",E1680&lt;&gt;"36 送付中"),1,0))</f>
        <v/>
      </c>
      <c r="AO1680" s="94">
        <f>IF(A1680="","",IF(AG1680&lt;&gt;"",1,0))</f>
        <v/>
      </c>
      <c r="AP1680" s="220">
        <f>IF(P1680&lt;&gt;"","・添待ち","")&amp;IF(Q1680&lt;&gt;"","・住民票","")&amp;IF(R1680&lt;&gt;"","・発信","")&amp;IF(S1680&lt;&gt;"","・確認事項","")&amp;IF(T1680&lt;&gt;"","・管","")&amp;IF(U1680&lt;&gt;"","・SV","")&amp;IF(V1680&lt;&gt;"","・データ送付待ち","")&amp;IF(W1680&lt;&gt;"","・削除","")</f>
        <v/>
      </c>
    </row>
    <row r="1681" ht="15" customHeight="1" s="87">
      <c r="AL1681" s="94">
        <f>IF(A1681="","",IF(COUNTIF(A1681:A$2001,A1681)=1,1,0))</f>
        <v/>
      </c>
      <c r="AM1681" s="94">
        <f>IF(I1681="","",TODAY()-I1681)</f>
        <v/>
      </c>
      <c r="AN1681" s="94">
        <f>IF(A1681="","",IF(AND(E1681&lt;&gt;"33 確認済",E1681&lt;&gt;"36 送付中"),1,0))</f>
        <v/>
      </c>
      <c r="AO1681" s="94">
        <f>IF(A1681="","",IF(AG1681&lt;&gt;"",1,0))</f>
        <v/>
      </c>
      <c r="AP1681" s="220">
        <f>IF(P1681&lt;&gt;"","・添待ち","")&amp;IF(Q1681&lt;&gt;"","・住民票","")&amp;IF(R1681&lt;&gt;"","・発信","")&amp;IF(S1681&lt;&gt;"","・確認事項","")&amp;IF(T1681&lt;&gt;"","・管","")&amp;IF(U1681&lt;&gt;"","・SV","")&amp;IF(V1681&lt;&gt;"","・データ送付待ち","")&amp;IF(W1681&lt;&gt;"","・削除","")</f>
        <v/>
      </c>
    </row>
    <row r="1682" ht="15" customHeight="1" s="87">
      <c r="AL1682" s="94">
        <f>IF(A1682="","",IF(COUNTIF(A1682:A$2001,A1682)=1,1,0))</f>
        <v/>
      </c>
      <c r="AM1682" s="94">
        <f>IF(I1682="","",TODAY()-I1682)</f>
        <v/>
      </c>
      <c r="AN1682" s="94">
        <f>IF(A1682="","",IF(AND(E1682&lt;&gt;"33 確認済",E1682&lt;&gt;"36 送付中"),1,0))</f>
        <v/>
      </c>
      <c r="AO1682" s="94">
        <f>IF(A1682="","",IF(AG1682&lt;&gt;"",1,0))</f>
        <v/>
      </c>
      <c r="AP1682" s="220">
        <f>IF(P1682&lt;&gt;"","・添待ち","")&amp;IF(Q1682&lt;&gt;"","・住民票","")&amp;IF(R1682&lt;&gt;"","・発信","")&amp;IF(S1682&lt;&gt;"","・確認事項","")&amp;IF(T1682&lt;&gt;"","・管","")&amp;IF(U1682&lt;&gt;"","・SV","")&amp;IF(V1682&lt;&gt;"","・データ送付待ち","")&amp;IF(W1682&lt;&gt;"","・削除","")</f>
        <v/>
      </c>
    </row>
    <row r="1683" ht="15" customHeight="1" s="87">
      <c r="AL1683" s="94">
        <f>IF(A1683="","",IF(COUNTIF(A1683:A$2001,A1683)=1,1,0))</f>
        <v/>
      </c>
      <c r="AM1683" s="94">
        <f>IF(I1683="","",TODAY()-I1683)</f>
        <v/>
      </c>
      <c r="AN1683" s="94">
        <f>IF(A1683="","",IF(AND(E1683&lt;&gt;"33 確認済",E1683&lt;&gt;"36 送付中"),1,0))</f>
        <v/>
      </c>
      <c r="AO1683" s="94">
        <f>IF(A1683="","",IF(AG1683&lt;&gt;"",1,0))</f>
        <v/>
      </c>
      <c r="AP1683" s="220">
        <f>IF(P1683&lt;&gt;"","・添待ち","")&amp;IF(Q1683&lt;&gt;"","・住民票","")&amp;IF(R1683&lt;&gt;"","・発信","")&amp;IF(S1683&lt;&gt;"","・確認事項","")&amp;IF(T1683&lt;&gt;"","・管","")&amp;IF(U1683&lt;&gt;"","・SV","")&amp;IF(V1683&lt;&gt;"","・データ送付待ち","")&amp;IF(W1683&lt;&gt;"","・削除","")</f>
        <v/>
      </c>
    </row>
    <row r="1684" ht="15" customHeight="1" s="87">
      <c r="AL1684" s="94">
        <f>IF(A1684="","",IF(COUNTIF(A1684:A$2001,A1684)=1,1,0))</f>
        <v/>
      </c>
      <c r="AM1684" s="94">
        <f>IF(I1684="","",TODAY()-I1684)</f>
        <v/>
      </c>
      <c r="AN1684" s="94">
        <f>IF(A1684="","",IF(AND(E1684&lt;&gt;"33 確認済",E1684&lt;&gt;"36 送付中"),1,0))</f>
        <v/>
      </c>
      <c r="AO1684" s="94">
        <f>IF(A1684="","",IF(AG1684&lt;&gt;"",1,0))</f>
        <v/>
      </c>
      <c r="AP1684" s="220">
        <f>IF(P1684&lt;&gt;"","・添待ち","")&amp;IF(Q1684&lt;&gt;"","・住民票","")&amp;IF(R1684&lt;&gt;"","・発信","")&amp;IF(S1684&lt;&gt;"","・確認事項","")&amp;IF(T1684&lt;&gt;"","・管","")&amp;IF(U1684&lt;&gt;"","・SV","")&amp;IF(V1684&lt;&gt;"","・データ送付待ち","")&amp;IF(W1684&lt;&gt;"","・削除","")</f>
        <v/>
      </c>
    </row>
    <row r="1685" ht="15" customHeight="1" s="87">
      <c r="AL1685" s="94">
        <f>IF(A1685="","",IF(COUNTIF(A1685:A$2001,A1685)=1,1,0))</f>
        <v/>
      </c>
      <c r="AM1685" s="94">
        <f>IF(I1685="","",TODAY()-I1685)</f>
        <v/>
      </c>
      <c r="AN1685" s="94">
        <f>IF(A1685="","",IF(AND(E1685&lt;&gt;"33 確認済",E1685&lt;&gt;"36 送付中"),1,0))</f>
        <v/>
      </c>
      <c r="AO1685" s="94">
        <f>IF(A1685="","",IF(AG1685&lt;&gt;"",1,0))</f>
        <v/>
      </c>
      <c r="AP1685" s="220">
        <f>IF(P1685&lt;&gt;"","・添待ち","")&amp;IF(Q1685&lt;&gt;"","・住民票","")&amp;IF(R1685&lt;&gt;"","・発信","")&amp;IF(S1685&lt;&gt;"","・確認事項","")&amp;IF(T1685&lt;&gt;"","・管","")&amp;IF(U1685&lt;&gt;"","・SV","")&amp;IF(V1685&lt;&gt;"","・データ送付待ち","")&amp;IF(W1685&lt;&gt;"","・削除","")</f>
        <v/>
      </c>
    </row>
    <row r="1686" ht="15" customHeight="1" s="87">
      <c r="AL1686" s="94">
        <f>IF(A1686="","",IF(COUNTIF(A1686:A$2001,A1686)=1,1,0))</f>
        <v/>
      </c>
      <c r="AM1686" s="94">
        <f>IF(I1686="","",TODAY()-I1686)</f>
        <v/>
      </c>
      <c r="AN1686" s="94">
        <f>IF(A1686="","",IF(AND(E1686&lt;&gt;"33 確認済",E1686&lt;&gt;"36 送付中"),1,0))</f>
        <v/>
      </c>
      <c r="AO1686" s="94">
        <f>IF(A1686="","",IF(AG1686&lt;&gt;"",1,0))</f>
        <v/>
      </c>
      <c r="AP1686" s="220">
        <f>IF(P1686&lt;&gt;"","・添待ち","")&amp;IF(Q1686&lt;&gt;"","・住民票","")&amp;IF(R1686&lt;&gt;"","・発信","")&amp;IF(S1686&lt;&gt;"","・確認事項","")&amp;IF(T1686&lt;&gt;"","・管","")&amp;IF(U1686&lt;&gt;"","・SV","")&amp;IF(V1686&lt;&gt;"","・データ送付待ち","")&amp;IF(W1686&lt;&gt;"","・削除","")</f>
        <v/>
      </c>
    </row>
    <row r="1687" ht="15" customHeight="1" s="87">
      <c r="AL1687" s="94">
        <f>IF(A1687="","",IF(COUNTIF(A1687:A$2001,A1687)=1,1,0))</f>
        <v/>
      </c>
      <c r="AM1687" s="94">
        <f>IF(I1687="","",TODAY()-I1687)</f>
        <v/>
      </c>
      <c r="AN1687" s="94">
        <f>IF(A1687="","",IF(AND(E1687&lt;&gt;"33 確認済",E1687&lt;&gt;"36 送付中"),1,0))</f>
        <v/>
      </c>
      <c r="AO1687" s="94">
        <f>IF(A1687="","",IF(AG1687&lt;&gt;"",1,0))</f>
        <v/>
      </c>
      <c r="AP1687" s="220">
        <f>IF(P1687&lt;&gt;"","・添待ち","")&amp;IF(Q1687&lt;&gt;"","・住民票","")&amp;IF(R1687&lt;&gt;"","・発信","")&amp;IF(S1687&lt;&gt;"","・確認事項","")&amp;IF(T1687&lt;&gt;"","・管","")&amp;IF(U1687&lt;&gt;"","・SV","")&amp;IF(V1687&lt;&gt;"","・データ送付待ち","")&amp;IF(W1687&lt;&gt;"","・削除","")</f>
        <v/>
      </c>
    </row>
    <row r="1688" ht="15" customHeight="1" s="87">
      <c r="AL1688" s="94">
        <f>IF(A1688="","",IF(COUNTIF(A1688:A$2001,A1688)=1,1,0))</f>
        <v/>
      </c>
      <c r="AM1688" s="94">
        <f>IF(I1688="","",TODAY()-I1688)</f>
        <v/>
      </c>
      <c r="AN1688" s="94">
        <f>IF(A1688="","",IF(AND(E1688&lt;&gt;"33 確認済",E1688&lt;&gt;"36 送付中"),1,0))</f>
        <v/>
      </c>
      <c r="AO1688" s="94">
        <f>IF(A1688="","",IF(AG1688&lt;&gt;"",1,0))</f>
        <v/>
      </c>
      <c r="AP1688" s="220">
        <f>IF(P1688&lt;&gt;"","・添待ち","")&amp;IF(Q1688&lt;&gt;"","・住民票","")&amp;IF(R1688&lt;&gt;"","・発信","")&amp;IF(S1688&lt;&gt;"","・確認事項","")&amp;IF(T1688&lt;&gt;"","・管","")&amp;IF(U1688&lt;&gt;"","・SV","")&amp;IF(V1688&lt;&gt;"","・データ送付待ち","")&amp;IF(W1688&lt;&gt;"","・削除","")</f>
        <v/>
      </c>
    </row>
    <row r="1689" ht="15" customHeight="1" s="87">
      <c r="AL1689" s="94">
        <f>IF(A1689="","",IF(COUNTIF(A1689:A$2001,A1689)=1,1,0))</f>
        <v/>
      </c>
      <c r="AM1689" s="94">
        <f>IF(I1689="","",TODAY()-I1689)</f>
        <v/>
      </c>
      <c r="AN1689" s="94">
        <f>IF(A1689="","",IF(AND(E1689&lt;&gt;"33 確認済",E1689&lt;&gt;"36 送付中"),1,0))</f>
        <v/>
      </c>
      <c r="AO1689" s="94">
        <f>IF(A1689="","",IF(AG1689&lt;&gt;"",1,0))</f>
        <v/>
      </c>
      <c r="AP1689" s="220">
        <f>IF(P1689&lt;&gt;"","・添待ち","")&amp;IF(Q1689&lt;&gt;"","・住民票","")&amp;IF(R1689&lt;&gt;"","・発信","")&amp;IF(S1689&lt;&gt;"","・確認事項","")&amp;IF(T1689&lt;&gt;"","・管","")&amp;IF(U1689&lt;&gt;"","・SV","")&amp;IF(V1689&lt;&gt;"","・データ送付待ち","")&amp;IF(W1689&lt;&gt;"","・削除","")</f>
        <v/>
      </c>
    </row>
    <row r="1690" ht="15" customHeight="1" s="87">
      <c r="AL1690" s="94">
        <f>IF(A1690="","",IF(COUNTIF(A1690:A$2001,A1690)=1,1,0))</f>
        <v/>
      </c>
      <c r="AM1690" s="94">
        <f>IF(I1690="","",TODAY()-I1690)</f>
        <v/>
      </c>
      <c r="AN1690" s="94">
        <f>IF(A1690="","",IF(AND(E1690&lt;&gt;"33 確認済",E1690&lt;&gt;"36 送付中"),1,0))</f>
        <v/>
      </c>
      <c r="AO1690" s="94">
        <f>IF(A1690="","",IF(AG1690&lt;&gt;"",1,0))</f>
        <v/>
      </c>
      <c r="AP1690" s="220">
        <f>IF(P1690&lt;&gt;"","・添待ち","")&amp;IF(Q1690&lt;&gt;"","・住民票","")&amp;IF(R1690&lt;&gt;"","・発信","")&amp;IF(S1690&lt;&gt;"","・確認事項","")&amp;IF(T1690&lt;&gt;"","・管","")&amp;IF(U1690&lt;&gt;"","・SV","")&amp;IF(V1690&lt;&gt;"","・データ送付待ち","")&amp;IF(W1690&lt;&gt;"","・削除","")</f>
        <v/>
      </c>
    </row>
    <row r="1691" ht="15" customHeight="1" s="87">
      <c r="AL1691" s="94">
        <f>IF(A1691="","",IF(COUNTIF(A1691:A$2001,A1691)=1,1,0))</f>
        <v/>
      </c>
      <c r="AM1691" s="94">
        <f>IF(I1691="","",TODAY()-I1691)</f>
        <v/>
      </c>
      <c r="AN1691" s="94">
        <f>IF(A1691="","",IF(AND(E1691&lt;&gt;"33 確認済",E1691&lt;&gt;"36 送付中"),1,0))</f>
        <v/>
      </c>
      <c r="AO1691" s="94">
        <f>IF(A1691="","",IF(AG1691&lt;&gt;"",1,0))</f>
        <v/>
      </c>
      <c r="AP1691" s="220">
        <f>IF(P1691&lt;&gt;"","・添待ち","")&amp;IF(Q1691&lt;&gt;"","・住民票","")&amp;IF(R1691&lt;&gt;"","・発信","")&amp;IF(S1691&lt;&gt;"","・確認事項","")&amp;IF(T1691&lt;&gt;"","・管","")&amp;IF(U1691&lt;&gt;"","・SV","")&amp;IF(V1691&lt;&gt;"","・データ送付待ち","")&amp;IF(W1691&lt;&gt;"","・削除","")</f>
        <v/>
      </c>
    </row>
    <row r="1692" ht="15" customHeight="1" s="87">
      <c r="AL1692" s="94">
        <f>IF(A1692="","",IF(COUNTIF(A1692:A$2001,A1692)=1,1,0))</f>
        <v/>
      </c>
      <c r="AM1692" s="94">
        <f>IF(I1692="","",TODAY()-I1692)</f>
        <v/>
      </c>
      <c r="AN1692" s="94">
        <f>IF(A1692="","",IF(AND(E1692&lt;&gt;"33 確認済",E1692&lt;&gt;"36 送付中"),1,0))</f>
        <v/>
      </c>
      <c r="AO1692" s="94">
        <f>IF(A1692="","",IF(AG1692&lt;&gt;"",1,0))</f>
        <v/>
      </c>
      <c r="AP1692" s="220">
        <f>IF(P1692&lt;&gt;"","・添待ち","")&amp;IF(Q1692&lt;&gt;"","・住民票","")&amp;IF(R1692&lt;&gt;"","・発信","")&amp;IF(S1692&lt;&gt;"","・確認事項","")&amp;IF(T1692&lt;&gt;"","・管","")&amp;IF(U1692&lt;&gt;"","・SV","")&amp;IF(V1692&lt;&gt;"","・データ送付待ち","")&amp;IF(W1692&lt;&gt;"","・削除","")</f>
        <v/>
      </c>
    </row>
    <row r="1693" ht="15" customHeight="1" s="87">
      <c r="AL1693" s="94">
        <f>IF(A1693="","",IF(COUNTIF(A1693:A$2001,A1693)=1,1,0))</f>
        <v/>
      </c>
      <c r="AM1693" s="94">
        <f>IF(I1693="","",TODAY()-I1693)</f>
        <v/>
      </c>
      <c r="AN1693" s="94">
        <f>IF(A1693="","",IF(AND(E1693&lt;&gt;"33 確認済",E1693&lt;&gt;"36 送付中"),1,0))</f>
        <v/>
      </c>
      <c r="AO1693" s="94">
        <f>IF(A1693="","",IF(AG1693&lt;&gt;"",1,0))</f>
        <v/>
      </c>
      <c r="AP1693" s="220">
        <f>IF(P1693&lt;&gt;"","・添待ち","")&amp;IF(Q1693&lt;&gt;"","・住民票","")&amp;IF(R1693&lt;&gt;"","・発信","")&amp;IF(S1693&lt;&gt;"","・確認事項","")&amp;IF(T1693&lt;&gt;"","・管","")&amp;IF(U1693&lt;&gt;"","・SV","")&amp;IF(V1693&lt;&gt;"","・データ送付待ち","")&amp;IF(W1693&lt;&gt;"","・削除","")</f>
        <v/>
      </c>
    </row>
    <row r="1694" ht="15" customHeight="1" s="87">
      <c r="AL1694" s="94">
        <f>IF(A1694="","",IF(COUNTIF(A1694:A$2001,A1694)=1,1,0))</f>
        <v/>
      </c>
      <c r="AM1694" s="94">
        <f>IF(I1694="","",TODAY()-I1694)</f>
        <v/>
      </c>
      <c r="AN1694" s="94">
        <f>IF(A1694="","",IF(AND(E1694&lt;&gt;"33 確認済",E1694&lt;&gt;"36 送付中"),1,0))</f>
        <v/>
      </c>
      <c r="AO1694" s="94">
        <f>IF(A1694="","",IF(AG1694&lt;&gt;"",1,0))</f>
        <v/>
      </c>
      <c r="AP1694" s="220">
        <f>IF(P1694&lt;&gt;"","・添待ち","")&amp;IF(Q1694&lt;&gt;"","・住民票","")&amp;IF(R1694&lt;&gt;"","・発信","")&amp;IF(S1694&lt;&gt;"","・確認事項","")&amp;IF(T1694&lt;&gt;"","・管","")&amp;IF(U1694&lt;&gt;"","・SV","")&amp;IF(V1694&lt;&gt;"","・データ送付待ち","")&amp;IF(W1694&lt;&gt;"","・削除","")</f>
        <v/>
      </c>
    </row>
    <row r="1695" ht="15" customHeight="1" s="87">
      <c r="AL1695" s="94">
        <f>IF(A1695="","",IF(COUNTIF(A1695:A$2001,A1695)=1,1,0))</f>
        <v/>
      </c>
      <c r="AM1695" s="94">
        <f>IF(I1695="","",TODAY()-I1695)</f>
        <v/>
      </c>
      <c r="AN1695" s="94">
        <f>IF(A1695="","",IF(AND(E1695&lt;&gt;"33 確認済",E1695&lt;&gt;"36 送付中"),1,0))</f>
        <v/>
      </c>
      <c r="AO1695" s="94">
        <f>IF(A1695="","",IF(AG1695&lt;&gt;"",1,0))</f>
        <v/>
      </c>
      <c r="AP1695" s="220">
        <f>IF(P1695&lt;&gt;"","・添待ち","")&amp;IF(Q1695&lt;&gt;"","・住民票","")&amp;IF(R1695&lt;&gt;"","・発信","")&amp;IF(S1695&lt;&gt;"","・確認事項","")&amp;IF(T1695&lt;&gt;"","・管","")&amp;IF(U1695&lt;&gt;"","・SV","")&amp;IF(V1695&lt;&gt;"","・データ送付待ち","")&amp;IF(W1695&lt;&gt;"","・削除","")</f>
        <v/>
      </c>
    </row>
    <row r="1696" ht="15" customHeight="1" s="87">
      <c r="AL1696" s="94">
        <f>IF(A1696="","",IF(COUNTIF(A1696:A$2001,A1696)=1,1,0))</f>
        <v/>
      </c>
      <c r="AM1696" s="94">
        <f>IF(I1696="","",TODAY()-I1696)</f>
        <v/>
      </c>
      <c r="AN1696" s="94">
        <f>IF(A1696="","",IF(AND(E1696&lt;&gt;"33 確認済",E1696&lt;&gt;"36 送付中"),1,0))</f>
        <v/>
      </c>
      <c r="AO1696" s="94">
        <f>IF(A1696="","",IF(AG1696&lt;&gt;"",1,0))</f>
        <v/>
      </c>
      <c r="AP1696" s="220">
        <f>IF(P1696&lt;&gt;"","・添待ち","")&amp;IF(Q1696&lt;&gt;"","・住民票","")&amp;IF(R1696&lt;&gt;"","・発信","")&amp;IF(S1696&lt;&gt;"","・確認事項","")&amp;IF(T1696&lt;&gt;"","・管","")&amp;IF(U1696&lt;&gt;"","・SV","")&amp;IF(V1696&lt;&gt;"","・データ送付待ち","")&amp;IF(W1696&lt;&gt;"","・削除","")</f>
        <v/>
      </c>
    </row>
    <row r="1697" ht="15" customHeight="1" s="87">
      <c r="AL1697" s="94">
        <f>IF(A1697="","",IF(COUNTIF(A1697:A$2001,A1697)=1,1,0))</f>
        <v/>
      </c>
      <c r="AM1697" s="94">
        <f>IF(I1697="","",TODAY()-I1697)</f>
        <v/>
      </c>
      <c r="AN1697" s="94">
        <f>IF(A1697="","",IF(AND(E1697&lt;&gt;"33 確認済",E1697&lt;&gt;"36 送付中"),1,0))</f>
        <v/>
      </c>
      <c r="AO1697" s="94">
        <f>IF(A1697="","",IF(AG1697&lt;&gt;"",1,0))</f>
        <v/>
      </c>
      <c r="AP1697" s="220">
        <f>IF(P1697&lt;&gt;"","・添待ち","")&amp;IF(Q1697&lt;&gt;"","・住民票","")&amp;IF(R1697&lt;&gt;"","・発信","")&amp;IF(S1697&lt;&gt;"","・確認事項","")&amp;IF(T1697&lt;&gt;"","・管","")&amp;IF(U1697&lt;&gt;"","・SV","")&amp;IF(V1697&lt;&gt;"","・データ送付待ち","")&amp;IF(W1697&lt;&gt;"","・削除","")</f>
        <v/>
      </c>
    </row>
    <row r="1698" ht="15" customHeight="1" s="87">
      <c r="AL1698" s="94">
        <f>IF(A1698="","",IF(COUNTIF(A1698:A$2001,A1698)=1,1,0))</f>
        <v/>
      </c>
      <c r="AM1698" s="94">
        <f>IF(I1698="","",TODAY()-I1698)</f>
        <v/>
      </c>
      <c r="AN1698" s="94">
        <f>IF(A1698="","",IF(AND(E1698&lt;&gt;"33 確認済",E1698&lt;&gt;"36 送付中"),1,0))</f>
        <v/>
      </c>
      <c r="AO1698" s="94">
        <f>IF(A1698="","",IF(AG1698&lt;&gt;"",1,0))</f>
        <v/>
      </c>
      <c r="AP1698" s="220">
        <f>IF(P1698&lt;&gt;"","・添待ち","")&amp;IF(Q1698&lt;&gt;"","・住民票","")&amp;IF(R1698&lt;&gt;"","・発信","")&amp;IF(S1698&lt;&gt;"","・確認事項","")&amp;IF(T1698&lt;&gt;"","・管","")&amp;IF(U1698&lt;&gt;"","・SV","")&amp;IF(V1698&lt;&gt;"","・データ送付待ち","")&amp;IF(W1698&lt;&gt;"","・削除","")</f>
        <v/>
      </c>
    </row>
    <row r="1699" ht="15" customHeight="1" s="87">
      <c r="AL1699" s="94">
        <f>IF(A1699="","",IF(COUNTIF(A1699:A$2001,A1699)=1,1,0))</f>
        <v/>
      </c>
      <c r="AM1699" s="94">
        <f>IF(I1699="","",TODAY()-I1699)</f>
        <v/>
      </c>
      <c r="AN1699" s="94">
        <f>IF(A1699="","",IF(AND(E1699&lt;&gt;"33 確認済",E1699&lt;&gt;"36 送付中"),1,0))</f>
        <v/>
      </c>
      <c r="AO1699" s="94">
        <f>IF(A1699="","",IF(AG1699&lt;&gt;"",1,0))</f>
        <v/>
      </c>
      <c r="AP1699" s="220">
        <f>IF(P1699&lt;&gt;"","・添待ち","")&amp;IF(Q1699&lt;&gt;"","・住民票","")&amp;IF(R1699&lt;&gt;"","・発信","")&amp;IF(S1699&lt;&gt;"","・確認事項","")&amp;IF(T1699&lt;&gt;"","・管","")&amp;IF(U1699&lt;&gt;"","・SV","")&amp;IF(V1699&lt;&gt;"","・データ送付待ち","")&amp;IF(W1699&lt;&gt;"","・削除","")</f>
        <v/>
      </c>
    </row>
    <row r="1700" ht="15" customHeight="1" s="87">
      <c r="AL1700" s="94">
        <f>IF(A1700="","",IF(COUNTIF(A1700:A$2001,A1700)=1,1,0))</f>
        <v/>
      </c>
      <c r="AM1700" s="94">
        <f>IF(I1700="","",TODAY()-I1700)</f>
        <v/>
      </c>
      <c r="AN1700" s="94">
        <f>IF(A1700="","",IF(AND(E1700&lt;&gt;"33 確認済",E1700&lt;&gt;"36 送付中"),1,0))</f>
        <v/>
      </c>
      <c r="AO1700" s="94">
        <f>IF(A1700="","",IF(AG1700&lt;&gt;"",1,0))</f>
        <v/>
      </c>
      <c r="AP1700" s="220">
        <f>IF(P1700&lt;&gt;"","・添待ち","")&amp;IF(Q1700&lt;&gt;"","・住民票","")&amp;IF(R1700&lt;&gt;"","・発信","")&amp;IF(S1700&lt;&gt;"","・確認事項","")&amp;IF(T1700&lt;&gt;"","・管","")&amp;IF(U1700&lt;&gt;"","・SV","")&amp;IF(V1700&lt;&gt;"","・データ送付待ち","")&amp;IF(W1700&lt;&gt;"","・削除","")</f>
        <v/>
      </c>
    </row>
    <row r="1701" ht="15" customHeight="1" s="87">
      <c r="AL1701" s="94">
        <f>IF(A1701="","",IF(COUNTIF(A1701:A$2001,A1701)=1,1,0))</f>
        <v/>
      </c>
      <c r="AM1701" s="94">
        <f>IF(I1701="","",TODAY()-I1701)</f>
        <v/>
      </c>
      <c r="AN1701" s="94">
        <f>IF(A1701="","",IF(AND(E1701&lt;&gt;"33 確認済",E1701&lt;&gt;"36 送付中"),1,0))</f>
        <v/>
      </c>
      <c r="AO1701" s="94">
        <f>IF(A1701="","",IF(AG1701&lt;&gt;"",1,0))</f>
        <v/>
      </c>
      <c r="AP1701" s="220">
        <f>IF(P1701&lt;&gt;"","・添待ち","")&amp;IF(Q1701&lt;&gt;"","・住民票","")&amp;IF(R1701&lt;&gt;"","・発信","")&amp;IF(S1701&lt;&gt;"","・確認事項","")&amp;IF(T1701&lt;&gt;"","・管","")&amp;IF(U1701&lt;&gt;"","・SV","")&amp;IF(V1701&lt;&gt;"","・データ送付待ち","")&amp;IF(W1701&lt;&gt;"","・削除","")</f>
        <v/>
      </c>
    </row>
    <row r="1702" ht="15" customHeight="1" s="87">
      <c r="AL1702" s="94">
        <f>IF(A1702="","",IF(COUNTIF(A1702:A$2001,A1702)=1,1,0))</f>
        <v/>
      </c>
      <c r="AM1702" s="94">
        <f>IF(I1702="","",TODAY()-I1702)</f>
        <v/>
      </c>
      <c r="AN1702" s="94">
        <f>IF(A1702="","",IF(AND(E1702&lt;&gt;"33 確認済",E1702&lt;&gt;"36 送付中"),1,0))</f>
        <v/>
      </c>
      <c r="AO1702" s="94">
        <f>IF(A1702="","",IF(AG1702&lt;&gt;"",1,0))</f>
        <v/>
      </c>
      <c r="AP1702" s="220">
        <f>IF(P1702&lt;&gt;"","・添待ち","")&amp;IF(Q1702&lt;&gt;"","・住民票","")&amp;IF(R1702&lt;&gt;"","・発信","")&amp;IF(S1702&lt;&gt;"","・確認事項","")&amp;IF(T1702&lt;&gt;"","・管","")&amp;IF(U1702&lt;&gt;"","・SV","")&amp;IF(V1702&lt;&gt;"","・データ送付待ち","")&amp;IF(W1702&lt;&gt;"","・削除","")</f>
        <v/>
      </c>
    </row>
    <row r="1703" ht="15" customHeight="1" s="87">
      <c r="AL1703" s="94">
        <f>IF(A1703="","",IF(COUNTIF(A1703:A$2001,A1703)=1,1,0))</f>
        <v/>
      </c>
      <c r="AM1703" s="94">
        <f>IF(I1703="","",TODAY()-I1703)</f>
        <v/>
      </c>
      <c r="AN1703" s="94">
        <f>IF(A1703="","",IF(AND(E1703&lt;&gt;"33 確認済",E1703&lt;&gt;"36 送付中"),1,0))</f>
        <v/>
      </c>
      <c r="AO1703" s="94">
        <f>IF(A1703="","",IF(AG1703&lt;&gt;"",1,0))</f>
        <v/>
      </c>
      <c r="AP1703" s="220">
        <f>IF(P1703&lt;&gt;"","・添待ち","")&amp;IF(Q1703&lt;&gt;"","・住民票","")&amp;IF(R1703&lt;&gt;"","・発信","")&amp;IF(S1703&lt;&gt;"","・確認事項","")&amp;IF(T1703&lt;&gt;"","・管","")&amp;IF(U1703&lt;&gt;"","・SV","")&amp;IF(V1703&lt;&gt;"","・データ送付待ち","")&amp;IF(W1703&lt;&gt;"","・削除","")</f>
        <v/>
      </c>
    </row>
    <row r="1704" ht="15" customHeight="1" s="87">
      <c r="AL1704" s="94">
        <f>IF(A1704="","",IF(COUNTIF(A1704:A$2001,A1704)=1,1,0))</f>
        <v/>
      </c>
      <c r="AM1704" s="94">
        <f>IF(I1704="","",TODAY()-I1704)</f>
        <v/>
      </c>
      <c r="AN1704" s="94">
        <f>IF(A1704="","",IF(AND(E1704&lt;&gt;"33 確認済",E1704&lt;&gt;"36 送付中"),1,0))</f>
        <v/>
      </c>
      <c r="AO1704" s="94">
        <f>IF(A1704="","",IF(AG1704&lt;&gt;"",1,0))</f>
        <v/>
      </c>
      <c r="AP1704" s="220">
        <f>IF(P1704&lt;&gt;"","・添待ち","")&amp;IF(Q1704&lt;&gt;"","・住民票","")&amp;IF(R1704&lt;&gt;"","・発信","")&amp;IF(S1704&lt;&gt;"","・確認事項","")&amp;IF(T1704&lt;&gt;"","・管","")&amp;IF(U1704&lt;&gt;"","・SV","")&amp;IF(V1704&lt;&gt;"","・データ送付待ち","")&amp;IF(W1704&lt;&gt;"","・削除","")</f>
        <v/>
      </c>
    </row>
    <row r="1705" ht="15" customHeight="1" s="87">
      <c r="AL1705" s="94">
        <f>IF(A1705="","",IF(COUNTIF(A1705:A$2001,A1705)=1,1,0))</f>
        <v/>
      </c>
      <c r="AM1705" s="94">
        <f>IF(I1705="","",TODAY()-I1705)</f>
        <v/>
      </c>
      <c r="AN1705" s="94">
        <f>IF(A1705="","",IF(AND(E1705&lt;&gt;"33 確認済",E1705&lt;&gt;"36 送付中"),1,0))</f>
        <v/>
      </c>
      <c r="AO1705" s="94">
        <f>IF(A1705="","",IF(AG1705&lt;&gt;"",1,0))</f>
        <v/>
      </c>
      <c r="AP1705" s="220">
        <f>IF(P1705&lt;&gt;"","・添待ち","")&amp;IF(Q1705&lt;&gt;"","・住民票","")&amp;IF(R1705&lt;&gt;"","・発信","")&amp;IF(S1705&lt;&gt;"","・確認事項","")&amp;IF(T1705&lt;&gt;"","・管","")&amp;IF(U1705&lt;&gt;"","・SV","")&amp;IF(V1705&lt;&gt;"","・データ送付待ち","")&amp;IF(W1705&lt;&gt;"","・削除","")</f>
        <v/>
      </c>
    </row>
    <row r="1706" ht="15" customHeight="1" s="87">
      <c r="AL1706" s="94">
        <f>IF(A1706="","",IF(COUNTIF(A1706:A$2001,A1706)=1,1,0))</f>
        <v/>
      </c>
      <c r="AM1706" s="94">
        <f>IF(I1706="","",TODAY()-I1706)</f>
        <v/>
      </c>
      <c r="AN1706" s="94">
        <f>IF(A1706="","",IF(AND(E1706&lt;&gt;"33 確認済",E1706&lt;&gt;"36 送付中"),1,0))</f>
        <v/>
      </c>
      <c r="AO1706" s="94">
        <f>IF(A1706="","",IF(AG1706&lt;&gt;"",1,0))</f>
        <v/>
      </c>
      <c r="AP1706" s="220">
        <f>IF(P1706&lt;&gt;"","・添待ち","")&amp;IF(Q1706&lt;&gt;"","・住民票","")&amp;IF(R1706&lt;&gt;"","・発信","")&amp;IF(S1706&lt;&gt;"","・確認事項","")&amp;IF(T1706&lt;&gt;"","・管","")&amp;IF(U1706&lt;&gt;"","・SV","")&amp;IF(V1706&lt;&gt;"","・データ送付待ち","")&amp;IF(W1706&lt;&gt;"","・削除","")</f>
        <v/>
      </c>
    </row>
    <row r="1707" ht="15" customHeight="1" s="87">
      <c r="AL1707" s="94">
        <f>IF(A1707="","",IF(COUNTIF(A1707:A$2001,A1707)=1,1,0))</f>
        <v/>
      </c>
      <c r="AM1707" s="94">
        <f>IF(I1707="","",TODAY()-I1707)</f>
        <v/>
      </c>
      <c r="AN1707" s="94">
        <f>IF(A1707="","",IF(AND(E1707&lt;&gt;"33 確認済",E1707&lt;&gt;"36 送付中"),1,0))</f>
        <v/>
      </c>
      <c r="AO1707" s="94">
        <f>IF(A1707="","",IF(AG1707&lt;&gt;"",1,0))</f>
        <v/>
      </c>
      <c r="AP1707" s="220">
        <f>IF(P1707&lt;&gt;"","・添待ち","")&amp;IF(Q1707&lt;&gt;"","・住民票","")&amp;IF(R1707&lt;&gt;"","・発信","")&amp;IF(S1707&lt;&gt;"","・確認事項","")&amp;IF(T1707&lt;&gt;"","・管","")&amp;IF(U1707&lt;&gt;"","・SV","")&amp;IF(V1707&lt;&gt;"","・データ送付待ち","")&amp;IF(W1707&lt;&gt;"","・削除","")</f>
        <v/>
      </c>
    </row>
    <row r="1708" ht="15" customHeight="1" s="87">
      <c r="AL1708" s="94">
        <f>IF(A1708="","",IF(COUNTIF(A1708:A$2001,A1708)=1,1,0))</f>
        <v/>
      </c>
      <c r="AM1708" s="94">
        <f>IF(I1708="","",TODAY()-I1708)</f>
        <v/>
      </c>
      <c r="AN1708" s="94">
        <f>IF(A1708="","",IF(AND(E1708&lt;&gt;"33 確認済",E1708&lt;&gt;"36 送付中"),1,0))</f>
        <v/>
      </c>
      <c r="AO1708" s="94">
        <f>IF(A1708="","",IF(AG1708&lt;&gt;"",1,0))</f>
        <v/>
      </c>
      <c r="AP1708" s="220">
        <f>IF(P1708&lt;&gt;"","・添待ち","")&amp;IF(Q1708&lt;&gt;"","・住民票","")&amp;IF(R1708&lt;&gt;"","・発信","")&amp;IF(S1708&lt;&gt;"","・確認事項","")&amp;IF(T1708&lt;&gt;"","・管","")&amp;IF(U1708&lt;&gt;"","・SV","")&amp;IF(V1708&lt;&gt;"","・データ送付待ち","")&amp;IF(W1708&lt;&gt;"","・削除","")</f>
        <v/>
      </c>
    </row>
    <row r="1709" ht="15" customHeight="1" s="87">
      <c r="AL1709" s="94">
        <f>IF(A1709="","",IF(COUNTIF(A1709:A$2001,A1709)=1,1,0))</f>
        <v/>
      </c>
      <c r="AM1709" s="94">
        <f>IF(I1709="","",TODAY()-I1709)</f>
        <v/>
      </c>
      <c r="AN1709" s="94">
        <f>IF(A1709="","",IF(AND(E1709&lt;&gt;"33 確認済",E1709&lt;&gt;"36 送付中"),1,0))</f>
        <v/>
      </c>
      <c r="AO1709" s="94">
        <f>IF(A1709="","",IF(AG1709&lt;&gt;"",1,0))</f>
        <v/>
      </c>
      <c r="AP1709" s="220">
        <f>IF(P1709&lt;&gt;"","・添待ち","")&amp;IF(Q1709&lt;&gt;"","・住民票","")&amp;IF(R1709&lt;&gt;"","・発信","")&amp;IF(S1709&lt;&gt;"","・確認事項","")&amp;IF(T1709&lt;&gt;"","・管","")&amp;IF(U1709&lt;&gt;"","・SV","")&amp;IF(V1709&lt;&gt;"","・データ送付待ち","")&amp;IF(W1709&lt;&gt;"","・削除","")</f>
        <v/>
      </c>
    </row>
    <row r="1710" ht="15" customHeight="1" s="87">
      <c r="AL1710" s="94">
        <f>IF(A1710="","",IF(COUNTIF(A1710:A$2001,A1710)=1,1,0))</f>
        <v/>
      </c>
      <c r="AM1710" s="94">
        <f>IF(I1710="","",TODAY()-I1710)</f>
        <v/>
      </c>
      <c r="AN1710" s="94">
        <f>IF(A1710="","",IF(AND(E1710&lt;&gt;"33 確認済",E1710&lt;&gt;"36 送付中"),1,0))</f>
        <v/>
      </c>
      <c r="AO1710" s="94">
        <f>IF(A1710="","",IF(AG1710&lt;&gt;"",1,0))</f>
        <v/>
      </c>
      <c r="AP1710" s="220">
        <f>IF(P1710&lt;&gt;"","・添待ち","")&amp;IF(Q1710&lt;&gt;"","・住民票","")&amp;IF(R1710&lt;&gt;"","・発信","")&amp;IF(S1710&lt;&gt;"","・確認事項","")&amp;IF(T1710&lt;&gt;"","・管","")&amp;IF(U1710&lt;&gt;"","・SV","")&amp;IF(V1710&lt;&gt;"","・データ送付待ち","")&amp;IF(W1710&lt;&gt;"","・削除","")</f>
        <v/>
      </c>
    </row>
    <row r="1711" ht="15" customHeight="1" s="87">
      <c r="AL1711" s="94">
        <f>IF(A1711="","",IF(COUNTIF(A1711:A$2001,A1711)=1,1,0))</f>
        <v/>
      </c>
      <c r="AM1711" s="94">
        <f>IF(I1711="","",TODAY()-I1711)</f>
        <v/>
      </c>
      <c r="AN1711" s="94">
        <f>IF(A1711="","",IF(AND(E1711&lt;&gt;"33 確認済",E1711&lt;&gt;"36 送付中"),1,0))</f>
        <v/>
      </c>
      <c r="AO1711" s="94">
        <f>IF(A1711="","",IF(AG1711&lt;&gt;"",1,0))</f>
        <v/>
      </c>
      <c r="AP1711" s="220">
        <f>IF(P1711&lt;&gt;"","・添待ち","")&amp;IF(Q1711&lt;&gt;"","・住民票","")&amp;IF(R1711&lt;&gt;"","・発信","")&amp;IF(S1711&lt;&gt;"","・確認事項","")&amp;IF(T1711&lt;&gt;"","・管","")&amp;IF(U1711&lt;&gt;"","・SV","")&amp;IF(V1711&lt;&gt;"","・データ送付待ち","")&amp;IF(W1711&lt;&gt;"","・削除","")</f>
        <v/>
      </c>
    </row>
    <row r="1712" ht="15" customHeight="1" s="87">
      <c r="AL1712" s="94">
        <f>IF(A1712="","",IF(COUNTIF(A1712:A$2001,A1712)=1,1,0))</f>
        <v/>
      </c>
      <c r="AM1712" s="94">
        <f>IF(I1712="","",TODAY()-I1712)</f>
        <v/>
      </c>
      <c r="AN1712" s="94">
        <f>IF(A1712="","",IF(AND(E1712&lt;&gt;"33 確認済",E1712&lt;&gt;"36 送付中"),1,0))</f>
        <v/>
      </c>
      <c r="AO1712" s="94">
        <f>IF(A1712="","",IF(AG1712&lt;&gt;"",1,0))</f>
        <v/>
      </c>
      <c r="AP1712" s="220">
        <f>IF(P1712&lt;&gt;"","・添待ち","")&amp;IF(Q1712&lt;&gt;"","・住民票","")&amp;IF(R1712&lt;&gt;"","・発信","")&amp;IF(S1712&lt;&gt;"","・確認事項","")&amp;IF(T1712&lt;&gt;"","・管","")&amp;IF(U1712&lt;&gt;"","・SV","")&amp;IF(V1712&lt;&gt;"","・データ送付待ち","")&amp;IF(W1712&lt;&gt;"","・削除","")</f>
        <v/>
      </c>
    </row>
    <row r="1713" ht="15" customHeight="1" s="87">
      <c r="AL1713" s="94">
        <f>IF(A1713="","",IF(COUNTIF(A1713:A$2001,A1713)=1,1,0))</f>
        <v/>
      </c>
      <c r="AM1713" s="94">
        <f>IF(I1713="","",TODAY()-I1713)</f>
        <v/>
      </c>
      <c r="AN1713" s="94">
        <f>IF(A1713="","",IF(AND(E1713&lt;&gt;"33 確認済",E1713&lt;&gt;"36 送付中"),1,0))</f>
        <v/>
      </c>
      <c r="AO1713" s="94">
        <f>IF(A1713="","",IF(AG1713&lt;&gt;"",1,0))</f>
        <v/>
      </c>
      <c r="AP1713" s="220">
        <f>IF(P1713&lt;&gt;"","・添待ち","")&amp;IF(Q1713&lt;&gt;"","・住民票","")&amp;IF(R1713&lt;&gt;"","・発信","")&amp;IF(S1713&lt;&gt;"","・確認事項","")&amp;IF(T1713&lt;&gt;"","・管","")&amp;IF(U1713&lt;&gt;"","・SV","")&amp;IF(V1713&lt;&gt;"","・データ送付待ち","")&amp;IF(W1713&lt;&gt;"","・削除","")</f>
        <v/>
      </c>
    </row>
    <row r="1714" ht="15" customHeight="1" s="87">
      <c r="AL1714" s="94">
        <f>IF(A1714="","",IF(COUNTIF(A1714:A$2001,A1714)=1,1,0))</f>
        <v/>
      </c>
      <c r="AM1714" s="94">
        <f>IF(I1714="","",TODAY()-I1714)</f>
        <v/>
      </c>
      <c r="AN1714" s="94">
        <f>IF(A1714="","",IF(AND(E1714&lt;&gt;"33 確認済",E1714&lt;&gt;"36 送付中"),1,0))</f>
        <v/>
      </c>
      <c r="AO1714" s="94">
        <f>IF(A1714="","",IF(AG1714&lt;&gt;"",1,0))</f>
        <v/>
      </c>
      <c r="AP1714" s="220">
        <f>IF(P1714&lt;&gt;"","・添待ち","")&amp;IF(Q1714&lt;&gt;"","・住民票","")&amp;IF(R1714&lt;&gt;"","・発信","")&amp;IF(S1714&lt;&gt;"","・確認事項","")&amp;IF(T1714&lt;&gt;"","・管","")&amp;IF(U1714&lt;&gt;"","・SV","")&amp;IF(V1714&lt;&gt;"","・データ送付待ち","")&amp;IF(W1714&lt;&gt;"","・削除","")</f>
        <v/>
      </c>
    </row>
    <row r="1715" ht="15" customHeight="1" s="87">
      <c r="AL1715" s="94">
        <f>IF(A1715="","",IF(COUNTIF(A1715:A$2001,A1715)=1,1,0))</f>
        <v/>
      </c>
      <c r="AM1715" s="94">
        <f>IF(I1715="","",TODAY()-I1715)</f>
        <v/>
      </c>
      <c r="AN1715" s="94">
        <f>IF(A1715="","",IF(AND(E1715&lt;&gt;"33 確認済",E1715&lt;&gt;"36 送付中"),1,0))</f>
        <v/>
      </c>
      <c r="AO1715" s="94">
        <f>IF(A1715="","",IF(AG1715&lt;&gt;"",1,0))</f>
        <v/>
      </c>
      <c r="AP1715" s="220">
        <f>IF(P1715&lt;&gt;"","・添待ち","")&amp;IF(Q1715&lt;&gt;"","・住民票","")&amp;IF(R1715&lt;&gt;"","・発信","")&amp;IF(S1715&lt;&gt;"","・確認事項","")&amp;IF(T1715&lt;&gt;"","・管","")&amp;IF(U1715&lt;&gt;"","・SV","")&amp;IF(V1715&lt;&gt;"","・データ送付待ち","")&amp;IF(W1715&lt;&gt;"","・削除","")</f>
        <v/>
      </c>
    </row>
    <row r="1716" ht="15" customHeight="1" s="87">
      <c r="AL1716" s="94">
        <f>IF(A1716="","",IF(COUNTIF(A1716:A$2001,A1716)=1,1,0))</f>
        <v/>
      </c>
      <c r="AM1716" s="94">
        <f>IF(I1716="","",TODAY()-I1716)</f>
        <v/>
      </c>
      <c r="AN1716" s="94">
        <f>IF(A1716="","",IF(AND(E1716&lt;&gt;"33 確認済",E1716&lt;&gt;"36 送付中"),1,0))</f>
        <v/>
      </c>
      <c r="AO1716" s="94">
        <f>IF(A1716="","",IF(AG1716&lt;&gt;"",1,0))</f>
        <v/>
      </c>
      <c r="AP1716" s="220">
        <f>IF(P1716&lt;&gt;"","・添待ち","")&amp;IF(Q1716&lt;&gt;"","・住民票","")&amp;IF(R1716&lt;&gt;"","・発信","")&amp;IF(S1716&lt;&gt;"","・確認事項","")&amp;IF(T1716&lt;&gt;"","・管","")&amp;IF(U1716&lt;&gt;"","・SV","")&amp;IF(V1716&lt;&gt;"","・データ送付待ち","")&amp;IF(W1716&lt;&gt;"","・削除","")</f>
        <v/>
      </c>
    </row>
    <row r="1717" ht="15" customHeight="1" s="87">
      <c r="AL1717" s="94">
        <f>IF(A1717="","",IF(COUNTIF(A1717:A$2001,A1717)=1,1,0))</f>
        <v/>
      </c>
      <c r="AM1717" s="94">
        <f>IF(I1717="","",TODAY()-I1717)</f>
        <v/>
      </c>
      <c r="AN1717" s="94">
        <f>IF(A1717="","",IF(AND(E1717&lt;&gt;"33 確認済",E1717&lt;&gt;"36 送付中"),1,0))</f>
        <v/>
      </c>
      <c r="AO1717" s="94">
        <f>IF(A1717="","",IF(AG1717&lt;&gt;"",1,0))</f>
        <v/>
      </c>
      <c r="AP1717" s="220">
        <f>IF(P1717&lt;&gt;"","・添待ち","")&amp;IF(Q1717&lt;&gt;"","・住民票","")&amp;IF(R1717&lt;&gt;"","・発信","")&amp;IF(S1717&lt;&gt;"","・確認事項","")&amp;IF(T1717&lt;&gt;"","・管","")&amp;IF(U1717&lt;&gt;"","・SV","")&amp;IF(V1717&lt;&gt;"","・データ送付待ち","")&amp;IF(W1717&lt;&gt;"","・削除","")</f>
        <v/>
      </c>
    </row>
    <row r="1718" ht="15" customHeight="1" s="87">
      <c r="AL1718" s="94">
        <f>IF(A1718="","",IF(COUNTIF(A1718:A$2001,A1718)=1,1,0))</f>
        <v/>
      </c>
      <c r="AM1718" s="94">
        <f>IF(I1718="","",TODAY()-I1718)</f>
        <v/>
      </c>
      <c r="AN1718" s="94">
        <f>IF(A1718="","",IF(AND(E1718&lt;&gt;"33 確認済",E1718&lt;&gt;"36 送付中"),1,0))</f>
        <v/>
      </c>
      <c r="AO1718" s="94">
        <f>IF(A1718="","",IF(AG1718&lt;&gt;"",1,0))</f>
        <v/>
      </c>
      <c r="AP1718" s="220">
        <f>IF(P1718&lt;&gt;"","・添待ち","")&amp;IF(Q1718&lt;&gt;"","・住民票","")&amp;IF(R1718&lt;&gt;"","・発信","")&amp;IF(S1718&lt;&gt;"","・確認事項","")&amp;IF(T1718&lt;&gt;"","・管","")&amp;IF(U1718&lt;&gt;"","・SV","")&amp;IF(V1718&lt;&gt;"","・データ送付待ち","")&amp;IF(W1718&lt;&gt;"","・削除","")</f>
        <v/>
      </c>
    </row>
    <row r="1719" ht="15" customHeight="1" s="87">
      <c r="AL1719" s="94">
        <f>IF(A1719="","",IF(COUNTIF(A1719:A$2001,A1719)=1,1,0))</f>
        <v/>
      </c>
      <c r="AM1719" s="94">
        <f>IF(I1719="","",TODAY()-I1719)</f>
        <v/>
      </c>
      <c r="AN1719" s="94">
        <f>IF(A1719="","",IF(AND(E1719&lt;&gt;"33 確認済",E1719&lt;&gt;"36 送付中"),1,0))</f>
        <v/>
      </c>
      <c r="AO1719" s="94">
        <f>IF(A1719="","",IF(AG1719&lt;&gt;"",1,0))</f>
        <v/>
      </c>
      <c r="AP1719" s="220">
        <f>IF(P1719&lt;&gt;"","・添待ち","")&amp;IF(Q1719&lt;&gt;"","・住民票","")&amp;IF(R1719&lt;&gt;"","・発信","")&amp;IF(S1719&lt;&gt;"","・確認事項","")&amp;IF(T1719&lt;&gt;"","・管","")&amp;IF(U1719&lt;&gt;"","・SV","")&amp;IF(V1719&lt;&gt;"","・データ送付待ち","")&amp;IF(W1719&lt;&gt;"","・削除","")</f>
        <v/>
      </c>
    </row>
    <row r="1720" ht="15" customHeight="1" s="87">
      <c r="AL1720" s="94">
        <f>IF(A1720="","",IF(COUNTIF(A1720:A$2001,A1720)=1,1,0))</f>
        <v/>
      </c>
      <c r="AM1720" s="94">
        <f>IF(I1720="","",TODAY()-I1720)</f>
        <v/>
      </c>
      <c r="AN1720" s="94">
        <f>IF(A1720="","",IF(AND(E1720&lt;&gt;"33 確認済",E1720&lt;&gt;"36 送付中"),1,0))</f>
        <v/>
      </c>
      <c r="AO1720" s="94">
        <f>IF(A1720="","",IF(AG1720&lt;&gt;"",1,0))</f>
        <v/>
      </c>
      <c r="AP1720" s="220">
        <f>IF(P1720&lt;&gt;"","・添待ち","")&amp;IF(Q1720&lt;&gt;"","・住民票","")&amp;IF(R1720&lt;&gt;"","・発信","")&amp;IF(S1720&lt;&gt;"","・確認事項","")&amp;IF(T1720&lt;&gt;"","・管","")&amp;IF(U1720&lt;&gt;"","・SV","")&amp;IF(V1720&lt;&gt;"","・データ送付待ち","")&amp;IF(W1720&lt;&gt;"","・削除","")</f>
        <v/>
      </c>
    </row>
    <row r="1721" ht="15" customHeight="1" s="87">
      <c r="AL1721" s="94">
        <f>IF(A1721="","",IF(COUNTIF(A1721:A$2001,A1721)=1,1,0))</f>
        <v/>
      </c>
      <c r="AM1721" s="94">
        <f>IF(I1721="","",TODAY()-I1721)</f>
        <v/>
      </c>
      <c r="AN1721" s="94">
        <f>IF(A1721="","",IF(AND(E1721&lt;&gt;"33 確認済",E1721&lt;&gt;"36 送付中"),1,0))</f>
        <v/>
      </c>
      <c r="AO1721" s="94">
        <f>IF(A1721="","",IF(AG1721&lt;&gt;"",1,0))</f>
        <v/>
      </c>
      <c r="AP1721" s="220">
        <f>IF(P1721&lt;&gt;"","・添待ち","")&amp;IF(Q1721&lt;&gt;"","・住民票","")&amp;IF(R1721&lt;&gt;"","・発信","")&amp;IF(S1721&lt;&gt;"","・確認事項","")&amp;IF(T1721&lt;&gt;"","・管","")&amp;IF(U1721&lt;&gt;"","・SV","")&amp;IF(V1721&lt;&gt;"","・データ送付待ち","")&amp;IF(W1721&lt;&gt;"","・削除","")</f>
        <v/>
      </c>
    </row>
    <row r="1722" ht="15" customHeight="1" s="87">
      <c r="AL1722" s="94">
        <f>IF(A1722="","",IF(COUNTIF(A1722:A$2001,A1722)=1,1,0))</f>
        <v/>
      </c>
      <c r="AM1722" s="94">
        <f>IF(I1722="","",TODAY()-I1722)</f>
        <v/>
      </c>
      <c r="AN1722" s="94">
        <f>IF(A1722="","",IF(AND(E1722&lt;&gt;"33 確認済",E1722&lt;&gt;"36 送付中"),1,0))</f>
        <v/>
      </c>
      <c r="AO1722" s="94">
        <f>IF(A1722="","",IF(AG1722&lt;&gt;"",1,0))</f>
        <v/>
      </c>
      <c r="AP1722" s="220">
        <f>IF(P1722&lt;&gt;"","・添待ち","")&amp;IF(Q1722&lt;&gt;"","・住民票","")&amp;IF(R1722&lt;&gt;"","・発信","")&amp;IF(S1722&lt;&gt;"","・確認事項","")&amp;IF(T1722&lt;&gt;"","・管","")&amp;IF(U1722&lt;&gt;"","・SV","")&amp;IF(V1722&lt;&gt;"","・データ送付待ち","")&amp;IF(W1722&lt;&gt;"","・削除","")</f>
        <v/>
      </c>
    </row>
    <row r="1723" ht="15" customHeight="1" s="87">
      <c r="AL1723" s="94">
        <f>IF(A1723="","",IF(COUNTIF(A1723:A$2001,A1723)=1,1,0))</f>
        <v/>
      </c>
      <c r="AM1723" s="94">
        <f>IF(I1723="","",TODAY()-I1723)</f>
        <v/>
      </c>
      <c r="AN1723" s="94">
        <f>IF(A1723="","",IF(AND(E1723&lt;&gt;"33 確認済",E1723&lt;&gt;"36 送付中"),1,0))</f>
        <v/>
      </c>
      <c r="AO1723" s="94">
        <f>IF(A1723="","",IF(AG1723&lt;&gt;"",1,0))</f>
        <v/>
      </c>
      <c r="AP1723" s="220">
        <f>IF(P1723&lt;&gt;"","・添待ち","")&amp;IF(Q1723&lt;&gt;"","・住民票","")&amp;IF(R1723&lt;&gt;"","・発信","")&amp;IF(S1723&lt;&gt;"","・確認事項","")&amp;IF(T1723&lt;&gt;"","・管","")&amp;IF(U1723&lt;&gt;"","・SV","")&amp;IF(V1723&lt;&gt;"","・データ送付待ち","")&amp;IF(W1723&lt;&gt;"","・削除","")</f>
        <v/>
      </c>
    </row>
    <row r="1724" ht="15" customHeight="1" s="87">
      <c r="AL1724" s="94">
        <f>IF(A1724="","",IF(COUNTIF(A1724:A$2001,A1724)=1,1,0))</f>
        <v/>
      </c>
      <c r="AM1724" s="94">
        <f>IF(I1724="","",TODAY()-I1724)</f>
        <v/>
      </c>
      <c r="AN1724" s="94">
        <f>IF(A1724="","",IF(AND(E1724&lt;&gt;"33 確認済",E1724&lt;&gt;"36 送付中"),1,0))</f>
        <v/>
      </c>
      <c r="AO1724" s="94">
        <f>IF(A1724="","",IF(AG1724&lt;&gt;"",1,0))</f>
        <v/>
      </c>
      <c r="AP1724" s="220">
        <f>IF(P1724&lt;&gt;"","・添待ち","")&amp;IF(Q1724&lt;&gt;"","・住民票","")&amp;IF(R1724&lt;&gt;"","・発信","")&amp;IF(S1724&lt;&gt;"","・確認事項","")&amp;IF(T1724&lt;&gt;"","・管","")&amp;IF(U1724&lt;&gt;"","・SV","")&amp;IF(V1724&lt;&gt;"","・データ送付待ち","")&amp;IF(W1724&lt;&gt;"","・削除","")</f>
        <v/>
      </c>
    </row>
    <row r="1725" ht="15" customHeight="1" s="87">
      <c r="AL1725" s="94">
        <f>IF(A1725="","",IF(COUNTIF(A1725:A$2001,A1725)=1,1,0))</f>
        <v/>
      </c>
      <c r="AM1725" s="94">
        <f>IF(I1725="","",TODAY()-I1725)</f>
        <v/>
      </c>
      <c r="AN1725" s="94">
        <f>IF(A1725="","",IF(AND(E1725&lt;&gt;"33 確認済",E1725&lt;&gt;"36 送付中"),1,0))</f>
        <v/>
      </c>
      <c r="AO1725" s="94">
        <f>IF(A1725="","",IF(AG1725&lt;&gt;"",1,0))</f>
        <v/>
      </c>
      <c r="AP1725" s="220">
        <f>IF(P1725&lt;&gt;"","・添待ち","")&amp;IF(Q1725&lt;&gt;"","・住民票","")&amp;IF(R1725&lt;&gt;"","・発信","")&amp;IF(S1725&lt;&gt;"","・確認事項","")&amp;IF(T1725&lt;&gt;"","・管","")&amp;IF(U1725&lt;&gt;"","・SV","")&amp;IF(V1725&lt;&gt;"","・データ送付待ち","")&amp;IF(W1725&lt;&gt;"","・削除","")</f>
        <v/>
      </c>
    </row>
    <row r="1726" ht="15" customHeight="1" s="87">
      <c r="AL1726" s="94">
        <f>IF(A1726="","",IF(COUNTIF(A1726:A$2001,A1726)=1,1,0))</f>
        <v/>
      </c>
      <c r="AM1726" s="94">
        <f>IF(I1726="","",TODAY()-I1726)</f>
        <v/>
      </c>
      <c r="AN1726" s="94">
        <f>IF(A1726="","",IF(AND(E1726&lt;&gt;"33 確認済",E1726&lt;&gt;"36 送付中"),1,0))</f>
        <v/>
      </c>
      <c r="AO1726" s="94">
        <f>IF(A1726="","",IF(AG1726&lt;&gt;"",1,0))</f>
        <v/>
      </c>
      <c r="AP1726" s="220">
        <f>IF(P1726&lt;&gt;"","・添待ち","")&amp;IF(Q1726&lt;&gt;"","・住民票","")&amp;IF(R1726&lt;&gt;"","・発信","")&amp;IF(S1726&lt;&gt;"","・確認事項","")&amp;IF(T1726&lt;&gt;"","・管","")&amp;IF(U1726&lt;&gt;"","・SV","")&amp;IF(V1726&lt;&gt;"","・データ送付待ち","")&amp;IF(W1726&lt;&gt;"","・削除","")</f>
        <v/>
      </c>
    </row>
    <row r="1727" ht="15" customHeight="1" s="87">
      <c r="AL1727" s="94">
        <f>IF(A1727="","",IF(COUNTIF(A1727:A$2001,A1727)=1,1,0))</f>
        <v/>
      </c>
      <c r="AM1727" s="94">
        <f>IF(I1727="","",TODAY()-I1727)</f>
        <v/>
      </c>
      <c r="AN1727" s="94">
        <f>IF(A1727="","",IF(AND(E1727&lt;&gt;"33 確認済",E1727&lt;&gt;"36 送付中"),1,0))</f>
        <v/>
      </c>
      <c r="AO1727" s="94">
        <f>IF(A1727="","",IF(AG1727&lt;&gt;"",1,0))</f>
        <v/>
      </c>
      <c r="AP1727" s="220">
        <f>IF(P1727&lt;&gt;"","・添待ち","")&amp;IF(Q1727&lt;&gt;"","・住民票","")&amp;IF(R1727&lt;&gt;"","・発信","")&amp;IF(S1727&lt;&gt;"","・確認事項","")&amp;IF(T1727&lt;&gt;"","・管","")&amp;IF(U1727&lt;&gt;"","・SV","")&amp;IF(V1727&lt;&gt;"","・データ送付待ち","")&amp;IF(W1727&lt;&gt;"","・削除","")</f>
        <v/>
      </c>
    </row>
    <row r="1728" ht="15" customHeight="1" s="87">
      <c r="AL1728" s="94">
        <f>IF(A1728="","",IF(COUNTIF(A1728:A$2001,A1728)=1,1,0))</f>
        <v/>
      </c>
      <c r="AM1728" s="94">
        <f>IF(I1728="","",TODAY()-I1728)</f>
        <v/>
      </c>
      <c r="AN1728" s="94">
        <f>IF(A1728="","",IF(AND(E1728&lt;&gt;"33 確認済",E1728&lt;&gt;"36 送付中"),1,0))</f>
        <v/>
      </c>
      <c r="AO1728" s="94">
        <f>IF(A1728="","",IF(AG1728&lt;&gt;"",1,0))</f>
        <v/>
      </c>
      <c r="AP1728" s="220">
        <f>IF(P1728&lt;&gt;"","・添待ち","")&amp;IF(Q1728&lt;&gt;"","・住民票","")&amp;IF(R1728&lt;&gt;"","・発信","")&amp;IF(S1728&lt;&gt;"","・確認事項","")&amp;IF(T1728&lt;&gt;"","・管","")&amp;IF(U1728&lt;&gt;"","・SV","")&amp;IF(V1728&lt;&gt;"","・データ送付待ち","")&amp;IF(W1728&lt;&gt;"","・削除","")</f>
        <v/>
      </c>
    </row>
    <row r="1729" ht="15" customHeight="1" s="87">
      <c r="AL1729" s="94">
        <f>IF(A1729="","",IF(COUNTIF(A1729:A$2001,A1729)=1,1,0))</f>
        <v/>
      </c>
      <c r="AM1729" s="94">
        <f>IF(I1729="","",TODAY()-I1729)</f>
        <v/>
      </c>
      <c r="AN1729" s="94">
        <f>IF(A1729="","",IF(AND(E1729&lt;&gt;"33 確認済",E1729&lt;&gt;"36 送付中"),1,0))</f>
        <v/>
      </c>
      <c r="AO1729" s="94">
        <f>IF(A1729="","",IF(AG1729&lt;&gt;"",1,0))</f>
        <v/>
      </c>
      <c r="AP1729" s="220">
        <f>IF(P1729&lt;&gt;"","・添待ち","")&amp;IF(Q1729&lt;&gt;"","・住民票","")&amp;IF(R1729&lt;&gt;"","・発信","")&amp;IF(S1729&lt;&gt;"","・確認事項","")&amp;IF(T1729&lt;&gt;"","・管","")&amp;IF(U1729&lt;&gt;"","・SV","")&amp;IF(V1729&lt;&gt;"","・データ送付待ち","")&amp;IF(W1729&lt;&gt;"","・削除","")</f>
        <v/>
      </c>
    </row>
    <row r="1730" ht="15" customHeight="1" s="87">
      <c r="AL1730" s="94">
        <f>IF(A1730="","",IF(COUNTIF(A1730:A$2001,A1730)=1,1,0))</f>
        <v/>
      </c>
      <c r="AM1730" s="94">
        <f>IF(I1730="","",TODAY()-I1730)</f>
        <v/>
      </c>
      <c r="AN1730" s="94">
        <f>IF(A1730="","",IF(AND(E1730&lt;&gt;"33 確認済",E1730&lt;&gt;"36 送付中"),1,0))</f>
        <v/>
      </c>
      <c r="AO1730" s="94">
        <f>IF(A1730="","",IF(AG1730&lt;&gt;"",1,0))</f>
        <v/>
      </c>
      <c r="AP1730" s="220">
        <f>IF(P1730&lt;&gt;"","・添待ち","")&amp;IF(Q1730&lt;&gt;"","・住民票","")&amp;IF(R1730&lt;&gt;"","・発信","")&amp;IF(S1730&lt;&gt;"","・確認事項","")&amp;IF(T1730&lt;&gt;"","・管","")&amp;IF(U1730&lt;&gt;"","・SV","")&amp;IF(V1730&lt;&gt;"","・データ送付待ち","")&amp;IF(W1730&lt;&gt;"","・削除","")</f>
        <v/>
      </c>
    </row>
    <row r="1731" ht="15" customHeight="1" s="87">
      <c r="AL1731" s="94">
        <f>IF(A1731="","",IF(COUNTIF(A1731:A$2001,A1731)=1,1,0))</f>
        <v/>
      </c>
      <c r="AM1731" s="94">
        <f>IF(I1731="","",TODAY()-I1731)</f>
        <v/>
      </c>
      <c r="AN1731" s="94">
        <f>IF(A1731="","",IF(AND(E1731&lt;&gt;"33 確認済",E1731&lt;&gt;"36 送付中"),1,0))</f>
        <v/>
      </c>
      <c r="AO1731" s="94">
        <f>IF(A1731="","",IF(AG1731&lt;&gt;"",1,0))</f>
        <v/>
      </c>
      <c r="AP1731" s="220">
        <f>IF(P1731&lt;&gt;"","・添待ち","")&amp;IF(Q1731&lt;&gt;"","・住民票","")&amp;IF(R1731&lt;&gt;"","・発信","")&amp;IF(S1731&lt;&gt;"","・確認事項","")&amp;IF(T1731&lt;&gt;"","・管","")&amp;IF(U1731&lt;&gt;"","・SV","")&amp;IF(V1731&lt;&gt;"","・データ送付待ち","")&amp;IF(W1731&lt;&gt;"","・削除","")</f>
        <v/>
      </c>
    </row>
    <row r="1732" ht="15" customHeight="1" s="87">
      <c r="AL1732" s="94">
        <f>IF(A1732="","",IF(COUNTIF(A1732:A$2001,A1732)=1,1,0))</f>
        <v/>
      </c>
      <c r="AM1732" s="94">
        <f>IF(I1732="","",TODAY()-I1732)</f>
        <v/>
      </c>
      <c r="AN1732" s="94">
        <f>IF(A1732="","",IF(AND(E1732&lt;&gt;"33 確認済",E1732&lt;&gt;"36 送付中"),1,0))</f>
        <v/>
      </c>
      <c r="AO1732" s="94">
        <f>IF(A1732="","",IF(AG1732&lt;&gt;"",1,0))</f>
        <v/>
      </c>
      <c r="AP1732" s="220">
        <f>IF(P1732&lt;&gt;"","・添待ち","")&amp;IF(Q1732&lt;&gt;"","・住民票","")&amp;IF(R1732&lt;&gt;"","・発信","")&amp;IF(S1732&lt;&gt;"","・確認事項","")&amp;IF(T1732&lt;&gt;"","・管","")&amp;IF(U1732&lt;&gt;"","・SV","")&amp;IF(V1732&lt;&gt;"","・データ送付待ち","")&amp;IF(W1732&lt;&gt;"","・削除","")</f>
        <v/>
      </c>
    </row>
    <row r="1733" ht="15" customHeight="1" s="87">
      <c r="AL1733" s="94">
        <f>IF(A1733="","",IF(COUNTIF(A1733:A$2001,A1733)=1,1,0))</f>
        <v/>
      </c>
      <c r="AM1733" s="94">
        <f>IF(I1733="","",TODAY()-I1733)</f>
        <v/>
      </c>
      <c r="AN1733" s="94">
        <f>IF(A1733="","",IF(AND(E1733&lt;&gt;"33 確認済",E1733&lt;&gt;"36 送付中"),1,0))</f>
        <v/>
      </c>
      <c r="AO1733" s="94">
        <f>IF(A1733="","",IF(AG1733&lt;&gt;"",1,0))</f>
        <v/>
      </c>
      <c r="AP1733" s="220">
        <f>IF(P1733&lt;&gt;"","・添待ち","")&amp;IF(Q1733&lt;&gt;"","・住民票","")&amp;IF(R1733&lt;&gt;"","・発信","")&amp;IF(S1733&lt;&gt;"","・確認事項","")&amp;IF(T1733&lt;&gt;"","・管","")&amp;IF(U1733&lt;&gt;"","・SV","")&amp;IF(V1733&lt;&gt;"","・データ送付待ち","")&amp;IF(W1733&lt;&gt;"","・削除","")</f>
        <v/>
      </c>
    </row>
    <row r="1734" ht="15" customHeight="1" s="87">
      <c r="AL1734" s="94">
        <f>IF(A1734="","",IF(COUNTIF(A1734:A$2001,A1734)=1,1,0))</f>
        <v/>
      </c>
      <c r="AM1734" s="94">
        <f>IF(I1734="","",TODAY()-I1734)</f>
        <v/>
      </c>
      <c r="AN1734" s="94">
        <f>IF(A1734="","",IF(AND(E1734&lt;&gt;"33 確認済",E1734&lt;&gt;"36 送付中"),1,0))</f>
        <v/>
      </c>
      <c r="AO1734" s="94">
        <f>IF(A1734="","",IF(AG1734&lt;&gt;"",1,0))</f>
        <v/>
      </c>
      <c r="AP1734" s="220">
        <f>IF(P1734&lt;&gt;"","・添待ち","")&amp;IF(Q1734&lt;&gt;"","・住民票","")&amp;IF(R1734&lt;&gt;"","・発信","")&amp;IF(S1734&lt;&gt;"","・確認事項","")&amp;IF(T1734&lt;&gt;"","・管","")&amp;IF(U1734&lt;&gt;"","・SV","")&amp;IF(V1734&lt;&gt;"","・データ送付待ち","")&amp;IF(W1734&lt;&gt;"","・削除","")</f>
        <v/>
      </c>
    </row>
    <row r="1735" ht="15" customHeight="1" s="87">
      <c r="AL1735" s="94">
        <f>IF(A1735="","",IF(COUNTIF(A1735:A$2001,A1735)=1,1,0))</f>
        <v/>
      </c>
      <c r="AM1735" s="94">
        <f>IF(I1735="","",TODAY()-I1735)</f>
        <v/>
      </c>
      <c r="AN1735" s="94">
        <f>IF(A1735="","",IF(AND(E1735&lt;&gt;"33 確認済",E1735&lt;&gt;"36 送付中"),1,0))</f>
        <v/>
      </c>
      <c r="AO1735" s="94">
        <f>IF(A1735="","",IF(AG1735&lt;&gt;"",1,0))</f>
        <v/>
      </c>
      <c r="AP1735" s="220">
        <f>IF(P1735&lt;&gt;"","・添待ち","")&amp;IF(Q1735&lt;&gt;"","・住民票","")&amp;IF(R1735&lt;&gt;"","・発信","")&amp;IF(S1735&lt;&gt;"","・確認事項","")&amp;IF(T1735&lt;&gt;"","・管","")&amp;IF(U1735&lt;&gt;"","・SV","")&amp;IF(V1735&lt;&gt;"","・データ送付待ち","")&amp;IF(W1735&lt;&gt;"","・削除","")</f>
        <v/>
      </c>
    </row>
    <row r="1736" ht="15" customHeight="1" s="87">
      <c r="AL1736" s="94">
        <f>IF(A1736="","",IF(COUNTIF(A1736:A$2001,A1736)=1,1,0))</f>
        <v/>
      </c>
      <c r="AM1736" s="94">
        <f>IF(I1736="","",TODAY()-I1736)</f>
        <v/>
      </c>
      <c r="AN1736" s="94">
        <f>IF(A1736="","",IF(AND(E1736&lt;&gt;"33 確認済",E1736&lt;&gt;"36 送付中"),1,0))</f>
        <v/>
      </c>
      <c r="AO1736" s="94">
        <f>IF(A1736="","",IF(AG1736&lt;&gt;"",1,0))</f>
        <v/>
      </c>
      <c r="AP1736" s="220">
        <f>IF(P1736&lt;&gt;"","・添待ち","")&amp;IF(Q1736&lt;&gt;"","・住民票","")&amp;IF(R1736&lt;&gt;"","・発信","")&amp;IF(S1736&lt;&gt;"","・確認事項","")&amp;IF(T1736&lt;&gt;"","・管","")&amp;IF(U1736&lt;&gt;"","・SV","")&amp;IF(V1736&lt;&gt;"","・データ送付待ち","")&amp;IF(W1736&lt;&gt;"","・削除","")</f>
        <v/>
      </c>
    </row>
    <row r="1737" ht="15" customHeight="1" s="87">
      <c r="AL1737" s="94">
        <f>IF(A1737="","",IF(COUNTIF(A1737:A$2001,A1737)=1,1,0))</f>
        <v/>
      </c>
      <c r="AM1737" s="94">
        <f>IF(I1737="","",TODAY()-I1737)</f>
        <v/>
      </c>
      <c r="AN1737" s="94">
        <f>IF(A1737="","",IF(AND(E1737&lt;&gt;"33 確認済",E1737&lt;&gt;"36 送付中"),1,0))</f>
        <v/>
      </c>
      <c r="AO1737" s="94">
        <f>IF(A1737="","",IF(AG1737&lt;&gt;"",1,0))</f>
        <v/>
      </c>
      <c r="AP1737" s="220">
        <f>IF(P1737&lt;&gt;"","・添待ち","")&amp;IF(Q1737&lt;&gt;"","・住民票","")&amp;IF(R1737&lt;&gt;"","・発信","")&amp;IF(S1737&lt;&gt;"","・確認事項","")&amp;IF(T1737&lt;&gt;"","・管","")&amp;IF(U1737&lt;&gt;"","・SV","")&amp;IF(V1737&lt;&gt;"","・データ送付待ち","")&amp;IF(W1737&lt;&gt;"","・削除","")</f>
        <v/>
      </c>
    </row>
    <row r="1738" ht="15" customHeight="1" s="87">
      <c r="AL1738" s="94">
        <f>IF(A1738="","",IF(COUNTIF(A1738:A$2001,A1738)=1,1,0))</f>
        <v/>
      </c>
      <c r="AM1738" s="94">
        <f>IF(I1738="","",TODAY()-I1738)</f>
        <v/>
      </c>
      <c r="AN1738" s="94">
        <f>IF(A1738="","",IF(AND(E1738&lt;&gt;"33 確認済",E1738&lt;&gt;"36 送付中"),1,0))</f>
        <v/>
      </c>
      <c r="AO1738" s="94">
        <f>IF(A1738="","",IF(AG1738&lt;&gt;"",1,0))</f>
        <v/>
      </c>
      <c r="AP1738" s="220">
        <f>IF(P1738&lt;&gt;"","・添待ち","")&amp;IF(Q1738&lt;&gt;"","・住民票","")&amp;IF(R1738&lt;&gt;"","・発信","")&amp;IF(S1738&lt;&gt;"","・確認事項","")&amp;IF(T1738&lt;&gt;"","・管","")&amp;IF(U1738&lt;&gt;"","・SV","")&amp;IF(V1738&lt;&gt;"","・データ送付待ち","")&amp;IF(W1738&lt;&gt;"","・削除","")</f>
        <v/>
      </c>
    </row>
    <row r="1739" ht="15" customHeight="1" s="87">
      <c r="AL1739" s="94">
        <f>IF(A1739="","",IF(COUNTIF(A1739:A$2001,A1739)=1,1,0))</f>
        <v/>
      </c>
      <c r="AM1739" s="94">
        <f>IF(I1739="","",TODAY()-I1739)</f>
        <v/>
      </c>
      <c r="AN1739" s="94">
        <f>IF(A1739="","",IF(AND(E1739&lt;&gt;"33 確認済",E1739&lt;&gt;"36 送付中"),1,0))</f>
        <v/>
      </c>
      <c r="AO1739" s="94">
        <f>IF(A1739="","",IF(AG1739&lt;&gt;"",1,0))</f>
        <v/>
      </c>
      <c r="AP1739" s="220">
        <f>IF(P1739&lt;&gt;"","・添待ち","")&amp;IF(Q1739&lt;&gt;"","・住民票","")&amp;IF(R1739&lt;&gt;"","・発信","")&amp;IF(S1739&lt;&gt;"","・確認事項","")&amp;IF(T1739&lt;&gt;"","・管","")&amp;IF(U1739&lt;&gt;"","・SV","")&amp;IF(V1739&lt;&gt;"","・データ送付待ち","")&amp;IF(W1739&lt;&gt;"","・削除","")</f>
        <v/>
      </c>
    </row>
    <row r="1740" ht="15" customHeight="1" s="87">
      <c r="AL1740" s="94">
        <f>IF(A1740="","",IF(COUNTIF(A1740:A$2001,A1740)=1,1,0))</f>
        <v/>
      </c>
      <c r="AM1740" s="94">
        <f>IF(I1740="","",TODAY()-I1740)</f>
        <v/>
      </c>
      <c r="AN1740" s="94">
        <f>IF(A1740="","",IF(AND(E1740&lt;&gt;"33 確認済",E1740&lt;&gt;"36 送付中"),1,0))</f>
        <v/>
      </c>
      <c r="AO1740" s="94">
        <f>IF(A1740="","",IF(AG1740&lt;&gt;"",1,0))</f>
        <v/>
      </c>
      <c r="AP1740" s="220">
        <f>IF(P1740&lt;&gt;"","・添待ち","")&amp;IF(Q1740&lt;&gt;"","・住民票","")&amp;IF(R1740&lt;&gt;"","・発信","")&amp;IF(S1740&lt;&gt;"","・確認事項","")&amp;IF(T1740&lt;&gt;"","・管","")&amp;IF(U1740&lt;&gt;"","・SV","")&amp;IF(V1740&lt;&gt;"","・データ送付待ち","")&amp;IF(W1740&lt;&gt;"","・削除","")</f>
        <v/>
      </c>
    </row>
    <row r="1741" ht="15" customHeight="1" s="87">
      <c r="AL1741" s="94">
        <f>IF(A1741="","",IF(COUNTIF(A1741:A$2001,A1741)=1,1,0))</f>
        <v/>
      </c>
      <c r="AM1741" s="94">
        <f>IF(I1741="","",TODAY()-I1741)</f>
        <v/>
      </c>
      <c r="AN1741" s="94">
        <f>IF(A1741="","",IF(AND(E1741&lt;&gt;"33 確認済",E1741&lt;&gt;"36 送付中"),1,0))</f>
        <v/>
      </c>
      <c r="AO1741" s="94">
        <f>IF(A1741="","",IF(AG1741&lt;&gt;"",1,0))</f>
        <v/>
      </c>
      <c r="AP1741" s="220">
        <f>IF(P1741&lt;&gt;"","・添待ち","")&amp;IF(Q1741&lt;&gt;"","・住民票","")&amp;IF(R1741&lt;&gt;"","・発信","")&amp;IF(S1741&lt;&gt;"","・確認事項","")&amp;IF(T1741&lt;&gt;"","・管","")&amp;IF(U1741&lt;&gt;"","・SV","")&amp;IF(V1741&lt;&gt;"","・データ送付待ち","")&amp;IF(W1741&lt;&gt;"","・削除","")</f>
        <v/>
      </c>
    </row>
    <row r="1742" ht="15" customHeight="1" s="87">
      <c r="AL1742" s="94">
        <f>IF(A1742="","",IF(COUNTIF(A1742:A$2001,A1742)=1,1,0))</f>
        <v/>
      </c>
      <c r="AM1742" s="94">
        <f>IF(I1742="","",TODAY()-I1742)</f>
        <v/>
      </c>
      <c r="AN1742" s="94">
        <f>IF(A1742="","",IF(AND(E1742&lt;&gt;"33 確認済",E1742&lt;&gt;"36 送付中"),1,0))</f>
        <v/>
      </c>
      <c r="AO1742" s="94">
        <f>IF(A1742="","",IF(AG1742&lt;&gt;"",1,0))</f>
        <v/>
      </c>
      <c r="AP1742" s="220">
        <f>IF(P1742&lt;&gt;"","・添待ち","")&amp;IF(Q1742&lt;&gt;"","・住民票","")&amp;IF(R1742&lt;&gt;"","・発信","")&amp;IF(S1742&lt;&gt;"","・確認事項","")&amp;IF(T1742&lt;&gt;"","・管","")&amp;IF(U1742&lt;&gt;"","・SV","")&amp;IF(V1742&lt;&gt;"","・データ送付待ち","")&amp;IF(W1742&lt;&gt;"","・削除","")</f>
        <v/>
      </c>
    </row>
    <row r="1743" ht="15" customHeight="1" s="87">
      <c r="AL1743" s="94">
        <f>IF(A1743="","",IF(COUNTIF(A1743:A$2001,A1743)=1,1,0))</f>
        <v/>
      </c>
      <c r="AM1743" s="94">
        <f>IF(I1743="","",TODAY()-I1743)</f>
        <v/>
      </c>
      <c r="AN1743" s="94">
        <f>IF(A1743="","",IF(AND(E1743&lt;&gt;"33 確認済",E1743&lt;&gt;"36 送付中"),1,0))</f>
        <v/>
      </c>
      <c r="AO1743" s="94">
        <f>IF(A1743="","",IF(AG1743&lt;&gt;"",1,0))</f>
        <v/>
      </c>
      <c r="AP1743" s="220">
        <f>IF(P1743&lt;&gt;"","・添待ち","")&amp;IF(Q1743&lt;&gt;"","・住民票","")&amp;IF(R1743&lt;&gt;"","・発信","")&amp;IF(S1743&lt;&gt;"","・確認事項","")&amp;IF(T1743&lt;&gt;"","・管","")&amp;IF(U1743&lt;&gt;"","・SV","")&amp;IF(V1743&lt;&gt;"","・データ送付待ち","")&amp;IF(W1743&lt;&gt;"","・削除","")</f>
        <v/>
      </c>
    </row>
    <row r="1744" ht="15" customHeight="1" s="87">
      <c r="AL1744" s="94">
        <f>IF(A1744="","",IF(COUNTIF(A1744:A$2001,A1744)=1,1,0))</f>
        <v/>
      </c>
      <c r="AM1744" s="94">
        <f>IF(I1744="","",TODAY()-I1744)</f>
        <v/>
      </c>
      <c r="AN1744" s="94">
        <f>IF(A1744="","",IF(AND(E1744&lt;&gt;"33 確認済",E1744&lt;&gt;"36 送付中"),1,0))</f>
        <v/>
      </c>
      <c r="AO1744" s="94">
        <f>IF(A1744="","",IF(AG1744&lt;&gt;"",1,0))</f>
        <v/>
      </c>
      <c r="AP1744" s="220">
        <f>IF(P1744&lt;&gt;"","・添待ち","")&amp;IF(Q1744&lt;&gt;"","・住民票","")&amp;IF(R1744&lt;&gt;"","・発信","")&amp;IF(S1744&lt;&gt;"","・確認事項","")&amp;IF(T1744&lt;&gt;"","・管","")&amp;IF(U1744&lt;&gt;"","・SV","")&amp;IF(V1744&lt;&gt;"","・データ送付待ち","")&amp;IF(W1744&lt;&gt;"","・削除","")</f>
        <v/>
      </c>
    </row>
    <row r="1745" ht="15" customHeight="1" s="87">
      <c r="AL1745" s="94">
        <f>IF(A1745="","",IF(COUNTIF(A1745:A$2001,A1745)=1,1,0))</f>
        <v/>
      </c>
      <c r="AM1745" s="94">
        <f>IF(I1745="","",TODAY()-I1745)</f>
        <v/>
      </c>
      <c r="AN1745" s="94">
        <f>IF(A1745="","",IF(AND(E1745&lt;&gt;"33 確認済",E1745&lt;&gt;"36 送付中"),1,0))</f>
        <v/>
      </c>
      <c r="AO1745" s="94">
        <f>IF(A1745="","",IF(AG1745&lt;&gt;"",1,0))</f>
        <v/>
      </c>
      <c r="AP1745" s="220">
        <f>IF(P1745&lt;&gt;"","・添待ち","")&amp;IF(Q1745&lt;&gt;"","・住民票","")&amp;IF(R1745&lt;&gt;"","・発信","")&amp;IF(S1745&lt;&gt;"","・確認事項","")&amp;IF(T1745&lt;&gt;"","・管","")&amp;IF(U1745&lt;&gt;"","・SV","")&amp;IF(V1745&lt;&gt;"","・データ送付待ち","")&amp;IF(W1745&lt;&gt;"","・削除","")</f>
        <v/>
      </c>
    </row>
    <row r="1746" ht="15" customHeight="1" s="87">
      <c r="AL1746" s="94">
        <f>IF(A1746="","",IF(COUNTIF(A1746:A$2001,A1746)=1,1,0))</f>
        <v/>
      </c>
      <c r="AM1746" s="94">
        <f>IF(I1746="","",TODAY()-I1746)</f>
        <v/>
      </c>
      <c r="AN1746" s="94">
        <f>IF(A1746="","",IF(AND(E1746&lt;&gt;"33 確認済",E1746&lt;&gt;"36 送付中"),1,0))</f>
        <v/>
      </c>
      <c r="AO1746" s="94">
        <f>IF(A1746="","",IF(AG1746&lt;&gt;"",1,0))</f>
        <v/>
      </c>
      <c r="AP1746" s="220">
        <f>IF(P1746&lt;&gt;"","・添待ち","")&amp;IF(Q1746&lt;&gt;"","・住民票","")&amp;IF(R1746&lt;&gt;"","・発信","")&amp;IF(S1746&lt;&gt;"","・確認事項","")&amp;IF(T1746&lt;&gt;"","・管","")&amp;IF(U1746&lt;&gt;"","・SV","")&amp;IF(V1746&lt;&gt;"","・データ送付待ち","")&amp;IF(W1746&lt;&gt;"","・削除","")</f>
        <v/>
      </c>
    </row>
    <row r="1747" ht="15" customHeight="1" s="87">
      <c r="AL1747" s="94">
        <f>IF(A1747="","",IF(COUNTIF(A1747:A$2001,A1747)=1,1,0))</f>
        <v/>
      </c>
      <c r="AM1747" s="94">
        <f>IF(I1747="","",TODAY()-I1747)</f>
        <v/>
      </c>
      <c r="AN1747" s="94">
        <f>IF(A1747="","",IF(AND(E1747&lt;&gt;"33 確認済",E1747&lt;&gt;"36 送付中"),1,0))</f>
        <v/>
      </c>
      <c r="AO1747" s="94">
        <f>IF(A1747="","",IF(AG1747&lt;&gt;"",1,0))</f>
        <v/>
      </c>
      <c r="AP1747" s="220">
        <f>IF(P1747&lt;&gt;"","・添待ち","")&amp;IF(Q1747&lt;&gt;"","・住民票","")&amp;IF(R1747&lt;&gt;"","・発信","")&amp;IF(S1747&lt;&gt;"","・確認事項","")&amp;IF(T1747&lt;&gt;"","・管","")&amp;IF(U1747&lt;&gt;"","・SV","")&amp;IF(V1747&lt;&gt;"","・データ送付待ち","")&amp;IF(W1747&lt;&gt;"","・削除","")</f>
        <v/>
      </c>
    </row>
    <row r="1748" ht="15" customHeight="1" s="87">
      <c r="AL1748" s="94">
        <f>IF(A1748="","",IF(COUNTIF(A1748:A$2001,A1748)=1,1,0))</f>
        <v/>
      </c>
      <c r="AM1748" s="94">
        <f>IF(I1748="","",TODAY()-I1748)</f>
        <v/>
      </c>
      <c r="AN1748" s="94">
        <f>IF(A1748="","",IF(AND(E1748&lt;&gt;"33 確認済",E1748&lt;&gt;"36 送付中"),1,0))</f>
        <v/>
      </c>
      <c r="AO1748" s="94">
        <f>IF(A1748="","",IF(AG1748&lt;&gt;"",1,0))</f>
        <v/>
      </c>
      <c r="AP1748" s="220">
        <f>IF(P1748&lt;&gt;"","・添待ち","")&amp;IF(Q1748&lt;&gt;"","・住民票","")&amp;IF(R1748&lt;&gt;"","・発信","")&amp;IF(S1748&lt;&gt;"","・確認事項","")&amp;IF(T1748&lt;&gt;"","・管","")&amp;IF(U1748&lt;&gt;"","・SV","")&amp;IF(V1748&lt;&gt;"","・データ送付待ち","")&amp;IF(W1748&lt;&gt;"","・削除","")</f>
        <v/>
      </c>
    </row>
    <row r="1749" ht="15" customHeight="1" s="87">
      <c r="AL1749" s="94">
        <f>IF(A1749="","",IF(COUNTIF(A1749:A$2001,A1749)=1,1,0))</f>
        <v/>
      </c>
      <c r="AM1749" s="94">
        <f>IF(I1749="","",TODAY()-I1749)</f>
        <v/>
      </c>
      <c r="AN1749" s="94">
        <f>IF(A1749="","",IF(AND(E1749&lt;&gt;"33 確認済",E1749&lt;&gt;"36 送付中"),1,0))</f>
        <v/>
      </c>
      <c r="AO1749" s="94">
        <f>IF(A1749="","",IF(AG1749&lt;&gt;"",1,0))</f>
        <v/>
      </c>
      <c r="AP1749" s="220">
        <f>IF(P1749&lt;&gt;"","・添待ち","")&amp;IF(Q1749&lt;&gt;"","・住民票","")&amp;IF(R1749&lt;&gt;"","・発信","")&amp;IF(S1749&lt;&gt;"","・確認事項","")&amp;IF(T1749&lt;&gt;"","・管","")&amp;IF(U1749&lt;&gt;"","・SV","")&amp;IF(V1749&lt;&gt;"","・データ送付待ち","")&amp;IF(W1749&lt;&gt;"","・削除","")</f>
        <v/>
      </c>
    </row>
    <row r="1750" ht="15" customHeight="1" s="87">
      <c r="AL1750" s="94">
        <f>IF(A1750="","",IF(COUNTIF(A1750:A$2001,A1750)=1,1,0))</f>
        <v/>
      </c>
      <c r="AM1750" s="94">
        <f>IF(I1750="","",TODAY()-I1750)</f>
        <v/>
      </c>
      <c r="AN1750" s="94">
        <f>IF(A1750="","",IF(AND(E1750&lt;&gt;"33 確認済",E1750&lt;&gt;"36 送付中"),1,0))</f>
        <v/>
      </c>
      <c r="AO1750" s="94">
        <f>IF(A1750="","",IF(AG1750&lt;&gt;"",1,0))</f>
        <v/>
      </c>
      <c r="AP1750" s="220">
        <f>IF(P1750&lt;&gt;"","・添待ち","")&amp;IF(Q1750&lt;&gt;"","・住民票","")&amp;IF(R1750&lt;&gt;"","・発信","")&amp;IF(S1750&lt;&gt;"","・確認事項","")&amp;IF(T1750&lt;&gt;"","・管","")&amp;IF(U1750&lt;&gt;"","・SV","")&amp;IF(V1750&lt;&gt;"","・データ送付待ち","")&amp;IF(W1750&lt;&gt;"","・削除","")</f>
        <v/>
      </c>
    </row>
    <row r="1751" ht="15" customHeight="1" s="87">
      <c r="AL1751" s="94">
        <f>IF(A1751="","",IF(COUNTIF(A1751:A$2001,A1751)=1,1,0))</f>
        <v/>
      </c>
      <c r="AM1751" s="94">
        <f>IF(I1751="","",TODAY()-I1751)</f>
        <v/>
      </c>
      <c r="AN1751" s="94">
        <f>IF(A1751="","",IF(AND(E1751&lt;&gt;"33 確認済",E1751&lt;&gt;"36 送付中"),1,0))</f>
        <v/>
      </c>
      <c r="AO1751" s="94">
        <f>IF(A1751="","",IF(AG1751&lt;&gt;"",1,0))</f>
        <v/>
      </c>
      <c r="AP1751" s="220">
        <f>IF(P1751&lt;&gt;"","・添待ち","")&amp;IF(Q1751&lt;&gt;"","・住民票","")&amp;IF(R1751&lt;&gt;"","・発信","")&amp;IF(S1751&lt;&gt;"","・確認事項","")&amp;IF(T1751&lt;&gt;"","・管","")&amp;IF(U1751&lt;&gt;"","・SV","")&amp;IF(V1751&lt;&gt;"","・データ送付待ち","")&amp;IF(W1751&lt;&gt;"","・削除","")</f>
        <v/>
      </c>
    </row>
    <row r="1752" ht="15" customHeight="1" s="87">
      <c r="AL1752" s="94">
        <f>IF(A1752="","",IF(COUNTIF(A1752:A$2001,A1752)=1,1,0))</f>
        <v/>
      </c>
      <c r="AM1752" s="94">
        <f>IF(I1752="","",TODAY()-I1752)</f>
        <v/>
      </c>
      <c r="AN1752" s="94">
        <f>IF(A1752="","",IF(AND(E1752&lt;&gt;"33 確認済",E1752&lt;&gt;"36 送付中"),1,0))</f>
        <v/>
      </c>
      <c r="AO1752" s="94">
        <f>IF(A1752="","",IF(AG1752&lt;&gt;"",1,0))</f>
        <v/>
      </c>
      <c r="AP1752" s="220">
        <f>IF(P1752&lt;&gt;"","・添待ち","")&amp;IF(Q1752&lt;&gt;"","・住民票","")&amp;IF(R1752&lt;&gt;"","・発信","")&amp;IF(S1752&lt;&gt;"","・確認事項","")&amp;IF(T1752&lt;&gt;"","・管","")&amp;IF(U1752&lt;&gt;"","・SV","")&amp;IF(V1752&lt;&gt;"","・データ送付待ち","")&amp;IF(W1752&lt;&gt;"","・削除","")</f>
        <v/>
      </c>
    </row>
    <row r="1753" ht="15" customHeight="1" s="87">
      <c r="AL1753" s="94">
        <f>IF(A1753="","",IF(COUNTIF(A1753:A$2001,A1753)=1,1,0))</f>
        <v/>
      </c>
      <c r="AM1753" s="94">
        <f>IF(I1753="","",TODAY()-I1753)</f>
        <v/>
      </c>
      <c r="AN1753" s="94">
        <f>IF(A1753="","",IF(AND(E1753&lt;&gt;"33 確認済",E1753&lt;&gt;"36 送付中"),1,0))</f>
        <v/>
      </c>
      <c r="AO1753" s="94">
        <f>IF(A1753="","",IF(AG1753&lt;&gt;"",1,0))</f>
        <v/>
      </c>
      <c r="AP1753" s="220">
        <f>IF(P1753&lt;&gt;"","・添待ち","")&amp;IF(Q1753&lt;&gt;"","・住民票","")&amp;IF(R1753&lt;&gt;"","・発信","")&amp;IF(S1753&lt;&gt;"","・確認事項","")&amp;IF(T1753&lt;&gt;"","・管","")&amp;IF(U1753&lt;&gt;"","・SV","")&amp;IF(V1753&lt;&gt;"","・データ送付待ち","")&amp;IF(W1753&lt;&gt;"","・削除","")</f>
        <v/>
      </c>
    </row>
    <row r="1754" ht="15" customHeight="1" s="87">
      <c r="AL1754" s="94">
        <f>IF(A1754="","",IF(COUNTIF(A1754:A$2001,A1754)=1,1,0))</f>
        <v/>
      </c>
      <c r="AM1754" s="94">
        <f>IF(I1754="","",TODAY()-I1754)</f>
        <v/>
      </c>
      <c r="AN1754" s="94">
        <f>IF(A1754="","",IF(AND(E1754&lt;&gt;"33 確認済",E1754&lt;&gt;"36 送付中"),1,0))</f>
        <v/>
      </c>
      <c r="AO1754" s="94">
        <f>IF(A1754="","",IF(AG1754&lt;&gt;"",1,0))</f>
        <v/>
      </c>
      <c r="AP1754" s="220">
        <f>IF(P1754&lt;&gt;"","・添待ち","")&amp;IF(Q1754&lt;&gt;"","・住民票","")&amp;IF(R1754&lt;&gt;"","・発信","")&amp;IF(S1754&lt;&gt;"","・確認事項","")&amp;IF(T1754&lt;&gt;"","・管","")&amp;IF(U1754&lt;&gt;"","・SV","")&amp;IF(V1754&lt;&gt;"","・データ送付待ち","")&amp;IF(W1754&lt;&gt;"","・削除","")</f>
        <v/>
      </c>
    </row>
    <row r="1755" ht="15" customHeight="1" s="87">
      <c r="AL1755" s="94">
        <f>IF(A1755="","",IF(COUNTIF(A1755:A$2001,A1755)=1,1,0))</f>
        <v/>
      </c>
      <c r="AM1755" s="94">
        <f>IF(I1755="","",TODAY()-I1755)</f>
        <v/>
      </c>
      <c r="AN1755" s="94">
        <f>IF(A1755="","",IF(AND(E1755&lt;&gt;"33 確認済",E1755&lt;&gt;"36 送付中"),1,0))</f>
        <v/>
      </c>
      <c r="AO1755" s="94">
        <f>IF(A1755="","",IF(AG1755&lt;&gt;"",1,0))</f>
        <v/>
      </c>
      <c r="AP1755" s="220">
        <f>IF(P1755&lt;&gt;"","・添待ち","")&amp;IF(Q1755&lt;&gt;"","・住民票","")&amp;IF(R1755&lt;&gt;"","・発信","")&amp;IF(S1755&lt;&gt;"","・確認事項","")&amp;IF(T1755&lt;&gt;"","・管","")&amp;IF(U1755&lt;&gt;"","・SV","")&amp;IF(V1755&lt;&gt;"","・データ送付待ち","")&amp;IF(W1755&lt;&gt;"","・削除","")</f>
        <v/>
      </c>
    </row>
    <row r="1756" ht="15" customHeight="1" s="87">
      <c r="AL1756" s="94">
        <f>IF(A1756="","",IF(COUNTIF(A1756:A$2001,A1756)=1,1,0))</f>
        <v/>
      </c>
      <c r="AM1756" s="94">
        <f>IF(I1756="","",TODAY()-I1756)</f>
        <v/>
      </c>
      <c r="AN1756" s="94">
        <f>IF(A1756="","",IF(AND(E1756&lt;&gt;"33 確認済",E1756&lt;&gt;"36 送付中"),1,0))</f>
        <v/>
      </c>
      <c r="AO1756" s="94">
        <f>IF(A1756="","",IF(AG1756&lt;&gt;"",1,0))</f>
        <v/>
      </c>
      <c r="AP1756" s="220">
        <f>IF(P1756&lt;&gt;"","・添待ち","")&amp;IF(Q1756&lt;&gt;"","・住民票","")&amp;IF(R1756&lt;&gt;"","・発信","")&amp;IF(S1756&lt;&gt;"","・確認事項","")&amp;IF(T1756&lt;&gt;"","・管","")&amp;IF(U1756&lt;&gt;"","・SV","")&amp;IF(V1756&lt;&gt;"","・データ送付待ち","")&amp;IF(W1756&lt;&gt;"","・削除","")</f>
        <v/>
      </c>
    </row>
    <row r="1757" ht="15" customHeight="1" s="87">
      <c r="AL1757" s="94">
        <f>IF(A1757="","",IF(COUNTIF(A1757:A$2001,A1757)=1,1,0))</f>
        <v/>
      </c>
      <c r="AM1757" s="94">
        <f>IF(I1757="","",TODAY()-I1757)</f>
        <v/>
      </c>
      <c r="AN1757" s="94">
        <f>IF(A1757="","",IF(AND(E1757&lt;&gt;"33 確認済",E1757&lt;&gt;"36 送付中"),1,0))</f>
        <v/>
      </c>
      <c r="AO1757" s="94">
        <f>IF(A1757="","",IF(AG1757&lt;&gt;"",1,0))</f>
        <v/>
      </c>
      <c r="AP1757" s="220">
        <f>IF(P1757&lt;&gt;"","・添待ち","")&amp;IF(Q1757&lt;&gt;"","・住民票","")&amp;IF(R1757&lt;&gt;"","・発信","")&amp;IF(S1757&lt;&gt;"","・確認事項","")&amp;IF(T1757&lt;&gt;"","・管","")&amp;IF(U1757&lt;&gt;"","・SV","")&amp;IF(V1757&lt;&gt;"","・データ送付待ち","")&amp;IF(W1757&lt;&gt;"","・削除","")</f>
        <v/>
      </c>
    </row>
    <row r="1758" ht="15" customHeight="1" s="87">
      <c r="AL1758" s="94">
        <f>IF(A1758="","",IF(COUNTIF(A1758:A$2001,A1758)=1,1,0))</f>
        <v/>
      </c>
      <c r="AM1758" s="94">
        <f>IF(I1758="","",TODAY()-I1758)</f>
        <v/>
      </c>
      <c r="AN1758" s="94">
        <f>IF(A1758="","",IF(AND(E1758&lt;&gt;"33 確認済",E1758&lt;&gt;"36 送付中"),1,0))</f>
        <v/>
      </c>
      <c r="AO1758" s="94">
        <f>IF(A1758="","",IF(AG1758&lt;&gt;"",1,0))</f>
        <v/>
      </c>
      <c r="AP1758" s="220">
        <f>IF(P1758&lt;&gt;"","・添待ち","")&amp;IF(Q1758&lt;&gt;"","・住民票","")&amp;IF(R1758&lt;&gt;"","・発信","")&amp;IF(S1758&lt;&gt;"","・確認事項","")&amp;IF(T1758&lt;&gt;"","・管","")&amp;IF(U1758&lt;&gt;"","・SV","")&amp;IF(V1758&lt;&gt;"","・データ送付待ち","")&amp;IF(W1758&lt;&gt;"","・削除","")</f>
        <v/>
      </c>
    </row>
    <row r="1759" ht="15" customHeight="1" s="87">
      <c r="AL1759" s="94">
        <f>IF(A1759="","",IF(COUNTIF(A1759:A$2001,A1759)=1,1,0))</f>
        <v/>
      </c>
      <c r="AM1759" s="94">
        <f>IF(I1759="","",TODAY()-I1759)</f>
        <v/>
      </c>
      <c r="AN1759" s="94">
        <f>IF(A1759="","",IF(AND(E1759&lt;&gt;"33 確認済",E1759&lt;&gt;"36 送付中"),1,0))</f>
        <v/>
      </c>
      <c r="AO1759" s="94">
        <f>IF(A1759="","",IF(AG1759&lt;&gt;"",1,0))</f>
        <v/>
      </c>
      <c r="AP1759" s="220">
        <f>IF(P1759&lt;&gt;"","・添待ち","")&amp;IF(Q1759&lt;&gt;"","・住民票","")&amp;IF(R1759&lt;&gt;"","・発信","")&amp;IF(S1759&lt;&gt;"","・確認事項","")&amp;IF(T1759&lt;&gt;"","・管","")&amp;IF(U1759&lt;&gt;"","・SV","")&amp;IF(V1759&lt;&gt;"","・データ送付待ち","")&amp;IF(W1759&lt;&gt;"","・削除","")</f>
        <v/>
      </c>
    </row>
    <row r="1760" ht="15" customHeight="1" s="87">
      <c r="AL1760" s="94">
        <f>IF(A1760="","",IF(COUNTIF(A1760:A$2001,A1760)=1,1,0))</f>
        <v/>
      </c>
      <c r="AM1760" s="94">
        <f>IF(I1760="","",TODAY()-I1760)</f>
        <v/>
      </c>
      <c r="AN1760" s="94">
        <f>IF(A1760="","",IF(AND(E1760&lt;&gt;"33 確認済",E1760&lt;&gt;"36 送付中"),1,0))</f>
        <v/>
      </c>
      <c r="AO1760" s="94">
        <f>IF(A1760="","",IF(AG1760&lt;&gt;"",1,0))</f>
        <v/>
      </c>
      <c r="AP1760" s="220">
        <f>IF(P1760&lt;&gt;"","・添待ち","")&amp;IF(Q1760&lt;&gt;"","・住民票","")&amp;IF(R1760&lt;&gt;"","・発信","")&amp;IF(S1760&lt;&gt;"","・確認事項","")&amp;IF(T1760&lt;&gt;"","・管","")&amp;IF(U1760&lt;&gt;"","・SV","")&amp;IF(V1760&lt;&gt;"","・データ送付待ち","")&amp;IF(W1760&lt;&gt;"","・削除","")</f>
        <v/>
      </c>
    </row>
    <row r="1761" ht="15" customHeight="1" s="87">
      <c r="AL1761" s="94">
        <f>IF(A1761="","",IF(COUNTIF(A1761:A$2001,A1761)=1,1,0))</f>
        <v/>
      </c>
      <c r="AM1761" s="94">
        <f>IF(I1761="","",TODAY()-I1761)</f>
        <v/>
      </c>
      <c r="AN1761" s="94">
        <f>IF(A1761="","",IF(AND(E1761&lt;&gt;"33 確認済",E1761&lt;&gt;"36 送付中"),1,0))</f>
        <v/>
      </c>
      <c r="AO1761" s="94">
        <f>IF(A1761="","",IF(AG1761&lt;&gt;"",1,0))</f>
        <v/>
      </c>
      <c r="AP1761" s="220">
        <f>IF(P1761&lt;&gt;"","・添待ち","")&amp;IF(Q1761&lt;&gt;"","・住民票","")&amp;IF(R1761&lt;&gt;"","・発信","")&amp;IF(S1761&lt;&gt;"","・確認事項","")&amp;IF(T1761&lt;&gt;"","・管","")&amp;IF(U1761&lt;&gt;"","・SV","")&amp;IF(V1761&lt;&gt;"","・データ送付待ち","")&amp;IF(W1761&lt;&gt;"","・削除","")</f>
        <v/>
      </c>
    </row>
    <row r="1762" ht="15" customHeight="1" s="87">
      <c r="AL1762" s="94">
        <f>IF(A1762="","",IF(COUNTIF(A1762:A$2001,A1762)=1,1,0))</f>
        <v/>
      </c>
      <c r="AM1762" s="94">
        <f>IF(I1762="","",TODAY()-I1762)</f>
        <v/>
      </c>
      <c r="AN1762" s="94">
        <f>IF(A1762="","",IF(AND(E1762&lt;&gt;"33 確認済",E1762&lt;&gt;"36 送付中"),1,0))</f>
        <v/>
      </c>
      <c r="AO1762" s="94">
        <f>IF(A1762="","",IF(AG1762&lt;&gt;"",1,0))</f>
        <v/>
      </c>
      <c r="AP1762" s="220">
        <f>IF(P1762&lt;&gt;"","・添待ち","")&amp;IF(Q1762&lt;&gt;"","・住民票","")&amp;IF(R1762&lt;&gt;"","・発信","")&amp;IF(S1762&lt;&gt;"","・確認事項","")&amp;IF(T1762&lt;&gt;"","・管","")&amp;IF(U1762&lt;&gt;"","・SV","")&amp;IF(V1762&lt;&gt;"","・データ送付待ち","")&amp;IF(W1762&lt;&gt;"","・削除","")</f>
        <v/>
      </c>
    </row>
    <row r="1763" ht="15" customHeight="1" s="87">
      <c r="AL1763" s="94">
        <f>IF(A1763="","",IF(COUNTIF(A1763:A$2001,A1763)=1,1,0))</f>
        <v/>
      </c>
      <c r="AM1763" s="94">
        <f>IF(I1763="","",TODAY()-I1763)</f>
        <v/>
      </c>
      <c r="AN1763" s="94">
        <f>IF(A1763="","",IF(AND(E1763&lt;&gt;"33 確認済",E1763&lt;&gt;"36 送付中"),1,0))</f>
        <v/>
      </c>
      <c r="AO1763" s="94">
        <f>IF(A1763="","",IF(AG1763&lt;&gt;"",1,0))</f>
        <v/>
      </c>
      <c r="AP1763" s="220">
        <f>IF(P1763&lt;&gt;"","・添待ち","")&amp;IF(Q1763&lt;&gt;"","・住民票","")&amp;IF(R1763&lt;&gt;"","・発信","")&amp;IF(S1763&lt;&gt;"","・確認事項","")&amp;IF(T1763&lt;&gt;"","・管","")&amp;IF(U1763&lt;&gt;"","・SV","")&amp;IF(V1763&lt;&gt;"","・データ送付待ち","")&amp;IF(W1763&lt;&gt;"","・削除","")</f>
        <v/>
      </c>
    </row>
    <row r="1764" ht="15" customHeight="1" s="87">
      <c r="AL1764" s="94">
        <f>IF(A1764="","",IF(COUNTIF(A1764:A$2001,A1764)=1,1,0))</f>
        <v/>
      </c>
      <c r="AM1764" s="94">
        <f>IF(I1764="","",TODAY()-I1764)</f>
        <v/>
      </c>
      <c r="AN1764" s="94">
        <f>IF(A1764="","",IF(AND(E1764&lt;&gt;"33 確認済",E1764&lt;&gt;"36 送付中"),1,0))</f>
        <v/>
      </c>
      <c r="AO1764" s="94">
        <f>IF(A1764="","",IF(AG1764&lt;&gt;"",1,0))</f>
        <v/>
      </c>
      <c r="AP1764" s="220">
        <f>IF(P1764&lt;&gt;"","・添待ち","")&amp;IF(Q1764&lt;&gt;"","・住民票","")&amp;IF(R1764&lt;&gt;"","・発信","")&amp;IF(S1764&lt;&gt;"","・確認事項","")&amp;IF(T1764&lt;&gt;"","・管","")&amp;IF(U1764&lt;&gt;"","・SV","")&amp;IF(V1764&lt;&gt;"","・データ送付待ち","")&amp;IF(W1764&lt;&gt;"","・削除","")</f>
        <v/>
      </c>
    </row>
    <row r="1765" ht="15" customHeight="1" s="87">
      <c r="AL1765" s="94">
        <f>IF(A1765="","",IF(COUNTIF(A1765:A$2001,A1765)=1,1,0))</f>
        <v/>
      </c>
      <c r="AM1765" s="94">
        <f>IF(I1765="","",TODAY()-I1765)</f>
        <v/>
      </c>
      <c r="AN1765" s="94">
        <f>IF(A1765="","",IF(AND(E1765&lt;&gt;"33 確認済",E1765&lt;&gt;"36 送付中"),1,0))</f>
        <v/>
      </c>
      <c r="AO1765" s="94">
        <f>IF(A1765="","",IF(AG1765&lt;&gt;"",1,0))</f>
        <v/>
      </c>
      <c r="AP1765" s="220">
        <f>IF(P1765&lt;&gt;"","・添待ち","")&amp;IF(Q1765&lt;&gt;"","・住民票","")&amp;IF(R1765&lt;&gt;"","・発信","")&amp;IF(S1765&lt;&gt;"","・確認事項","")&amp;IF(T1765&lt;&gt;"","・管","")&amp;IF(U1765&lt;&gt;"","・SV","")&amp;IF(V1765&lt;&gt;"","・データ送付待ち","")&amp;IF(W1765&lt;&gt;"","・削除","")</f>
        <v/>
      </c>
    </row>
    <row r="1766" ht="15" customHeight="1" s="87">
      <c r="AL1766" s="94">
        <f>IF(A1766="","",IF(COUNTIF(A1766:A$2001,A1766)=1,1,0))</f>
        <v/>
      </c>
      <c r="AM1766" s="94">
        <f>IF(I1766="","",TODAY()-I1766)</f>
        <v/>
      </c>
      <c r="AN1766" s="94">
        <f>IF(A1766="","",IF(AND(E1766&lt;&gt;"33 確認済",E1766&lt;&gt;"36 送付中"),1,0))</f>
        <v/>
      </c>
      <c r="AO1766" s="94">
        <f>IF(A1766="","",IF(AG1766&lt;&gt;"",1,0))</f>
        <v/>
      </c>
      <c r="AP1766" s="220">
        <f>IF(P1766&lt;&gt;"","・添待ち","")&amp;IF(Q1766&lt;&gt;"","・住民票","")&amp;IF(R1766&lt;&gt;"","・発信","")&amp;IF(S1766&lt;&gt;"","・確認事項","")&amp;IF(T1766&lt;&gt;"","・管","")&amp;IF(U1766&lt;&gt;"","・SV","")&amp;IF(V1766&lt;&gt;"","・データ送付待ち","")&amp;IF(W1766&lt;&gt;"","・削除","")</f>
        <v/>
      </c>
    </row>
    <row r="1767" ht="15" customHeight="1" s="87">
      <c r="AL1767" s="94">
        <f>IF(A1767="","",IF(COUNTIF(A1767:A$2001,A1767)=1,1,0))</f>
        <v/>
      </c>
      <c r="AM1767" s="94">
        <f>IF(I1767="","",TODAY()-I1767)</f>
        <v/>
      </c>
      <c r="AN1767" s="94">
        <f>IF(A1767="","",IF(AND(E1767&lt;&gt;"33 確認済",E1767&lt;&gt;"36 送付中"),1,0))</f>
        <v/>
      </c>
      <c r="AO1767" s="94">
        <f>IF(A1767="","",IF(AG1767&lt;&gt;"",1,0))</f>
        <v/>
      </c>
      <c r="AP1767" s="220">
        <f>IF(P1767&lt;&gt;"","・添待ち","")&amp;IF(Q1767&lt;&gt;"","・住民票","")&amp;IF(R1767&lt;&gt;"","・発信","")&amp;IF(S1767&lt;&gt;"","・確認事項","")&amp;IF(T1767&lt;&gt;"","・管","")&amp;IF(U1767&lt;&gt;"","・SV","")&amp;IF(V1767&lt;&gt;"","・データ送付待ち","")&amp;IF(W1767&lt;&gt;"","・削除","")</f>
        <v/>
      </c>
    </row>
    <row r="1768" ht="15" customHeight="1" s="87">
      <c r="AL1768" s="94">
        <f>IF(A1768="","",IF(COUNTIF(A1768:A$2001,A1768)=1,1,0))</f>
        <v/>
      </c>
      <c r="AM1768" s="94">
        <f>IF(I1768="","",TODAY()-I1768)</f>
        <v/>
      </c>
      <c r="AN1768" s="94">
        <f>IF(A1768="","",IF(AND(E1768&lt;&gt;"33 確認済",E1768&lt;&gt;"36 送付中"),1,0))</f>
        <v/>
      </c>
      <c r="AO1768" s="94">
        <f>IF(A1768="","",IF(AG1768&lt;&gt;"",1,0))</f>
        <v/>
      </c>
      <c r="AP1768" s="220">
        <f>IF(P1768&lt;&gt;"","・添待ち","")&amp;IF(Q1768&lt;&gt;"","・住民票","")&amp;IF(R1768&lt;&gt;"","・発信","")&amp;IF(S1768&lt;&gt;"","・確認事項","")&amp;IF(T1768&lt;&gt;"","・管","")&amp;IF(U1768&lt;&gt;"","・SV","")&amp;IF(V1768&lt;&gt;"","・データ送付待ち","")&amp;IF(W1768&lt;&gt;"","・削除","")</f>
        <v/>
      </c>
    </row>
    <row r="1769" ht="15" customHeight="1" s="87">
      <c r="AL1769" s="94">
        <f>IF(A1769="","",IF(COUNTIF(A1769:A$2001,A1769)=1,1,0))</f>
        <v/>
      </c>
      <c r="AM1769" s="94">
        <f>IF(I1769="","",TODAY()-I1769)</f>
        <v/>
      </c>
      <c r="AN1769" s="94">
        <f>IF(A1769="","",IF(AND(E1769&lt;&gt;"33 確認済",E1769&lt;&gt;"36 送付中"),1,0))</f>
        <v/>
      </c>
      <c r="AO1769" s="94">
        <f>IF(A1769="","",IF(AG1769&lt;&gt;"",1,0))</f>
        <v/>
      </c>
      <c r="AP1769" s="220">
        <f>IF(P1769&lt;&gt;"","・添待ち","")&amp;IF(Q1769&lt;&gt;"","・住民票","")&amp;IF(R1769&lt;&gt;"","・発信","")&amp;IF(S1769&lt;&gt;"","・確認事項","")&amp;IF(T1769&lt;&gt;"","・管","")&amp;IF(U1769&lt;&gt;"","・SV","")&amp;IF(V1769&lt;&gt;"","・データ送付待ち","")&amp;IF(W1769&lt;&gt;"","・削除","")</f>
        <v/>
      </c>
    </row>
    <row r="1770" ht="15" customHeight="1" s="87">
      <c r="AL1770" s="94">
        <f>IF(A1770="","",IF(COUNTIF(A1770:A$2001,A1770)=1,1,0))</f>
        <v/>
      </c>
      <c r="AM1770" s="94">
        <f>IF(I1770="","",TODAY()-I1770)</f>
        <v/>
      </c>
      <c r="AN1770" s="94">
        <f>IF(A1770="","",IF(AND(E1770&lt;&gt;"33 確認済",E1770&lt;&gt;"36 送付中"),1,0))</f>
        <v/>
      </c>
      <c r="AO1770" s="94">
        <f>IF(A1770="","",IF(AG1770&lt;&gt;"",1,0))</f>
        <v/>
      </c>
      <c r="AP1770" s="220">
        <f>IF(P1770&lt;&gt;"","・添待ち","")&amp;IF(Q1770&lt;&gt;"","・住民票","")&amp;IF(R1770&lt;&gt;"","・発信","")&amp;IF(S1770&lt;&gt;"","・確認事項","")&amp;IF(T1770&lt;&gt;"","・管","")&amp;IF(U1770&lt;&gt;"","・SV","")&amp;IF(V1770&lt;&gt;"","・データ送付待ち","")&amp;IF(W1770&lt;&gt;"","・削除","")</f>
        <v/>
      </c>
    </row>
    <row r="1771" ht="15" customHeight="1" s="87">
      <c r="AL1771" s="94">
        <f>IF(A1771="","",IF(COUNTIF(A1771:A$2001,A1771)=1,1,0))</f>
        <v/>
      </c>
      <c r="AM1771" s="94">
        <f>IF(I1771="","",TODAY()-I1771)</f>
        <v/>
      </c>
      <c r="AN1771" s="94">
        <f>IF(A1771="","",IF(AND(E1771&lt;&gt;"33 確認済",E1771&lt;&gt;"36 送付中"),1,0))</f>
        <v/>
      </c>
      <c r="AO1771" s="94">
        <f>IF(A1771="","",IF(AG1771&lt;&gt;"",1,0))</f>
        <v/>
      </c>
      <c r="AP1771" s="220">
        <f>IF(P1771&lt;&gt;"","・添待ち","")&amp;IF(Q1771&lt;&gt;"","・住民票","")&amp;IF(R1771&lt;&gt;"","・発信","")&amp;IF(S1771&lt;&gt;"","・確認事項","")&amp;IF(T1771&lt;&gt;"","・管","")&amp;IF(U1771&lt;&gt;"","・SV","")&amp;IF(V1771&lt;&gt;"","・データ送付待ち","")&amp;IF(W1771&lt;&gt;"","・削除","")</f>
        <v/>
      </c>
    </row>
    <row r="1772" ht="15" customHeight="1" s="87">
      <c r="AL1772" s="94">
        <f>IF(A1772="","",IF(COUNTIF(A1772:A$2001,A1772)=1,1,0))</f>
        <v/>
      </c>
      <c r="AM1772" s="94">
        <f>IF(I1772="","",TODAY()-I1772)</f>
        <v/>
      </c>
      <c r="AN1772" s="94">
        <f>IF(A1772="","",IF(AND(E1772&lt;&gt;"33 確認済",E1772&lt;&gt;"36 送付中"),1,0))</f>
        <v/>
      </c>
      <c r="AO1772" s="94">
        <f>IF(A1772="","",IF(AG1772&lt;&gt;"",1,0))</f>
        <v/>
      </c>
      <c r="AP1772" s="220">
        <f>IF(P1772&lt;&gt;"","・添待ち","")&amp;IF(Q1772&lt;&gt;"","・住民票","")&amp;IF(R1772&lt;&gt;"","・発信","")&amp;IF(S1772&lt;&gt;"","・確認事項","")&amp;IF(T1772&lt;&gt;"","・管","")&amp;IF(U1772&lt;&gt;"","・SV","")&amp;IF(V1772&lt;&gt;"","・データ送付待ち","")&amp;IF(W1772&lt;&gt;"","・削除","")</f>
        <v/>
      </c>
    </row>
    <row r="1773" ht="15" customHeight="1" s="87">
      <c r="AL1773" s="94">
        <f>IF(A1773="","",IF(COUNTIF(A1773:A$2001,A1773)=1,1,0))</f>
        <v/>
      </c>
      <c r="AM1773" s="94">
        <f>IF(I1773="","",TODAY()-I1773)</f>
        <v/>
      </c>
      <c r="AN1773" s="94">
        <f>IF(A1773="","",IF(AND(E1773&lt;&gt;"33 確認済",E1773&lt;&gt;"36 送付中"),1,0))</f>
        <v/>
      </c>
      <c r="AO1773" s="94">
        <f>IF(A1773="","",IF(AG1773&lt;&gt;"",1,0))</f>
        <v/>
      </c>
      <c r="AP1773" s="220">
        <f>IF(P1773&lt;&gt;"","・添待ち","")&amp;IF(Q1773&lt;&gt;"","・住民票","")&amp;IF(R1773&lt;&gt;"","・発信","")&amp;IF(S1773&lt;&gt;"","・確認事項","")&amp;IF(T1773&lt;&gt;"","・管","")&amp;IF(U1773&lt;&gt;"","・SV","")&amp;IF(V1773&lt;&gt;"","・データ送付待ち","")&amp;IF(W1773&lt;&gt;"","・削除","")</f>
        <v/>
      </c>
    </row>
    <row r="1774" ht="15" customHeight="1" s="87">
      <c r="AL1774" s="94">
        <f>IF(A1774="","",IF(COUNTIF(A1774:A$2001,A1774)=1,1,0))</f>
        <v/>
      </c>
      <c r="AM1774" s="94">
        <f>IF(I1774="","",TODAY()-I1774)</f>
        <v/>
      </c>
      <c r="AN1774" s="94">
        <f>IF(A1774="","",IF(AND(E1774&lt;&gt;"33 確認済",E1774&lt;&gt;"36 送付中"),1,0))</f>
        <v/>
      </c>
      <c r="AO1774" s="94">
        <f>IF(A1774="","",IF(AG1774&lt;&gt;"",1,0))</f>
        <v/>
      </c>
      <c r="AP1774" s="220">
        <f>IF(P1774&lt;&gt;"","・添待ち","")&amp;IF(Q1774&lt;&gt;"","・住民票","")&amp;IF(R1774&lt;&gt;"","・発信","")&amp;IF(S1774&lt;&gt;"","・確認事項","")&amp;IF(T1774&lt;&gt;"","・管","")&amp;IF(U1774&lt;&gt;"","・SV","")&amp;IF(V1774&lt;&gt;"","・データ送付待ち","")&amp;IF(W1774&lt;&gt;"","・削除","")</f>
        <v/>
      </c>
    </row>
    <row r="1775" ht="15" customHeight="1" s="87">
      <c r="AL1775" s="94">
        <f>IF(A1775="","",IF(COUNTIF(A1775:A$2001,A1775)=1,1,0))</f>
        <v/>
      </c>
      <c r="AM1775" s="94">
        <f>IF(I1775="","",TODAY()-I1775)</f>
        <v/>
      </c>
      <c r="AN1775" s="94">
        <f>IF(A1775="","",IF(AND(E1775&lt;&gt;"33 確認済",E1775&lt;&gt;"36 送付中"),1,0))</f>
        <v/>
      </c>
      <c r="AO1775" s="94">
        <f>IF(A1775="","",IF(AG1775&lt;&gt;"",1,0))</f>
        <v/>
      </c>
      <c r="AP1775" s="220">
        <f>IF(P1775&lt;&gt;"","・添待ち","")&amp;IF(Q1775&lt;&gt;"","・住民票","")&amp;IF(R1775&lt;&gt;"","・発信","")&amp;IF(S1775&lt;&gt;"","・確認事項","")&amp;IF(T1775&lt;&gt;"","・管","")&amp;IF(U1775&lt;&gt;"","・SV","")&amp;IF(V1775&lt;&gt;"","・データ送付待ち","")&amp;IF(W1775&lt;&gt;"","・削除","")</f>
        <v/>
      </c>
    </row>
    <row r="1776" ht="15" customHeight="1" s="87">
      <c r="AL1776" s="94">
        <f>IF(A1776="","",IF(COUNTIF(A1776:A$2001,A1776)=1,1,0))</f>
        <v/>
      </c>
      <c r="AM1776" s="94">
        <f>IF(I1776="","",TODAY()-I1776)</f>
        <v/>
      </c>
      <c r="AN1776" s="94">
        <f>IF(A1776="","",IF(AND(E1776&lt;&gt;"33 確認済",E1776&lt;&gt;"36 送付中"),1,0))</f>
        <v/>
      </c>
      <c r="AO1776" s="94">
        <f>IF(A1776="","",IF(AG1776&lt;&gt;"",1,0))</f>
        <v/>
      </c>
      <c r="AP1776" s="220">
        <f>IF(P1776&lt;&gt;"","・添待ち","")&amp;IF(Q1776&lt;&gt;"","・住民票","")&amp;IF(R1776&lt;&gt;"","・発信","")&amp;IF(S1776&lt;&gt;"","・確認事項","")&amp;IF(T1776&lt;&gt;"","・管","")&amp;IF(U1776&lt;&gt;"","・SV","")&amp;IF(V1776&lt;&gt;"","・データ送付待ち","")&amp;IF(W1776&lt;&gt;"","・削除","")</f>
        <v/>
      </c>
    </row>
    <row r="1777" ht="15" customHeight="1" s="87">
      <c r="AL1777" s="94">
        <f>IF(A1777="","",IF(COUNTIF(A1777:A$2001,A1777)=1,1,0))</f>
        <v/>
      </c>
      <c r="AM1777" s="94">
        <f>IF(I1777="","",TODAY()-I1777)</f>
        <v/>
      </c>
      <c r="AN1777" s="94">
        <f>IF(A1777="","",IF(AND(E1777&lt;&gt;"33 確認済",E1777&lt;&gt;"36 送付中"),1,0))</f>
        <v/>
      </c>
      <c r="AO1777" s="94">
        <f>IF(A1777="","",IF(AG1777&lt;&gt;"",1,0))</f>
        <v/>
      </c>
      <c r="AP1777" s="220">
        <f>IF(P1777&lt;&gt;"","・添待ち","")&amp;IF(Q1777&lt;&gt;"","・住民票","")&amp;IF(R1777&lt;&gt;"","・発信","")&amp;IF(S1777&lt;&gt;"","・確認事項","")&amp;IF(T1777&lt;&gt;"","・管","")&amp;IF(U1777&lt;&gt;"","・SV","")&amp;IF(V1777&lt;&gt;"","・データ送付待ち","")&amp;IF(W1777&lt;&gt;"","・削除","")</f>
        <v/>
      </c>
    </row>
    <row r="1778" ht="15" customHeight="1" s="87">
      <c r="AL1778" s="94">
        <f>IF(A1778="","",IF(COUNTIF(A1778:A$2001,A1778)=1,1,0))</f>
        <v/>
      </c>
      <c r="AM1778" s="94">
        <f>IF(I1778="","",TODAY()-I1778)</f>
        <v/>
      </c>
      <c r="AN1778" s="94">
        <f>IF(A1778="","",IF(AND(E1778&lt;&gt;"33 確認済",E1778&lt;&gt;"36 送付中"),1,0))</f>
        <v/>
      </c>
      <c r="AO1778" s="94">
        <f>IF(A1778="","",IF(AG1778&lt;&gt;"",1,0))</f>
        <v/>
      </c>
      <c r="AP1778" s="220">
        <f>IF(P1778&lt;&gt;"","・添待ち","")&amp;IF(Q1778&lt;&gt;"","・住民票","")&amp;IF(R1778&lt;&gt;"","・発信","")&amp;IF(S1778&lt;&gt;"","・確認事項","")&amp;IF(T1778&lt;&gt;"","・管","")&amp;IF(U1778&lt;&gt;"","・SV","")&amp;IF(V1778&lt;&gt;"","・データ送付待ち","")&amp;IF(W1778&lt;&gt;"","・削除","")</f>
        <v/>
      </c>
    </row>
    <row r="1779" ht="15" customHeight="1" s="87">
      <c r="AL1779" s="94">
        <f>IF(A1779="","",IF(COUNTIF(A1779:A$2001,A1779)=1,1,0))</f>
        <v/>
      </c>
      <c r="AM1779" s="94">
        <f>IF(I1779="","",TODAY()-I1779)</f>
        <v/>
      </c>
      <c r="AN1779" s="94">
        <f>IF(A1779="","",IF(AND(E1779&lt;&gt;"33 確認済",E1779&lt;&gt;"36 送付中"),1,0))</f>
        <v/>
      </c>
      <c r="AO1779" s="94">
        <f>IF(A1779="","",IF(AG1779&lt;&gt;"",1,0))</f>
        <v/>
      </c>
      <c r="AP1779" s="220">
        <f>IF(P1779&lt;&gt;"","・添待ち","")&amp;IF(Q1779&lt;&gt;"","・住民票","")&amp;IF(R1779&lt;&gt;"","・発信","")&amp;IF(S1779&lt;&gt;"","・確認事項","")&amp;IF(T1779&lt;&gt;"","・管","")&amp;IF(U1779&lt;&gt;"","・SV","")&amp;IF(V1779&lt;&gt;"","・データ送付待ち","")&amp;IF(W1779&lt;&gt;"","・削除","")</f>
        <v/>
      </c>
    </row>
    <row r="1780" ht="15" customHeight="1" s="87">
      <c r="AL1780" s="94">
        <f>IF(A1780="","",IF(COUNTIF(A1780:A$2001,A1780)=1,1,0))</f>
        <v/>
      </c>
      <c r="AM1780" s="94">
        <f>IF(I1780="","",TODAY()-I1780)</f>
        <v/>
      </c>
      <c r="AN1780" s="94">
        <f>IF(A1780="","",IF(AND(E1780&lt;&gt;"33 確認済",E1780&lt;&gt;"36 送付中"),1,0))</f>
        <v/>
      </c>
      <c r="AO1780" s="94">
        <f>IF(A1780="","",IF(AG1780&lt;&gt;"",1,0))</f>
        <v/>
      </c>
      <c r="AP1780" s="220">
        <f>IF(P1780&lt;&gt;"","・添待ち","")&amp;IF(Q1780&lt;&gt;"","・住民票","")&amp;IF(R1780&lt;&gt;"","・発信","")&amp;IF(S1780&lt;&gt;"","・確認事項","")&amp;IF(T1780&lt;&gt;"","・管","")&amp;IF(U1780&lt;&gt;"","・SV","")&amp;IF(V1780&lt;&gt;"","・データ送付待ち","")&amp;IF(W1780&lt;&gt;"","・削除","")</f>
        <v/>
      </c>
    </row>
    <row r="1781" ht="15" customHeight="1" s="87">
      <c r="AL1781" s="94">
        <f>IF(A1781="","",IF(COUNTIF(A1781:A$2001,A1781)=1,1,0))</f>
        <v/>
      </c>
      <c r="AM1781" s="94">
        <f>IF(I1781="","",TODAY()-I1781)</f>
        <v/>
      </c>
      <c r="AN1781" s="94">
        <f>IF(A1781="","",IF(AND(E1781&lt;&gt;"33 確認済",E1781&lt;&gt;"36 送付中"),1,0))</f>
        <v/>
      </c>
      <c r="AO1781" s="94">
        <f>IF(A1781="","",IF(AG1781&lt;&gt;"",1,0))</f>
        <v/>
      </c>
      <c r="AP1781" s="220">
        <f>IF(P1781&lt;&gt;"","・添待ち","")&amp;IF(Q1781&lt;&gt;"","・住民票","")&amp;IF(R1781&lt;&gt;"","・発信","")&amp;IF(S1781&lt;&gt;"","・確認事項","")&amp;IF(T1781&lt;&gt;"","・管","")&amp;IF(U1781&lt;&gt;"","・SV","")&amp;IF(V1781&lt;&gt;"","・データ送付待ち","")&amp;IF(W1781&lt;&gt;"","・削除","")</f>
        <v/>
      </c>
    </row>
    <row r="1782" ht="15" customHeight="1" s="87">
      <c r="AL1782" s="94">
        <f>IF(A1782="","",IF(COUNTIF(A1782:A$2001,A1782)=1,1,0))</f>
        <v/>
      </c>
      <c r="AM1782" s="94">
        <f>IF(I1782="","",TODAY()-I1782)</f>
        <v/>
      </c>
      <c r="AN1782" s="94">
        <f>IF(A1782="","",IF(AND(E1782&lt;&gt;"33 確認済",E1782&lt;&gt;"36 送付中"),1,0))</f>
        <v/>
      </c>
      <c r="AO1782" s="94">
        <f>IF(A1782="","",IF(AG1782&lt;&gt;"",1,0))</f>
        <v/>
      </c>
      <c r="AP1782" s="220">
        <f>IF(P1782&lt;&gt;"","・添待ち","")&amp;IF(Q1782&lt;&gt;"","・住民票","")&amp;IF(R1782&lt;&gt;"","・発信","")&amp;IF(S1782&lt;&gt;"","・確認事項","")&amp;IF(T1782&lt;&gt;"","・管","")&amp;IF(U1782&lt;&gt;"","・SV","")&amp;IF(V1782&lt;&gt;"","・データ送付待ち","")&amp;IF(W1782&lt;&gt;"","・削除","")</f>
        <v/>
      </c>
    </row>
    <row r="1783" ht="15" customHeight="1" s="87">
      <c r="AL1783" s="94">
        <f>IF(A1783="","",IF(COUNTIF(A1783:A$2001,A1783)=1,1,0))</f>
        <v/>
      </c>
      <c r="AM1783" s="94">
        <f>IF(I1783="","",TODAY()-I1783)</f>
        <v/>
      </c>
      <c r="AN1783" s="94">
        <f>IF(A1783="","",IF(AND(E1783&lt;&gt;"33 確認済",E1783&lt;&gt;"36 送付中"),1,0))</f>
        <v/>
      </c>
      <c r="AO1783" s="94">
        <f>IF(A1783="","",IF(AG1783&lt;&gt;"",1,0))</f>
        <v/>
      </c>
      <c r="AP1783" s="220">
        <f>IF(P1783&lt;&gt;"","・添待ち","")&amp;IF(Q1783&lt;&gt;"","・住民票","")&amp;IF(R1783&lt;&gt;"","・発信","")&amp;IF(S1783&lt;&gt;"","・確認事項","")&amp;IF(T1783&lt;&gt;"","・管","")&amp;IF(U1783&lt;&gt;"","・SV","")&amp;IF(V1783&lt;&gt;"","・データ送付待ち","")&amp;IF(W1783&lt;&gt;"","・削除","")</f>
        <v/>
      </c>
    </row>
    <row r="1784" ht="15" customHeight="1" s="87">
      <c r="AL1784" s="94">
        <f>IF(A1784="","",IF(COUNTIF(A1784:A$2001,A1784)=1,1,0))</f>
        <v/>
      </c>
      <c r="AM1784" s="94">
        <f>IF(I1784="","",TODAY()-I1784)</f>
        <v/>
      </c>
      <c r="AN1784" s="94">
        <f>IF(A1784="","",IF(AND(E1784&lt;&gt;"33 確認済",E1784&lt;&gt;"36 送付中"),1,0))</f>
        <v/>
      </c>
      <c r="AO1784" s="94">
        <f>IF(A1784="","",IF(AG1784&lt;&gt;"",1,0))</f>
        <v/>
      </c>
      <c r="AP1784" s="220">
        <f>IF(P1784&lt;&gt;"","・添待ち","")&amp;IF(Q1784&lt;&gt;"","・住民票","")&amp;IF(R1784&lt;&gt;"","・発信","")&amp;IF(S1784&lt;&gt;"","・確認事項","")&amp;IF(T1784&lt;&gt;"","・管","")&amp;IF(U1784&lt;&gt;"","・SV","")&amp;IF(V1784&lt;&gt;"","・データ送付待ち","")&amp;IF(W1784&lt;&gt;"","・削除","")</f>
        <v/>
      </c>
    </row>
    <row r="1785" ht="15" customHeight="1" s="87">
      <c r="AL1785" s="94">
        <f>IF(A1785="","",IF(COUNTIF(A1785:A$2001,A1785)=1,1,0))</f>
        <v/>
      </c>
      <c r="AM1785" s="94">
        <f>IF(I1785="","",TODAY()-I1785)</f>
        <v/>
      </c>
      <c r="AN1785" s="94">
        <f>IF(A1785="","",IF(AND(E1785&lt;&gt;"33 確認済",E1785&lt;&gt;"36 送付中"),1,0))</f>
        <v/>
      </c>
      <c r="AO1785" s="94">
        <f>IF(A1785="","",IF(AG1785&lt;&gt;"",1,0))</f>
        <v/>
      </c>
      <c r="AP1785" s="220">
        <f>IF(P1785&lt;&gt;"","・添待ち","")&amp;IF(Q1785&lt;&gt;"","・住民票","")&amp;IF(R1785&lt;&gt;"","・発信","")&amp;IF(S1785&lt;&gt;"","・確認事項","")&amp;IF(T1785&lt;&gt;"","・管","")&amp;IF(U1785&lt;&gt;"","・SV","")&amp;IF(V1785&lt;&gt;"","・データ送付待ち","")&amp;IF(W1785&lt;&gt;"","・削除","")</f>
        <v/>
      </c>
    </row>
    <row r="1786" ht="15" customHeight="1" s="87">
      <c r="AL1786" s="94">
        <f>IF(A1786="","",IF(COUNTIF(A1786:A$2001,A1786)=1,1,0))</f>
        <v/>
      </c>
      <c r="AM1786" s="94">
        <f>IF(I1786="","",TODAY()-I1786)</f>
        <v/>
      </c>
      <c r="AN1786" s="94">
        <f>IF(A1786="","",IF(AND(E1786&lt;&gt;"33 確認済",E1786&lt;&gt;"36 送付中"),1,0))</f>
        <v/>
      </c>
      <c r="AO1786" s="94">
        <f>IF(A1786="","",IF(AG1786&lt;&gt;"",1,0))</f>
        <v/>
      </c>
      <c r="AP1786" s="220">
        <f>IF(P1786&lt;&gt;"","・添待ち","")&amp;IF(Q1786&lt;&gt;"","・住民票","")&amp;IF(R1786&lt;&gt;"","・発信","")&amp;IF(S1786&lt;&gt;"","・確認事項","")&amp;IF(T1786&lt;&gt;"","・管","")&amp;IF(U1786&lt;&gt;"","・SV","")&amp;IF(V1786&lt;&gt;"","・データ送付待ち","")&amp;IF(W1786&lt;&gt;"","・削除","")</f>
        <v/>
      </c>
    </row>
    <row r="1787" ht="15" customHeight="1" s="87">
      <c r="AL1787" s="94">
        <f>IF(A1787="","",IF(COUNTIF(A1787:A$2001,A1787)=1,1,0))</f>
        <v/>
      </c>
      <c r="AM1787" s="94">
        <f>IF(I1787="","",TODAY()-I1787)</f>
        <v/>
      </c>
      <c r="AN1787" s="94">
        <f>IF(A1787="","",IF(AND(E1787&lt;&gt;"33 確認済",E1787&lt;&gt;"36 送付中"),1,0))</f>
        <v/>
      </c>
      <c r="AO1787" s="94">
        <f>IF(A1787="","",IF(AG1787&lt;&gt;"",1,0))</f>
        <v/>
      </c>
      <c r="AP1787" s="220">
        <f>IF(P1787&lt;&gt;"","・添待ち","")&amp;IF(Q1787&lt;&gt;"","・住民票","")&amp;IF(R1787&lt;&gt;"","・発信","")&amp;IF(S1787&lt;&gt;"","・確認事項","")&amp;IF(T1787&lt;&gt;"","・管","")&amp;IF(U1787&lt;&gt;"","・SV","")&amp;IF(V1787&lt;&gt;"","・データ送付待ち","")&amp;IF(W1787&lt;&gt;"","・削除","")</f>
        <v/>
      </c>
    </row>
    <row r="1788" ht="15" customHeight="1" s="87">
      <c r="AL1788" s="94">
        <f>IF(A1788="","",IF(COUNTIF(A1788:A$2001,A1788)=1,1,0))</f>
        <v/>
      </c>
      <c r="AM1788" s="94">
        <f>IF(I1788="","",TODAY()-I1788)</f>
        <v/>
      </c>
      <c r="AN1788" s="94">
        <f>IF(A1788="","",IF(AND(E1788&lt;&gt;"33 確認済",E1788&lt;&gt;"36 送付中"),1,0))</f>
        <v/>
      </c>
      <c r="AO1788" s="94">
        <f>IF(A1788="","",IF(AG1788&lt;&gt;"",1,0))</f>
        <v/>
      </c>
      <c r="AP1788" s="220">
        <f>IF(P1788&lt;&gt;"","・添待ち","")&amp;IF(Q1788&lt;&gt;"","・住民票","")&amp;IF(R1788&lt;&gt;"","・発信","")&amp;IF(S1788&lt;&gt;"","・確認事項","")&amp;IF(T1788&lt;&gt;"","・管","")&amp;IF(U1788&lt;&gt;"","・SV","")&amp;IF(V1788&lt;&gt;"","・データ送付待ち","")&amp;IF(W1788&lt;&gt;"","・削除","")</f>
        <v/>
      </c>
    </row>
    <row r="1789" ht="15" customHeight="1" s="87">
      <c r="AL1789" s="94">
        <f>IF(A1789="","",IF(COUNTIF(A1789:A$2001,A1789)=1,1,0))</f>
        <v/>
      </c>
      <c r="AM1789" s="94">
        <f>IF(I1789="","",TODAY()-I1789)</f>
        <v/>
      </c>
      <c r="AN1789" s="94">
        <f>IF(A1789="","",IF(AND(E1789&lt;&gt;"33 確認済",E1789&lt;&gt;"36 送付中"),1,0))</f>
        <v/>
      </c>
      <c r="AO1789" s="94">
        <f>IF(A1789="","",IF(AG1789&lt;&gt;"",1,0))</f>
        <v/>
      </c>
      <c r="AP1789" s="220">
        <f>IF(P1789&lt;&gt;"","・添待ち","")&amp;IF(Q1789&lt;&gt;"","・住民票","")&amp;IF(R1789&lt;&gt;"","・発信","")&amp;IF(S1789&lt;&gt;"","・確認事項","")&amp;IF(T1789&lt;&gt;"","・管","")&amp;IF(U1789&lt;&gt;"","・SV","")&amp;IF(V1789&lt;&gt;"","・データ送付待ち","")&amp;IF(W1789&lt;&gt;"","・削除","")</f>
        <v/>
      </c>
    </row>
    <row r="1790" ht="15" customHeight="1" s="87">
      <c r="AL1790" s="94">
        <f>IF(A1790="","",IF(COUNTIF(A1790:A$2001,A1790)=1,1,0))</f>
        <v/>
      </c>
      <c r="AM1790" s="94">
        <f>IF(I1790="","",TODAY()-I1790)</f>
        <v/>
      </c>
      <c r="AN1790" s="94">
        <f>IF(A1790="","",IF(AND(E1790&lt;&gt;"33 確認済",E1790&lt;&gt;"36 送付中"),1,0))</f>
        <v/>
      </c>
      <c r="AO1790" s="94">
        <f>IF(A1790="","",IF(AG1790&lt;&gt;"",1,0))</f>
        <v/>
      </c>
      <c r="AP1790" s="220">
        <f>IF(P1790&lt;&gt;"","・添待ち","")&amp;IF(Q1790&lt;&gt;"","・住民票","")&amp;IF(R1790&lt;&gt;"","・発信","")&amp;IF(S1790&lt;&gt;"","・確認事項","")&amp;IF(T1790&lt;&gt;"","・管","")&amp;IF(U1790&lt;&gt;"","・SV","")&amp;IF(V1790&lt;&gt;"","・データ送付待ち","")&amp;IF(W1790&lt;&gt;"","・削除","")</f>
        <v/>
      </c>
    </row>
    <row r="1791" ht="15" customHeight="1" s="87">
      <c r="AL1791" s="94">
        <f>IF(A1791="","",IF(COUNTIF(A1791:A$2001,A1791)=1,1,0))</f>
        <v/>
      </c>
      <c r="AM1791" s="94">
        <f>IF(I1791="","",TODAY()-I1791)</f>
        <v/>
      </c>
      <c r="AN1791" s="94">
        <f>IF(A1791="","",IF(AND(E1791&lt;&gt;"33 確認済",E1791&lt;&gt;"36 送付中"),1,0))</f>
        <v/>
      </c>
      <c r="AO1791" s="94">
        <f>IF(A1791="","",IF(AG1791&lt;&gt;"",1,0))</f>
        <v/>
      </c>
      <c r="AP1791" s="220">
        <f>IF(P1791&lt;&gt;"","・添待ち","")&amp;IF(Q1791&lt;&gt;"","・住民票","")&amp;IF(R1791&lt;&gt;"","・発信","")&amp;IF(S1791&lt;&gt;"","・確認事項","")&amp;IF(T1791&lt;&gt;"","・管","")&amp;IF(U1791&lt;&gt;"","・SV","")&amp;IF(V1791&lt;&gt;"","・データ送付待ち","")&amp;IF(W1791&lt;&gt;"","・削除","")</f>
        <v/>
      </c>
    </row>
    <row r="1792" ht="15" customHeight="1" s="87">
      <c r="AL1792" s="94">
        <f>IF(A1792="","",IF(COUNTIF(A1792:A$2001,A1792)=1,1,0))</f>
        <v/>
      </c>
      <c r="AM1792" s="94">
        <f>IF(I1792="","",TODAY()-I1792)</f>
        <v/>
      </c>
      <c r="AN1792" s="94">
        <f>IF(A1792="","",IF(AND(E1792&lt;&gt;"33 確認済",E1792&lt;&gt;"36 送付中"),1,0))</f>
        <v/>
      </c>
      <c r="AO1792" s="94">
        <f>IF(A1792="","",IF(AG1792&lt;&gt;"",1,0))</f>
        <v/>
      </c>
      <c r="AP1792" s="220">
        <f>IF(P1792&lt;&gt;"","・添待ち","")&amp;IF(Q1792&lt;&gt;"","・住民票","")&amp;IF(R1792&lt;&gt;"","・発信","")&amp;IF(S1792&lt;&gt;"","・確認事項","")&amp;IF(T1792&lt;&gt;"","・管","")&amp;IF(U1792&lt;&gt;"","・SV","")&amp;IF(V1792&lt;&gt;"","・データ送付待ち","")&amp;IF(W1792&lt;&gt;"","・削除","")</f>
        <v/>
      </c>
    </row>
    <row r="1793" ht="15" customHeight="1" s="87">
      <c r="AL1793" s="94">
        <f>IF(A1793="","",IF(COUNTIF(A1793:A$2001,A1793)=1,1,0))</f>
        <v/>
      </c>
      <c r="AM1793" s="94">
        <f>IF(I1793="","",TODAY()-I1793)</f>
        <v/>
      </c>
      <c r="AN1793" s="94">
        <f>IF(A1793="","",IF(AND(E1793&lt;&gt;"33 確認済",E1793&lt;&gt;"36 送付中"),1,0))</f>
        <v/>
      </c>
      <c r="AO1793" s="94">
        <f>IF(A1793="","",IF(AG1793&lt;&gt;"",1,0))</f>
        <v/>
      </c>
      <c r="AP1793" s="220">
        <f>IF(P1793&lt;&gt;"","・添待ち","")&amp;IF(Q1793&lt;&gt;"","・住民票","")&amp;IF(R1793&lt;&gt;"","・発信","")&amp;IF(S1793&lt;&gt;"","・確認事項","")&amp;IF(T1793&lt;&gt;"","・管","")&amp;IF(U1793&lt;&gt;"","・SV","")&amp;IF(V1793&lt;&gt;"","・データ送付待ち","")&amp;IF(W1793&lt;&gt;"","・削除","")</f>
        <v/>
      </c>
    </row>
    <row r="1794" ht="15" customHeight="1" s="87">
      <c r="AL1794" s="94">
        <f>IF(A1794="","",IF(COUNTIF(A1794:A$2001,A1794)=1,1,0))</f>
        <v/>
      </c>
      <c r="AM1794" s="94">
        <f>IF(I1794="","",TODAY()-I1794)</f>
        <v/>
      </c>
      <c r="AN1794" s="94">
        <f>IF(A1794="","",IF(AND(E1794&lt;&gt;"33 確認済",E1794&lt;&gt;"36 送付中"),1,0))</f>
        <v/>
      </c>
      <c r="AO1794" s="94">
        <f>IF(A1794="","",IF(AG1794&lt;&gt;"",1,0))</f>
        <v/>
      </c>
      <c r="AP1794" s="220">
        <f>IF(P1794&lt;&gt;"","・添待ち","")&amp;IF(Q1794&lt;&gt;"","・住民票","")&amp;IF(R1794&lt;&gt;"","・発信","")&amp;IF(S1794&lt;&gt;"","・確認事項","")&amp;IF(T1794&lt;&gt;"","・管","")&amp;IF(U1794&lt;&gt;"","・SV","")&amp;IF(V1794&lt;&gt;"","・データ送付待ち","")&amp;IF(W1794&lt;&gt;"","・削除","")</f>
        <v/>
      </c>
    </row>
    <row r="1795" ht="15" customHeight="1" s="87">
      <c r="AL1795" s="94">
        <f>IF(A1795="","",IF(COUNTIF(A1795:A$2001,A1795)=1,1,0))</f>
        <v/>
      </c>
      <c r="AM1795" s="94">
        <f>IF(I1795="","",TODAY()-I1795)</f>
        <v/>
      </c>
      <c r="AN1795" s="94">
        <f>IF(A1795="","",IF(AND(E1795&lt;&gt;"33 確認済",E1795&lt;&gt;"36 送付中"),1,0))</f>
        <v/>
      </c>
      <c r="AO1795" s="94">
        <f>IF(A1795="","",IF(AG1795&lt;&gt;"",1,0))</f>
        <v/>
      </c>
      <c r="AP1795" s="220">
        <f>IF(P1795&lt;&gt;"","・添待ち","")&amp;IF(Q1795&lt;&gt;"","・住民票","")&amp;IF(R1795&lt;&gt;"","・発信","")&amp;IF(S1795&lt;&gt;"","・確認事項","")&amp;IF(T1795&lt;&gt;"","・管","")&amp;IF(U1795&lt;&gt;"","・SV","")&amp;IF(V1795&lt;&gt;"","・データ送付待ち","")&amp;IF(W1795&lt;&gt;"","・削除","")</f>
        <v/>
      </c>
    </row>
    <row r="1796" ht="15" customHeight="1" s="87">
      <c r="AL1796" s="94">
        <f>IF(A1796="","",IF(COUNTIF(A1796:A$2001,A1796)=1,1,0))</f>
        <v/>
      </c>
      <c r="AM1796" s="94">
        <f>IF(I1796="","",TODAY()-I1796)</f>
        <v/>
      </c>
      <c r="AN1796" s="94">
        <f>IF(A1796="","",IF(AND(E1796&lt;&gt;"33 確認済",E1796&lt;&gt;"36 送付中"),1,0))</f>
        <v/>
      </c>
      <c r="AO1796" s="94">
        <f>IF(A1796="","",IF(AG1796&lt;&gt;"",1,0))</f>
        <v/>
      </c>
      <c r="AP1796" s="220">
        <f>IF(P1796&lt;&gt;"","・添待ち","")&amp;IF(Q1796&lt;&gt;"","・住民票","")&amp;IF(R1796&lt;&gt;"","・発信","")&amp;IF(S1796&lt;&gt;"","・確認事項","")&amp;IF(T1796&lt;&gt;"","・管","")&amp;IF(U1796&lt;&gt;"","・SV","")&amp;IF(V1796&lt;&gt;"","・データ送付待ち","")&amp;IF(W1796&lt;&gt;"","・削除","")</f>
        <v/>
      </c>
    </row>
    <row r="1797" ht="15" customHeight="1" s="87">
      <c r="AL1797" s="94">
        <f>IF(A1797="","",IF(COUNTIF(A1797:A$2001,A1797)=1,1,0))</f>
        <v/>
      </c>
      <c r="AM1797" s="94">
        <f>IF(I1797="","",TODAY()-I1797)</f>
        <v/>
      </c>
      <c r="AN1797" s="94">
        <f>IF(A1797="","",IF(AND(E1797&lt;&gt;"33 確認済",E1797&lt;&gt;"36 送付中"),1,0))</f>
        <v/>
      </c>
      <c r="AO1797" s="94">
        <f>IF(A1797="","",IF(AG1797&lt;&gt;"",1,0))</f>
        <v/>
      </c>
      <c r="AP1797" s="220">
        <f>IF(P1797&lt;&gt;"","・添待ち","")&amp;IF(Q1797&lt;&gt;"","・住民票","")&amp;IF(R1797&lt;&gt;"","・発信","")&amp;IF(S1797&lt;&gt;"","・確認事項","")&amp;IF(T1797&lt;&gt;"","・管","")&amp;IF(U1797&lt;&gt;"","・SV","")&amp;IF(V1797&lt;&gt;"","・データ送付待ち","")&amp;IF(W1797&lt;&gt;"","・削除","")</f>
        <v/>
      </c>
    </row>
    <row r="1798" ht="15" customHeight="1" s="87">
      <c r="AL1798" s="94">
        <f>IF(A1798="","",IF(COUNTIF(A1798:A$2001,A1798)=1,1,0))</f>
        <v/>
      </c>
      <c r="AM1798" s="94">
        <f>IF(I1798="","",TODAY()-I1798)</f>
        <v/>
      </c>
      <c r="AN1798" s="94">
        <f>IF(A1798="","",IF(AND(E1798&lt;&gt;"33 確認済",E1798&lt;&gt;"36 送付中"),1,0))</f>
        <v/>
      </c>
      <c r="AO1798" s="94">
        <f>IF(A1798="","",IF(AG1798&lt;&gt;"",1,0))</f>
        <v/>
      </c>
      <c r="AP1798" s="220">
        <f>IF(P1798&lt;&gt;"","・添待ち","")&amp;IF(Q1798&lt;&gt;"","・住民票","")&amp;IF(R1798&lt;&gt;"","・発信","")&amp;IF(S1798&lt;&gt;"","・確認事項","")&amp;IF(T1798&lt;&gt;"","・管","")&amp;IF(U1798&lt;&gt;"","・SV","")&amp;IF(V1798&lt;&gt;"","・データ送付待ち","")&amp;IF(W1798&lt;&gt;"","・削除","")</f>
        <v/>
      </c>
    </row>
    <row r="1799" ht="15" customHeight="1" s="87">
      <c r="AL1799" s="94">
        <f>IF(A1799="","",IF(COUNTIF(A1799:A$2001,A1799)=1,1,0))</f>
        <v/>
      </c>
      <c r="AM1799" s="94">
        <f>IF(I1799="","",TODAY()-I1799)</f>
        <v/>
      </c>
      <c r="AN1799" s="94">
        <f>IF(A1799="","",IF(AND(E1799&lt;&gt;"33 確認済",E1799&lt;&gt;"36 送付中"),1,0))</f>
        <v/>
      </c>
      <c r="AO1799" s="94">
        <f>IF(A1799="","",IF(AG1799&lt;&gt;"",1,0))</f>
        <v/>
      </c>
      <c r="AP1799" s="220">
        <f>IF(P1799&lt;&gt;"","・添待ち","")&amp;IF(Q1799&lt;&gt;"","・住民票","")&amp;IF(R1799&lt;&gt;"","・発信","")&amp;IF(S1799&lt;&gt;"","・確認事項","")&amp;IF(T1799&lt;&gt;"","・管","")&amp;IF(U1799&lt;&gt;"","・SV","")&amp;IF(V1799&lt;&gt;"","・データ送付待ち","")&amp;IF(W1799&lt;&gt;"","・削除","")</f>
        <v/>
      </c>
    </row>
    <row r="1800" ht="15" customHeight="1" s="87">
      <c r="AL1800" s="94">
        <f>IF(A1800="","",IF(COUNTIF(A1800:A$2001,A1800)=1,1,0))</f>
        <v/>
      </c>
      <c r="AM1800" s="94">
        <f>IF(I1800="","",TODAY()-I1800)</f>
        <v/>
      </c>
      <c r="AN1800" s="94">
        <f>IF(A1800="","",IF(AND(E1800&lt;&gt;"33 確認済",E1800&lt;&gt;"36 送付中"),1,0))</f>
        <v/>
      </c>
      <c r="AO1800" s="94">
        <f>IF(A1800="","",IF(AG1800&lt;&gt;"",1,0))</f>
        <v/>
      </c>
      <c r="AP1800" s="220">
        <f>IF(P1800&lt;&gt;"","・添待ち","")&amp;IF(Q1800&lt;&gt;"","・住民票","")&amp;IF(R1800&lt;&gt;"","・発信","")&amp;IF(S1800&lt;&gt;"","・確認事項","")&amp;IF(T1800&lt;&gt;"","・管","")&amp;IF(U1800&lt;&gt;"","・SV","")&amp;IF(V1800&lt;&gt;"","・データ送付待ち","")&amp;IF(W1800&lt;&gt;"","・削除","")</f>
        <v/>
      </c>
    </row>
    <row r="1801" ht="15" customHeight="1" s="87">
      <c r="AL1801" s="94">
        <f>IF(A1801="","",IF(COUNTIF(A1801:A$2001,A1801)=1,1,0))</f>
        <v/>
      </c>
      <c r="AM1801" s="94">
        <f>IF(I1801="","",TODAY()-I1801)</f>
        <v/>
      </c>
      <c r="AN1801" s="94">
        <f>IF(A1801="","",IF(AND(E1801&lt;&gt;"33 確認済",E1801&lt;&gt;"36 送付中"),1,0))</f>
        <v/>
      </c>
      <c r="AO1801" s="94">
        <f>IF(A1801="","",IF(AG1801&lt;&gt;"",1,0))</f>
        <v/>
      </c>
      <c r="AP1801" s="220">
        <f>IF(P1801&lt;&gt;"","・添待ち","")&amp;IF(Q1801&lt;&gt;"","・住民票","")&amp;IF(R1801&lt;&gt;"","・発信","")&amp;IF(S1801&lt;&gt;"","・確認事項","")&amp;IF(T1801&lt;&gt;"","・管","")&amp;IF(U1801&lt;&gt;"","・SV","")&amp;IF(V1801&lt;&gt;"","・データ送付待ち","")&amp;IF(W1801&lt;&gt;"","・削除","")</f>
        <v/>
      </c>
    </row>
    <row r="1802" ht="15" customHeight="1" s="87">
      <c r="AL1802" s="94">
        <f>IF(A1802="","",IF(COUNTIF(A1802:A$2001,A1802)=1,1,0))</f>
        <v/>
      </c>
      <c r="AM1802" s="94">
        <f>IF(I1802="","",TODAY()-I1802)</f>
        <v/>
      </c>
      <c r="AN1802" s="94">
        <f>IF(A1802="","",IF(AND(E1802&lt;&gt;"33 確認済",E1802&lt;&gt;"36 送付中"),1,0))</f>
        <v/>
      </c>
      <c r="AO1802" s="94">
        <f>IF(A1802="","",IF(AG1802&lt;&gt;"",1,0))</f>
        <v/>
      </c>
      <c r="AP1802" s="220">
        <f>IF(P1802&lt;&gt;"","・添待ち","")&amp;IF(Q1802&lt;&gt;"","・住民票","")&amp;IF(R1802&lt;&gt;"","・発信","")&amp;IF(S1802&lt;&gt;"","・確認事項","")&amp;IF(T1802&lt;&gt;"","・管","")&amp;IF(U1802&lt;&gt;"","・SV","")&amp;IF(V1802&lt;&gt;"","・データ送付待ち","")&amp;IF(W1802&lt;&gt;"","・削除","")</f>
        <v/>
      </c>
    </row>
    <row r="1803" ht="15" customHeight="1" s="87">
      <c r="AL1803" s="94">
        <f>IF(A1803="","",IF(COUNTIF(A1803:A$2001,A1803)=1,1,0))</f>
        <v/>
      </c>
      <c r="AM1803" s="94">
        <f>IF(I1803="","",TODAY()-I1803)</f>
        <v/>
      </c>
      <c r="AN1803" s="94">
        <f>IF(A1803="","",IF(AND(E1803&lt;&gt;"33 確認済",E1803&lt;&gt;"36 送付中"),1,0))</f>
        <v/>
      </c>
      <c r="AO1803" s="94">
        <f>IF(A1803="","",IF(AG1803&lt;&gt;"",1,0))</f>
        <v/>
      </c>
      <c r="AP1803" s="220">
        <f>IF(P1803&lt;&gt;"","・添待ち","")&amp;IF(Q1803&lt;&gt;"","・住民票","")&amp;IF(R1803&lt;&gt;"","・発信","")&amp;IF(S1803&lt;&gt;"","・確認事項","")&amp;IF(T1803&lt;&gt;"","・管","")&amp;IF(U1803&lt;&gt;"","・SV","")&amp;IF(V1803&lt;&gt;"","・データ送付待ち","")&amp;IF(W1803&lt;&gt;"","・削除","")</f>
        <v/>
      </c>
    </row>
    <row r="1804" ht="15" customHeight="1" s="87">
      <c r="AL1804" s="94">
        <f>IF(A1804="","",IF(COUNTIF(A1804:A$2001,A1804)=1,1,0))</f>
        <v/>
      </c>
      <c r="AM1804" s="94">
        <f>IF(I1804="","",TODAY()-I1804)</f>
        <v/>
      </c>
      <c r="AN1804" s="94">
        <f>IF(A1804="","",IF(AND(E1804&lt;&gt;"33 確認済",E1804&lt;&gt;"36 送付中"),1,0))</f>
        <v/>
      </c>
      <c r="AO1804" s="94">
        <f>IF(A1804="","",IF(AG1804&lt;&gt;"",1,0))</f>
        <v/>
      </c>
      <c r="AP1804" s="220">
        <f>IF(P1804&lt;&gt;"","・添待ち","")&amp;IF(Q1804&lt;&gt;"","・住民票","")&amp;IF(R1804&lt;&gt;"","・発信","")&amp;IF(S1804&lt;&gt;"","・確認事項","")&amp;IF(T1804&lt;&gt;"","・管","")&amp;IF(U1804&lt;&gt;"","・SV","")&amp;IF(V1804&lt;&gt;"","・データ送付待ち","")&amp;IF(W1804&lt;&gt;"","・削除","")</f>
        <v/>
      </c>
    </row>
    <row r="1805" ht="15" customHeight="1" s="87">
      <c r="AL1805" s="94">
        <f>IF(A1805="","",IF(COUNTIF(A1805:A$2001,A1805)=1,1,0))</f>
        <v/>
      </c>
      <c r="AM1805" s="94">
        <f>IF(I1805="","",TODAY()-I1805)</f>
        <v/>
      </c>
      <c r="AN1805" s="94">
        <f>IF(A1805="","",IF(AND(E1805&lt;&gt;"33 確認済",E1805&lt;&gt;"36 送付中"),1,0))</f>
        <v/>
      </c>
      <c r="AO1805" s="94">
        <f>IF(A1805="","",IF(AG1805&lt;&gt;"",1,0))</f>
        <v/>
      </c>
      <c r="AP1805" s="220">
        <f>IF(P1805&lt;&gt;"","・添待ち","")&amp;IF(Q1805&lt;&gt;"","・住民票","")&amp;IF(R1805&lt;&gt;"","・発信","")&amp;IF(S1805&lt;&gt;"","・確認事項","")&amp;IF(T1805&lt;&gt;"","・管","")&amp;IF(U1805&lt;&gt;"","・SV","")&amp;IF(V1805&lt;&gt;"","・データ送付待ち","")&amp;IF(W1805&lt;&gt;"","・削除","")</f>
        <v/>
      </c>
    </row>
    <row r="1806" ht="15" customHeight="1" s="87">
      <c r="AL1806" s="94">
        <f>IF(A1806="","",IF(COUNTIF(A1806:A$2001,A1806)=1,1,0))</f>
        <v/>
      </c>
      <c r="AM1806" s="94">
        <f>IF(I1806="","",TODAY()-I1806)</f>
        <v/>
      </c>
      <c r="AN1806" s="94">
        <f>IF(A1806="","",IF(AND(E1806&lt;&gt;"33 確認済",E1806&lt;&gt;"36 送付中"),1,0))</f>
        <v/>
      </c>
      <c r="AO1806" s="94">
        <f>IF(A1806="","",IF(AG1806&lt;&gt;"",1,0))</f>
        <v/>
      </c>
      <c r="AP1806" s="220">
        <f>IF(P1806&lt;&gt;"","・添待ち","")&amp;IF(Q1806&lt;&gt;"","・住民票","")&amp;IF(R1806&lt;&gt;"","・発信","")&amp;IF(S1806&lt;&gt;"","・確認事項","")&amp;IF(T1806&lt;&gt;"","・管","")&amp;IF(U1806&lt;&gt;"","・SV","")&amp;IF(V1806&lt;&gt;"","・データ送付待ち","")&amp;IF(W1806&lt;&gt;"","・削除","")</f>
        <v/>
      </c>
    </row>
    <row r="1807" ht="15" customHeight="1" s="87">
      <c r="AL1807" s="94">
        <f>IF(A1807="","",IF(COUNTIF(A1807:A$2001,A1807)=1,1,0))</f>
        <v/>
      </c>
      <c r="AM1807" s="94">
        <f>IF(I1807="","",TODAY()-I1807)</f>
        <v/>
      </c>
      <c r="AN1807" s="94">
        <f>IF(A1807="","",IF(AND(E1807&lt;&gt;"33 確認済",E1807&lt;&gt;"36 送付中"),1,0))</f>
        <v/>
      </c>
      <c r="AO1807" s="94">
        <f>IF(A1807="","",IF(AG1807&lt;&gt;"",1,0))</f>
        <v/>
      </c>
      <c r="AP1807" s="220">
        <f>IF(P1807&lt;&gt;"","・添待ち","")&amp;IF(Q1807&lt;&gt;"","・住民票","")&amp;IF(R1807&lt;&gt;"","・発信","")&amp;IF(S1807&lt;&gt;"","・確認事項","")&amp;IF(T1807&lt;&gt;"","・管","")&amp;IF(U1807&lt;&gt;"","・SV","")&amp;IF(V1807&lt;&gt;"","・データ送付待ち","")&amp;IF(W1807&lt;&gt;"","・削除","")</f>
        <v/>
      </c>
    </row>
    <row r="1808" ht="15" customHeight="1" s="87">
      <c r="AL1808" s="94">
        <f>IF(A1808="","",IF(COUNTIF(A1808:A$2001,A1808)=1,1,0))</f>
        <v/>
      </c>
      <c r="AM1808" s="94">
        <f>IF(I1808="","",TODAY()-I1808)</f>
        <v/>
      </c>
      <c r="AN1808" s="94">
        <f>IF(A1808="","",IF(AND(E1808&lt;&gt;"33 確認済",E1808&lt;&gt;"36 送付中"),1,0))</f>
        <v/>
      </c>
      <c r="AO1808" s="94">
        <f>IF(A1808="","",IF(AG1808&lt;&gt;"",1,0))</f>
        <v/>
      </c>
      <c r="AP1808" s="220">
        <f>IF(P1808&lt;&gt;"","・添待ち","")&amp;IF(Q1808&lt;&gt;"","・住民票","")&amp;IF(R1808&lt;&gt;"","・発信","")&amp;IF(S1808&lt;&gt;"","・確認事項","")&amp;IF(T1808&lt;&gt;"","・管","")&amp;IF(U1808&lt;&gt;"","・SV","")&amp;IF(V1808&lt;&gt;"","・データ送付待ち","")&amp;IF(W1808&lt;&gt;"","・削除","")</f>
        <v/>
      </c>
    </row>
    <row r="1809" ht="15" customHeight="1" s="87">
      <c r="AL1809" s="94">
        <f>IF(A1809="","",IF(COUNTIF(A1809:A$2001,A1809)=1,1,0))</f>
        <v/>
      </c>
      <c r="AM1809" s="94">
        <f>IF(I1809="","",TODAY()-I1809)</f>
        <v/>
      </c>
      <c r="AN1809" s="94">
        <f>IF(A1809="","",IF(AND(E1809&lt;&gt;"33 確認済",E1809&lt;&gt;"36 送付中"),1,0))</f>
        <v/>
      </c>
      <c r="AO1809" s="94">
        <f>IF(A1809="","",IF(AG1809&lt;&gt;"",1,0))</f>
        <v/>
      </c>
      <c r="AP1809" s="220">
        <f>IF(P1809&lt;&gt;"","・添待ち","")&amp;IF(Q1809&lt;&gt;"","・住民票","")&amp;IF(R1809&lt;&gt;"","・発信","")&amp;IF(S1809&lt;&gt;"","・確認事項","")&amp;IF(T1809&lt;&gt;"","・管","")&amp;IF(U1809&lt;&gt;"","・SV","")&amp;IF(V1809&lt;&gt;"","・データ送付待ち","")&amp;IF(W1809&lt;&gt;"","・削除","")</f>
        <v/>
      </c>
    </row>
    <row r="1810" ht="15" customHeight="1" s="87">
      <c r="AL1810" s="94">
        <f>IF(A1810="","",IF(COUNTIF(A1810:A$2001,A1810)=1,1,0))</f>
        <v/>
      </c>
      <c r="AM1810" s="94">
        <f>IF(I1810="","",TODAY()-I1810)</f>
        <v/>
      </c>
      <c r="AN1810" s="94">
        <f>IF(A1810="","",IF(AND(E1810&lt;&gt;"33 確認済",E1810&lt;&gt;"36 送付中"),1,0))</f>
        <v/>
      </c>
      <c r="AO1810" s="94">
        <f>IF(A1810="","",IF(AG1810&lt;&gt;"",1,0))</f>
        <v/>
      </c>
      <c r="AP1810" s="220">
        <f>IF(P1810&lt;&gt;"","・添待ち","")&amp;IF(Q1810&lt;&gt;"","・住民票","")&amp;IF(R1810&lt;&gt;"","・発信","")&amp;IF(S1810&lt;&gt;"","・確認事項","")&amp;IF(T1810&lt;&gt;"","・管","")&amp;IF(U1810&lt;&gt;"","・SV","")&amp;IF(V1810&lt;&gt;"","・データ送付待ち","")&amp;IF(W1810&lt;&gt;"","・削除","")</f>
        <v/>
      </c>
    </row>
    <row r="1811" ht="15" customHeight="1" s="87">
      <c r="AL1811" s="94">
        <f>IF(A1811="","",IF(COUNTIF(A1811:A$2001,A1811)=1,1,0))</f>
        <v/>
      </c>
      <c r="AM1811" s="94">
        <f>IF(I1811="","",TODAY()-I1811)</f>
        <v/>
      </c>
      <c r="AN1811" s="94">
        <f>IF(A1811="","",IF(AND(E1811&lt;&gt;"33 確認済",E1811&lt;&gt;"36 送付中"),1,0))</f>
        <v/>
      </c>
      <c r="AO1811" s="94">
        <f>IF(A1811="","",IF(AG1811&lt;&gt;"",1,0))</f>
        <v/>
      </c>
      <c r="AP1811" s="220">
        <f>IF(P1811&lt;&gt;"","・添待ち","")&amp;IF(Q1811&lt;&gt;"","・住民票","")&amp;IF(R1811&lt;&gt;"","・発信","")&amp;IF(S1811&lt;&gt;"","・確認事項","")&amp;IF(T1811&lt;&gt;"","・管","")&amp;IF(U1811&lt;&gt;"","・SV","")&amp;IF(V1811&lt;&gt;"","・データ送付待ち","")&amp;IF(W1811&lt;&gt;"","・削除","")</f>
        <v/>
      </c>
    </row>
    <row r="1812" ht="15" customHeight="1" s="87">
      <c r="AL1812" s="94">
        <f>IF(A1812="","",IF(COUNTIF(A1812:A$2001,A1812)=1,1,0))</f>
        <v/>
      </c>
      <c r="AM1812" s="94">
        <f>IF(I1812="","",TODAY()-I1812)</f>
        <v/>
      </c>
      <c r="AN1812" s="94">
        <f>IF(A1812="","",IF(AND(E1812&lt;&gt;"33 確認済",E1812&lt;&gt;"36 送付中"),1,0))</f>
        <v/>
      </c>
      <c r="AO1812" s="94">
        <f>IF(A1812="","",IF(AG1812&lt;&gt;"",1,0))</f>
        <v/>
      </c>
      <c r="AP1812" s="220">
        <f>IF(P1812&lt;&gt;"","・添待ち","")&amp;IF(Q1812&lt;&gt;"","・住民票","")&amp;IF(R1812&lt;&gt;"","・発信","")&amp;IF(S1812&lt;&gt;"","・確認事項","")&amp;IF(T1812&lt;&gt;"","・管","")&amp;IF(U1812&lt;&gt;"","・SV","")&amp;IF(V1812&lt;&gt;"","・データ送付待ち","")&amp;IF(W1812&lt;&gt;"","・削除","")</f>
        <v/>
      </c>
    </row>
    <row r="1813" ht="15" customHeight="1" s="87">
      <c r="AL1813" s="94">
        <f>IF(A1813="","",IF(COUNTIF(A1813:A$2001,A1813)=1,1,0))</f>
        <v/>
      </c>
      <c r="AM1813" s="94">
        <f>IF(I1813="","",TODAY()-I1813)</f>
        <v/>
      </c>
      <c r="AN1813" s="94">
        <f>IF(A1813="","",IF(AND(E1813&lt;&gt;"33 確認済",E1813&lt;&gt;"36 送付中"),1,0))</f>
        <v/>
      </c>
      <c r="AO1813" s="94">
        <f>IF(A1813="","",IF(AG1813&lt;&gt;"",1,0))</f>
        <v/>
      </c>
      <c r="AP1813" s="220">
        <f>IF(P1813&lt;&gt;"","・添待ち","")&amp;IF(Q1813&lt;&gt;"","・住民票","")&amp;IF(R1813&lt;&gt;"","・発信","")&amp;IF(S1813&lt;&gt;"","・確認事項","")&amp;IF(T1813&lt;&gt;"","・管","")&amp;IF(U1813&lt;&gt;"","・SV","")&amp;IF(V1813&lt;&gt;"","・データ送付待ち","")&amp;IF(W1813&lt;&gt;"","・削除","")</f>
        <v/>
      </c>
    </row>
    <row r="1814" ht="15" customHeight="1" s="87">
      <c r="AL1814" s="94">
        <f>IF(A1814="","",IF(COUNTIF(A1814:A$2001,A1814)=1,1,0))</f>
        <v/>
      </c>
      <c r="AM1814" s="94">
        <f>IF(I1814="","",TODAY()-I1814)</f>
        <v/>
      </c>
      <c r="AN1814" s="94">
        <f>IF(A1814="","",IF(AND(E1814&lt;&gt;"33 確認済",E1814&lt;&gt;"36 送付中"),1,0))</f>
        <v/>
      </c>
      <c r="AO1814" s="94">
        <f>IF(A1814="","",IF(AG1814&lt;&gt;"",1,0))</f>
        <v/>
      </c>
      <c r="AP1814" s="220">
        <f>IF(P1814&lt;&gt;"","・添待ち","")&amp;IF(Q1814&lt;&gt;"","・住民票","")&amp;IF(R1814&lt;&gt;"","・発信","")&amp;IF(S1814&lt;&gt;"","・確認事項","")&amp;IF(T1814&lt;&gt;"","・管","")&amp;IF(U1814&lt;&gt;"","・SV","")&amp;IF(V1814&lt;&gt;"","・データ送付待ち","")&amp;IF(W1814&lt;&gt;"","・削除","")</f>
        <v/>
      </c>
    </row>
    <row r="1815" ht="15" customHeight="1" s="87">
      <c r="AL1815" s="94">
        <f>IF(A1815="","",IF(COUNTIF(A1815:A$2001,A1815)=1,1,0))</f>
        <v/>
      </c>
      <c r="AM1815" s="94">
        <f>IF(I1815="","",TODAY()-I1815)</f>
        <v/>
      </c>
      <c r="AN1815" s="94">
        <f>IF(A1815="","",IF(AND(E1815&lt;&gt;"33 確認済",E1815&lt;&gt;"36 送付中"),1,0))</f>
        <v/>
      </c>
      <c r="AO1815" s="94">
        <f>IF(A1815="","",IF(AG1815&lt;&gt;"",1,0))</f>
        <v/>
      </c>
      <c r="AP1815" s="220">
        <f>IF(P1815&lt;&gt;"","・添待ち","")&amp;IF(Q1815&lt;&gt;"","・住民票","")&amp;IF(R1815&lt;&gt;"","・発信","")&amp;IF(S1815&lt;&gt;"","・確認事項","")&amp;IF(T1815&lt;&gt;"","・管","")&amp;IF(U1815&lt;&gt;"","・SV","")&amp;IF(V1815&lt;&gt;"","・データ送付待ち","")&amp;IF(W1815&lt;&gt;"","・削除","")</f>
        <v/>
      </c>
    </row>
    <row r="1816" ht="15" customHeight="1" s="87">
      <c r="AL1816" s="94">
        <f>IF(A1816="","",IF(COUNTIF(A1816:A$2001,A1816)=1,1,0))</f>
        <v/>
      </c>
      <c r="AM1816" s="94">
        <f>IF(I1816="","",TODAY()-I1816)</f>
        <v/>
      </c>
      <c r="AN1816" s="94">
        <f>IF(A1816="","",IF(AND(E1816&lt;&gt;"33 確認済",E1816&lt;&gt;"36 送付中"),1,0))</f>
        <v/>
      </c>
      <c r="AO1816" s="94">
        <f>IF(A1816="","",IF(AG1816&lt;&gt;"",1,0))</f>
        <v/>
      </c>
      <c r="AP1816" s="220">
        <f>IF(P1816&lt;&gt;"","・添待ち","")&amp;IF(Q1816&lt;&gt;"","・住民票","")&amp;IF(R1816&lt;&gt;"","・発信","")&amp;IF(S1816&lt;&gt;"","・確認事項","")&amp;IF(T1816&lt;&gt;"","・管","")&amp;IF(U1816&lt;&gt;"","・SV","")&amp;IF(V1816&lt;&gt;"","・データ送付待ち","")&amp;IF(W1816&lt;&gt;"","・削除","")</f>
        <v/>
      </c>
    </row>
    <row r="1817" ht="15" customHeight="1" s="87">
      <c r="AL1817" s="94">
        <f>IF(A1817="","",IF(COUNTIF(A1817:A$2001,A1817)=1,1,0))</f>
        <v/>
      </c>
      <c r="AM1817" s="94">
        <f>IF(I1817="","",TODAY()-I1817)</f>
        <v/>
      </c>
      <c r="AN1817" s="94">
        <f>IF(A1817="","",IF(AND(E1817&lt;&gt;"33 確認済",E1817&lt;&gt;"36 送付中"),1,0))</f>
        <v/>
      </c>
      <c r="AO1817" s="94">
        <f>IF(A1817="","",IF(AG1817&lt;&gt;"",1,0))</f>
        <v/>
      </c>
      <c r="AP1817" s="220">
        <f>IF(P1817&lt;&gt;"","・添待ち","")&amp;IF(Q1817&lt;&gt;"","・住民票","")&amp;IF(R1817&lt;&gt;"","・発信","")&amp;IF(S1817&lt;&gt;"","・確認事項","")&amp;IF(T1817&lt;&gt;"","・管","")&amp;IF(U1817&lt;&gt;"","・SV","")&amp;IF(V1817&lt;&gt;"","・データ送付待ち","")&amp;IF(W1817&lt;&gt;"","・削除","")</f>
        <v/>
      </c>
    </row>
    <row r="1818" ht="15" customHeight="1" s="87">
      <c r="AL1818" s="94">
        <f>IF(A1818="","",IF(COUNTIF(A1818:A$2001,A1818)=1,1,0))</f>
        <v/>
      </c>
      <c r="AM1818" s="94">
        <f>IF(I1818="","",TODAY()-I1818)</f>
        <v/>
      </c>
      <c r="AN1818" s="94">
        <f>IF(A1818="","",IF(AND(E1818&lt;&gt;"33 確認済",E1818&lt;&gt;"36 送付中"),1,0))</f>
        <v/>
      </c>
      <c r="AO1818" s="94">
        <f>IF(A1818="","",IF(AG1818&lt;&gt;"",1,0))</f>
        <v/>
      </c>
      <c r="AP1818" s="220">
        <f>IF(P1818&lt;&gt;"","・添待ち","")&amp;IF(Q1818&lt;&gt;"","・住民票","")&amp;IF(R1818&lt;&gt;"","・発信","")&amp;IF(S1818&lt;&gt;"","・確認事項","")&amp;IF(T1818&lt;&gt;"","・管","")&amp;IF(U1818&lt;&gt;"","・SV","")&amp;IF(V1818&lt;&gt;"","・データ送付待ち","")&amp;IF(W1818&lt;&gt;"","・削除","")</f>
        <v/>
      </c>
    </row>
    <row r="1819" ht="15" customHeight="1" s="87">
      <c r="AL1819" s="94">
        <f>IF(A1819="","",IF(COUNTIF(A1819:A$2001,A1819)=1,1,0))</f>
        <v/>
      </c>
      <c r="AM1819" s="94">
        <f>IF(I1819="","",TODAY()-I1819)</f>
        <v/>
      </c>
      <c r="AN1819" s="94">
        <f>IF(A1819="","",IF(AND(E1819&lt;&gt;"33 確認済",E1819&lt;&gt;"36 送付中"),1,0))</f>
        <v/>
      </c>
      <c r="AO1819" s="94">
        <f>IF(A1819="","",IF(AG1819&lt;&gt;"",1,0))</f>
        <v/>
      </c>
      <c r="AP1819" s="220">
        <f>IF(P1819&lt;&gt;"","・添待ち","")&amp;IF(Q1819&lt;&gt;"","・住民票","")&amp;IF(R1819&lt;&gt;"","・発信","")&amp;IF(S1819&lt;&gt;"","・確認事項","")&amp;IF(T1819&lt;&gt;"","・管","")&amp;IF(U1819&lt;&gt;"","・SV","")&amp;IF(V1819&lt;&gt;"","・データ送付待ち","")&amp;IF(W1819&lt;&gt;"","・削除","")</f>
        <v/>
      </c>
    </row>
    <row r="1820" ht="15" customHeight="1" s="87">
      <c r="AL1820" s="94">
        <f>IF(A1820="","",IF(COUNTIF(A1820:A$2001,A1820)=1,1,0))</f>
        <v/>
      </c>
      <c r="AM1820" s="94">
        <f>IF(I1820="","",TODAY()-I1820)</f>
        <v/>
      </c>
      <c r="AN1820" s="94">
        <f>IF(A1820="","",IF(AND(E1820&lt;&gt;"33 確認済",E1820&lt;&gt;"36 送付中"),1,0))</f>
        <v/>
      </c>
      <c r="AO1820" s="94">
        <f>IF(A1820="","",IF(AG1820&lt;&gt;"",1,0))</f>
        <v/>
      </c>
      <c r="AP1820" s="220">
        <f>IF(P1820&lt;&gt;"","・添待ち","")&amp;IF(Q1820&lt;&gt;"","・住民票","")&amp;IF(R1820&lt;&gt;"","・発信","")&amp;IF(S1820&lt;&gt;"","・確認事項","")&amp;IF(T1820&lt;&gt;"","・管","")&amp;IF(U1820&lt;&gt;"","・SV","")&amp;IF(V1820&lt;&gt;"","・データ送付待ち","")&amp;IF(W1820&lt;&gt;"","・削除","")</f>
        <v/>
      </c>
    </row>
    <row r="1821" ht="15" customHeight="1" s="87">
      <c r="AL1821" s="94">
        <f>IF(A1821="","",IF(COUNTIF(A1821:A$2001,A1821)=1,1,0))</f>
        <v/>
      </c>
      <c r="AM1821" s="94">
        <f>IF(I1821="","",TODAY()-I1821)</f>
        <v/>
      </c>
      <c r="AN1821" s="94">
        <f>IF(A1821="","",IF(AND(E1821&lt;&gt;"33 確認済",E1821&lt;&gt;"36 送付中"),1,0))</f>
        <v/>
      </c>
      <c r="AO1821" s="94">
        <f>IF(A1821="","",IF(AG1821&lt;&gt;"",1,0))</f>
        <v/>
      </c>
      <c r="AP1821" s="220">
        <f>IF(P1821&lt;&gt;"","・添待ち","")&amp;IF(Q1821&lt;&gt;"","・住民票","")&amp;IF(R1821&lt;&gt;"","・発信","")&amp;IF(S1821&lt;&gt;"","・確認事項","")&amp;IF(T1821&lt;&gt;"","・管","")&amp;IF(U1821&lt;&gt;"","・SV","")&amp;IF(V1821&lt;&gt;"","・データ送付待ち","")&amp;IF(W1821&lt;&gt;"","・削除","")</f>
        <v/>
      </c>
    </row>
    <row r="1822" ht="15" customHeight="1" s="87">
      <c r="AL1822" s="94">
        <f>IF(A1822="","",IF(COUNTIF(A1822:A$2001,A1822)=1,1,0))</f>
        <v/>
      </c>
      <c r="AM1822" s="94">
        <f>IF(I1822="","",TODAY()-I1822)</f>
        <v/>
      </c>
      <c r="AN1822" s="94">
        <f>IF(A1822="","",IF(AND(E1822&lt;&gt;"33 確認済",E1822&lt;&gt;"36 送付中"),1,0))</f>
        <v/>
      </c>
      <c r="AO1822" s="94">
        <f>IF(A1822="","",IF(AG1822&lt;&gt;"",1,0))</f>
        <v/>
      </c>
      <c r="AP1822" s="220">
        <f>IF(P1822&lt;&gt;"","・添待ち","")&amp;IF(Q1822&lt;&gt;"","・住民票","")&amp;IF(R1822&lt;&gt;"","・発信","")&amp;IF(S1822&lt;&gt;"","・確認事項","")&amp;IF(T1822&lt;&gt;"","・管","")&amp;IF(U1822&lt;&gt;"","・SV","")&amp;IF(V1822&lt;&gt;"","・データ送付待ち","")&amp;IF(W1822&lt;&gt;"","・削除","")</f>
        <v/>
      </c>
    </row>
    <row r="1823" ht="15" customHeight="1" s="87">
      <c r="AL1823" s="94">
        <f>IF(A1823="","",IF(COUNTIF(A1823:A$2001,A1823)=1,1,0))</f>
        <v/>
      </c>
      <c r="AM1823" s="94">
        <f>IF(I1823="","",TODAY()-I1823)</f>
        <v/>
      </c>
      <c r="AN1823" s="94">
        <f>IF(A1823="","",IF(AND(E1823&lt;&gt;"33 確認済",E1823&lt;&gt;"36 送付中"),1,0))</f>
        <v/>
      </c>
      <c r="AO1823" s="94">
        <f>IF(A1823="","",IF(AG1823&lt;&gt;"",1,0))</f>
        <v/>
      </c>
      <c r="AP1823" s="220">
        <f>IF(P1823&lt;&gt;"","・添待ち","")&amp;IF(Q1823&lt;&gt;"","・住民票","")&amp;IF(R1823&lt;&gt;"","・発信","")&amp;IF(S1823&lt;&gt;"","・確認事項","")&amp;IF(T1823&lt;&gt;"","・管","")&amp;IF(U1823&lt;&gt;"","・SV","")&amp;IF(V1823&lt;&gt;"","・データ送付待ち","")&amp;IF(W1823&lt;&gt;"","・削除","")</f>
        <v/>
      </c>
    </row>
    <row r="1824" ht="15" customHeight="1" s="87">
      <c r="AL1824" s="94">
        <f>IF(A1824="","",IF(COUNTIF(A1824:A$2001,A1824)=1,1,0))</f>
        <v/>
      </c>
      <c r="AM1824" s="94">
        <f>IF(I1824="","",TODAY()-I1824)</f>
        <v/>
      </c>
      <c r="AN1824" s="94">
        <f>IF(A1824="","",IF(AND(E1824&lt;&gt;"33 確認済",E1824&lt;&gt;"36 送付中"),1,0))</f>
        <v/>
      </c>
      <c r="AO1824" s="94">
        <f>IF(A1824="","",IF(AG1824&lt;&gt;"",1,0))</f>
        <v/>
      </c>
      <c r="AP1824" s="220">
        <f>IF(P1824&lt;&gt;"","・添待ち","")&amp;IF(Q1824&lt;&gt;"","・住民票","")&amp;IF(R1824&lt;&gt;"","・発信","")&amp;IF(S1824&lt;&gt;"","・確認事項","")&amp;IF(T1824&lt;&gt;"","・管","")&amp;IF(U1824&lt;&gt;"","・SV","")&amp;IF(V1824&lt;&gt;"","・データ送付待ち","")&amp;IF(W1824&lt;&gt;"","・削除","")</f>
        <v/>
      </c>
    </row>
    <row r="1825" ht="15" customHeight="1" s="87">
      <c r="AL1825" s="94">
        <f>IF(A1825="","",IF(COUNTIF(A1825:A$2001,A1825)=1,1,0))</f>
        <v/>
      </c>
      <c r="AM1825" s="94">
        <f>IF(I1825="","",TODAY()-I1825)</f>
        <v/>
      </c>
      <c r="AN1825" s="94">
        <f>IF(A1825="","",IF(AND(E1825&lt;&gt;"33 確認済",E1825&lt;&gt;"36 送付中"),1,0))</f>
        <v/>
      </c>
      <c r="AO1825" s="94">
        <f>IF(A1825="","",IF(AG1825&lt;&gt;"",1,0))</f>
        <v/>
      </c>
      <c r="AP1825" s="220">
        <f>IF(P1825&lt;&gt;"","・添待ち","")&amp;IF(Q1825&lt;&gt;"","・住民票","")&amp;IF(R1825&lt;&gt;"","・発信","")&amp;IF(S1825&lt;&gt;"","・確認事項","")&amp;IF(T1825&lt;&gt;"","・管","")&amp;IF(U1825&lt;&gt;"","・SV","")&amp;IF(V1825&lt;&gt;"","・データ送付待ち","")&amp;IF(W1825&lt;&gt;"","・削除","")</f>
        <v/>
      </c>
    </row>
    <row r="1826" ht="15" customHeight="1" s="87">
      <c r="AL1826" s="94">
        <f>IF(A1826="","",IF(COUNTIF(A1826:A$2001,A1826)=1,1,0))</f>
        <v/>
      </c>
      <c r="AM1826" s="94">
        <f>IF(I1826="","",TODAY()-I1826)</f>
        <v/>
      </c>
      <c r="AN1826" s="94">
        <f>IF(A1826="","",IF(AND(E1826&lt;&gt;"33 確認済",E1826&lt;&gt;"36 送付中"),1,0))</f>
        <v/>
      </c>
      <c r="AO1826" s="94">
        <f>IF(A1826="","",IF(AG1826&lt;&gt;"",1,0))</f>
        <v/>
      </c>
      <c r="AP1826" s="220">
        <f>IF(P1826&lt;&gt;"","・添待ち","")&amp;IF(Q1826&lt;&gt;"","・住民票","")&amp;IF(R1826&lt;&gt;"","・発信","")&amp;IF(S1826&lt;&gt;"","・確認事項","")&amp;IF(T1826&lt;&gt;"","・管","")&amp;IF(U1826&lt;&gt;"","・SV","")&amp;IF(V1826&lt;&gt;"","・データ送付待ち","")&amp;IF(W1826&lt;&gt;"","・削除","")</f>
        <v/>
      </c>
    </row>
    <row r="1827" ht="15" customHeight="1" s="87">
      <c r="AL1827" s="94">
        <f>IF(A1827="","",IF(COUNTIF(A1827:A$2001,A1827)=1,1,0))</f>
        <v/>
      </c>
      <c r="AM1827" s="94">
        <f>IF(I1827="","",TODAY()-I1827)</f>
        <v/>
      </c>
      <c r="AN1827" s="94">
        <f>IF(A1827="","",IF(AND(E1827&lt;&gt;"33 確認済",E1827&lt;&gt;"36 送付中"),1,0))</f>
        <v/>
      </c>
      <c r="AO1827" s="94">
        <f>IF(A1827="","",IF(AG1827&lt;&gt;"",1,0))</f>
        <v/>
      </c>
      <c r="AP1827" s="220">
        <f>IF(P1827&lt;&gt;"","・添待ち","")&amp;IF(Q1827&lt;&gt;"","・住民票","")&amp;IF(R1827&lt;&gt;"","・発信","")&amp;IF(S1827&lt;&gt;"","・確認事項","")&amp;IF(T1827&lt;&gt;"","・管","")&amp;IF(U1827&lt;&gt;"","・SV","")&amp;IF(V1827&lt;&gt;"","・データ送付待ち","")&amp;IF(W1827&lt;&gt;"","・削除","")</f>
        <v/>
      </c>
    </row>
    <row r="1828" ht="15" customHeight="1" s="87">
      <c r="AL1828" s="94">
        <f>IF(A1828="","",IF(COUNTIF(A1828:A$2001,A1828)=1,1,0))</f>
        <v/>
      </c>
      <c r="AM1828" s="94">
        <f>IF(I1828="","",TODAY()-I1828)</f>
        <v/>
      </c>
      <c r="AN1828" s="94">
        <f>IF(A1828="","",IF(AND(E1828&lt;&gt;"33 確認済",E1828&lt;&gt;"36 送付中"),1,0))</f>
        <v/>
      </c>
      <c r="AO1828" s="94">
        <f>IF(A1828="","",IF(AG1828&lt;&gt;"",1,0))</f>
        <v/>
      </c>
      <c r="AP1828" s="220">
        <f>IF(P1828&lt;&gt;"","・添待ち","")&amp;IF(Q1828&lt;&gt;"","・住民票","")&amp;IF(R1828&lt;&gt;"","・発信","")&amp;IF(S1828&lt;&gt;"","・確認事項","")&amp;IF(T1828&lt;&gt;"","・管","")&amp;IF(U1828&lt;&gt;"","・SV","")&amp;IF(V1828&lt;&gt;"","・データ送付待ち","")&amp;IF(W1828&lt;&gt;"","・削除","")</f>
        <v/>
      </c>
    </row>
    <row r="1829" ht="15" customHeight="1" s="87">
      <c r="AL1829" s="94">
        <f>IF(A1829="","",IF(COUNTIF(A1829:A$2001,A1829)=1,1,0))</f>
        <v/>
      </c>
      <c r="AM1829" s="94">
        <f>IF(I1829="","",TODAY()-I1829)</f>
        <v/>
      </c>
      <c r="AN1829" s="94">
        <f>IF(A1829="","",IF(AND(E1829&lt;&gt;"33 確認済",E1829&lt;&gt;"36 送付中"),1,0))</f>
        <v/>
      </c>
      <c r="AO1829" s="94">
        <f>IF(A1829="","",IF(AG1829&lt;&gt;"",1,0))</f>
        <v/>
      </c>
      <c r="AP1829" s="220">
        <f>IF(P1829&lt;&gt;"","・添待ち","")&amp;IF(Q1829&lt;&gt;"","・住民票","")&amp;IF(R1829&lt;&gt;"","・発信","")&amp;IF(S1829&lt;&gt;"","・確認事項","")&amp;IF(T1829&lt;&gt;"","・管","")&amp;IF(U1829&lt;&gt;"","・SV","")&amp;IF(V1829&lt;&gt;"","・データ送付待ち","")&amp;IF(W1829&lt;&gt;"","・削除","")</f>
        <v/>
      </c>
    </row>
    <row r="1830" ht="15" customHeight="1" s="87">
      <c r="AL1830" s="94">
        <f>IF(A1830="","",IF(COUNTIF(A1830:A$2001,A1830)=1,1,0))</f>
        <v/>
      </c>
      <c r="AM1830" s="94">
        <f>IF(I1830="","",TODAY()-I1830)</f>
        <v/>
      </c>
      <c r="AN1830" s="94">
        <f>IF(A1830="","",IF(AND(E1830&lt;&gt;"33 確認済",E1830&lt;&gt;"36 送付中"),1,0))</f>
        <v/>
      </c>
      <c r="AO1830" s="94">
        <f>IF(A1830="","",IF(AG1830&lt;&gt;"",1,0))</f>
        <v/>
      </c>
      <c r="AP1830" s="220">
        <f>IF(P1830&lt;&gt;"","・添待ち","")&amp;IF(Q1830&lt;&gt;"","・住民票","")&amp;IF(R1830&lt;&gt;"","・発信","")&amp;IF(S1830&lt;&gt;"","・確認事項","")&amp;IF(T1830&lt;&gt;"","・管","")&amp;IF(U1830&lt;&gt;"","・SV","")&amp;IF(V1830&lt;&gt;"","・データ送付待ち","")&amp;IF(W1830&lt;&gt;"","・削除","")</f>
        <v/>
      </c>
    </row>
    <row r="1831" ht="15" customHeight="1" s="87">
      <c r="AL1831" s="94">
        <f>IF(A1831="","",IF(COUNTIF(A1831:A$2001,A1831)=1,1,0))</f>
        <v/>
      </c>
      <c r="AM1831" s="94">
        <f>IF(I1831="","",TODAY()-I1831)</f>
        <v/>
      </c>
      <c r="AN1831" s="94">
        <f>IF(A1831="","",IF(AND(E1831&lt;&gt;"33 確認済",E1831&lt;&gt;"36 送付中"),1,0))</f>
        <v/>
      </c>
      <c r="AO1831" s="94">
        <f>IF(A1831="","",IF(AG1831&lt;&gt;"",1,0))</f>
        <v/>
      </c>
      <c r="AP1831" s="220">
        <f>IF(P1831&lt;&gt;"","・添待ち","")&amp;IF(Q1831&lt;&gt;"","・住民票","")&amp;IF(R1831&lt;&gt;"","・発信","")&amp;IF(S1831&lt;&gt;"","・確認事項","")&amp;IF(T1831&lt;&gt;"","・管","")&amp;IF(U1831&lt;&gt;"","・SV","")&amp;IF(V1831&lt;&gt;"","・データ送付待ち","")&amp;IF(W1831&lt;&gt;"","・削除","")</f>
        <v/>
      </c>
    </row>
    <row r="1832" ht="15" customHeight="1" s="87">
      <c r="AL1832" s="94">
        <f>IF(A1832="","",IF(COUNTIF(A1832:A$2001,A1832)=1,1,0))</f>
        <v/>
      </c>
      <c r="AM1832" s="94">
        <f>IF(I1832="","",TODAY()-I1832)</f>
        <v/>
      </c>
      <c r="AN1832" s="94">
        <f>IF(A1832="","",IF(AND(E1832&lt;&gt;"33 確認済",E1832&lt;&gt;"36 送付中"),1,0))</f>
        <v/>
      </c>
      <c r="AO1832" s="94">
        <f>IF(A1832="","",IF(AG1832&lt;&gt;"",1,0))</f>
        <v/>
      </c>
      <c r="AP1832" s="220">
        <f>IF(P1832&lt;&gt;"","・添待ち","")&amp;IF(Q1832&lt;&gt;"","・住民票","")&amp;IF(R1832&lt;&gt;"","・発信","")&amp;IF(S1832&lt;&gt;"","・確認事項","")&amp;IF(T1832&lt;&gt;"","・管","")&amp;IF(U1832&lt;&gt;"","・SV","")&amp;IF(V1832&lt;&gt;"","・データ送付待ち","")&amp;IF(W1832&lt;&gt;"","・削除","")</f>
        <v/>
      </c>
    </row>
    <row r="1833" ht="15" customHeight="1" s="87">
      <c r="AL1833" s="94">
        <f>IF(A1833="","",IF(COUNTIF(A1833:A$2001,A1833)=1,1,0))</f>
        <v/>
      </c>
      <c r="AM1833" s="94">
        <f>IF(I1833="","",TODAY()-I1833)</f>
        <v/>
      </c>
      <c r="AN1833" s="94">
        <f>IF(A1833="","",IF(AND(E1833&lt;&gt;"33 確認済",E1833&lt;&gt;"36 送付中"),1,0))</f>
        <v/>
      </c>
      <c r="AO1833" s="94">
        <f>IF(A1833="","",IF(AG1833&lt;&gt;"",1,0))</f>
        <v/>
      </c>
      <c r="AP1833" s="220">
        <f>IF(P1833&lt;&gt;"","・添待ち","")&amp;IF(Q1833&lt;&gt;"","・住民票","")&amp;IF(R1833&lt;&gt;"","・発信","")&amp;IF(S1833&lt;&gt;"","・確認事項","")&amp;IF(T1833&lt;&gt;"","・管","")&amp;IF(U1833&lt;&gt;"","・SV","")&amp;IF(V1833&lt;&gt;"","・データ送付待ち","")&amp;IF(W1833&lt;&gt;"","・削除","")</f>
        <v/>
      </c>
    </row>
    <row r="1834" ht="15" customHeight="1" s="87">
      <c r="AL1834" s="94">
        <f>IF(A1834="","",IF(COUNTIF(A1834:A$2001,A1834)=1,1,0))</f>
        <v/>
      </c>
      <c r="AM1834" s="94">
        <f>IF(I1834="","",TODAY()-I1834)</f>
        <v/>
      </c>
      <c r="AN1834" s="94">
        <f>IF(A1834="","",IF(AND(E1834&lt;&gt;"33 確認済",E1834&lt;&gt;"36 送付中"),1,0))</f>
        <v/>
      </c>
      <c r="AO1834" s="94">
        <f>IF(A1834="","",IF(AG1834&lt;&gt;"",1,0))</f>
        <v/>
      </c>
      <c r="AP1834" s="220">
        <f>IF(P1834&lt;&gt;"","・添待ち","")&amp;IF(Q1834&lt;&gt;"","・住民票","")&amp;IF(R1834&lt;&gt;"","・発信","")&amp;IF(S1834&lt;&gt;"","・確認事項","")&amp;IF(T1834&lt;&gt;"","・管","")&amp;IF(U1834&lt;&gt;"","・SV","")&amp;IF(V1834&lt;&gt;"","・データ送付待ち","")&amp;IF(W1834&lt;&gt;"","・削除","")</f>
        <v/>
      </c>
    </row>
    <row r="1835" ht="15" customHeight="1" s="87">
      <c r="AL1835" s="94">
        <f>IF(A1835="","",IF(COUNTIF(A1835:A$2001,A1835)=1,1,0))</f>
        <v/>
      </c>
      <c r="AM1835" s="94">
        <f>IF(I1835="","",TODAY()-I1835)</f>
        <v/>
      </c>
      <c r="AN1835" s="94">
        <f>IF(A1835="","",IF(AND(E1835&lt;&gt;"33 確認済",E1835&lt;&gt;"36 送付中"),1,0))</f>
        <v/>
      </c>
      <c r="AO1835" s="94">
        <f>IF(A1835="","",IF(AG1835&lt;&gt;"",1,0))</f>
        <v/>
      </c>
      <c r="AP1835" s="220">
        <f>IF(P1835&lt;&gt;"","・添待ち","")&amp;IF(Q1835&lt;&gt;"","・住民票","")&amp;IF(R1835&lt;&gt;"","・発信","")&amp;IF(S1835&lt;&gt;"","・確認事項","")&amp;IF(T1835&lt;&gt;"","・管","")&amp;IF(U1835&lt;&gt;"","・SV","")&amp;IF(V1835&lt;&gt;"","・データ送付待ち","")&amp;IF(W1835&lt;&gt;"","・削除","")</f>
        <v/>
      </c>
    </row>
    <row r="1836" ht="15" customHeight="1" s="87">
      <c r="AL1836" s="94">
        <f>IF(A1836="","",IF(COUNTIF(A1836:A$2001,A1836)=1,1,0))</f>
        <v/>
      </c>
      <c r="AM1836" s="94">
        <f>IF(I1836="","",TODAY()-I1836)</f>
        <v/>
      </c>
      <c r="AN1836" s="94">
        <f>IF(A1836="","",IF(AND(E1836&lt;&gt;"33 確認済",E1836&lt;&gt;"36 送付中"),1,0))</f>
        <v/>
      </c>
      <c r="AO1836" s="94">
        <f>IF(A1836="","",IF(AG1836&lt;&gt;"",1,0))</f>
        <v/>
      </c>
      <c r="AP1836" s="220">
        <f>IF(P1836&lt;&gt;"","・添待ち","")&amp;IF(Q1836&lt;&gt;"","・住民票","")&amp;IF(R1836&lt;&gt;"","・発信","")&amp;IF(S1836&lt;&gt;"","・確認事項","")&amp;IF(T1836&lt;&gt;"","・管","")&amp;IF(U1836&lt;&gt;"","・SV","")&amp;IF(V1836&lt;&gt;"","・データ送付待ち","")&amp;IF(W1836&lt;&gt;"","・削除","")</f>
        <v/>
      </c>
    </row>
    <row r="1837" ht="15" customHeight="1" s="87">
      <c r="AL1837" s="94">
        <f>IF(A1837="","",IF(COUNTIF(A1837:A$2001,A1837)=1,1,0))</f>
        <v/>
      </c>
      <c r="AM1837" s="94">
        <f>IF(I1837="","",TODAY()-I1837)</f>
        <v/>
      </c>
      <c r="AN1837" s="94">
        <f>IF(A1837="","",IF(AND(E1837&lt;&gt;"33 確認済",E1837&lt;&gt;"36 送付中"),1,0))</f>
        <v/>
      </c>
      <c r="AO1837" s="94">
        <f>IF(A1837="","",IF(AG1837&lt;&gt;"",1,0))</f>
        <v/>
      </c>
      <c r="AP1837" s="220">
        <f>IF(P1837&lt;&gt;"","・添待ち","")&amp;IF(Q1837&lt;&gt;"","・住民票","")&amp;IF(R1837&lt;&gt;"","・発信","")&amp;IF(S1837&lt;&gt;"","・確認事項","")&amp;IF(T1837&lt;&gt;"","・管","")&amp;IF(U1837&lt;&gt;"","・SV","")&amp;IF(V1837&lt;&gt;"","・データ送付待ち","")&amp;IF(W1837&lt;&gt;"","・削除","")</f>
        <v/>
      </c>
    </row>
    <row r="1838" ht="15" customHeight="1" s="87">
      <c r="AL1838" s="94">
        <f>IF(A1838="","",IF(COUNTIF(A1838:A$2001,A1838)=1,1,0))</f>
        <v/>
      </c>
      <c r="AM1838" s="94">
        <f>IF(I1838="","",TODAY()-I1838)</f>
        <v/>
      </c>
      <c r="AN1838" s="94">
        <f>IF(A1838="","",IF(AND(E1838&lt;&gt;"33 確認済",E1838&lt;&gt;"36 送付中"),1,0))</f>
        <v/>
      </c>
      <c r="AO1838" s="94">
        <f>IF(A1838="","",IF(AG1838&lt;&gt;"",1,0))</f>
        <v/>
      </c>
      <c r="AP1838" s="220">
        <f>IF(P1838&lt;&gt;"","・添待ち","")&amp;IF(Q1838&lt;&gt;"","・住民票","")&amp;IF(R1838&lt;&gt;"","・発信","")&amp;IF(S1838&lt;&gt;"","・確認事項","")&amp;IF(T1838&lt;&gt;"","・管","")&amp;IF(U1838&lt;&gt;"","・SV","")&amp;IF(V1838&lt;&gt;"","・データ送付待ち","")&amp;IF(W1838&lt;&gt;"","・削除","")</f>
        <v/>
      </c>
    </row>
    <row r="1839" ht="15" customHeight="1" s="87">
      <c r="AL1839" s="94">
        <f>IF(A1839="","",IF(COUNTIF(A1839:A$2001,A1839)=1,1,0))</f>
        <v/>
      </c>
      <c r="AM1839" s="94">
        <f>IF(I1839="","",TODAY()-I1839)</f>
        <v/>
      </c>
      <c r="AN1839" s="94">
        <f>IF(A1839="","",IF(AND(E1839&lt;&gt;"33 確認済",E1839&lt;&gt;"36 送付中"),1,0))</f>
        <v/>
      </c>
      <c r="AO1839" s="94">
        <f>IF(A1839="","",IF(AG1839&lt;&gt;"",1,0))</f>
        <v/>
      </c>
      <c r="AP1839" s="220">
        <f>IF(P1839&lt;&gt;"","・添待ち","")&amp;IF(Q1839&lt;&gt;"","・住民票","")&amp;IF(R1839&lt;&gt;"","・発信","")&amp;IF(S1839&lt;&gt;"","・確認事項","")&amp;IF(T1839&lt;&gt;"","・管","")&amp;IF(U1839&lt;&gt;"","・SV","")&amp;IF(V1839&lt;&gt;"","・データ送付待ち","")&amp;IF(W1839&lt;&gt;"","・削除","")</f>
        <v/>
      </c>
    </row>
    <row r="1840" ht="15" customHeight="1" s="87">
      <c r="AL1840" s="94">
        <f>IF(A1840="","",IF(COUNTIF(A1840:A$2001,A1840)=1,1,0))</f>
        <v/>
      </c>
      <c r="AM1840" s="94">
        <f>IF(I1840="","",TODAY()-I1840)</f>
        <v/>
      </c>
      <c r="AN1840" s="94">
        <f>IF(A1840="","",IF(AND(E1840&lt;&gt;"33 確認済",E1840&lt;&gt;"36 送付中"),1,0))</f>
        <v/>
      </c>
      <c r="AO1840" s="94">
        <f>IF(A1840="","",IF(AG1840&lt;&gt;"",1,0))</f>
        <v/>
      </c>
      <c r="AP1840" s="220">
        <f>IF(P1840&lt;&gt;"","・添待ち","")&amp;IF(Q1840&lt;&gt;"","・住民票","")&amp;IF(R1840&lt;&gt;"","・発信","")&amp;IF(S1840&lt;&gt;"","・確認事項","")&amp;IF(T1840&lt;&gt;"","・管","")&amp;IF(U1840&lt;&gt;"","・SV","")&amp;IF(V1840&lt;&gt;"","・データ送付待ち","")&amp;IF(W1840&lt;&gt;"","・削除","")</f>
        <v/>
      </c>
    </row>
    <row r="1841" ht="15" customHeight="1" s="87">
      <c r="AL1841" s="94">
        <f>IF(A1841="","",IF(COUNTIF(A1841:A$2001,A1841)=1,1,0))</f>
        <v/>
      </c>
      <c r="AM1841" s="94">
        <f>IF(I1841="","",TODAY()-I1841)</f>
        <v/>
      </c>
      <c r="AN1841" s="94">
        <f>IF(A1841="","",IF(AND(E1841&lt;&gt;"33 確認済",E1841&lt;&gt;"36 送付中"),1,0))</f>
        <v/>
      </c>
      <c r="AO1841" s="94">
        <f>IF(A1841="","",IF(AG1841&lt;&gt;"",1,0))</f>
        <v/>
      </c>
      <c r="AP1841" s="220">
        <f>IF(P1841&lt;&gt;"","・添待ち","")&amp;IF(Q1841&lt;&gt;"","・住民票","")&amp;IF(R1841&lt;&gt;"","・発信","")&amp;IF(S1841&lt;&gt;"","・確認事項","")&amp;IF(T1841&lt;&gt;"","・管","")&amp;IF(U1841&lt;&gt;"","・SV","")&amp;IF(V1841&lt;&gt;"","・データ送付待ち","")&amp;IF(W1841&lt;&gt;"","・削除","")</f>
        <v/>
      </c>
    </row>
    <row r="1842" ht="15" customHeight="1" s="87">
      <c r="AL1842" s="94">
        <f>IF(A1842="","",IF(COUNTIF(A1842:A$2001,A1842)=1,1,0))</f>
        <v/>
      </c>
      <c r="AM1842" s="94">
        <f>IF(I1842="","",TODAY()-I1842)</f>
        <v/>
      </c>
      <c r="AN1842" s="94">
        <f>IF(A1842="","",IF(AND(E1842&lt;&gt;"33 確認済",E1842&lt;&gt;"36 送付中"),1,0))</f>
        <v/>
      </c>
      <c r="AO1842" s="94">
        <f>IF(A1842="","",IF(AG1842&lt;&gt;"",1,0))</f>
        <v/>
      </c>
      <c r="AP1842" s="220">
        <f>IF(P1842&lt;&gt;"","・添待ち","")&amp;IF(Q1842&lt;&gt;"","・住民票","")&amp;IF(R1842&lt;&gt;"","・発信","")&amp;IF(S1842&lt;&gt;"","・確認事項","")&amp;IF(T1842&lt;&gt;"","・管","")&amp;IF(U1842&lt;&gt;"","・SV","")&amp;IF(V1842&lt;&gt;"","・データ送付待ち","")&amp;IF(W1842&lt;&gt;"","・削除","")</f>
        <v/>
      </c>
    </row>
    <row r="1843" ht="15" customHeight="1" s="87">
      <c r="AL1843" s="94">
        <f>IF(A1843="","",IF(COUNTIF(A1843:A$2001,A1843)=1,1,0))</f>
        <v/>
      </c>
      <c r="AM1843" s="94">
        <f>IF(I1843="","",TODAY()-I1843)</f>
        <v/>
      </c>
      <c r="AN1843" s="94">
        <f>IF(A1843="","",IF(AND(E1843&lt;&gt;"33 確認済",E1843&lt;&gt;"36 送付中"),1,0))</f>
        <v/>
      </c>
      <c r="AO1843" s="94">
        <f>IF(A1843="","",IF(AG1843&lt;&gt;"",1,0))</f>
        <v/>
      </c>
      <c r="AP1843" s="220">
        <f>IF(P1843&lt;&gt;"","・添待ち","")&amp;IF(Q1843&lt;&gt;"","・住民票","")&amp;IF(R1843&lt;&gt;"","・発信","")&amp;IF(S1843&lt;&gt;"","・確認事項","")&amp;IF(T1843&lt;&gt;"","・管","")&amp;IF(U1843&lt;&gt;"","・SV","")&amp;IF(V1843&lt;&gt;"","・データ送付待ち","")&amp;IF(W1843&lt;&gt;"","・削除","")</f>
        <v/>
      </c>
    </row>
    <row r="1844" ht="15" customHeight="1" s="87">
      <c r="AL1844" s="94">
        <f>IF(A1844="","",IF(COUNTIF(A1844:A$2001,A1844)=1,1,0))</f>
        <v/>
      </c>
      <c r="AM1844" s="94">
        <f>IF(I1844="","",TODAY()-I1844)</f>
        <v/>
      </c>
      <c r="AN1844" s="94">
        <f>IF(A1844="","",IF(AND(E1844&lt;&gt;"33 確認済",E1844&lt;&gt;"36 送付中"),1,0))</f>
        <v/>
      </c>
      <c r="AO1844" s="94">
        <f>IF(A1844="","",IF(AG1844&lt;&gt;"",1,0))</f>
        <v/>
      </c>
      <c r="AP1844" s="220">
        <f>IF(P1844&lt;&gt;"","・添待ち","")&amp;IF(Q1844&lt;&gt;"","・住民票","")&amp;IF(R1844&lt;&gt;"","・発信","")&amp;IF(S1844&lt;&gt;"","・確認事項","")&amp;IF(T1844&lt;&gt;"","・管","")&amp;IF(U1844&lt;&gt;"","・SV","")&amp;IF(V1844&lt;&gt;"","・データ送付待ち","")&amp;IF(W1844&lt;&gt;"","・削除","")</f>
        <v/>
      </c>
    </row>
    <row r="1845" ht="15" customHeight="1" s="87">
      <c r="AL1845" s="94">
        <f>IF(A1845="","",IF(COUNTIF(A1845:A$2001,A1845)=1,1,0))</f>
        <v/>
      </c>
      <c r="AM1845" s="94">
        <f>IF(I1845="","",TODAY()-I1845)</f>
        <v/>
      </c>
      <c r="AN1845" s="94">
        <f>IF(A1845="","",IF(AND(E1845&lt;&gt;"33 確認済",E1845&lt;&gt;"36 送付中"),1,0))</f>
        <v/>
      </c>
      <c r="AO1845" s="94">
        <f>IF(A1845="","",IF(AG1845&lt;&gt;"",1,0))</f>
        <v/>
      </c>
      <c r="AP1845" s="220">
        <f>IF(P1845&lt;&gt;"","・添待ち","")&amp;IF(Q1845&lt;&gt;"","・住民票","")&amp;IF(R1845&lt;&gt;"","・発信","")&amp;IF(S1845&lt;&gt;"","・確認事項","")&amp;IF(T1845&lt;&gt;"","・管","")&amp;IF(U1845&lt;&gt;"","・SV","")&amp;IF(V1845&lt;&gt;"","・データ送付待ち","")&amp;IF(W1845&lt;&gt;"","・削除","")</f>
        <v/>
      </c>
    </row>
    <row r="1846" ht="15" customHeight="1" s="87">
      <c r="AL1846" s="94">
        <f>IF(A1846="","",IF(COUNTIF(A1846:A$2001,A1846)=1,1,0))</f>
        <v/>
      </c>
      <c r="AM1846" s="94">
        <f>IF(I1846="","",TODAY()-I1846)</f>
        <v/>
      </c>
      <c r="AN1846" s="94">
        <f>IF(A1846="","",IF(AND(E1846&lt;&gt;"33 確認済",E1846&lt;&gt;"36 送付中"),1,0))</f>
        <v/>
      </c>
      <c r="AO1846" s="94">
        <f>IF(A1846="","",IF(AG1846&lt;&gt;"",1,0))</f>
        <v/>
      </c>
      <c r="AP1846" s="220">
        <f>IF(P1846&lt;&gt;"","・添待ち","")&amp;IF(Q1846&lt;&gt;"","・住民票","")&amp;IF(R1846&lt;&gt;"","・発信","")&amp;IF(S1846&lt;&gt;"","・確認事項","")&amp;IF(T1846&lt;&gt;"","・管","")&amp;IF(U1846&lt;&gt;"","・SV","")&amp;IF(V1846&lt;&gt;"","・データ送付待ち","")&amp;IF(W1846&lt;&gt;"","・削除","")</f>
        <v/>
      </c>
    </row>
    <row r="1847" ht="15" customHeight="1" s="87">
      <c r="AL1847" s="94">
        <f>IF(A1847="","",IF(COUNTIF(A1847:A$2001,A1847)=1,1,0))</f>
        <v/>
      </c>
      <c r="AM1847" s="94">
        <f>IF(I1847="","",TODAY()-I1847)</f>
        <v/>
      </c>
      <c r="AN1847" s="94">
        <f>IF(A1847="","",IF(AND(E1847&lt;&gt;"33 確認済",E1847&lt;&gt;"36 送付中"),1,0))</f>
        <v/>
      </c>
      <c r="AO1847" s="94">
        <f>IF(A1847="","",IF(AG1847&lt;&gt;"",1,0))</f>
        <v/>
      </c>
      <c r="AP1847" s="220">
        <f>IF(P1847&lt;&gt;"","・添待ち","")&amp;IF(Q1847&lt;&gt;"","・住民票","")&amp;IF(R1847&lt;&gt;"","・発信","")&amp;IF(S1847&lt;&gt;"","・確認事項","")&amp;IF(T1847&lt;&gt;"","・管","")&amp;IF(U1847&lt;&gt;"","・SV","")&amp;IF(V1847&lt;&gt;"","・データ送付待ち","")&amp;IF(W1847&lt;&gt;"","・削除","")</f>
        <v/>
      </c>
    </row>
    <row r="1848" ht="15" customHeight="1" s="87">
      <c r="AL1848" s="94">
        <f>IF(A1848="","",IF(COUNTIF(A1848:A$2001,A1848)=1,1,0))</f>
        <v/>
      </c>
      <c r="AM1848" s="94">
        <f>IF(I1848="","",TODAY()-I1848)</f>
        <v/>
      </c>
      <c r="AN1848" s="94">
        <f>IF(A1848="","",IF(AND(E1848&lt;&gt;"33 確認済",E1848&lt;&gt;"36 送付中"),1,0))</f>
        <v/>
      </c>
      <c r="AO1848" s="94">
        <f>IF(A1848="","",IF(AG1848&lt;&gt;"",1,0))</f>
        <v/>
      </c>
      <c r="AP1848" s="220">
        <f>IF(P1848&lt;&gt;"","・添待ち","")&amp;IF(Q1848&lt;&gt;"","・住民票","")&amp;IF(R1848&lt;&gt;"","・発信","")&amp;IF(S1848&lt;&gt;"","・確認事項","")&amp;IF(T1848&lt;&gt;"","・管","")&amp;IF(U1848&lt;&gt;"","・SV","")&amp;IF(V1848&lt;&gt;"","・データ送付待ち","")&amp;IF(W1848&lt;&gt;"","・削除","")</f>
        <v/>
      </c>
    </row>
    <row r="1849" ht="15" customHeight="1" s="87">
      <c r="AL1849" s="94">
        <f>IF(A1849="","",IF(COUNTIF(A1849:A$2001,A1849)=1,1,0))</f>
        <v/>
      </c>
      <c r="AM1849" s="94">
        <f>IF(I1849="","",TODAY()-I1849)</f>
        <v/>
      </c>
      <c r="AN1849" s="94">
        <f>IF(A1849="","",IF(AND(E1849&lt;&gt;"33 確認済",E1849&lt;&gt;"36 送付中"),1,0))</f>
        <v/>
      </c>
      <c r="AO1849" s="94">
        <f>IF(A1849="","",IF(AG1849&lt;&gt;"",1,0))</f>
        <v/>
      </c>
      <c r="AP1849" s="220">
        <f>IF(P1849&lt;&gt;"","・添待ち","")&amp;IF(Q1849&lt;&gt;"","・住民票","")&amp;IF(R1849&lt;&gt;"","・発信","")&amp;IF(S1849&lt;&gt;"","・確認事項","")&amp;IF(T1849&lt;&gt;"","・管","")&amp;IF(U1849&lt;&gt;"","・SV","")&amp;IF(V1849&lt;&gt;"","・データ送付待ち","")&amp;IF(W1849&lt;&gt;"","・削除","")</f>
        <v/>
      </c>
    </row>
    <row r="1850" ht="15" customHeight="1" s="87">
      <c r="AL1850" s="94">
        <f>IF(A1850="","",IF(COUNTIF(A1850:A$2001,A1850)=1,1,0))</f>
        <v/>
      </c>
      <c r="AM1850" s="94">
        <f>IF(I1850="","",TODAY()-I1850)</f>
        <v/>
      </c>
      <c r="AN1850" s="94">
        <f>IF(A1850="","",IF(AND(E1850&lt;&gt;"33 確認済",E1850&lt;&gt;"36 送付中"),1,0))</f>
        <v/>
      </c>
      <c r="AO1850" s="94">
        <f>IF(A1850="","",IF(AG1850&lt;&gt;"",1,0))</f>
        <v/>
      </c>
      <c r="AP1850" s="220">
        <f>IF(P1850&lt;&gt;"","・添待ち","")&amp;IF(Q1850&lt;&gt;"","・住民票","")&amp;IF(R1850&lt;&gt;"","・発信","")&amp;IF(S1850&lt;&gt;"","・確認事項","")&amp;IF(T1850&lt;&gt;"","・管","")&amp;IF(U1850&lt;&gt;"","・SV","")&amp;IF(V1850&lt;&gt;"","・データ送付待ち","")&amp;IF(W1850&lt;&gt;"","・削除","")</f>
        <v/>
      </c>
    </row>
    <row r="1851" ht="15" customHeight="1" s="87">
      <c r="AL1851" s="94">
        <f>IF(A1851="","",IF(COUNTIF(A1851:A$2001,A1851)=1,1,0))</f>
        <v/>
      </c>
      <c r="AM1851" s="94">
        <f>IF(I1851="","",TODAY()-I1851)</f>
        <v/>
      </c>
      <c r="AN1851" s="94">
        <f>IF(A1851="","",IF(AND(E1851&lt;&gt;"33 確認済",E1851&lt;&gt;"36 送付中"),1,0))</f>
        <v/>
      </c>
      <c r="AO1851" s="94">
        <f>IF(A1851="","",IF(AG1851&lt;&gt;"",1,0))</f>
        <v/>
      </c>
      <c r="AP1851" s="220">
        <f>IF(P1851&lt;&gt;"","・添待ち","")&amp;IF(Q1851&lt;&gt;"","・住民票","")&amp;IF(R1851&lt;&gt;"","・発信","")&amp;IF(S1851&lt;&gt;"","・確認事項","")&amp;IF(T1851&lt;&gt;"","・管","")&amp;IF(U1851&lt;&gt;"","・SV","")&amp;IF(V1851&lt;&gt;"","・データ送付待ち","")&amp;IF(W1851&lt;&gt;"","・削除","")</f>
        <v/>
      </c>
    </row>
    <row r="1852" ht="15" customHeight="1" s="87">
      <c r="AL1852" s="94">
        <f>IF(A1852="","",IF(COUNTIF(A1852:A$2001,A1852)=1,1,0))</f>
        <v/>
      </c>
      <c r="AM1852" s="94">
        <f>IF(I1852="","",TODAY()-I1852)</f>
        <v/>
      </c>
      <c r="AN1852" s="94">
        <f>IF(A1852="","",IF(AND(E1852&lt;&gt;"33 確認済",E1852&lt;&gt;"36 送付中"),1,0))</f>
        <v/>
      </c>
      <c r="AO1852" s="94">
        <f>IF(A1852="","",IF(AG1852&lt;&gt;"",1,0))</f>
        <v/>
      </c>
      <c r="AP1852" s="220">
        <f>IF(P1852&lt;&gt;"","・添待ち","")&amp;IF(Q1852&lt;&gt;"","・住民票","")&amp;IF(R1852&lt;&gt;"","・発信","")&amp;IF(S1852&lt;&gt;"","・確認事項","")&amp;IF(T1852&lt;&gt;"","・管","")&amp;IF(U1852&lt;&gt;"","・SV","")&amp;IF(V1852&lt;&gt;"","・データ送付待ち","")&amp;IF(W1852&lt;&gt;"","・削除","")</f>
        <v/>
      </c>
    </row>
    <row r="1853" ht="15" customHeight="1" s="87">
      <c r="AL1853" s="94">
        <f>IF(A1853="","",IF(COUNTIF(A1853:A$2001,A1853)=1,1,0))</f>
        <v/>
      </c>
      <c r="AM1853" s="94">
        <f>IF(I1853="","",TODAY()-I1853)</f>
        <v/>
      </c>
      <c r="AN1853" s="94">
        <f>IF(A1853="","",IF(AND(E1853&lt;&gt;"33 確認済",E1853&lt;&gt;"36 送付中"),1,0))</f>
        <v/>
      </c>
      <c r="AO1853" s="94">
        <f>IF(A1853="","",IF(AG1853&lt;&gt;"",1,0))</f>
        <v/>
      </c>
      <c r="AP1853" s="220">
        <f>IF(P1853&lt;&gt;"","・添待ち","")&amp;IF(Q1853&lt;&gt;"","・住民票","")&amp;IF(R1853&lt;&gt;"","・発信","")&amp;IF(S1853&lt;&gt;"","・確認事項","")&amp;IF(T1853&lt;&gt;"","・管","")&amp;IF(U1853&lt;&gt;"","・SV","")&amp;IF(V1853&lt;&gt;"","・データ送付待ち","")&amp;IF(W1853&lt;&gt;"","・削除","")</f>
        <v/>
      </c>
    </row>
    <row r="1854" ht="15" customHeight="1" s="87">
      <c r="AL1854" s="94">
        <f>IF(A1854="","",IF(COUNTIF(A1854:A$2001,A1854)=1,1,0))</f>
        <v/>
      </c>
      <c r="AM1854" s="94">
        <f>IF(I1854="","",TODAY()-I1854)</f>
        <v/>
      </c>
      <c r="AN1854" s="94">
        <f>IF(A1854="","",IF(AND(E1854&lt;&gt;"33 確認済",E1854&lt;&gt;"36 送付中"),1,0))</f>
        <v/>
      </c>
      <c r="AO1854" s="94">
        <f>IF(A1854="","",IF(AG1854&lt;&gt;"",1,0))</f>
        <v/>
      </c>
      <c r="AP1854" s="220">
        <f>IF(P1854&lt;&gt;"","・添待ち","")&amp;IF(Q1854&lt;&gt;"","・住民票","")&amp;IF(R1854&lt;&gt;"","・発信","")&amp;IF(S1854&lt;&gt;"","・確認事項","")&amp;IF(T1854&lt;&gt;"","・管","")&amp;IF(U1854&lt;&gt;"","・SV","")&amp;IF(V1854&lt;&gt;"","・データ送付待ち","")&amp;IF(W1854&lt;&gt;"","・削除","")</f>
        <v/>
      </c>
    </row>
    <row r="1855" ht="15" customHeight="1" s="87">
      <c r="AL1855" s="94">
        <f>IF(A1855="","",IF(COUNTIF(A1855:A$2001,A1855)=1,1,0))</f>
        <v/>
      </c>
      <c r="AM1855" s="94">
        <f>IF(I1855="","",TODAY()-I1855)</f>
        <v/>
      </c>
      <c r="AN1855" s="94">
        <f>IF(A1855="","",IF(AND(E1855&lt;&gt;"33 確認済",E1855&lt;&gt;"36 送付中"),1,0))</f>
        <v/>
      </c>
      <c r="AO1855" s="94">
        <f>IF(A1855="","",IF(AG1855&lt;&gt;"",1,0))</f>
        <v/>
      </c>
      <c r="AP1855" s="220">
        <f>IF(P1855&lt;&gt;"","・添待ち","")&amp;IF(Q1855&lt;&gt;"","・住民票","")&amp;IF(R1855&lt;&gt;"","・発信","")&amp;IF(S1855&lt;&gt;"","・確認事項","")&amp;IF(T1855&lt;&gt;"","・管","")&amp;IF(U1855&lt;&gt;"","・SV","")&amp;IF(V1855&lt;&gt;"","・データ送付待ち","")&amp;IF(W1855&lt;&gt;"","・削除","")</f>
        <v/>
      </c>
    </row>
    <row r="1856" ht="15" customHeight="1" s="87">
      <c r="AL1856" s="94">
        <f>IF(A1856="","",IF(COUNTIF(A1856:A$2001,A1856)=1,1,0))</f>
        <v/>
      </c>
      <c r="AM1856" s="94">
        <f>IF(I1856="","",TODAY()-I1856)</f>
        <v/>
      </c>
      <c r="AN1856" s="94">
        <f>IF(A1856="","",IF(AND(E1856&lt;&gt;"33 確認済",E1856&lt;&gt;"36 送付中"),1,0))</f>
        <v/>
      </c>
      <c r="AO1856" s="94">
        <f>IF(A1856="","",IF(AG1856&lt;&gt;"",1,0))</f>
        <v/>
      </c>
      <c r="AP1856" s="220">
        <f>IF(P1856&lt;&gt;"","・添待ち","")&amp;IF(Q1856&lt;&gt;"","・住民票","")&amp;IF(R1856&lt;&gt;"","・発信","")&amp;IF(S1856&lt;&gt;"","・確認事項","")&amp;IF(T1856&lt;&gt;"","・管","")&amp;IF(U1856&lt;&gt;"","・SV","")&amp;IF(V1856&lt;&gt;"","・データ送付待ち","")&amp;IF(W1856&lt;&gt;"","・削除","")</f>
        <v/>
      </c>
    </row>
    <row r="1857" ht="15" customHeight="1" s="87">
      <c r="AL1857" s="94">
        <f>IF(A1857="","",IF(COUNTIF(A1857:A$2001,A1857)=1,1,0))</f>
        <v/>
      </c>
      <c r="AM1857" s="94">
        <f>IF(I1857="","",TODAY()-I1857)</f>
        <v/>
      </c>
      <c r="AN1857" s="94">
        <f>IF(A1857="","",IF(AND(E1857&lt;&gt;"33 確認済",E1857&lt;&gt;"36 送付中"),1,0))</f>
        <v/>
      </c>
      <c r="AO1857" s="94">
        <f>IF(A1857="","",IF(AG1857&lt;&gt;"",1,0))</f>
        <v/>
      </c>
      <c r="AP1857" s="220">
        <f>IF(P1857&lt;&gt;"","・添待ち","")&amp;IF(Q1857&lt;&gt;"","・住民票","")&amp;IF(R1857&lt;&gt;"","・発信","")&amp;IF(S1857&lt;&gt;"","・確認事項","")&amp;IF(T1857&lt;&gt;"","・管","")&amp;IF(U1857&lt;&gt;"","・SV","")&amp;IF(V1857&lt;&gt;"","・データ送付待ち","")&amp;IF(W1857&lt;&gt;"","・削除","")</f>
        <v/>
      </c>
    </row>
    <row r="1858" ht="15" customHeight="1" s="87">
      <c r="AL1858" s="94">
        <f>IF(A1858="","",IF(COUNTIF(A1858:A$2001,A1858)=1,1,0))</f>
        <v/>
      </c>
      <c r="AM1858" s="94">
        <f>IF(I1858="","",TODAY()-I1858)</f>
        <v/>
      </c>
      <c r="AN1858" s="94">
        <f>IF(A1858="","",IF(AND(E1858&lt;&gt;"33 確認済",E1858&lt;&gt;"36 送付中"),1,0))</f>
        <v/>
      </c>
      <c r="AO1858" s="94">
        <f>IF(A1858="","",IF(AG1858&lt;&gt;"",1,0))</f>
        <v/>
      </c>
      <c r="AP1858" s="220">
        <f>IF(P1858&lt;&gt;"","・添待ち","")&amp;IF(Q1858&lt;&gt;"","・住民票","")&amp;IF(R1858&lt;&gt;"","・発信","")&amp;IF(S1858&lt;&gt;"","・確認事項","")&amp;IF(T1858&lt;&gt;"","・管","")&amp;IF(U1858&lt;&gt;"","・SV","")&amp;IF(V1858&lt;&gt;"","・データ送付待ち","")&amp;IF(W1858&lt;&gt;"","・削除","")</f>
        <v/>
      </c>
    </row>
    <row r="1859" ht="15" customHeight="1" s="87">
      <c r="AL1859" s="94">
        <f>IF(A1859="","",IF(COUNTIF(A1859:A$2001,A1859)=1,1,0))</f>
        <v/>
      </c>
      <c r="AM1859" s="94">
        <f>IF(I1859="","",TODAY()-I1859)</f>
        <v/>
      </c>
      <c r="AN1859" s="94">
        <f>IF(A1859="","",IF(AND(E1859&lt;&gt;"33 確認済",E1859&lt;&gt;"36 送付中"),1,0))</f>
        <v/>
      </c>
      <c r="AO1859" s="94">
        <f>IF(A1859="","",IF(AG1859&lt;&gt;"",1,0))</f>
        <v/>
      </c>
      <c r="AP1859" s="220">
        <f>IF(P1859&lt;&gt;"","・添待ち","")&amp;IF(Q1859&lt;&gt;"","・住民票","")&amp;IF(R1859&lt;&gt;"","・発信","")&amp;IF(S1859&lt;&gt;"","・確認事項","")&amp;IF(T1859&lt;&gt;"","・管","")&amp;IF(U1859&lt;&gt;"","・SV","")&amp;IF(V1859&lt;&gt;"","・データ送付待ち","")&amp;IF(W1859&lt;&gt;"","・削除","")</f>
        <v/>
      </c>
    </row>
    <row r="1860" ht="15" customHeight="1" s="87">
      <c r="AL1860" s="94">
        <f>IF(A1860="","",IF(COUNTIF(A1860:A$2001,A1860)=1,1,0))</f>
        <v/>
      </c>
      <c r="AM1860" s="94">
        <f>IF(I1860="","",TODAY()-I1860)</f>
        <v/>
      </c>
      <c r="AN1860" s="94">
        <f>IF(A1860="","",IF(AND(E1860&lt;&gt;"33 確認済",E1860&lt;&gt;"36 送付中"),1,0))</f>
        <v/>
      </c>
      <c r="AO1860" s="94">
        <f>IF(A1860="","",IF(AG1860&lt;&gt;"",1,0))</f>
        <v/>
      </c>
      <c r="AP1860" s="220">
        <f>IF(P1860&lt;&gt;"","・添待ち","")&amp;IF(Q1860&lt;&gt;"","・住民票","")&amp;IF(R1860&lt;&gt;"","・発信","")&amp;IF(S1860&lt;&gt;"","・確認事項","")&amp;IF(T1860&lt;&gt;"","・管","")&amp;IF(U1860&lt;&gt;"","・SV","")&amp;IF(V1860&lt;&gt;"","・データ送付待ち","")&amp;IF(W1860&lt;&gt;"","・削除","")</f>
        <v/>
      </c>
    </row>
    <row r="1861" ht="15" customHeight="1" s="87">
      <c r="AL1861" s="94">
        <f>IF(A1861="","",IF(COUNTIF(A1861:A$2001,A1861)=1,1,0))</f>
        <v/>
      </c>
      <c r="AM1861" s="94">
        <f>IF(I1861="","",TODAY()-I1861)</f>
        <v/>
      </c>
      <c r="AN1861" s="94">
        <f>IF(A1861="","",IF(AND(E1861&lt;&gt;"33 確認済",E1861&lt;&gt;"36 送付中"),1,0))</f>
        <v/>
      </c>
      <c r="AO1861" s="94">
        <f>IF(A1861="","",IF(AG1861&lt;&gt;"",1,0))</f>
        <v/>
      </c>
      <c r="AP1861" s="220">
        <f>IF(P1861&lt;&gt;"","・添待ち","")&amp;IF(Q1861&lt;&gt;"","・住民票","")&amp;IF(R1861&lt;&gt;"","・発信","")&amp;IF(S1861&lt;&gt;"","・確認事項","")&amp;IF(T1861&lt;&gt;"","・管","")&amp;IF(U1861&lt;&gt;"","・SV","")&amp;IF(V1861&lt;&gt;"","・データ送付待ち","")&amp;IF(W1861&lt;&gt;"","・削除","")</f>
        <v/>
      </c>
    </row>
    <row r="1862" ht="15" customHeight="1" s="87">
      <c r="AL1862" s="94">
        <f>IF(A1862="","",IF(COUNTIF(A1862:A$2001,A1862)=1,1,0))</f>
        <v/>
      </c>
      <c r="AM1862" s="94">
        <f>IF(I1862="","",TODAY()-I1862)</f>
        <v/>
      </c>
      <c r="AN1862" s="94">
        <f>IF(A1862="","",IF(AND(E1862&lt;&gt;"33 確認済",E1862&lt;&gt;"36 送付中"),1,0))</f>
        <v/>
      </c>
      <c r="AO1862" s="94">
        <f>IF(A1862="","",IF(AG1862&lt;&gt;"",1,0))</f>
        <v/>
      </c>
      <c r="AP1862" s="220">
        <f>IF(P1862&lt;&gt;"","・添待ち","")&amp;IF(Q1862&lt;&gt;"","・住民票","")&amp;IF(R1862&lt;&gt;"","・発信","")&amp;IF(S1862&lt;&gt;"","・確認事項","")&amp;IF(T1862&lt;&gt;"","・管","")&amp;IF(U1862&lt;&gt;"","・SV","")&amp;IF(V1862&lt;&gt;"","・データ送付待ち","")&amp;IF(W1862&lt;&gt;"","・削除","")</f>
        <v/>
      </c>
    </row>
    <row r="1863" ht="15" customHeight="1" s="87">
      <c r="AL1863" s="94">
        <f>IF(A1863="","",IF(COUNTIF(A1863:A$2001,A1863)=1,1,0))</f>
        <v/>
      </c>
      <c r="AM1863" s="94">
        <f>IF(I1863="","",TODAY()-I1863)</f>
        <v/>
      </c>
      <c r="AN1863" s="94">
        <f>IF(A1863="","",IF(AND(E1863&lt;&gt;"33 確認済",E1863&lt;&gt;"36 送付中"),1,0))</f>
        <v/>
      </c>
      <c r="AO1863" s="94">
        <f>IF(A1863="","",IF(AG1863&lt;&gt;"",1,0))</f>
        <v/>
      </c>
      <c r="AP1863" s="220">
        <f>IF(P1863&lt;&gt;"","・添待ち","")&amp;IF(Q1863&lt;&gt;"","・住民票","")&amp;IF(R1863&lt;&gt;"","・発信","")&amp;IF(S1863&lt;&gt;"","・確認事項","")&amp;IF(T1863&lt;&gt;"","・管","")&amp;IF(U1863&lt;&gt;"","・SV","")&amp;IF(V1863&lt;&gt;"","・データ送付待ち","")&amp;IF(W1863&lt;&gt;"","・削除","")</f>
        <v/>
      </c>
    </row>
    <row r="1864" ht="15" customHeight="1" s="87">
      <c r="AL1864" s="94">
        <f>IF(A1864="","",IF(COUNTIF(A1864:A$2001,A1864)=1,1,0))</f>
        <v/>
      </c>
      <c r="AM1864" s="94">
        <f>IF(I1864="","",TODAY()-I1864)</f>
        <v/>
      </c>
      <c r="AN1864" s="94">
        <f>IF(A1864="","",IF(AND(E1864&lt;&gt;"33 確認済",E1864&lt;&gt;"36 送付中"),1,0))</f>
        <v/>
      </c>
      <c r="AO1864" s="94">
        <f>IF(A1864="","",IF(AG1864&lt;&gt;"",1,0))</f>
        <v/>
      </c>
      <c r="AP1864" s="220">
        <f>IF(P1864&lt;&gt;"","・添待ち","")&amp;IF(Q1864&lt;&gt;"","・住民票","")&amp;IF(R1864&lt;&gt;"","・発信","")&amp;IF(S1864&lt;&gt;"","・確認事項","")&amp;IF(T1864&lt;&gt;"","・管","")&amp;IF(U1864&lt;&gt;"","・SV","")&amp;IF(V1864&lt;&gt;"","・データ送付待ち","")&amp;IF(W1864&lt;&gt;"","・削除","")</f>
        <v/>
      </c>
    </row>
    <row r="1865" ht="15" customHeight="1" s="87">
      <c r="AL1865" s="94">
        <f>IF(A1865="","",IF(COUNTIF(A1865:A$2001,A1865)=1,1,0))</f>
        <v/>
      </c>
      <c r="AM1865" s="94">
        <f>IF(I1865="","",TODAY()-I1865)</f>
        <v/>
      </c>
      <c r="AN1865" s="94">
        <f>IF(A1865="","",IF(AND(E1865&lt;&gt;"33 確認済",E1865&lt;&gt;"36 送付中"),1,0))</f>
        <v/>
      </c>
      <c r="AO1865" s="94">
        <f>IF(A1865="","",IF(AG1865&lt;&gt;"",1,0))</f>
        <v/>
      </c>
      <c r="AP1865" s="220">
        <f>IF(P1865&lt;&gt;"","・添待ち","")&amp;IF(Q1865&lt;&gt;"","・住民票","")&amp;IF(R1865&lt;&gt;"","・発信","")&amp;IF(S1865&lt;&gt;"","・確認事項","")&amp;IF(T1865&lt;&gt;"","・管","")&amp;IF(U1865&lt;&gt;"","・SV","")&amp;IF(V1865&lt;&gt;"","・データ送付待ち","")&amp;IF(W1865&lt;&gt;"","・削除","")</f>
        <v/>
      </c>
    </row>
    <row r="1866" ht="15" customHeight="1" s="87">
      <c r="AL1866" s="94">
        <f>IF(A1866="","",IF(COUNTIF(A1866:A$2001,A1866)=1,1,0))</f>
        <v/>
      </c>
      <c r="AM1866" s="94">
        <f>IF(I1866="","",TODAY()-I1866)</f>
        <v/>
      </c>
      <c r="AN1866" s="94">
        <f>IF(A1866="","",IF(AND(E1866&lt;&gt;"33 確認済",E1866&lt;&gt;"36 送付中"),1,0))</f>
        <v/>
      </c>
      <c r="AO1866" s="94">
        <f>IF(A1866="","",IF(AG1866&lt;&gt;"",1,0))</f>
        <v/>
      </c>
      <c r="AP1866" s="220">
        <f>IF(P1866&lt;&gt;"","・添待ち","")&amp;IF(Q1866&lt;&gt;"","・住民票","")&amp;IF(R1866&lt;&gt;"","・発信","")&amp;IF(S1866&lt;&gt;"","・確認事項","")&amp;IF(T1866&lt;&gt;"","・管","")&amp;IF(U1866&lt;&gt;"","・SV","")&amp;IF(V1866&lt;&gt;"","・データ送付待ち","")&amp;IF(W1866&lt;&gt;"","・削除","")</f>
        <v/>
      </c>
    </row>
    <row r="1867" ht="15" customHeight="1" s="87">
      <c r="AL1867" s="94">
        <f>IF(A1867="","",IF(COUNTIF(A1867:A$2001,A1867)=1,1,0))</f>
        <v/>
      </c>
      <c r="AM1867" s="94">
        <f>IF(I1867="","",TODAY()-I1867)</f>
        <v/>
      </c>
      <c r="AN1867" s="94">
        <f>IF(A1867="","",IF(AND(E1867&lt;&gt;"33 確認済",E1867&lt;&gt;"36 送付中"),1,0))</f>
        <v/>
      </c>
      <c r="AO1867" s="94">
        <f>IF(A1867="","",IF(AG1867&lt;&gt;"",1,0))</f>
        <v/>
      </c>
      <c r="AP1867" s="220">
        <f>IF(P1867&lt;&gt;"","・添待ち","")&amp;IF(Q1867&lt;&gt;"","・住民票","")&amp;IF(R1867&lt;&gt;"","・発信","")&amp;IF(S1867&lt;&gt;"","・確認事項","")&amp;IF(T1867&lt;&gt;"","・管","")&amp;IF(U1867&lt;&gt;"","・SV","")&amp;IF(V1867&lt;&gt;"","・データ送付待ち","")&amp;IF(W1867&lt;&gt;"","・削除","")</f>
        <v/>
      </c>
    </row>
    <row r="1868" ht="15" customHeight="1" s="87">
      <c r="AL1868" s="94">
        <f>IF(A1868="","",IF(COUNTIF(A1868:A$2001,A1868)=1,1,0))</f>
        <v/>
      </c>
      <c r="AM1868" s="94">
        <f>IF(I1868="","",TODAY()-I1868)</f>
        <v/>
      </c>
      <c r="AN1868" s="94">
        <f>IF(A1868="","",IF(AND(E1868&lt;&gt;"33 確認済",E1868&lt;&gt;"36 送付中"),1,0))</f>
        <v/>
      </c>
      <c r="AO1868" s="94">
        <f>IF(A1868="","",IF(AG1868&lt;&gt;"",1,0))</f>
        <v/>
      </c>
      <c r="AP1868" s="220">
        <f>IF(P1868&lt;&gt;"","・添待ち","")&amp;IF(Q1868&lt;&gt;"","・住民票","")&amp;IF(R1868&lt;&gt;"","・発信","")&amp;IF(S1868&lt;&gt;"","・確認事項","")&amp;IF(T1868&lt;&gt;"","・管","")&amp;IF(U1868&lt;&gt;"","・SV","")&amp;IF(V1868&lt;&gt;"","・データ送付待ち","")&amp;IF(W1868&lt;&gt;"","・削除","")</f>
        <v/>
      </c>
    </row>
    <row r="1869" ht="15" customHeight="1" s="87">
      <c r="AL1869" s="94">
        <f>IF(A1869="","",IF(COUNTIF(A1869:A$2001,A1869)=1,1,0))</f>
        <v/>
      </c>
      <c r="AM1869" s="94">
        <f>IF(I1869="","",TODAY()-I1869)</f>
        <v/>
      </c>
      <c r="AN1869" s="94">
        <f>IF(A1869="","",IF(AND(E1869&lt;&gt;"33 確認済",E1869&lt;&gt;"36 送付中"),1,0))</f>
        <v/>
      </c>
      <c r="AO1869" s="94">
        <f>IF(A1869="","",IF(AG1869&lt;&gt;"",1,0))</f>
        <v/>
      </c>
      <c r="AP1869" s="220">
        <f>IF(P1869&lt;&gt;"","・添待ち","")&amp;IF(Q1869&lt;&gt;"","・住民票","")&amp;IF(R1869&lt;&gt;"","・発信","")&amp;IF(S1869&lt;&gt;"","・確認事項","")&amp;IF(T1869&lt;&gt;"","・管","")&amp;IF(U1869&lt;&gt;"","・SV","")&amp;IF(V1869&lt;&gt;"","・データ送付待ち","")&amp;IF(W1869&lt;&gt;"","・削除","")</f>
        <v/>
      </c>
    </row>
    <row r="1870" ht="15" customHeight="1" s="87">
      <c r="AL1870" s="94">
        <f>IF(A1870="","",IF(COUNTIF(A1870:A$2001,A1870)=1,1,0))</f>
        <v/>
      </c>
      <c r="AM1870" s="94">
        <f>IF(I1870="","",TODAY()-I1870)</f>
        <v/>
      </c>
      <c r="AN1870" s="94">
        <f>IF(A1870="","",IF(AND(E1870&lt;&gt;"33 確認済",E1870&lt;&gt;"36 送付中"),1,0))</f>
        <v/>
      </c>
      <c r="AO1870" s="94">
        <f>IF(A1870="","",IF(AG1870&lt;&gt;"",1,0))</f>
        <v/>
      </c>
      <c r="AP1870" s="220">
        <f>IF(P1870&lt;&gt;"","・添待ち","")&amp;IF(Q1870&lt;&gt;"","・住民票","")&amp;IF(R1870&lt;&gt;"","・発信","")&amp;IF(S1870&lt;&gt;"","・確認事項","")&amp;IF(T1870&lt;&gt;"","・管","")&amp;IF(U1870&lt;&gt;"","・SV","")&amp;IF(V1870&lt;&gt;"","・データ送付待ち","")&amp;IF(W1870&lt;&gt;"","・削除","")</f>
        <v/>
      </c>
    </row>
    <row r="1871" ht="15" customHeight="1" s="87">
      <c r="AL1871" s="94">
        <f>IF(A1871="","",IF(COUNTIF(A1871:A$2001,A1871)=1,1,0))</f>
        <v/>
      </c>
      <c r="AM1871" s="94">
        <f>IF(I1871="","",TODAY()-I1871)</f>
        <v/>
      </c>
      <c r="AN1871" s="94">
        <f>IF(A1871="","",IF(AND(E1871&lt;&gt;"33 確認済",E1871&lt;&gt;"36 送付中"),1,0))</f>
        <v/>
      </c>
      <c r="AO1871" s="94">
        <f>IF(A1871="","",IF(AG1871&lt;&gt;"",1,0))</f>
        <v/>
      </c>
      <c r="AP1871" s="220">
        <f>IF(P1871&lt;&gt;"","・添待ち","")&amp;IF(Q1871&lt;&gt;"","・住民票","")&amp;IF(R1871&lt;&gt;"","・発信","")&amp;IF(S1871&lt;&gt;"","・確認事項","")&amp;IF(T1871&lt;&gt;"","・管","")&amp;IF(U1871&lt;&gt;"","・SV","")&amp;IF(V1871&lt;&gt;"","・データ送付待ち","")&amp;IF(W1871&lt;&gt;"","・削除","")</f>
        <v/>
      </c>
    </row>
    <row r="1872" ht="15" customHeight="1" s="87">
      <c r="AL1872" s="94">
        <f>IF(A1872="","",IF(COUNTIF(A1872:A$2001,A1872)=1,1,0))</f>
        <v/>
      </c>
      <c r="AM1872" s="94">
        <f>IF(I1872="","",TODAY()-I1872)</f>
        <v/>
      </c>
      <c r="AN1872" s="94">
        <f>IF(A1872="","",IF(AND(E1872&lt;&gt;"33 確認済",E1872&lt;&gt;"36 送付中"),1,0))</f>
        <v/>
      </c>
      <c r="AO1872" s="94">
        <f>IF(A1872="","",IF(AG1872&lt;&gt;"",1,0))</f>
        <v/>
      </c>
      <c r="AP1872" s="220">
        <f>IF(P1872&lt;&gt;"","・添待ち","")&amp;IF(Q1872&lt;&gt;"","・住民票","")&amp;IF(R1872&lt;&gt;"","・発信","")&amp;IF(S1872&lt;&gt;"","・確認事項","")&amp;IF(T1872&lt;&gt;"","・管","")&amp;IF(U1872&lt;&gt;"","・SV","")&amp;IF(V1872&lt;&gt;"","・データ送付待ち","")&amp;IF(W1872&lt;&gt;"","・削除","")</f>
        <v/>
      </c>
    </row>
    <row r="1873" ht="15" customHeight="1" s="87">
      <c r="AL1873" s="94">
        <f>IF(A1873="","",IF(COUNTIF(A1873:A$2001,A1873)=1,1,0))</f>
        <v/>
      </c>
      <c r="AM1873" s="94">
        <f>IF(I1873="","",TODAY()-I1873)</f>
        <v/>
      </c>
      <c r="AN1873" s="94">
        <f>IF(A1873="","",IF(AND(E1873&lt;&gt;"33 確認済",E1873&lt;&gt;"36 送付中"),1,0))</f>
        <v/>
      </c>
      <c r="AO1873" s="94">
        <f>IF(A1873="","",IF(AG1873&lt;&gt;"",1,0))</f>
        <v/>
      </c>
      <c r="AP1873" s="220">
        <f>IF(P1873&lt;&gt;"","・添待ち","")&amp;IF(Q1873&lt;&gt;"","・住民票","")&amp;IF(R1873&lt;&gt;"","・発信","")&amp;IF(S1873&lt;&gt;"","・確認事項","")&amp;IF(T1873&lt;&gt;"","・管","")&amp;IF(U1873&lt;&gt;"","・SV","")&amp;IF(V1873&lt;&gt;"","・データ送付待ち","")&amp;IF(W1873&lt;&gt;"","・削除","")</f>
        <v/>
      </c>
    </row>
    <row r="1874" ht="15" customHeight="1" s="87">
      <c r="AL1874" s="94">
        <f>IF(A1874="","",IF(COUNTIF(A1874:A$2001,A1874)=1,1,0))</f>
        <v/>
      </c>
      <c r="AM1874" s="94">
        <f>IF(I1874="","",TODAY()-I1874)</f>
        <v/>
      </c>
      <c r="AN1874" s="94">
        <f>IF(A1874="","",IF(AND(E1874&lt;&gt;"33 確認済",E1874&lt;&gt;"36 送付中"),1,0))</f>
        <v/>
      </c>
      <c r="AO1874" s="94">
        <f>IF(A1874="","",IF(AG1874&lt;&gt;"",1,0))</f>
        <v/>
      </c>
      <c r="AP1874" s="220">
        <f>IF(P1874&lt;&gt;"","・添待ち","")&amp;IF(Q1874&lt;&gt;"","・住民票","")&amp;IF(R1874&lt;&gt;"","・発信","")&amp;IF(S1874&lt;&gt;"","・確認事項","")&amp;IF(T1874&lt;&gt;"","・管","")&amp;IF(U1874&lt;&gt;"","・SV","")&amp;IF(V1874&lt;&gt;"","・データ送付待ち","")&amp;IF(W1874&lt;&gt;"","・削除","")</f>
        <v/>
      </c>
    </row>
    <row r="1875" ht="15" customHeight="1" s="87">
      <c r="AL1875" s="94">
        <f>IF(A1875="","",IF(COUNTIF(A1875:A$2001,A1875)=1,1,0))</f>
        <v/>
      </c>
      <c r="AM1875" s="94">
        <f>IF(I1875="","",TODAY()-I1875)</f>
        <v/>
      </c>
      <c r="AN1875" s="94">
        <f>IF(A1875="","",IF(AND(E1875&lt;&gt;"33 確認済",E1875&lt;&gt;"36 送付中"),1,0))</f>
        <v/>
      </c>
      <c r="AO1875" s="94">
        <f>IF(A1875="","",IF(AG1875&lt;&gt;"",1,0))</f>
        <v/>
      </c>
      <c r="AP1875" s="220">
        <f>IF(P1875&lt;&gt;"","・添待ち","")&amp;IF(Q1875&lt;&gt;"","・住民票","")&amp;IF(R1875&lt;&gt;"","・発信","")&amp;IF(S1875&lt;&gt;"","・確認事項","")&amp;IF(T1875&lt;&gt;"","・管","")&amp;IF(U1875&lt;&gt;"","・SV","")&amp;IF(V1875&lt;&gt;"","・データ送付待ち","")&amp;IF(W1875&lt;&gt;"","・削除","")</f>
        <v/>
      </c>
    </row>
    <row r="1876" ht="15" customHeight="1" s="87">
      <c r="AL1876" s="94">
        <f>IF(A1876="","",IF(COUNTIF(A1876:A$2001,A1876)=1,1,0))</f>
        <v/>
      </c>
      <c r="AM1876" s="94">
        <f>IF(I1876="","",TODAY()-I1876)</f>
        <v/>
      </c>
      <c r="AN1876" s="94">
        <f>IF(A1876="","",IF(AND(E1876&lt;&gt;"33 確認済",E1876&lt;&gt;"36 送付中"),1,0))</f>
        <v/>
      </c>
      <c r="AO1876" s="94">
        <f>IF(A1876="","",IF(AG1876&lt;&gt;"",1,0))</f>
        <v/>
      </c>
      <c r="AP1876" s="220">
        <f>IF(P1876&lt;&gt;"","・添待ち","")&amp;IF(Q1876&lt;&gt;"","・住民票","")&amp;IF(R1876&lt;&gt;"","・発信","")&amp;IF(S1876&lt;&gt;"","・確認事項","")&amp;IF(T1876&lt;&gt;"","・管","")&amp;IF(U1876&lt;&gt;"","・SV","")&amp;IF(V1876&lt;&gt;"","・データ送付待ち","")&amp;IF(W1876&lt;&gt;"","・削除","")</f>
        <v/>
      </c>
    </row>
    <row r="1877" ht="15" customHeight="1" s="87">
      <c r="AL1877" s="94">
        <f>IF(A1877="","",IF(COUNTIF(A1877:A$2001,A1877)=1,1,0))</f>
        <v/>
      </c>
      <c r="AM1877" s="94">
        <f>IF(I1877="","",TODAY()-I1877)</f>
        <v/>
      </c>
      <c r="AN1877" s="94">
        <f>IF(A1877="","",IF(AND(E1877&lt;&gt;"33 確認済",E1877&lt;&gt;"36 送付中"),1,0))</f>
        <v/>
      </c>
      <c r="AO1877" s="94">
        <f>IF(A1877="","",IF(AG1877&lt;&gt;"",1,0))</f>
        <v/>
      </c>
      <c r="AP1877" s="220">
        <f>IF(P1877&lt;&gt;"","・添待ち","")&amp;IF(Q1877&lt;&gt;"","・住民票","")&amp;IF(R1877&lt;&gt;"","・発信","")&amp;IF(S1877&lt;&gt;"","・確認事項","")&amp;IF(T1877&lt;&gt;"","・管","")&amp;IF(U1877&lt;&gt;"","・SV","")&amp;IF(V1877&lt;&gt;"","・データ送付待ち","")&amp;IF(W1877&lt;&gt;"","・削除","")</f>
        <v/>
      </c>
    </row>
    <row r="1878" ht="15" customHeight="1" s="87">
      <c r="AL1878" s="94">
        <f>IF(A1878="","",IF(COUNTIF(A1878:A$2001,A1878)=1,1,0))</f>
        <v/>
      </c>
      <c r="AM1878" s="94">
        <f>IF(I1878="","",TODAY()-I1878)</f>
        <v/>
      </c>
      <c r="AN1878" s="94">
        <f>IF(A1878="","",IF(AND(E1878&lt;&gt;"33 確認済",E1878&lt;&gt;"36 送付中"),1,0))</f>
        <v/>
      </c>
      <c r="AO1878" s="94">
        <f>IF(A1878="","",IF(AG1878&lt;&gt;"",1,0))</f>
        <v/>
      </c>
      <c r="AP1878" s="220">
        <f>IF(P1878&lt;&gt;"","・添待ち","")&amp;IF(Q1878&lt;&gt;"","・住民票","")&amp;IF(R1878&lt;&gt;"","・発信","")&amp;IF(S1878&lt;&gt;"","・確認事項","")&amp;IF(T1878&lt;&gt;"","・管","")&amp;IF(U1878&lt;&gt;"","・SV","")&amp;IF(V1878&lt;&gt;"","・データ送付待ち","")&amp;IF(W1878&lt;&gt;"","・削除","")</f>
        <v/>
      </c>
    </row>
    <row r="1879" ht="15" customHeight="1" s="87">
      <c r="AL1879" s="94">
        <f>IF(A1879="","",IF(COUNTIF(A1879:A$2001,A1879)=1,1,0))</f>
        <v/>
      </c>
      <c r="AM1879" s="94">
        <f>IF(I1879="","",TODAY()-I1879)</f>
        <v/>
      </c>
      <c r="AN1879" s="94">
        <f>IF(A1879="","",IF(AND(E1879&lt;&gt;"33 確認済",E1879&lt;&gt;"36 送付中"),1,0))</f>
        <v/>
      </c>
      <c r="AO1879" s="94">
        <f>IF(A1879="","",IF(AG1879&lt;&gt;"",1,0))</f>
        <v/>
      </c>
      <c r="AP1879" s="220">
        <f>IF(P1879&lt;&gt;"","・添待ち","")&amp;IF(Q1879&lt;&gt;"","・住民票","")&amp;IF(R1879&lt;&gt;"","・発信","")&amp;IF(S1879&lt;&gt;"","・確認事項","")&amp;IF(T1879&lt;&gt;"","・管","")&amp;IF(U1879&lt;&gt;"","・SV","")&amp;IF(V1879&lt;&gt;"","・データ送付待ち","")&amp;IF(W1879&lt;&gt;"","・削除","")</f>
        <v/>
      </c>
    </row>
    <row r="1880" ht="15" customHeight="1" s="87">
      <c r="AL1880" s="94">
        <f>IF(A1880="","",IF(COUNTIF(A1880:A$2001,A1880)=1,1,0))</f>
        <v/>
      </c>
      <c r="AM1880" s="94">
        <f>IF(I1880="","",TODAY()-I1880)</f>
        <v/>
      </c>
      <c r="AN1880" s="94">
        <f>IF(A1880="","",IF(AND(E1880&lt;&gt;"33 確認済",E1880&lt;&gt;"36 送付中"),1,0))</f>
        <v/>
      </c>
      <c r="AO1880" s="94">
        <f>IF(A1880="","",IF(AG1880&lt;&gt;"",1,0))</f>
        <v/>
      </c>
      <c r="AP1880" s="220">
        <f>IF(P1880&lt;&gt;"","・添待ち","")&amp;IF(Q1880&lt;&gt;"","・住民票","")&amp;IF(R1880&lt;&gt;"","・発信","")&amp;IF(S1880&lt;&gt;"","・確認事項","")&amp;IF(T1880&lt;&gt;"","・管","")&amp;IF(U1880&lt;&gt;"","・SV","")&amp;IF(V1880&lt;&gt;"","・データ送付待ち","")&amp;IF(W1880&lt;&gt;"","・削除","")</f>
        <v/>
      </c>
    </row>
    <row r="1881" ht="15" customHeight="1" s="87">
      <c r="AL1881" s="94">
        <f>IF(A1881="","",IF(COUNTIF(A1881:A$2001,A1881)=1,1,0))</f>
        <v/>
      </c>
      <c r="AM1881" s="94">
        <f>IF(I1881="","",TODAY()-I1881)</f>
        <v/>
      </c>
      <c r="AN1881" s="94">
        <f>IF(A1881="","",IF(AND(E1881&lt;&gt;"33 確認済",E1881&lt;&gt;"36 送付中"),1,0))</f>
        <v/>
      </c>
      <c r="AO1881" s="94">
        <f>IF(A1881="","",IF(AG1881&lt;&gt;"",1,0))</f>
        <v/>
      </c>
      <c r="AP1881" s="220">
        <f>IF(P1881&lt;&gt;"","・添待ち","")&amp;IF(Q1881&lt;&gt;"","・住民票","")&amp;IF(R1881&lt;&gt;"","・発信","")&amp;IF(S1881&lt;&gt;"","・確認事項","")&amp;IF(T1881&lt;&gt;"","・管","")&amp;IF(U1881&lt;&gt;"","・SV","")&amp;IF(V1881&lt;&gt;"","・データ送付待ち","")&amp;IF(W1881&lt;&gt;"","・削除","")</f>
        <v/>
      </c>
    </row>
    <row r="1882" ht="15" customHeight="1" s="87">
      <c r="AL1882" s="94">
        <f>IF(A1882="","",IF(COUNTIF(A1882:A$2001,A1882)=1,1,0))</f>
        <v/>
      </c>
      <c r="AM1882" s="94">
        <f>IF(I1882="","",TODAY()-I1882)</f>
        <v/>
      </c>
      <c r="AN1882" s="94">
        <f>IF(A1882="","",IF(AND(E1882&lt;&gt;"33 確認済",E1882&lt;&gt;"36 送付中"),1,0))</f>
        <v/>
      </c>
      <c r="AO1882" s="94">
        <f>IF(A1882="","",IF(AG1882&lt;&gt;"",1,0))</f>
        <v/>
      </c>
      <c r="AP1882" s="220">
        <f>IF(P1882&lt;&gt;"","・添待ち","")&amp;IF(Q1882&lt;&gt;"","・住民票","")&amp;IF(R1882&lt;&gt;"","・発信","")&amp;IF(S1882&lt;&gt;"","・確認事項","")&amp;IF(T1882&lt;&gt;"","・管","")&amp;IF(U1882&lt;&gt;"","・SV","")&amp;IF(V1882&lt;&gt;"","・データ送付待ち","")&amp;IF(W1882&lt;&gt;"","・削除","")</f>
        <v/>
      </c>
    </row>
    <row r="1883" ht="15" customHeight="1" s="87">
      <c r="AL1883" s="94">
        <f>IF(A1883="","",IF(COUNTIF(A1883:A$2001,A1883)=1,1,0))</f>
        <v/>
      </c>
      <c r="AM1883" s="94">
        <f>IF(I1883="","",TODAY()-I1883)</f>
        <v/>
      </c>
      <c r="AN1883" s="94">
        <f>IF(A1883="","",IF(AND(E1883&lt;&gt;"33 確認済",E1883&lt;&gt;"36 送付中"),1,0))</f>
        <v/>
      </c>
      <c r="AO1883" s="94">
        <f>IF(A1883="","",IF(AG1883&lt;&gt;"",1,0))</f>
        <v/>
      </c>
      <c r="AP1883" s="220">
        <f>IF(P1883&lt;&gt;"","・添待ち","")&amp;IF(Q1883&lt;&gt;"","・住民票","")&amp;IF(R1883&lt;&gt;"","・発信","")&amp;IF(S1883&lt;&gt;"","・確認事項","")&amp;IF(T1883&lt;&gt;"","・管","")&amp;IF(U1883&lt;&gt;"","・SV","")&amp;IF(V1883&lt;&gt;"","・データ送付待ち","")&amp;IF(W1883&lt;&gt;"","・削除","")</f>
        <v/>
      </c>
    </row>
    <row r="1884" ht="15" customHeight="1" s="87">
      <c r="AL1884" s="94">
        <f>IF(A1884="","",IF(COUNTIF(A1884:A$2001,A1884)=1,1,0))</f>
        <v/>
      </c>
      <c r="AM1884" s="94">
        <f>IF(I1884="","",TODAY()-I1884)</f>
        <v/>
      </c>
      <c r="AN1884" s="94">
        <f>IF(A1884="","",IF(AND(E1884&lt;&gt;"33 確認済",E1884&lt;&gt;"36 送付中"),1,0))</f>
        <v/>
      </c>
      <c r="AO1884" s="94">
        <f>IF(A1884="","",IF(AG1884&lt;&gt;"",1,0))</f>
        <v/>
      </c>
      <c r="AP1884" s="220">
        <f>IF(P1884&lt;&gt;"","・添待ち","")&amp;IF(Q1884&lt;&gt;"","・住民票","")&amp;IF(R1884&lt;&gt;"","・発信","")&amp;IF(S1884&lt;&gt;"","・確認事項","")&amp;IF(T1884&lt;&gt;"","・管","")&amp;IF(U1884&lt;&gt;"","・SV","")&amp;IF(V1884&lt;&gt;"","・データ送付待ち","")&amp;IF(W1884&lt;&gt;"","・削除","")</f>
        <v/>
      </c>
    </row>
    <row r="1885" ht="15" customHeight="1" s="87">
      <c r="AL1885" s="94">
        <f>IF(A1885="","",IF(COUNTIF(A1885:A$2001,A1885)=1,1,0))</f>
        <v/>
      </c>
      <c r="AM1885" s="94">
        <f>IF(I1885="","",TODAY()-I1885)</f>
        <v/>
      </c>
      <c r="AN1885" s="94">
        <f>IF(A1885="","",IF(AND(E1885&lt;&gt;"33 確認済",E1885&lt;&gt;"36 送付中"),1,0))</f>
        <v/>
      </c>
      <c r="AO1885" s="94">
        <f>IF(A1885="","",IF(AG1885&lt;&gt;"",1,0))</f>
        <v/>
      </c>
      <c r="AP1885" s="220">
        <f>IF(P1885&lt;&gt;"","・添待ち","")&amp;IF(Q1885&lt;&gt;"","・住民票","")&amp;IF(R1885&lt;&gt;"","・発信","")&amp;IF(S1885&lt;&gt;"","・確認事項","")&amp;IF(T1885&lt;&gt;"","・管","")&amp;IF(U1885&lt;&gt;"","・SV","")&amp;IF(V1885&lt;&gt;"","・データ送付待ち","")&amp;IF(W1885&lt;&gt;"","・削除","")</f>
        <v/>
      </c>
    </row>
    <row r="1886" ht="15" customHeight="1" s="87">
      <c r="AL1886" s="94">
        <f>IF(A1886="","",IF(COUNTIF(A1886:A$2001,A1886)=1,1,0))</f>
        <v/>
      </c>
      <c r="AM1886" s="94">
        <f>IF(I1886="","",TODAY()-I1886)</f>
        <v/>
      </c>
      <c r="AN1886" s="94">
        <f>IF(A1886="","",IF(AND(E1886&lt;&gt;"33 確認済",E1886&lt;&gt;"36 送付中"),1,0))</f>
        <v/>
      </c>
      <c r="AO1886" s="94">
        <f>IF(A1886="","",IF(AG1886&lt;&gt;"",1,0))</f>
        <v/>
      </c>
      <c r="AP1886" s="220">
        <f>IF(P1886&lt;&gt;"","・添待ち","")&amp;IF(Q1886&lt;&gt;"","・住民票","")&amp;IF(R1886&lt;&gt;"","・発信","")&amp;IF(S1886&lt;&gt;"","・確認事項","")&amp;IF(T1886&lt;&gt;"","・管","")&amp;IF(U1886&lt;&gt;"","・SV","")&amp;IF(V1886&lt;&gt;"","・データ送付待ち","")&amp;IF(W1886&lt;&gt;"","・削除","")</f>
        <v/>
      </c>
    </row>
    <row r="1887" ht="15" customHeight="1" s="87">
      <c r="AL1887" s="94">
        <f>IF(A1887="","",IF(COUNTIF(A1887:A$2001,A1887)=1,1,0))</f>
        <v/>
      </c>
      <c r="AM1887" s="94">
        <f>IF(I1887="","",TODAY()-I1887)</f>
        <v/>
      </c>
      <c r="AN1887" s="94">
        <f>IF(A1887="","",IF(AND(E1887&lt;&gt;"33 確認済",E1887&lt;&gt;"36 送付中"),1,0))</f>
        <v/>
      </c>
      <c r="AO1887" s="94">
        <f>IF(A1887="","",IF(AG1887&lt;&gt;"",1,0))</f>
        <v/>
      </c>
      <c r="AP1887" s="220">
        <f>IF(P1887&lt;&gt;"","・添待ち","")&amp;IF(Q1887&lt;&gt;"","・住民票","")&amp;IF(R1887&lt;&gt;"","・発信","")&amp;IF(S1887&lt;&gt;"","・確認事項","")&amp;IF(T1887&lt;&gt;"","・管","")&amp;IF(U1887&lt;&gt;"","・SV","")&amp;IF(V1887&lt;&gt;"","・データ送付待ち","")&amp;IF(W1887&lt;&gt;"","・削除","")</f>
        <v/>
      </c>
    </row>
    <row r="1888" ht="15" customHeight="1" s="87">
      <c r="AL1888" s="94">
        <f>IF(A1888="","",IF(COUNTIF(A1888:A$2001,A1888)=1,1,0))</f>
        <v/>
      </c>
      <c r="AM1888" s="94">
        <f>IF(I1888="","",TODAY()-I1888)</f>
        <v/>
      </c>
      <c r="AN1888" s="94">
        <f>IF(A1888="","",IF(AND(E1888&lt;&gt;"33 確認済",E1888&lt;&gt;"36 送付中"),1,0))</f>
        <v/>
      </c>
      <c r="AO1888" s="94">
        <f>IF(A1888="","",IF(AG1888&lt;&gt;"",1,0))</f>
        <v/>
      </c>
      <c r="AP1888" s="220">
        <f>IF(P1888&lt;&gt;"","・添待ち","")&amp;IF(Q1888&lt;&gt;"","・住民票","")&amp;IF(R1888&lt;&gt;"","・発信","")&amp;IF(S1888&lt;&gt;"","・確認事項","")&amp;IF(T1888&lt;&gt;"","・管","")&amp;IF(U1888&lt;&gt;"","・SV","")&amp;IF(V1888&lt;&gt;"","・データ送付待ち","")&amp;IF(W1888&lt;&gt;"","・削除","")</f>
        <v/>
      </c>
    </row>
    <row r="1889" ht="15" customHeight="1" s="87">
      <c r="AL1889" s="94">
        <f>IF(A1889="","",IF(COUNTIF(A1889:A$2001,A1889)=1,1,0))</f>
        <v/>
      </c>
      <c r="AM1889" s="94">
        <f>IF(I1889="","",TODAY()-I1889)</f>
        <v/>
      </c>
      <c r="AN1889" s="94">
        <f>IF(A1889="","",IF(AND(E1889&lt;&gt;"33 確認済",E1889&lt;&gt;"36 送付中"),1,0))</f>
        <v/>
      </c>
      <c r="AO1889" s="94">
        <f>IF(A1889="","",IF(AG1889&lt;&gt;"",1,0))</f>
        <v/>
      </c>
      <c r="AP1889" s="220">
        <f>IF(P1889&lt;&gt;"","・添待ち","")&amp;IF(Q1889&lt;&gt;"","・住民票","")&amp;IF(R1889&lt;&gt;"","・発信","")&amp;IF(S1889&lt;&gt;"","・確認事項","")&amp;IF(T1889&lt;&gt;"","・管","")&amp;IF(U1889&lt;&gt;"","・SV","")&amp;IF(V1889&lt;&gt;"","・データ送付待ち","")&amp;IF(W1889&lt;&gt;"","・削除","")</f>
        <v/>
      </c>
    </row>
    <row r="1890" ht="15" customHeight="1" s="87">
      <c r="AL1890" s="94">
        <f>IF(A1890="","",IF(COUNTIF(A1890:A$2001,A1890)=1,1,0))</f>
        <v/>
      </c>
      <c r="AM1890" s="94">
        <f>IF(I1890="","",TODAY()-I1890)</f>
        <v/>
      </c>
      <c r="AN1890" s="94">
        <f>IF(A1890="","",IF(AND(E1890&lt;&gt;"33 確認済",E1890&lt;&gt;"36 送付中"),1,0))</f>
        <v/>
      </c>
      <c r="AO1890" s="94">
        <f>IF(A1890="","",IF(AG1890&lt;&gt;"",1,0))</f>
        <v/>
      </c>
      <c r="AP1890" s="220">
        <f>IF(P1890&lt;&gt;"","・添待ち","")&amp;IF(Q1890&lt;&gt;"","・住民票","")&amp;IF(R1890&lt;&gt;"","・発信","")&amp;IF(S1890&lt;&gt;"","・確認事項","")&amp;IF(T1890&lt;&gt;"","・管","")&amp;IF(U1890&lt;&gt;"","・SV","")&amp;IF(V1890&lt;&gt;"","・データ送付待ち","")&amp;IF(W1890&lt;&gt;"","・削除","")</f>
        <v/>
      </c>
    </row>
    <row r="1891" ht="15" customHeight="1" s="87">
      <c r="AL1891" s="94">
        <f>IF(A1891="","",IF(COUNTIF(A1891:A$2001,A1891)=1,1,0))</f>
        <v/>
      </c>
      <c r="AM1891" s="94">
        <f>IF(I1891="","",TODAY()-I1891)</f>
        <v/>
      </c>
      <c r="AN1891" s="94">
        <f>IF(A1891="","",IF(AND(E1891&lt;&gt;"33 確認済",E1891&lt;&gt;"36 送付中"),1,0))</f>
        <v/>
      </c>
      <c r="AO1891" s="94">
        <f>IF(A1891="","",IF(AG1891&lt;&gt;"",1,0))</f>
        <v/>
      </c>
      <c r="AP1891" s="220">
        <f>IF(P1891&lt;&gt;"","・添待ち","")&amp;IF(Q1891&lt;&gt;"","・住民票","")&amp;IF(R1891&lt;&gt;"","・発信","")&amp;IF(S1891&lt;&gt;"","・確認事項","")&amp;IF(T1891&lt;&gt;"","・管","")&amp;IF(U1891&lt;&gt;"","・SV","")&amp;IF(V1891&lt;&gt;"","・データ送付待ち","")&amp;IF(W1891&lt;&gt;"","・削除","")</f>
        <v/>
      </c>
    </row>
    <row r="1892" ht="15" customHeight="1" s="87">
      <c r="AL1892" s="94">
        <f>IF(A1892="","",IF(COUNTIF(A1892:A$2001,A1892)=1,1,0))</f>
        <v/>
      </c>
      <c r="AM1892" s="94">
        <f>IF(I1892="","",TODAY()-I1892)</f>
        <v/>
      </c>
      <c r="AN1892" s="94">
        <f>IF(A1892="","",IF(AND(E1892&lt;&gt;"33 確認済",E1892&lt;&gt;"36 送付中"),1,0))</f>
        <v/>
      </c>
      <c r="AO1892" s="94">
        <f>IF(A1892="","",IF(AG1892&lt;&gt;"",1,0))</f>
        <v/>
      </c>
      <c r="AP1892" s="220">
        <f>IF(P1892&lt;&gt;"","・添待ち","")&amp;IF(Q1892&lt;&gt;"","・住民票","")&amp;IF(R1892&lt;&gt;"","・発信","")&amp;IF(S1892&lt;&gt;"","・確認事項","")&amp;IF(T1892&lt;&gt;"","・管","")&amp;IF(U1892&lt;&gt;"","・SV","")&amp;IF(V1892&lt;&gt;"","・データ送付待ち","")&amp;IF(W1892&lt;&gt;"","・削除","")</f>
        <v/>
      </c>
    </row>
    <row r="1893" ht="15" customHeight="1" s="87">
      <c r="AL1893" s="94">
        <f>IF(A1893="","",IF(COUNTIF(A1893:A$2001,A1893)=1,1,0))</f>
        <v/>
      </c>
      <c r="AM1893" s="94">
        <f>IF(I1893="","",TODAY()-I1893)</f>
        <v/>
      </c>
      <c r="AN1893" s="94">
        <f>IF(A1893="","",IF(AND(E1893&lt;&gt;"33 確認済",E1893&lt;&gt;"36 送付中"),1,0))</f>
        <v/>
      </c>
      <c r="AO1893" s="94">
        <f>IF(A1893="","",IF(AG1893&lt;&gt;"",1,0))</f>
        <v/>
      </c>
      <c r="AP1893" s="220">
        <f>IF(P1893&lt;&gt;"","・添待ち","")&amp;IF(Q1893&lt;&gt;"","・住民票","")&amp;IF(R1893&lt;&gt;"","・発信","")&amp;IF(S1893&lt;&gt;"","・確認事項","")&amp;IF(T1893&lt;&gt;"","・管","")&amp;IF(U1893&lt;&gt;"","・SV","")&amp;IF(V1893&lt;&gt;"","・データ送付待ち","")&amp;IF(W1893&lt;&gt;"","・削除","")</f>
        <v/>
      </c>
    </row>
    <row r="1894" ht="15" customHeight="1" s="87">
      <c r="AL1894" s="94">
        <f>IF(A1894="","",IF(COUNTIF(A1894:A$2001,A1894)=1,1,0))</f>
        <v/>
      </c>
      <c r="AM1894" s="94">
        <f>IF(I1894="","",TODAY()-I1894)</f>
        <v/>
      </c>
      <c r="AN1894" s="94">
        <f>IF(A1894="","",IF(AND(E1894&lt;&gt;"33 確認済",E1894&lt;&gt;"36 送付中"),1,0))</f>
        <v/>
      </c>
      <c r="AO1894" s="94">
        <f>IF(A1894="","",IF(AG1894&lt;&gt;"",1,0))</f>
        <v/>
      </c>
      <c r="AP1894" s="220">
        <f>IF(P1894&lt;&gt;"","・添待ち","")&amp;IF(Q1894&lt;&gt;"","・住民票","")&amp;IF(R1894&lt;&gt;"","・発信","")&amp;IF(S1894&lt;&gt;"","・確認事項","")&amp;IF(T1894&lt;&gt;"","・管","")&amp;IF(U1894&lt;&gt;"","・SV","")&amp;IF(V1894&lt;&gt;"","・データ送付待ち","")&amp;IF(W1894&lt;&gt;"","・削除","")</f>
        <v/>
      </c>
    </row>
    <row r="1895" ht="15" customHeight="1" s="87">
      <c r="AL1895" s="94">
        <f>IF(A1895="","",IF(COUNTIF(A1895:A$2001,A1895)=1,1,0))</f>
        <v/>
      </c>
      <c r="AM1895" s="94">
        <f>IF(I1895="","",TODAY()-I1895)</f>
        <v/>
      </c>
      <c r="AN1895" s="94">
        <f>IF(A1895="","",IF(AND(E1895&lt;&gt;"33 確認済",E1895&lt;&gt;"36 送付中"),1,0))</f>
        <v/>
      </c>
      <c r="AO1895" s="94">
        <f>IF(A1895="","",IF(AG1895&lt;&gt;"",1,0))</f>
        <v/>
      </c>
      <c r="AP1895" s="220">
        <f>IF(P1895&lt;&gt;"","・添待ち","")&amp;IF(Q1895&lt;&gt;"","・住民票","")&amp;IF(R1895&lt;&gt;"","・発信","")&amp;IF(S1895&lt;&gt;"","・確認事項","")&amp;IF(T1895&lt;&gt;"","・管","")&amp;IF(U1895&lt;&gt;"","・SV","")&amp;IF(V1895&lt;&gt;"","・データ送付待ち","")&amp;IF(W1895&lt;&gt;"","・削除","")</f>
        <v/>
      </c>
    </row>
    <row r="1896" ht="15" customHeight="1" s="87">
      <c r="AL1896" s="94">
        <f>IF(A1896="","",IF(COUNTIF(A1896:A$2001,A1896)=1,1,0))</f>
        <v/>
      </c>
      <c r="AM1896" s="94">
        <f>IF(I1896="","",TODAY()-I1896)</f>
        <v/>
      </c>
      <c r="AN1896" s="94">
        <f>IF(A1896="","",IF(AND(E1896&lt;&gt;"33 確認済",E1896&lt;&gt;"36 送付中"),1,0))</f>
        <v/>
      </c>
      <c r="AO1896" s="94">
        <f>IF(A1896="","",IF(AG1896&lt;&gt;"",1,0))</f>
        <v/>
      </c>
      <c r="AP1896" s="220">
        <f>IF(P1896&lt;&gt;"","・添待ち","")&amp;IF(Q1896&lt;&gt;"","・住民票","")&amp;IF(R1896&lt;&gt;"","・発信","")&amp;IF(S1896&lt;&gt;"","・確認事項","")&amp;IF(T1896&lt;&gt;"","・管","")&amp;IF(U1896&lt;&gt;"","・SV","")&amp;IF(V1896&lt;&gt;"","・データ送付待ち","")&amp;IF(W1896&lt;&gt;"","・削除","")</f>
        <v/>
      </c>
    </row>
    <row r="1897" ht="15" customHeight="1" s="87">
      <c r="AL1897" s="94">
        <f>IF(A1897="","",IF(COUNTIF(A1897:A$2001,A1897)=1,1,0))</f>
        <v/>
      </c>
      <c r="AM1897" s="94">
        <f>IF(I1897="","",TODAY()-I1897)</f>
        <v/>
      </c>
      <c r="AN1897" s="94">
        <f>IF(A1897="","",IF(AND(E1897&lt;&gt;"33 確認済",E1897&lt;&gt;"36 送付中"),1,0))</f>
        <v/>
      </c>
      <c r="AO1897" s="94">
        <f>IF(A1897="","",IF(AG1897&lt;&gt;"",1,0))</f>
        <v/>
      </c>
      <c r="AP1897" s="220">
        <f>IF(P1897&lt;&gt;"","・添待ち","")&amp;IF(Q1897&lt;&gt;"","・住民票","")&amp;IF(R1897&lt;&gt;"","・発信","")&amp;IF(S1897&lt;&gt;"","・確認事項","")&amp;IF(T1897&lt;&gt;"","・管","")&amp;IF(U1897&lt;&gt;"","・SV","")&amp;IF(V1897&lt;&gt;"","・データ送付待ち","")&amp;IF(W1897&lt;&gt;"","・削除","")</f>
        <v/>
      </c>
    </row>
    <row r="1898" ht="15" customHeight="1" s="87">
      <c r="AL1898" s="94">
        <f>IF(A1898="","",IF(COUNTIF(A1898:A$2001,A1898)=1,1,0))</f>
        <v/>
      </c>
      <c r="AM1898" s="94">
        <f>IF(I1898="","",TODAY()-I1898)</f>
        <v/>
      </c>
      <c r="AN1898" s="94">
        <f>IF(A1898="","",IF(AND(E1898&lt;&gt;"33 確認済",E1898&lt;&gt;"36 送付中"),1,0))</f>
        <v/>
      </c>
      <c r="AO1898" s="94">
        <f>IF(A1898="","",IF(AG1898&lt;&gt;"",1,0))</f>
        <v/>
      </c>
      <c r="AP1898" s="220">
        <f>IF(P1898&lt;&gt;"","・添待ち","")&amp;IF(Q1898&lt;&gt;"","・住民票","")&amp;IF(R1898&lt;&gt;"","・発信","")&amp;IF(S1898&lt;&gt;"","・確認事項","")&amp;IF(T1898&lt;&gt;"","・管","")&amp;IF(U1898&lt;&gt;"","・SV","")&amp;IF(V1898&lt;&gt;"","・データ送付待ち","")&amp;IF(W1898&lt;&gt;"","・削除","")</f>
        <v/>
      </c>
    </row>
    <row r="1899" ht="15" customHeight="1" s="87">
      <c r="AL1899" s="94">
        <f>IF(A1899="","",IF(COUNTIF(A1899:A$2001,A1899)=1,1,0))</f>
        <v/>
      </c>
      <c r="AM1899" s="94">
        <f>IF(I1899="","",TODAY()-I1899)</f>
        <v/>
      </c>
      <c r="AN1899" s="94">
        <f>IF(A1899="","",IF(AND(E1899&lt;&gt;"33 確認済",E1899&lt;&gt;"36 送付中"),1,0))</f>
        <v/>
      </c>
      <c r="AO1899" s="94">
        <f>IF(A1899="","",IF(AG1899&lt;&gt;"",1,0))</f>
        <v/>
      </c>
      <c r="AP1899" s="220">
        <f>IF(P1899&lt;&gt;"","・添待ち","")&amp;IF(Q1899&lt;&gt;"","・住民票","")&amp;IF(R1899&lt;&gt;"","・発信","")&amp;IF(S1899&lt;&gt;"","・確認事項","")&amp;IF(T1899&lt;&gt;"","・管","")&amp;IF(U1899&lt;&gt;"","・SV","")&amp;IF(V1899&lt;&gt;"","・データ送付待ち","")&amp;IF(W1899&lt;&gt;"","・削除","")</f>
        <v/>
      </c>
    </row>
    <row r="1900" ht="15" customHeight="1" s="87">
      <c r="AL1900" s="94">
        <f>IF(A1900="","",IF(COUNTIF(A1900:A$2001,A1900)=1,1,0))</f>
        <v/>
      </c>
      <c r="AM1900" s="94">
        <f>IF(I1900="","",TODAY()-I1900)</f>
        <v/>
      </c>
      <c r="AN1900" s="94">
        <f>IF(A1900="","",IF(AND(E1900&lt;&gt;"33 確認済",E1900&lt;&gt;"36 送付中"),1,0))</f>
        <v/>
      </c>
      <c r="AO1900" s="94">
        <f>IF(A1900="","",IF(AG1900&lt;&gt;"",1,0))</f>
        <v/>
      </c>
      <c r="AP1900" s="220">
        <f>IF(P1900&lt;&gt;"","・添待ち","")&amp;IF(Q1900&lt;&gt;"","・住民票","")&amp;IF(R1900&lt;&gt;"","・発信","")&amp;IF(S1900&lt;&gt;"","・確認事項","")&amp;IF(T1900&lt;&gt;"","・管","")&amp;IF(U1900&lt;&gt;"","・SV","")&amp;IF(V1900&lt;&gt;"","・データ送付待ち","")&amp;IF(W1900&lt;&gt;"","・削除","")</f>
        <v/>
      </c>
    </row>
    <row r="1901" ht="15" customHeight="1" s="87">
      <c r="AL1901" s="94">
        <f>IF(A1901="","",IF(COUNTIF(A1901:A$2001,A1901)=1,1,0))</f>
        <v/>
      </c>
      <c r="AM1901" s="94">
        <f>IF(I1901="","",TODAY()-I1901)</f>
        <v/>
      </c>
      <c r="AN1901" s="94">
        <f>IF(A1901="","",IF(AND(E1901&lt;&gt;"33 確認済",E1901&lt;&gt;"36 送付中"),1,0))</f>
        <v/>
      </c>
      <c r="AO1901" s="94">
        <f>IF(A1901="","",IF(AG1901&lt;&gt;"",1,0))</f>
        <v/>
      </c>
      <c r="AP1901" s="220">
        <f>IF(P1901&lt;&gt;"","・添待ち","")&amp;IF(Q1901&lt;&gt;"","・住民票","")&amp;IF(R1901&lt;&gt;"","・発信","")&amp;IF(S1901&lt;&gt;"","・確認事項","")&amp;IF(T1901&lt;&gt;"","・管","")&amp;IF(U1901&lt;&gt;"","・SV","")&amp;IF(V1901&lt;&gt;"","・データ送付待ち","")&amp;IF(W1901&lt;&gt;"","・削除","")</f>
        <v/>
      </c>
    </row>
    <row r="1902" ht="15" customHeight="1" s="87">
      <c r="AL1902" s="94">
        <f>IF(A1902="","",IF(COUNTIF(A1902:A$2001,A1902)=1,1,0))</f>
        <v/>
      </c>
      <c r="AM1902" s="94">
        <f>IF(I1902="","",TODAY()-I1902)</f>
        <v/>
      </c>
      <c r="AN1902" s="94">
        <f>IF(A1902="","",IF(AND(E1902&lt;&gt;"33 確認済",E1902&lt;&gt;"36 送付中"),1,0))</f>
        <v/>
      </c>
      <c r="AO1902" s="94">
        <f>IF(A1902="","",IF(AG1902&lt;&gt;"",1,0))</f>
        <v/>
      </c>
      <c r="AP1902" s="220">
        <f>IF(P1902&lt;&gt;"","・添待ち","")&amp;IF(Q1902&lt;&gt;"","・住民票","")&amp;IF(R1902&lt;&gt;"","・発信","")&amp;IF(S1902&lt;&gt;"","・確認事項","")&amp;IF(T1902&lt;&gt;"","・管","")&amp;IF(U1902&lt;&gt;"","・SV","")&amp;IF(V1902&lt;&gt;"","・データ送付待ち","")&amp;IF(W1902&lt;&gt;"","・削除","")</f>
        <v/>
      </c>
    </row>
    <row r="1903" ht="15" customHeight="1" s="87">
      <c r="AL1903" s="94">
        <f>IF(A1903="","",IF(COUNTIF(A1903:A$2001,A1903)=1,1,0))</f>
        <v/>
      </c>
      <c r="AM1903" s="94">
        <f>IF(I1903="","",TODAY()-I1903)</f>
        <v/>
      </c>
      <c r="AN1903" s="94">
        <f>IF(A1903="","",IF(AND(E1903&lt;&gt;"33 確認済",E1903&lt;&gt;"36 送付中"),1,0))</f>
        <v/>
      </c>
      <c r="AO1903" s="94">
        <f>IF(A1903="","",IF(AG1903&lt;&gt;"",1,0))</f>
        <v/>
      </c>
      <c r="AP1903" s="220">
        <f>IF(P1903&lt;&gt;"","・添待ち","")&amp;IF(Q1903&lt;&gt;"","・住民票","")&amp;IF(R1903&lt;&gt;"","・発信","")&amp;IF(S1903&lt;&gt;"","・確認事項","")&amp;IF(T1903&lt;&gt;"","・管","")&amp;IF(U1903&lt;&gt;"","・SV","")&amp;IF(V1903&lt;&gt;"","・データ送付待ち","")&amp;IF(W1903&lt;&gt;"","・削除","")</f>
        <v/>
      </c>
    </row>
    <row r="1904" ht="15" customHeight="1" s="87">
      <c r="AL1904" s="94">
        <f>IF(A1904="","",IF(COUNTIF(A1904:A$2001,A1904)=1,1,0))</f>
        <v/>
      </c>
      <c r="AM1904" s="94">
        <f>IF(I1904="","",TODAY()-I1904)</f>
        <v/>
      </c>
      <c r="AN1904" s="94">
        <f>IF(A1904="","",IF(AND(E1904&lt;&gt;"33 確認済",E1904&lt;&gt;"36 送付中"),1,0))</f>
        <v/>
      </c>
      <c r="AO1904" s="94">
        <f>IF(A1904="","",IF(AG1904&lt;&gt;"",1,0))</f>
        <v/>
      </c>
      <c r="AP1904" s="220">
        <f>IF(P1904&lt;&gt;"","・添待ち","")&amp;IF(Q1904&lt;&gt;"","・住民票","")&amp;IF(R1904&lt;&gt;"","・発信","")&amp;IF(S1904&lt;&gt;"","・確認事項","")&amp;IF(T1904&lt;&gt;"","・管","")&amp;IF(U1904&lt;&gt;"","・SV","")&amp;IF(V1904&lt;&gt;"","・データ送付待ち","")&amp;IF(W1904&lt;&gt;"","・削除","")</f>
        <v/>
      </c>
    </row>
    <row r="1905" ht="15" customHeight="1" s="87">
      <c r="AL1905" s="94">
        <f>IF(A1905="","",IF(COUNTIF(A1905:A$2001,A1905)=1,1,0))</f>
        <v/>
      </c>
      <c r="AM1905" s="94">
        <f>IF(I1905="","",TODAY()-I1905)</f>
        <v/>
      </c>
      <c r="AN1905" s="94">
        <f>IF(A1905="","",IF(AND(E1905&lt;&gt;"33 確認済",E1905&lt;&gt;"36 送付中"),1,0))</f>
        <v/>
      </c>
      <c r="AO1905" s="94">
        <f>IF(A1905="","",IF(AG1905&lt;&gt;"",1,0))</f>
        <v/>
      </c>
      <c r="AP1905" s="220">
        <f>IF(P1905&lt;&gt;"","・添待ち","")&amp;IF(Q1905&lt;&gt;"","・住民票","")&amp;IF(R1905&lt;&gt;"","・発信","")&amp;IF(S1905&lt;&gt;"","・確認事項","")&amp;IF(T1905&lt;&gt;"","・管","")&amp;IF(U1905&lt;&gt;"","・SV","")&amp;IF(V1905&lt;&gt;"","・データ送付待ち","")&amp;IF(W1905&lt;&gt;"","・削除","")</f>
        <v/>
      </c>
    </row>
    <row r="1906" ht="15" customHeight="1" s="87">
      <c r="AL1906" s="94">
        <f>IF(A1906="","",IF(COUNTIF(A1906:A$2001,A1906)=1,1,0))</f>
        <v/>
      </c>
      <c r="AM1906" s="94">
        <f>IF(I1906="","",TODAY()-I1906)</f>
        <v/>
      </c>
      <c r="AN1906" s="94">
        <f>IF(A1906="","",IF(AND(E1906&lt;&gt;"33 確認済",E1906&lt;&gt;"36 送付中"),1,0))</f>
        <v/>
      </c>
      <c r="AO1906" s="94">
        <f>IF(A1906="","",IF(AG1906&lt;&gt;"",1,0))</f>
        <v/>
      </c>
      <c r="AP1906" s="220">
        <f>IF(P1906&lt;&gt;"","・添待ち","")&amp;IF(Q1906&lt;&gt;"","・住民票","")&amp;IF(R1906&lt;&gt;"","・発信","")&amp;IF(S1906&lt;&gt;"","・確認事項","")&amp;IF(T1906&lt;&gt;"","・管","")&amp;IF(U1906&lt;&gt;"","・SV","")&amp;IF(V1906&lt;&gt;"","・データ送付待ち","")&amp;IF(W1906&lt;&gt;"","・削除","")</f>
        <v/>
      </c>
    </row>
    <row r="1907" ht="15" customHeight="1" s="87">
      <c r="AL1907" s="94">
        <f>IF(A1907="","",IF(COUNTIF(A1907:A$2001,A1907)=1,1,0))</f>
        <v/>
      </c>
      <c r="AM1907" s="94">
        <f>IF(I1907="","",TODAY()-I1907)</f>
        <v/>
      </c>
      <c r="AN1907" s="94">
        <f>IF(A1907="","",IF(AND(E1907&lt;&gt;"33 確認済",E1907&lt;&gt;"36 送付中"),1,0))</f>
        <v/>
      </c>
      <c r="AO1907" s="94">
        <f>IF(A1907="","",IF(AG1907&lt;&gt;"",1,0))</f>
        <v/>
      </c>
      <c r="AP1907" s="220">
        <f>IF(P1907&lt;&gt;"","・添待ち","")&amp;IF(Q1907&lt;&gt;"","・住民票","")&amp;IF(R1907&lt;&gt;"","・発信","")&amp;IF(S1907&lt;&gt;"","・確認事項","")&amp;IF(T1907&lt;&gt;"","・管","")&amp;IF(U1907&lt;&gt;"","・SV","")&amp;IF(V1907&lt;&gt;"","・データ送付待ち","")&amp;IF(W1907&lt;&gt;"","・削除","")</f>
        <v/>
      </c>
    </row>
    <row r="1908" ht="15" customHeight="1" s="87">
      <c r="AL1908" s="94">
        <f>IF(A1908="","",IF(COUNTIF(A1908:A$2001,A1908)=1,1,0))</f>
        <v/>
      </c>
      <c r="AM1908" s="94">
        <f>IF(I1908="","",TODAY()-I1908)</f>
        <v/>
      </c>
      <c r="AN1908" s="94">
        <f>IF(A1908="","",IF(AND(E1908&lt;&gt;"33 確認済",E1908&lt;&gt;"36 送付中"),1,0))</f>
        <v/>
      </c>
      <c r="AO1908" s="94">
        <f>IF(A1908="","",IF(AG1908&lt;&gt;"",1,0))</f>
        <v/>
      </c>
      <c r="AP1908" s="220">
        <f>IF(P1908&lt;&gt;"","・添待ち","")&amp;IF(Q1908&lt;&gt;"","・住民票","")&amp;IF(R1908&lt;&gt;"","・発信","")&amp;IF(S1908&lt;&gt;"","・確認事項","")&amp;IF(T1908&lt;&gt;"","・管","")&amp;IF(U1908&lt;&gt;"","・SV","")&amp;IF(V1908&lt;&gt;"","・データ送付待ち","")&amp;IF(W1908&lt;&gt;"","・削除","")</f>
        <v/>
      </c>
    </row>
    <row r="1909" ht="15" customHeight="1" s="87">
      <c r="AL1909" s="94">
        <f>IF(A1909="","",IF(COUNTIF(A1909:A$2001,A1909)=1,1,0))</f>
        <v/>
      </c>
      <c r="AM1909" s="94">
        <f>IF(I1909="","",TODAY()-I1909)</f>
        <v/>
      </c>
      <c r="AN1909" s="94">
        <f>IF(A1909="","",IF(AND(E1909&lt;&gt;"33 確認済",E1909&lt;&gt;"36 送付中"),1,0))</f>
        <v/>
      </c>
      <c r="AO1909" s="94">
        <f>IF(A1909="","",IF(AG1909&lt;&gt;"",1,0))</f>
        <v/>
      </c>
      <c r="AP1909" s="220">
        <f>IF(P1909&lt;&gt;"","・添待ち","")&amp;IF(Q1909&lt;&gt;"","・住民票","")&amp;IF(R1909&lt;&gt;"","・発信","")&amp;IF(S1909&lt;&gt;"","・確認事項","")&amp;IF(T1909&lt;&gt;"","・管","")&amp;IF(U1909&lt;&gt;"","・SV","")&amp;IF(V1909&lt;&gt;"","・データ送付待ち","")&amp;IF(W1909&lt;&gt;"","・削除","")</f>
        <v/>
      </c>
    </row>
    <row r="1910" ht="15" customHeight="1" s="87">
      <c r="AL1910" s="94">
        <f>IF(A1910="","",IF(COUNTIF(A1910:A$2001,A1910)=1,1,0))</f>
        <v/>
      </c>
      <c r="AM1910" s="94">
        <f>IF(I1910="","",TODAY()-I1910)</f>
        <v/>
      </c>
      <c r="AN1910" s="94">
        <f>IF(A1910="","",IF(AND(E1910&lt;&gt;"33 確認済",E1910&lt;&gt;"36 送付中"),1,0))</f>
        <v/>
      </c>
      <c r="AO1910" s="94">
        <f>IF(A1910="","",IF(AG1910&lt;&gt;"",1,0))</f>
        <v/>
      </c>
      <c r="AP1910" s="220">
        <f>IF(P1910&lt;&gt;"","・添待ち","")&amp;IF(Q1910&lt;&gt;"","・住民票","")&amp;IF(R1910&lt;&gt;"","・発信","")&amp;IF(S1910&lt;&gt;"","・確認事項","")&amp;IF(T1910&lt;&gt;"","・管","")&amp;IF(U1910&lt;&gt;"","・SV","")&amp;IF(V1910&lt;&gt;"","・データ送付待ち","")&amp;IF(W1910&lt;&gt;"","・削除","")</f>
        <v/>
      </c>
    </row>
    <row r="1911" ht="15" customHeight="1" s="87">
      <c r="AL1911" s="94">
        <f>IF(A1911="","",IF(COUNTIF(A1911:A$2001,A1911)=1,1,0))</f>
        <v/>
      </c>
      <c r="AM1911" s="94">
        <f>IF(I1911="","",TODAY()-I1911)</f>
        <v/>
      </c>
      <c r="AN1911" s="94">
        <f>IF(A1911="","",IF(AND(E1911&lt;&gt;"33 確認済",E1911&lt;&gt;"36 送付中"),1,0))</f>
        <v/>
      </c>
      <c r="AO1911" s="94">
        <f>IF(A1911="","",IF(AG1911&lt;&gt;"",1,0))</f>
        <v/>
      </c>
      <c r="AP1911" s="220">
        <f>IF(P1911&lt;&gt;"","・添待ち","")&amp;IF(Q1911&lt;&gt;"","・住民票","")&amp;IF(R1911&lt;&gt;"","・発信","")&amp;IF(S1911&lt;&gt;"","・確認事項","")&amp;IF(T1911&lt;&gt;"","・管","")&amp;IF(U1911&lt;&gt;"","・SV","")&amp;IF(V1911&lt;&gt;"","・データ送付待ち","")&amp;IF(W1911&lt;&gt;"","・削除","")</f>
        <v/>
      </c>
    </row>
    <row r="1912" ht="15" customHeight="1" s="87">
      <c r="AL1912" s="94">
        <f>IF(A1912="","",IF(COUNTIF(A1912:A$2001,A1912)=1,1,0))</f>
        <v/>
      </c>
      <c r="AM1912" s="94">
        <f>IF(I1912="","",TODAY()-I1912)</f>
        <v/>
      </c>
      <c r="AN1912" s="94">
        <f>IF(A1912="","",IF(AND(E1912&lt;&gt;"33 確認済",E1912&lt;&gt;"36 送付中"),1,0))</f>
        <v/>
      </c>
      <c r="AO1912" s="94">
        <f>IF(A1912="","",IF(AG1912&lt;&gt;"",1,0))</f>
        <v/>
      </c>
      <c r="AP1912" s="220">
        <f>IF(P1912&lt;&gt;"","・添待ち","")&amp;IF(Q1912&lt;&gt;"","・住民票","")&amp;IF(R1912&lt;&gt;"","・発信","")&amp;IF(S1912&lt;&gt;"","・確認事項","")&amp;IF(T1912&lt;&gt;"","・管","")&amp;IF(U1912&lt;&gt;"","・SV","")&amp;IF(V1912&lt;&gt;"","・データ送付待ち","")&amp;IF(W1912&lt;&gt;"","・削除","")</f>
        <v/>
      </c>
    </row>
    <row r="1913" ht="15" customHeight="1" s="87">
      <c r="AL1913" s="94">
        <f>IF(A1913="","",IF(COUNTIF(A1913:A$2001,A1913)=1,1,0))</f>
        <v/>
      </c>
      <c r="AM1913" s="94">
        <f>IF(I1913="","",TODAY()-I1913)</f>
        <v/>
      </c>
      <c r="AN1913" s="94">
        <f>IF(A1913="","",IF(AND(E1913&lt;&gt;"33 確認済",E1913&lt;&gt;"36 送付中"),1,0))</f>
        <v/>
      </c>
      <c r="AO1913" s="94">
        <f>IF(A1913="","",IF(AG1913&lt;&gt;"",1,0))</f>
        <v/>
      </c>
      <c r="AP1913" s="220">
        <f>IF(P1913&lt;&gt;"","・添待ち","")&amp;IF(Q1913&lt;&gt;"","・住民票","")&amp;IF(R1913&lt;&gt;"","・発信","")&amp;IF(S1913&lt;&gt;"","・確認事項","")&amp;IF(T1913&lt;&gt;"","・管","")&amp;IF(U1913&lt;&gt;"","・SV","")&amp;IF(V1913&lt;&gt;"","・データ送付待ち","")&amp;IF(W1913&lt;&gt;"","・削除","")</f>
        <v/>
      </c>
    </row>
    <row r="1914" ht="15" customHeight="1" s="87">
      <c r="AL1914" s="94">
        <f>IF(A1914="","",IF(COUNTIF(A1914:A$2001,A1914)=1,1,0))</f>
        <v/>
      </c>
      <c r="AM1914" s="94">
        <f>IF(I1914="","",TODAY()-I1914)</f>
        <v/>
      </c>
      <c r="AN1914" s="94">
        <f>IF(A1914="","",IF(AND(E1914&lt;&gt;"33 確認済",E1914&lt;&gt;"36 送付中"),1,0))</f>
        <v/>
      </c>
      <c r="AO1914" s="94">
        <f>IF(A1914="","",IF(AG1914&lt;&gt;"",1,0))</f>
        <v/>
      </c>
      <c r="AP1914" s="220">
        <f>IF(P1914&lt;&gt;"","・添待ち","")&amp;IF(Q1914&lt;&gt;"","・住民票","")&amp;IF(R1914&lt;&gt;"","・発信","")&amp;IF(S1914&lt;&gt;"","・確認事項","")&amp;IF(T1914&lt;&gt;"","・管","")&amp;IF(U1914&lt;&gt;"","・SV","")&amp;IF(V1914&lt;&gt;"","・データ送付待ち","")&amp;IF(W1914&lt;&gt;"","・削除","")</f>
        <v/>
      </c>
    </row>
    <row r="1915" ht="15" customHeight="1" s="87">
      <c r="AL1915" s="94">
        <f>IF(A1915="","",IF(COUNTIF(A1915:A$2001,A1915)=1,1,0))</f>
        <v/>
      </c>
      <c r="AM1915" s="94">
        <f>IF(I1915="","",TODAY()-I1915)</f>
        <v/>
      </c>
      <c r="AN1915" s="94">
        <f>IF(A1915="","",IF(AND(E1915&lt;&gt;"33 確認済",E1915&lt;&gt;"36 送付中"),1,0))</f>
        <v/>
      </c>
      <c r="AO1915" s="94">
        <f>IF(A1915="","",IF(AG1915&lt;&gt;"",1,0))</f>
        <v/>
      </c>
      <c r="AP1915" s="220">
        <f>IF(P1915&lt;&gt;"","・添待ち","")&amp;IF(Q1915&lt;&gt;"","・住民票","")&amp;IF(R1915&lt;&gt;"","・発信","")&amp;IF(S1915&lt;&gt;"","・確認事項","")&amp;IF(T1915&lt;&gt;"","・管","")&amp;IF(U1915&lt;&gt;"","・SV","")&amp;IF(V1915&lt;&gt;"","・データ送付待ち","")&amp;IF(W1915&lt;&gt;"","・削除","")</f>
        <v/>
      </c>
    </row>
    <row r="1916" ht="15" customHeight="1" s="87">
      <c r="AL1916" s="94">
        <f>IF(A1916="","",IF(COUNTIF(A1916:A$2001,A1916)=1,1,0))</f>
        <v/>
      </c>
      <c r="AM1916" s="94">
        <f>IF(I1916="","",TODAY()-I1916)</f>
        <v/>
      </c>
      <c r="AN1916" s="94">
        <f>IF(A1916="","",IF(AND(E1916&lt;&gt;"33 確認済",E1916&lt;&gt;"36 送付中"),1,0))</f>
        <v/>
      </c>
      <c r="AO1916" s="94">
        <f>IF(A1916="","",IF(AG1916&lt;&gt;"",1,0))</f>
        <v/>
      </c>
      <c r="AP1916" s="220">
        <f>IF(P1916&lt;&gt;"","・添待ち","")&amp;IF(Q1916&lt;&gt;"","・住民票","")&amp;IF(R1916&lt;&gt;"","・発信","")&amp;IF(S1916&lt;&gt;"","・確認事項","")&amp;IF(T1916&lt;&gt;"","・管","")&amp;IF(U1916&lt;&gt;"","・SV","")&amp;IF(V1916&lt;&gt;"","・データ送付待ち","")&amp;IF(W1916&lt;&gt;"","・削除","")</f>
        <v/>
      </c>
    </row>
    <row r="1917" ht="15" customHeight="1" s="87">
      <c r="AL1917" s="94">
        <f>IF(A1917="","",IF(COUNTIF(A1917:A$2001,A1917)=1,1,0))</f>
        <v/>
      </c>
      <c r="AM1917" s="94">
        <f>IF(I1917="","",TODAY()-I1917)</f>
        <v/>
      </c>
      <c r="AN1917" s="94">
        <f>IF(A1917="","",IF(AND(E1917&lt;&gt;"33 確認済",E1917&lt;&gt;"36 送付中"),1,0))</f>
        <v/>
      </c>
      <c r="AO1917" s="94">
        <f>IF(A1917="","",IF(AG1917&lt;&gt;"",1,0))</f>
        <v/>
      </c>
      <c r="AP1917" s="220">
        <f>IF(P1917&lt;&gt;"","・添待ち","")&amp;IF(Q1917&lt;&gt;"","・住民票","")&amp;IF(R1917&lt;&gt;"","・発信","")&amp;IF(S1917&lt;&gt;"","・確認事項","")&amp;IF(T1917&lt;&gt;"","・管","")&amp;IF(U1917&lt;&gt;"","・SV","")&amp;IF(V1917&lt;&gt;"","・データ送付待ち","")&amp;IF(W1917&lt;&gt;"","・削除","")</f>
        <v/>
      </c>
    </row>
    <row r="1918" ht="15" customHeight="1" s="87">
      <c r="AL1918" s="94">
        <f>IF(A1918="","",IF(COUNTIF(A1918:A$2001,A1918)=1,1,0))</f>
        <v/>
      </c>
      <c r="AM1918" s="94">
        <f>IF(I1918="","",TODAY()-I1918)</f>
        <v/>
      </c>
      <c r="AN1918" s="94">
        <f>IF(A1918="","",IF(AND(E1918&lt;&gt;"33 確認済",E1918&lt;&gt;"36 送付中"),1,0))</f>
        <v/>
      </c>
      <c r="AO1918" s="94">
        <f>IF(A1918="","",IF(AG1918&lt;&gt;"",1,0))</f>
        <v/>
      </c>
      <c r="AP1918" s="220">
        <f>IF(P1918&lt;&gt;"","・添待ち","")&amp;IF(Q1918&lt;&gt;"","・住民票","")&amp;IF(R1918&lt;&gt;"","・発信","")&amp;IF(S1918&lt;&gt;"","・確認事項","")&amp;IF(T1918&lt;&gt;"","・管","")&amp;IF(U1918&lt;&gt;"","・SV","")&amp;IF(V1918&lt;&gt;"","・データ送付待ち","")&amp;IF(W1918&lt;&gt;"","・削除","")</f>
        <v/>
      </c>
    </row>
    <row r="1919" ht="15" customHeight="1" s="87">
      <c r="AL1919" s="94">
        <f>IF(A1919="","",IF(COUNTIF(A1919:A$2001,A1919)=1,1,0))</f>
        <v/>
      </c>
      <c r="AM1919" s="94">
        <f>IF(I1919="","",TODAY()-I1919)</f>
        <v/>
      </c>
      <c r="AN1919" s="94">
        <f>IF(A1919="","",IF(AND(E1919&lt;&gt;"33 確認済",E1919&lt;&gt;"36 送付中"),1,0))</f>
        <v/>
      </c>
      <c r="AO1919" s="94">
        <f>IF(A1919="","",IF(AG1919&lt;&gt;"",1,0))</f>
        <v/>
      </c>
      <c r="AP1919" s="220">
        <f>IF(P1919&lt;&gt;"","・添待ち","")&amp;IF(Q1919&lt;&gt;"","・住民票","")&amp;IF(R1919&lt;&gt;"","・発信","")&amp;IF(S1919&lt;&gt;"","・確認事項","")&amp;IF(T1919&lt;&gt;"","・管","")&amp;IF(U1919&lt;&gt;"","・SV","")&amp;IF(V1919&lt;&gt;"","・データ送付待ち","")&amp;IF(W1919&lt;&gt;"","・削除","")</f>
        <v/>
      </c>
    </row>
    <row r="1920" ht="15" customHeight="1" s="87">
      <c r="AL1920" s="94">
        <f>IF(A1920="","",IF(COUNTIF(A1920:A$2001,A1920)=1,1,0))</f>
        <v/>
      </c>
      <c r="AM1920" s="94">
        <f>IF(I1920="","",TODAY()-I1920)</f>
        <v/>
      </c>
      <c r="AN1920" s="94">
        <f>IF(A1920="","",IF(AND(E1920&lt;&gt;"33 確認済",E1920&lt;&gt;"36 送付中"),1,0))</f>
        <v/>
      </c>
      <c r="AO1920" s="94">
        <f>IF(A1920="","",IF(AG1920&lt;&gt;"",1,0))</f>
        <v/>
      </c>
      <c r="AP1920" s="220">
        <f>IF(P1920&lt;&gt;"","・添待ち","")&amp;IF(Q1920&lt;&gt;"","・住民票","")&amp;IF(R1920&lt;&gt;"","・発信","")&amp;IF(S1920&lt;&gt;"","・確認事項","")&amp;IF(T1920&lt;&gt;"","・管","")&amp;IF(U1920&lt;&gt;"","・SV","")&amp;IF(V1920&lt;&gt;"","・データ送付待ち","")&amp;IF(W1920&lt;&gt;"","・削除","")</f>
        <v/>
      </c>
    </row>
    <row r="1921" ht="15" customHeight="1" s="87">
      <c r="AL1921" s="94">
        <f>IF(A1921="","",IF(COUNTIF(A1921:A$2001,A1921)=1,1,0))</f>
        <v/>
      </c>
      <c r="AM1921" s="94">
        <f>IF(I1921="","",TODAY()-I1921)</f>
        <v/>
      </c>
      <c r="AN1921" s="94">
        <f>IF(A1921="","",IF(AND(E1921&lt;&gt;"33 確認済",E1921&lt;&gt;"36 送付中"),1,0))</f>
        <v/>
      </c>
      <c r="AO1921" s="94">
        <f>IF(A1921="","",IF(AG1921&lt;&gt;"",1,0))</f>
        <v/>
      </c>
      <c r="AP1921" s="220">
        <f>IF(P1921&lt;&gt;"","・添待ち","")&amp;IF(Q1921&lt;&gt;"","・住民票","")&amp;IF(R1921&lt;&gt;"","・発信","")&amp;IF(S1921&lt;&gt;"","・確認事項","")&amp;IF(T1921&lt;&gt;"","・管","")&amp;IF(U1921&lt;&gt;"","・SV","")&amp;IF(V1921&lt;&gt;"","・データ送付待ち","")&amp;IF(W1921&lt;&gt;"","・削除","")</f>
        <v/>
      </c>
    </row>
    <row r="1922" ht="15" customHeight="1" s="87">
      <c r="AL1922" s="94">
        <f>IF(A1922="","",IF(COUNTIF(A1922:A$2001,A1922)=1,1,0))</f>
        <v/>
      </c>
      <c r="AM1922" s="94">
        <f>IF(I1922="","",TODAY()-I1922)</f>
        <v/>
      </c>
      <c r="AN1922" s="94">
        <f>IF(A1922="","",IF(AND(E1922&lt;&gt;"33 確認済",E1922&lt;&gt;"36 送付中"),1,0))</f>
        <v/>
      </c>
      <c r="AO1922" s="94">
        <f>IF(A1922="","",IF(AG1922&lt;&gt;"",1,0))</f>
        <v/>
      </c>
      <c r="AP1922" s="220">
        <f>IF(P1922&lt;&gt;"","・添待ち","")&amp;IF(Q1922&lt;&gt;"","・住民票","")&amp;IF(R1922&lt;&gt;"","・発信","")&amp;IF(S1922&lt;&gt;"","・確認事項","")&amp;IF(T1922&lt;&gt;"","・管","")&amp;IF(U1922&lt;&gt;"","・SV","")&amp;IF(V1922&lt;&gt;"","・データ送付待ち","")&amp;IF(W1922&lt;&gt;"","・削除","")</f>
        <v/>
      </c>
    </row>
    <row r="1923" ht="15" customHeight="1" s="87">
      <c r="AL1923" s="94">
        <f>IF(A1923="","",IF(COUNTIF(A1923:A$2001,A1923)=1,1,0))</f>
        <v/>
      </c>
      <c r="AM1923" s="94">
        <f>IF(I1923="","",TODAY()-I1923)</f>
        <v/>
      </c>
      <c r="AN1923" s="94">
        <f>IF(A1923="","",IF(AND(E1923&lt;&gt;"33 確認済",E1923&lt;&gt;"36 送付中"),1,0))</f>
        <v/>
      </c>
      <c r="AO1923" s="94">
        <f>IF(A1923="","",IF(AG1923&lt;&gt;"",1,0))</f>
        <v/>
      </c>
      <c r="AP1923" s="220">
        <f>IF(P1923&lt;&gt;"","・添待ち","")&amp;IF(Q1923&lt;&gt;"","・住民票","")&amp;IF(R1923&lt;&gt;"","・発信","")&amp;IF(S1923&lt;&gt;"","・確認事項","")&amp;IF(T1923&lt;&gt;"","・管","")&amp;IF(U1923&lt;&gt;"","・SV","")&amp;IF(V1923&lt;&gt;"","・データ送付待ち","")&amp;IF(W1923&lt;&gt;"","・削除","")</f>
        <v/>
      </c>
    </row>
    <row r="1924" ht="15" customHeight="1" s="87">
      <c r="AL1924" s="94">
        <f>IF(A1924="","",IF(COUNTIF(A1924:A$2001,A1924)=1,1,0))</f>
        <v/>
      </c>
      <c r="AM1924" s="94">
        <f>IF(I1924="","",TODAY()-I1924)</f>
        <v/>
      </c>
      <c r="AN1924" s="94">
        <f>IF(A1924="","",IF(AND(E1924&lt;&gt;"33 確認済",E1924&lt;&gt;"36 送付中"),1,0))</f>
        <v/>
      </c>
      <c r="AO1924" s="94">
        <f>IF(A1924="","",IF(AG1924&lt;&gt;"",1,0))</f>
        <v/>
      </c>
      <c r="AP1924" s="220">
        <f>IF(P1924&lt;&gt;"","・添待ち","")&amp;IF(Q1924&lt;&gt;"","・住民票","")&amp;IF(R1924&lt;&gt;"","・発信","")&amp;IF(S1924&lt;&gt;"","・確認事項","")&amp;IF(T1924&lt;&gt;"","・管","")&amp;IF(U1924&lt;&gt;"","・SV","")&amp;IF(V1924&lt;&gt;"","・データ送付待ち","")&amp;IF(W1924&lt;&gt;"","・削除","")</f>
        <v/>
      </c>
    </row>
    <row r="1925" ht="15" customHeight="1" s="87">
      <c r="AL1925" s="94">
        <f>IF(A1925="","",IF(COUNTIF(A1925:A$2001,A1925)=1,1,0))</f>
        <v/>
      </c>
      <c r="AM1925" s="94">
        <f>IF(I1925="","",TODAY()-I1925)</f>
        <v/>
      </c>
      <c r="AN1925" s="94">
        <f>IF(A1925="","",IF(AND(E1925&lt;&gt;"33 確認済",E1925&lt;&gt;"36 送付中"),1,0))</f>
        <v/>
      </c>
      <c r="AO1925" s="94">
        <f>IF(A1925="","",IF(AG1925&lt;&gt;"",1,0))</f>
        <v/>
      </c>
      <c r="AP1925" s="220">
        <f>IF(P1925&lt;&gt;"","・添待ち","")&amp;IF(Q1925&lt;&gt;"","・住民票","")&amp;IF(R1925&lt;&gt;"","・発信","")&amp;IF(S1925&lt;&gt;"","・確認事項","")&amp;IF(T1925&lt;&gt;"","・管","")&amp;IF(U1925&lt;&gt;"","・SV","")&amp;IF(V1925&lt;&gt;"","・データ送付待ち","")&amp;IF(W1925&lt;&gt;"","・削除","")</f>
        <v/>
      </c>
    </row>
    <row r="1926" ht="15" customHeight="1" s="87">
      <c r="AL1926" s="94">
        <f>IF(A1926="","",IF(COUNTIF(A1926:A$2001,A1926)=1,1,0))</f>
        <v/>
      </c>
      <c r="AM1926" s="94">
        <f>IF(I1926="","",TODAY()-I1926)</f>
        <v/>
      </c>
      <c r="AN1926" s="94">
        <f>IF(A1926="","",IF(AND(E1926&lt;&gt;"33 確認済",E1926&lt;&gt;"36 送付中"),1,0))</f>
        <v/>
      </c>
      <c r="AO1926" s="94">
        <f>IF(A1926="","",IF(AG1926&lt;&gt;"",1,0))</f>
        <v/>
      </c>
      <c r="AP1926" s="220">
        <f>IF(P1926&lt;&gt;"","・添待ち","")&amp;IF(Q1926&lt;&gt;"","・住民票","")&amp;IF(R1926&lt;&gt;"","・発信","")&amp;IF(S1926&lt;&gt;"","・確認事項","")&amp;IF(T1926&lt;&gt;"","・管","")&amp;IF(U1926&lt;&gt;"","・SV","")&amp;IF(V1926&lt;&gt;"","・データ送付待ち","")&amp;IF(W1926&lt;&gt;"","・削除","")</f>
        <v/>
      </c>
    </row>
    <row r="1927" ht="15" customHeight="1" s="87">
      <c r="AL1927" s="94">
        <f>IF(A1927="","",IF(COUNTIF(A1927:A$2001,A1927)=1,1,0))</f>
        <v/>
      </c>
      <c r="AM1927" s="94">
        <f>IF(I1927="","",TODAY()-I1927)</f>
        <v/>
      </c>
      <c r="AN1927" s="94">
        <f>IF(A1927="","",IF(AND(E1927&lt;&gt;"33 確認済",E1927&lt;&gt;"36 送付中"),1,0))</f>
        <v/>
      </c>
      <c r="AO1927" s="94">
        <f>IF(A1927="","",IF(AG1927&lt;&gt;"",1,0))</f>
        <v/>
      </c>
      <c r="AP1927" s="220">
        <f>IF(P1927&lt;&gt;"","・添待ち","")&amp;IF(Q1927&lt;&gt;"","・住民票","")&amp;IF(R1927&lt;&gt;"","・発信","")&amp;IF(S1927&lt;&gt;"","・確認事項","")&amp;IF(T1927&lt;&gt;"","・管","")&amp;IF(U1927&lt;&gt;"","・SV","")&amp;IF(V1927&lt;&gt;"","・データ送付待ち","")&amp;IF(W1927&lt;&gt;"","・削除","")</f>
        <v/>
      </c>
    </row>
    <row r="1928" ht="15" customHeight="1" s="87">
      <c r="AL1928" s="94">
        <f>IF(A1928="","",IF(COUNTIF(A1928:A$2001,A1928)=1,1,0))</f>
        <v/>
      </c>
      <c r="AM1928" s="94">
        <f>IF(I1928="","",TODAY()-I1928)</f>
        <v/>
      </c>
      <c r="AN1928" s="94">
        <f>IF(A1928="","",IF(AND(E1928&lt;&gt;"33 確認済",E1928&lt;&gt;"36 送付中"),1,0))</f>
        <v/>
      </c>
      <c r="AO1928" s="94">
        <f>IF(A1928="","",IF(AG1928&lt;&gt;"",1,0))</f>
        <v/>
      </c>
      <c r="AP1928" s="220">
        <f>IF(P1928&lt;&gt;"","・添待ち","")&amp;IF(Q1928&lt;&gt;"","・住民票","")&amp;IF(R1928&lt;&gt;"","・発信","")&amp;IF(S1928&lt;&gt;"","・確認事項","")&amp;IF(T1928&lt;&gt;"","・管","")&amp;IF(U1928&lt;&gt;"","・SV","")&amp;IF(V1928&lt;&gt;"","・データ送付待ち","")&amp;IF(W1928&lt;&gt;"","・削除","")</f>
        <v/>
      </c>
    </row>
    <row r="1929" ht="15" customHeight="1" s="87">
      <c r="AL1929" s="94">
        <f>IF(A1929="","",IF(COUNTIF(A1929:A$2001,A1929)=1,1,0))</f>
        <v/>
      </c>
      <c r="AM1929" s="94">
        <f>IF(I1929="","",TODAY()-I1929)</f>
        <v/>
      </c>
      <c r="AN1929" s="94">
        <f>IF(A1929="","",IF(AND(E1929&lt;&gt;"33 確認済",E1929&lt;&gt;"36 送付中"),1,0))</f>
        <v/>
      </c>
      <c r="AO1929" s="94">
        <f>IF(A1929="","",IF(AG1929&lt;&gt;"",1,0))</f>
        <v/>
      </c>
      <c r="AP1929" s="220">
        <f>IF(P1929&lt;&gt;"","・添待ち","")&amp;IF(Q1929&lt;&gt;"","・住民票","")&amp;IF(R1929&lt;&gt;"","・発信","")&amp;IF(S1929&lt;&gt;"","・確認事項","")&amp;IF(T1929&lt;&gt;"","・管","")&amp;IF(U1929&lt;&gt;"","・SV","")&amp;IF(V1929&lt;&gt;"","・データ送付待ち","")&amp;IF(W1929&lt;&gt;"","・削除","")</f>
        <v/>
      </c>
    </row>
    <row r="1930" ht="15" customHeight="1" s="87">
      <c r="AL1930" s="94">
        <f>IF(A1930="","",IF(COUNTIF(A1930:A$2001,A1930)=1,1,0))</f>
        <v/>
      </c>
      <c r="AM1930" s="94">
        <f>IF(I1930="","",TODAY()-I1930)</f>
        <v/>
      </c>
      <c r="AN1930" s="94">
        <f>IF(A1930="","",IF(AND(E1930&lt;&gt;"33 確認済",E1930&lt;&gt;"36 送付中"),1,0))</f>
        <v/>
      </c>
      <c r="AO1930" s="94">
        <f>IF(A1930="","",IF(AG1930&lt;&gt;"",1,0))</f>
        <v/>
      </c>
      <c r="AP1930" s="220">
        <f>IF(P1930&lt;&gt;"","・添待ち","")&amp;IF(Q1930&lt;&gt;"","・住民票","")&amp;IF(R1930&lt;&gt;"","・発信","")&amp;IF(S1930&lt;&gt;"","・確認事項","")&amp;IF(T1930&lt;&gt;"","・管","")&amp;IF(U1930&lt;&gt;"","・SV","")&amp;IF(V1930&lt;&gt;"","・データ送付待ち","")&amp;IF(W1930&lt;&gt;"","・削除","")</f>
        <v/>
      </c>
    </row>
    <row r="1931" ht="15" customHeight="1" s="87">
      <c r="AL1931" s="94">
        <f>IF(A1931="","",IF(COUNTIF(A1931:A$2001,A1931)=1,1,0))</f>
        <v/>
      </c>
      <c r="AM1931" s="94">
        <f>IF(I1931="","",TODAY()-I1931)</f>
        <v/>
      </c>
      <c r="AN1931" s="94">
        <f>IF(A1931="","",IF(AND(E1931&lt;&gt;"33 確認済",E1931&lt;&gt;"36 送付中"),1,0))</f>
        <v/>
      </c>
      <c r="AO1931" s="94">
        <f>IF(A1931="","",IF(AG1931&lt;&gt;"",1,0))</f>
        <v/>
      </c>
      <c r="AP1931" s="220">
        <f>IF(P1931&lt;&gt;"","・添待ち","")&amp;IF(Q1931&lt;&gt;"","・住民票","")&amp;IF(R1931&lt;&gt;"","・発信","")&amp;IF(S1931&lt;&gt;"","・確認事項","")&amp;IF(T1931&lt;&gt;"","・管","")&amp;IF(U1931&lt;&gt;"","・SV","")&amp;IF(V1931&lt;&gt;"","・データ送付待ち","")&amp;IF(W1931&lt;&gt;"","・削除","")</f>
        <v/>
      </c>
    </row>
    <row r="1932" ht="15" customHeight="1" s="87">
      <c r="AL1932" s="94">
        <f>IF(A1932="","",IF(COUNTIF(A1932:A$2001,A1932)=1,1,0))</f>
        <v/>
      </c>
      <c r="AM1932" s="94">
        <f>IF(I1932="","",TODAY()-I1932)</f>
        <v/>
      </c>
      <c r="AN1932" s="94">
        <f>IF(A1932="","",IF(AND(E1932&lt;&gt;"33 確認済",E1932&lt;&gt;"36 送付中"),1,0))</f>
        <v/>
      </c>
      <c r="AO1932" s="94">
        <f>IF(A1932="","",IF(AG1932&lt;&gt;"",1,0))</f>
        <v/>
      </c>
      <c r="AP1932" s="220">
        <f>IF(P1932&lt;&gt;"","・添待ち","")&amp;IF(Q1932&lt;&gt;"","・住民票","")&amp;IF(R1932&lt;&gt;"","・発信","")&amp;IF(S1932&lt;&gt;"","・確認事項","")&amp;IF(T1932&lt;&gt;"","・管","")&amp;IF(U1932&lt;&gt;"","・SV","")&amp;IF(V1932&lt;&gt;"","・データ送付待ち","")&amp;IF(W1932&lt;&gt;"","・削除","")</f>
        <v/>
      </c>
    </row>
    <row r="1933" ht="15" customHeight="1" s="87">
      <c r="AL1933" s="94">
        <f>IF(A1933="","",IF(COUNTIF(A1933:A$2001,A1933)=1,1,0))</f>
        <v/>
      </c>
      <c r="AM1933" s="94">
        <f>IF(I1933="","",TODAY()-I1933)</f>
        <v/>
      </c>
      <c r="AN1933" s="94">
        <f>IF(A1933="","",IF(AND(E1933&lt;&gt;"33 確認済",E1933&lt;&gt;"36 送付中"),1,0))</f>
        <v/>
      </c>
      <c r="AO1933" s="94">
        <f>IF(A1933="","",IF(AG1933&lt;&gt;"",1,0))</f>
        <v/>
      </c>
      <c r="AP1933" s="220">
        <f>IF(P1933&lt;&gt;"","・添待ち","")&amp;IF(Q1933&lt;&gt;"","・住民票","")&amp;IF(R1933&lt;&gt;"","・発信","")&amp;IF(S1933&lt;&gt;"","・確認事項","")&amp;IF(T1933&lt;&gt;"","・管","")&amp;IF(U1933&lt;&gt;"","・SV","")&amp;IF(V1933&lt;&gt;"","・データ送付待ち","")&amp;IF(W1933&lt;&gt;"","・削除","")</f>
        <v/>
      </c>
    </row>
    <row r="1934" ht="15" customHeight="1" s="87">
      <c r="AL1934" s="94">
        <f>IF(A1934="","",IF(COUNTIF(A1934:A$2001,A1934)=1,1,0))</f>
        <v/>
      </c>
      <c r="AM1934" s="94">
        <f>IF(I1934="","",TODAY()-I1934)</f>
        <v/>
      </c>
      <c r="AN1934" s="94">
        <f>IF(A1934="","",IF(AND(E1934&lt;&gt;"33 確認済",E1934&lt;&gt;"36 送付中"),1,0))</f>
        <v/>
      </c>
      <c r="AO1934" s="94">
        <f>IF(A1934="","",IF(AG1934&lt;&gt;"",1,0))</f>
        <v/>
      </c>
      <c r="AP1934" s="220">
        <f>IF(P1934&lt;&gt;"","・添待ち","")&amp;IF(Q1934&lt;&gt;"","・住民票","")&amp;IF(R1934&lt;&gt;"","・発信","")&amp;IF(S1934&lt;&gt;"","・確認事項","")&amp;IF(T1934&lt;&gt;"","・管","")&amp;IF(U1934&lt;&gt;"","・SV","")&amp;IF(V1934&lt;&gt;"","・データ送付待ち","")&amp;IF(W1934&lt;&gt;"","・削除","")</f>
        <v/>
      </c>
    </row>
    <row r="1935" ht="15" customHeight="1" s="87">
      <c r="AL1935" s="94">
        <f>IF(A1935="","",IF(COUNTIF(A1935:A$2001,A1935)=1,1,0))</f>
        <v/>
      </c>
      <c r="AM1935" s="94">
        <f>IF(I1935="","",TODAY()-I1935)</f>
        <v/>
      </c>
      <c r="AN1935" s="94">
        <f>IF(A1935="","",IF(AND(E1935&lt;&gt;"33 確認済",E1935&lt;&gt;"36 送付中"),1,0))</f>
        <v/>
      </c>
      <c r="AO1935" s="94">
        <f>IF(A1935="","",IF(AG1935&lt;&gt;"",1,0))</f>
        <v/>
      </c>
      <c r="AP1935" s="220">
        <f>IF(P1935&lt;&gt;"","・添待ち","")&amp;IF(Q1935&lt;&gt;"","・住民票","")&amp;IF(R1935&lt;&gt;"","・発信","")&amp;IF(S1935&lt;&gt;"","・確認事項","")&amp;IF(T1935&lt;&gt;"","・管","")&amp;IF(U1935&lt;&gt;"","・SV","")&amp;IF(V1935&lt;&gt;"","・データ送付待ち","")&amp;IF(W1935&lt;&gt;"","・削除","")</f>
        <v/>
      </c>
    </row>
    <row r="1936" ht="15" customHeight="1" s="87">
      <c r="AL1936" s="94">
        <f>IF(A1936="","",IF(COUNTIF(A1936:A$2001,A1936)=1,1,0))</f>
        <v/>
      </c>
      <c r="AM1936" s="94">
        <f>IF(I1936="","",TODAY()-I1936)</f>
        <v/>
      </c>
      <c r="AN1936" s="94">
        <f>IF(A1936="","",IF(AND(E1936&lt;&gt;"33 確認済",E1936&lt;&gt;"36 送付中"),1,0))</f>
        <v/>
      </c>
      <c r="AO1936" s="94">
        <f>IF(A1936="","",IF(AG1936&lt;&gt;"",1,0))</f>
        <v/>
      </c>
      <c r="AP1936" s="220">
        <f>IF(P1936&lt;&gt;"","・添待ち","")&amp;IF(Q1936&lt;&gt;"","・住民票","")&amp;IF(R1936&lt;&gt;"","・発信","")&amp;IF(S1936&lt;&gt;"","・確認事項","")&amp;IF(T1936&lt;&gt;"","・管","")&amp;IF(U1936&lt;&gt;"","・SV","")&amp;IF(V1936&lt;&gt;"","・データ送付待ち","")&amp;IF(W1936&lt;&gt;"","・削除","")</f>
        <v/>
      </c>
    </row>
    <row r="1937" ht="15" customHeight="1" s="87">
      <c r="AL1937" s="94">
        <f>IF(A1937="","",IF(COUNTIF(A1937:A$2001,A1937)=1,1,0))</f>
        <v/>
      </c>
      <c r="AM1937" s="94">
        <f>IF(I1937="","",TODAY()-I1937)</f>
        <v/>
      </c>
      <c r="AN1937" s="94">
        <f>IF(A1937="","",IF(AND(E1937&lt;&gt;"33 確認済",E1937&lt;&gt;"36 送付中"),1,0))</f>
        <v/>
      </c>
      <c r="AO1937" s="94">
        <f>IF(A1937="","",IF(AG1937&lt;&gt;"",1,0))</f>
        <v/>
      </c>
      <c r="AP1937" s="220">
        <f>IF(P1937&lt;&gt;"","・添待ち","")&amp;IF(Q1937&lt;&gt;"","・住民票","")&amp;IF(R1937&lt;&gt;"","・発信","")&amp;IF(S1937&lt;&gt;"","・確認事項","")&amp;IF(T1937&lt;&gt;"","・管","")&amp;IF(U1937&lt;&gt;"","・SV","")&amp;IF(V1937&lt;&gt;"","・データ送付待ち","")&amp;IF(W1937&lt;&gt;"","・削除","")</f>
        <v/>
      </c>
    </row>
    <row r="1938" ht="15" customHeight="1" s="87">
      <c r="AL1938" s="94">
        <f>IF(A1938="","",IF(COUNTIF(A1938:A$2001,A1938)=1,1,0))</f>
        <v/>
      </c>
      <c r="AM1938" s="94">
        <f>IF(I1938="","",TODAY()-I1938)</f>
        <v/>
      </c>
      <c r="AN1938" s="94">
        <f>IF(A1938="","",IF(AND(E1938&lt;&gt;"33 確認済",E1938&lt;&gt;"36 送付中"),1,0))</f>
        <v/>
      </c>
      <c r="AO1938" s="94">
        <f>IF(A1938="","",IF(AG1938&lt;&gt;"",1,0))</f>
        <v/>
      </c>
      <c r="AP1938" s="220">
        <f>IF(P1938&lt;&gt;"","・添待ち","")&amp;IF(Q1938&lt;&gt;"","・住民票","")&amp;IF(R1938&lt;&gt;"","・発信","")&amp;IF(S1938&lt;&gt;"","・確認事項","")&amp;IF(T1938&lt;&gt;"","・管","")&amp;IF(U1938&lt;&gt;"","・SV","")&amp;IF(V1938&lt;&gt;"","・データ送付待ち","")&amp;IF(W1938&lt;&gt;"","・削除","")</f>
        <v/>
      </c>
    </row>
    <row r="1939" ht="15" customHeight="1" s="87">
      <c r="AL1939" s="94">
        <f>IF(A1939="","",IF(COUNTIF(A1939:A$2001,A1939)=1,1,0))</f>
        <v/>
      </c>
      <c r="AM1939" s="94">
        <f>IF(I1939="","",TODAY()-I1939)</f>
        <v/>
      </c>
      <c r="AN1939" s="94">
        <f>IF(A1939="","",IF(AND(E1939&lt;&gt;"33 確認済",E1939&lt;&gt;"36 送付中"),1,0))</f>
        <v/>
      </c>
      <c r="AO1939" s="94">
        <f>IF(A1939="","",IF(AG1939&lt;&gt;"",1,0))</f>
        <v/>
      </c>
      <c r="AP1939" s="220">
        <f>IF(P1939&lt;&gt;"","・添待ち","")&amp;IF(Q1939&lt;&gt;"","・住民票","")&amp;IF(R1939&lt;&gt;"","・発信","")&amp;IF(S1939&lt;&gt;"","・確認事項","")&amp;IF(T1939&lt;&gt;"","・管","")&amp;IF(U1939&lt;&gt;"","・SV","")&amp;IF(V1939&lt;&gt;"","・データ送付待ち","")&amp;IF(W1939&lt;&gt;"","・削除","")</f>
        <v/>
      </c>
    </row>
    <row r="1940" ht="15" customHeight="1" s="87">
      <c r="AL1940" s="94">
        <f>IF(A1940="","",IF(COUNTIF(A1940:A$2001,A1940)=1,1,0))</f>
        <v/>
      </c>
      <c r="AM1940" s="94">
        <f>IF(I1940="","",TODAY()-I1940)</f>
        <v/>
      </c>
      <c r="AN1940" s="94">
        <f>IF(A1940="","",IF(AND(E1940&lt;&gt;"33 確認済",E1940&lt;&gt;"36 送付中"),1,0))</f>
        <v/>
      </c>
      <c r="AO1940" s="94">
        <f>IF(A1940="","",IF(AG1940&lt;&gt;"",1,0))</f>
        <v/>
      </c>
      <c r="AP1940" s="220">
        <f>IF(P1940&lt;&gt;"","・添待ち","")&amp;IF(Q1940&lt;&gt;"","・住民票","")&amp;IF(R1940&lt;&gt;"","・発信","")&amp;IF(S1940&lt;&gt;"","・確認事項","")&amp;IF(T1940&lt;&gt;"","・管","")&amp;IF(U1940&lt;&gt;"","・SV","")&amp;IF(V1940&lt;&gt;"","・データ送付待ち","")&amp;IF(W1940&lt;&gt;"","・削除","")</f>
        <v/>
      </c>
    </row>
    <row r="1941" ht="15" customHeight="1" s="87">
      <c r="AL1941" s="94">
        <f>IF(A1941="","",IF(COUNTIF(A1941:A$2001,A1941)=1,1,0))</f>
        <v/>
      </c>
      <c r="AM1941" s="94">
        <f>IF(I1941="","",TODAY()-I1941)</f>
        <v/>
      </c>
      <c r="AN1941" s="94">
        <f>IF(A1941="","",IF(AND(E1941&lt;&gt;"33 確認済",E1941&lt;&gt;"36 送付中"),1,0))</f>
        <v/>
      </c>
      <c r="AO1941" s="94">
        <f>IF(A1941="","",IF(AG1941&lt;&gt;"",1,0))</f>
        <v/>
      </c>
      <c r="AP1941" s="220">
        <f>IF(P1941&lt;&gt;"","・添待ち","")&amp;IF(Q1941&lt;&gt;"","・住民票","")&amp;IF(R1941&lt;&gt;"","・発信","")&amp;IF(S1941&lt;&gt;"","・確認事項","")&amp;IF(T1941&lt;&gt;"","・管","")&amp;IF(U1941&lt;&gt;"","・SV","")&amp;IF(V1941&lt;&gt;"","・データ送付待ち","")&amp;IF(W1941&lt;&gt;"","・削除","")</f>
        <v/>
      </c>
    </row>
    <row r="1942" ht="15" customHeight="1" s="87">
      <c r="AL1942" s="94">
        <f>IF(A1942="","",IF(COUNTIF(A1942:A$2001,A1942)=1,1,0))</f>
        <v/>
      </c>
      <c r="AM1942" s="94">
        <f>IF(I1942="","",TODAY()-I1942)</f>
        <v/>
      </c>
      <c r="AN1942" s="94">
        <f>IF(A1942="","",IF(AND(E1942&lt;&gt;"33 確認済",E1942&lt;&gt;"36 送付中"),1,0))</f>
        <v/>
      </c>
      <c r="AO1942" s="94">
        <f>IF(A1942="","",IF(AG1942&lt;&gt;"",1,0))</f>
        <v/>
      </c>
      <c r="AP1942" s="220">
        <f>IF(P1942&lt;&gt;"","・添待ち","")&amp;IF(Q1942&lt;&gt;"","・住民票","")&amp;IF(R1942&lt;&gt;"","・発信","")&amp;IF(S1942&lt;&gt;"","・確認事項","")&amp;IF(T1942&lt;&gt;"","・管","")&amp;IF(U1942&lt;&gt;"","・SV","")&amp;IF(V1942&lt;&gt;"","・データ送付待ち","")&amp;IF(W1942&lt;&gt;"","・削除","")</f>
        <v/>
      </c>
    </row>
    <row r="1943" ht="15" customHeight="1" s="87">
      <c r="AL1943" s="94">
        <f>IF(A1943="","",IF(COUNTIF(A1943:A$2001,A1943)=1,1,0))</f>
        <v/>
      </c>
      <c r="AM1943" s="94">
        <f>IF(I1943="","",TODAY()-I1943)</f>
        <v/>
      </c>
      <c r="AN1943" s="94">
        <f>IF(A1943="","",IF(AND(E1943&lt;&gt;"33 確認済",E1943&lt;&gt;"36 送付中"),1,0))</f>
        <v/>
      </c>
      <c r="AO1943" s="94">
        <f>IF(A1943="","",IF(AG1943&lt;&gt;"",1,0))</f>
        <v/>
      </c>
      <c r="AP1943" s="220">
        <f>IF(P1943&lt;&gt;"","・添待ち","")&amp;IF(Q1943&lt;&gt;"","・住民票","")&amp;IF(R1943&lt;&gt;"","・発信","")&amp;IF(S1943&lt;&gt;"","・確認事項","")&amp;IF(T1943&lt;&gt;"","・管","")&amp;IF(U1943&lt;&gt;"","・SV","")&amp;IF(V1943&lt;&gt;"","・データ送付待ち","")&amp;IF(W1943&lt;&gt;"","・削除","")</f>
        <v/>
      </c>
    </row>
    <row r="1944" ht="15" customHeight="1" s="87">
      <c r="AL1944" s="94">
        <f>IF(A1944="","",IF(COUNTIF(A1944:A$2001,A1944)=1,1,0))</f>
        <v/>
      </c>
      <c r="AM1944" s="94">
        <f>IF(I1944="","",TODAY()-I1944)</f>
        <v/>
      </c>
      <c r="AN1944" s="94">
        <f>IF(A1944="","",IF(AND(E1944&lt;&gt;"33 確認済",E1944&lt;&gt;"36 送付中"),1,0))</f>
        <v/>
      </c>
      <c r="AO1944" s="94">
        <f>IF(A1944="","",IF(AG1944&lt;&gt;"",1,0))</f>
        <v/>
      </c>
      <c r="AP1944" s="220">
        <f>IF(P1944&lt;&gt;"","・添待ち","")&amp;IF(Q1944&lt;&gt;"","・住民票","")&amp;IF(R1944&lt;&gt;"","・発信","")&amp;IF(S1944&lt;&gt;"","・確認事項","")&amp;IF(T1944&lt;&gt;"","・管","")&amp;IF(U1944&lt;&gt;"","・SV","")&amp;IF(V1944&lt;&gt;"","・データ送付待ち","")&amp;IF(W1944&lt;&gt;"","・削除","")</f>
        <v/>
      </c>
    </row>
    <row r="1945" ht="15" customHeight="1" s="87">
      <c r="AL1945" s="94">
        <f>IF(A1945="","",IF(COUNTIF(A1945:A$2001,A1945)=1,1,0))</f>
        <v/>
      </c>
      <c r="AM1945" s="94">
        <f>IF(I1945="","",TODAY()-I1945)</f>
        <v/>
      </c>
      <c r="AN1945" s="94">
        <f>IF(A1945="","",IF(AND(E1945&lt;&gt;"33 確認済",E1945&lt;&gt;"36 送付中"),1,0))</f>
        <v/>
      </c>
      <c r="AO1945" s="94">
        <f>IF(A1945="","",IF(AG1945&lt;&gt;"",1,0))</f>
        <v/>
      </c>
      <c r="AP1945" s="220">
        <f>IF(P1945&lt;&gt;"","・添待ち","")&amp;IF(Q1945&lt;&gt;"","・住民票","")&amp;IF(R1945&lt;&gt;"","・発信","")&amp;IF(S1945&lt;&gt;"","・確認事項","")&amp;IF(T1945&lt;&gt;"","・管","")&amp;IF(U1945&lt;&gt;"","・SV","")&amp;IF(V1945&lt;&gt;"","・データ送付待ち","")&amp;IF(W1945&lt;&gt;"","・削除","")</f>
        <v/>
      </c>
    </row>
    <row r="1946" ht="15" customHeight="1" s="87">
      <c r="AL1946" s="94">
        <f>IF(A1946="","",IF(COUNTIF(A1946:A$2001,A1946)=1,1,0))</f>
        <v/>
      </c>
      <c r="AM1946" s="94">
        <f>IF(I1946="","",TODAY()-I1946)</f>
        <v/>
      </c>
      <c r="AN1946" s="94">
        <f>IF(A1946="","",IF(AND(E1946&lt;&gt;"33 確認済",E1946&lt;&gt;"36 送付中"),1,0))</f>
        <v/>
      </c>
      <c r="AO1946" s="94">
        <f>IF(A1946="","",IF(AG1946&lt;&gt;"",1,0))</f>
        <v/>
      </c>
      <c r="AP1946" s="220">
        <f>IF(P1946&lt;&gt;"","・添待ち","")&amp;IF(Q1946&lt;&gt;"","・住民票","")&amp;IF(R1946&lt;&gt;"","・発信","")&amp;IF(S1946&lt;&gt;"","・確認事項","")&amp;IF(T1946&lt;&gt;"","・管","")&amp;IF(U1946&lt;&gt;"","・SV","")&amp;IF(V1946&lt;&gt;"","・データ送付待ち","")&amp;IF(W1946&lt;&gt;"","・削除","")</f>
        <v/>
      </c>
    </row>
    <row r="1947" ht="15" customHeight="1" s="87">
      <c r="AL1947" s="94">
        <f>IF(A1947="","",IF(COUNTIF(A1947:A$2001,A1947)=1,1,0))</f>
        <v/>
      </c>
      <c r="AM1947" s="94">
        <f>IF(I1947="","",TODAY()-I1947)</f>
        <v/>
      </c>
      <c r="AN1947" s="94">
        <f>IF(A1947="","",IF(AND(E1947&lt;&gt;"33 確認済",E1947&lt;&gt;"36 送付中"),1,0))</f>
        <v/>
      </c>
      <c r="AO1947" s="94">
        <f>IF(A1947="","",IF(AG1947&lt;&gt;"",1,0))</f>
        <v/>
      </c>
      <c r="AP1947" s="220">
        <f>IF(P1947&lt;&gt;"","・添待ち","")&amp;IF(Q1947&lt;&gt;"","・住民票","")&amp;IF(R1947&lt;&gt;"","・発信","")&amp;IF(S1947&lt;&gt;"","・確認事項","")&amp;IF(T1947&lt;&gt;"","・管","")&amp;IF(U1947&lt;&gt;"","・SV","")&amp;IF(V1947&lt;&gt;"","・データ送付待ち","")&amp;IF(W1947&lt;&gt;"","・削除","")</f>
        <v/>
      </c>
    </row>
    <row r="1948" ht="15" customHeight="1" s="87">
      <c r="AL1948" s="94">
        <f>IF(A1948="","",IF(COUNTIF(A1948:A$2001,A1948)=1,1,0))</f>
        <v/>
      </c>
      <c r="AM1948" s="94">
        <f>IF(I1948="","",TODAY()-I1948)</f>
        <v/>
      </c>
      <c r="AN1948" s="94">
        <f>IF(A1948="","",IF(AND(E1948&lt;&gt;"33 確認済",E1948&lt;&gt;"36 送付中"),1,0))</f>
        <v/>
      </c>
      <c r="AO1948" s="94">
        <f>IF(A1948="","",IF(AG1948&lt;&gt;"",1,0))</f>
        <v/>
      </c>
      <c r="AP1948" s="220">
        <f>IF(P1948&lt;&gt;"","・添待ち","")&amp;IF(Q1948&lt;&gt;"","・住民票","")&amp;IF(R1948&lt;&gt;"","・発信","")&amp;IF(S1948&lt;&gt;"","・確認事項","")&amp;IF(T1948&lt;&gt;"","・管","")&amp;IF(U1948&lt;&gt;"","・SV","")&amp;IF(V1948&lt;&gt;"","・データ送付待ち","")&amp;IF(W1948&lt;&gt;"","・削除","")</f>
        <v/>
      </c>
    </row>
    <row r="1949" ht="15" customHeight="1" s="87">
      <c r="AL1949" s="94">
        <f>IF(A1949="","",IF(COUNTIF(A1949:A$2001,A1949)=1,1,0))</f>
        <v/>
      </c>
      <c r="AM1949" s="94">
        <f>IF(I1949="","",TODAY()-I1949)</f>
        <v/>
      </c>
      <c r="AN1949" s="94">
        <f>IF(A1949="","",IF(AND(E1949&lt;&gt;"33 確認済",E1949&lt;&gt;"36 送付中"),1,0))</f>
        <v/>
      </c>
      <c r="AO1949" s="94">
        <f>IF(A1949="","",IF(AG1949&lt;&gt;"",1,0))</f>
        <v/>
      </c>
      <c r="AP1949" s="220">
        <f>IF(P1949&lt;&gt;"","・添待ち","")&amp;IF(Q1949&lt;&gt;"","・住民票","")&amp;IF(R1949&lt;&gt;"","・発信","")&amp;IF(S1949&lt;&gt;"","・確認事項","")&amp;IF(T1949&lt;&gt;"","・管","")&amp;IF(U1949&lt;&gt;"","・SV","")&amp;IF(V1949&lt;&gt;"","・データ送付待ち","")&amp;IF(W1949&lt;&gt;"","・削除","")</f>
        <v/>
      </c>
    </row>
    <row r="1950" ht="15" customHeight="1" s="87">
      <c r="AL1950" s="94">
        <f>IF(A1950="","",IF(COUNTIF(A1950:A$2001,A1950)=1,1,0))</f>
        <v/>
      </c>
      <c r="AM1950" s="94">
        <f>IF(I1950="","",TODAY()-I1950)</f>
        <v/>
      </c>
      <c r="AN1950" s="94">
        <f>IF(A1950="","",IF(AND(E1950&lt;&gt;"33 確認済",E1950&lt;&gt;"36 送付中"),1,0))</f>
        <v/>
      </c>
      <c r="AO1950" s="94">
        <f>IF(A1950="","",IF(AG1950&lt;&gt;"",1,0))</f>
        <v/>
      </c>
      <c r="AP1950" s="220">
        <f>IF(P1950&lt;&gt;"","・添待ち","")&amp;IF(Q1950&lt;&gt;"","・住民票","")&amp;IF(R1950&lt;&gt;"","・発信","")&amp;IF(S1950&lt;&gt;"","・確認事項","")&amp;IF(T1950&lt;&gt;"","・管","")&amp;IF(U1950&lt;&gt;"","・SV","")&amp;IF(V1950&lt;&gt;"","・データ送付待ち","")&amp;IF(W1950&lt;&gt;"","・削除","")</f>
        <v/>
      </c>
    </row>
    <row r="1951" ht="15" customHeight="1" s="87">
      <c r="AL1951" s="94">
        <f>IF(A1951="","",IF(COUNTIF(A1951:A$2001,A1951)=1,1,0))</f>
        <v/>
      </c>
      <c r="AM1951" s="94">
        <f>IF(I1951="","",TODAY()-I1951)</f>
        <v/>
      </c>
      <c r="AN1951" s="94">
        <f>IF(A1951="","",IF(AND(E1951&lt;&gt;"33 確認済",E1951&lt;&gt;"36 送付中"),1,0))</f>
        <v/>
      </c>
      <c r="AO1951" s="94">
        <f>IF(A1951="","",IF(AG1951&lt;&gt;"",1,0))</f>
        <v/>
      </c>
      <c r="AP1951" s="220">
        <f>IF(P1951&lt;&gt;"","・添待ち","")&amp;IF(Q1951&lt;&gt;"","・住民票","")&amp;IF(R1951&lt;&gt;"","・発信","")&amp;IF(S1951&lt;&gt;"","・確認事項","")&amp;IF(T1951&lt;&gt;"","・管","")&amp;IF(U1951&lt;&gt;"","・SV","")&amp;IF(V1951&lt;&gt;"","・データ送付待ち","")&amp;IF(W1951&lt;&gt;"","・削除","")</f>
        <v/>
      </c>
    </row>
    <row r="1952" ht="15" customHeight="1" s="87">
      <c r="AL1952" s="94">
        <f>IF(A1952="","",IF(COUNTIF(A1952:A$2001,A1952)=1,1,0))</f>
        <v/>
      </c>
      <c r="AM1952" s="94">
        <f>IF(I1952="","",TODAY()-I1952)</f>
        <v/>
      </c>
      <c r="AN1952" s="94">
        <f>IF(A1952="","",IF(AND(E1952&lt;&gt;"33 確認済",E1952&lt;&gt;"36 送付中"),1,0))</f>
        <v/>
      </c>
      <c r="AO1952" s="94">
        <f>IF(A1952="","",IF(AG1952&lt;&gt;"",1,0))</f>
        <v/>
      </c>
      <c r="AP1952" s="220">
        <f>IF(P1952&lt;&gt;"","・添待ち","")&amp;IF(Q1952&lt;&gt;"","・住民票","")&amp;IF(R1952&lt;&gt;"","・発信","")&amp;IF(S1952&lt;&gt;"","・確認事項","")&amp;IF(T1952&lt;&gt;"","・管","")&amp;IF(U1952&lt;&gt;"","・SV","")&amp;IF(V1952&lt;&gt;"","・データ送付待ち","")&amp;IF(W1952&lt;&gt;"","・削除","")</f>
        <v/>
      </c>
    </row>
    <row r="1953" ht="15" customHeight="1" s="87">
      <c r="AL1953" s="94">
        <f>IF(A1953="","",IF(COUNTIF(A1953:A$2001,A1953)=1,1,0))</f>
        <v/>
      </c>
      <c r="AM1953" s="94">
        <f>IF(I1953="","",TODAY()-I1953)</f>
        <v/>
      </c>
      <c r="AN1953" s="94">
        <f>IF(A1953="","",IF(AND(E1953&lt;&gt;"33 確認済",E1953&lt;&gt;"36 送付中"),1,0))</f>
        <v/>
      </c>
      <c r="AO1953" s="94">
        <f>IF(A1953="","",IF(AG1953&lt;&gt;"",1,0))</f>
        <v/>
      </c>
      <c r="AP1953" s="220">
        <f>IF(P1953&lt;&gt;"","・添待ち","")&amp;IF(Q1953&lt;&gt;"","・住民票","")&amp;IF(R1953&lt;&gt;"","・発信","")&amp;IF(S1953&lt;&gt;"","・確認事項","")&amp;IF(T1953&lt;&gt;"","・管","")&amp;IF(U1953&lt;&gt;"","・SV","")&amp;IF(V1953&lt;&gt;"","・データ送付待ち","")&amp;IF(W1953&lt;&gt;"","・削除","")</f>
        <v/>
      </c>
    </row>
    <row r="1954" ht="15" customHeight="1" s="87">
      <c r="AL1954" s="94">
        <f>IF(A1954="","",IF(COUNTIF(A1954:A$2001,A1954)=1,1,0))</f>
        <v/>
      </c>
      <c r="AM1954" s="94">
        <f>IF(I1954="","",TODAY()-I1954)</f>
        <v/>
      </c>
      <c r="AN1954" s="94">
        <f>IF(A1954="","",IF(AND(E1954&lt;&gt;"33 確認済",E1954&lt;&gt;"36 送付中"),1,0))</f>
        <v/>
      </c>
      <c r="AO1954" s="94">
        <f>IF(A1954="","",IF(AG1954&lt;&gt;"",1,0))</f>
        <v/>
      </c>
      <c r="AP1954" s="220">
        <f>IF(P1954&lt;&gt;"","・添待ち","")&amp;IF(Q1954&lt;&gt;"","・住民票","")&amp;IF(R1954&lt;&gt;"","・発信","")&amp;IF(S1954&lt;&gt;"","・確認事項","")&amp;IF(T1954&lt;&gt;"","・管","")&amp;IF(U1954&lt;&gt;"","・SV","")&amp;IF(V1954&lt;&gt;"","・データ送付待ち","")&amp;IF(W1954&lt;&gt;"","・削除","")</f>
        <v/>
      </c>
    </row>
    <row r="1955" ht="15" customHeight="1" s="87">
      <c r="AL1955" s="94">
        <f>IF(A1955="","",IF(COUNTIF(A1955:A$2001,A1955)=1,1,0))</f>
        <v/>
      </c>
      <c r="AM1955" s="94">
        <f>IF(I1955="","",TODAY()-I1955)</f>
        <v/>
      </c>
      <c r="AN1955" s="94">
        <f>IF(A1955="","",IF(AND(E1955&lt;&gt;"33 確認済",E1955&lt;&gt;"36 送付中"),1,0))</f>
        <v/>
      </c>
      <c r="AO1955" s="94">
        <f>IF(A1955="","",IF(AG1955&lt;&gt;"",1,0))</f>
        <v/>
      </c>
      <c r="AP1955" s="220">
        <f>IF(P1955&lt;&gt;"","・添待ち","")&amp;IF(Q1955&lt;&gt;"","・住民票","")&amp;IF(R1955&lt;&gt;"","・発信","")&amp;IF(S1955&lt;&gt;"","・確認事項","")&amp;IF(T1955&lt;&gt;"","・管","")&amp;IF(U1955&lt;&gt;"","・SV","")&amp;IF(V1955&lt;&gt;"","・データ送付待ち","")&amp;IF(W1955&lt;&gt;"","・削除","")</f>
        <v/>
      </c>
    </row>
    <row r="1956" ht="15" customHeight="1" s="87">
      <c r="AL1956" s="94">
        <f>IF(A1956="","",IF(COUNTIF(A1956:A$2001,A1956)=1,1,0))</f>
        <v/>
      </c>
      <c r="AM1956" s="94">
        <f>IF(I1956="","",TODAY()-I1956)</f>
        <v/>
      </c>
      <c r="AN1956" s="94">
        <f>IF(A1956="","",IF(AND(E1956&lt;&gt;"33 確認済",E1956&lt;&gt;"36 送付中"),1,0))</f>
        <v/>
      </c>
      <c r="AO1956" s="94">
        <f>IF(A1956="","",IF(AG1956&lt;&gt;"",1,0))</f>
        <v/>
      </c>
      <c r="AP1956" s="220">
        <f>IF(P1956&lt;&gt;"","・添待ち","")&amp;IF(Q1956&lt;&gt;"","・住民票","")&amp;IF(R1956&lt;&gt;"","・発信","")&amp;IF(S1956&lt;&gt;"","・確認事項","")&amp;IF(T1956&lt;&gt;"","・管","")&amp;IF(U1956&lt;&gt;"","・SV","")&amp;IF(V1956&lt;&gt;"","・データ送付待ち","")&amp;IF(W1956&lt;&gt;"","・削除","")</f>
        <v/>
      </c>
    </row>
    <row r="1957" ht="15" customHeight="1" s="87">
      <c r="AL1957" s="94">
        <f>IF(A1957="","",IF(COUNTIF(A1957:A$2001,A1957)=1,1,0))</f>
        <v/>
      </c>
      <c r="AM1957" s="94">
        <f>IF(I1957="","",TODAY()-I1957)</f>
        <v/>
      </c>
      <c r="AN1957" s="94">
        <f>IF(A1957="","",IF(AND(E1957&lt;&gt;"33 確認済",E1957&lt;&gt;"36 送付中"),1,0))</f>
        <v/>
      </c>
      <c r="AO1957" s="94">
        <f>IF(A1957="","",IF(AG1957&lt;&gt;"",1,0))</f>
        <v/>
      </c>
      <c r="AP1957" s="220">
        <f>IF(P1957&lt;&gt;"","・添待ち","")&amp;IF(Q1957&lt;&gt;"","・住民票","")&amp;IF(R1957&lt;&gt;"","・発信","")&amp;IF(S1957&lt;&gt;"","・確認事項","")&amp;IF(T1957&lt;&gt;"","・管","")&amp;IF(U1957&lt;&gt;"","・SV","")&amp;IF(V1957&lt;&gt;"","・データ送付待ち","")&amp;IF(W1957&lt;&gt;"","・削除","")</f>
        <v/>
      </c>
    </row>
    <row r="1958" ht="15" customHeight="1" s="87">
      <c r="AL1958" s="94">
        <f>IF(A1958="","",IF(COUNTIF(A1958:A$2001,A1958)=1,1,0))</f>
        <v/>
      </c>
      <c r="AM1958" s="94">
        <f>IF(I1958="","",TODAY()-I1958)</f>
        <v/>
      </c>
      <c r="AN1958" s="94">
        <f>IF(A1958="","",IF(AND(E1958&lt;&gt;"33 確認済",E1958&lt;&gt;"36 送付中"),1,0))</f>
        <v/>
      </c>
      <c r="AO1958" s="94">
        <f>IF(A1958="","",IF(AG1958&lt;&gt;"",1,0))</f>
        <v/>
      </c>
      <c r="AP1958" s="220">
        <f>IF(P1958&lt;&gt;"","・添待ち","")&amp;IF(Q1958&lt;&gt;"","・住民票","")&amp;IF(R1958&lt;&gt;"","・発信","")&amp;IF(S1958&lt;&gt;"","・確認事項","")&amp;IF(T1958&lt;&gt;"","・管","")&amp;IF(U1958&lt;&gt;"","・SV","")&amp;IF(V1958&lt;&gt;"","・データ送付待ち","")&amp;IF(W1958&lt;&gt;"","・削除","")</f>
        <v/>
      </c>
    </row>
    <row r="1959" ht="15" customHeight="1" s="87">
      <c r="AL1959" s="94">
        <f>IF(A1959="","",IF(COUNTIF(A1959:A$2001,A1959)=1,1,0))</f>
        <v/>
      </c>
      <c r="AM1959" s="94">
        <f>IF(I1959="","",TODAY()-I1959)</f>
        <v/>
      </c>
      <c r="AN1959" s="94">
        <f>IF(A1959="","",IF(AND(E1959&lt;&gt;"33 確認済",E1959&lt;&gt;"36 送付中"),1,0))</f>
        <v/>
      </c>
      <c r="AO1959" s="94">
        <f>IF(A1959="","",IF(AG1959&lt;&gt;"",1,0))</f>
        <v/>
      </c>
      <c r="AP1959" s="220">
        <f>IF(P1959&lt;&gt;"","・添待ち","")&amp;IF(Q1959&lt;&gt;"","・住民票","")&amp;IF(R1959&lt;&gt;"","・発信","")&amp;IF(S1959&lt;&gt;"","・確認事項","")&amp;IF(T1959&lt;&gt;"","・管","")&amp;IF(U1959&lt;&gt;"","・SV","")&amp;IF(V1959&lt;&gt;"","・データ送付待ち","")&amp;IF(W1959&lt;&gt;"","・削除","")</f>
        <v/>
      </c>
    </row>
    <row r="1960" ht="15" customHeight="1" s="87">
      <c r="AL1960" s="94">
        <f>IF(A1960="","",IF(COUNTIF(A1960:A$2001,A1960)=1,1,0))</f>
        <v/>
      </c>
      <c r="AM1960" s="94">
        <f>IF(I1960="","",TODAY()-I1960)</f>
        <v/>
      </c>
      <c r="AN1960" s="94">
        <f>IF(A1960="","",IF(AND(E1960&lt;&gt;"33 確認済",E1960&lt;&gt;"36 送付中"),1,0))</f>
        <v/>
      </c>
      <c r="AO1960" s="94">
        <f>IF(A1960="","",IF(AG1960&lt;&gt;"",1,0))</f>
        <v/>
      </c>
      <c r="AP1960" s="220">
        <f>IF(P1960&lt;&gt;"","・添待ち","")&amp;IF(Q1960&lt;&gt;"","・住民票","")&amp;IF(R1960&lt;&gt;"","・発信","")&amp;IF(S1960&lt;&gt;"","・確認事項","")&amp;IF(T1960&lt;&gt;"","・管","")&amp;IF(U1960&lt;&gt;"","・SV","")&amp;IF(V1960&lt;&gt;"","・データ送付待ち","")&amp;IF(W1960&lt;&gt;"","・削除","")</f>
        <v/>
      </c>
    </row>
    <row r="1961" ht="15" customHeight="1" s="87">
      <c r="AL1961" s="94">
        <f>IF(A1961="","",IF(COUNTIF(A1961:A$2001,A1961)=1,1,0))</f>
        <v/>
      </c>
      <c r="AM1961" s="94">
        <f>IF(I1961="","",TODAY()-I1961)</f>
        <v/>
      </c>
      <c r="AN1961" s="94">
        <f>IF(A1961="","",IF(AND(E1961&lt;&gt;"33 確認済",E1961&lt;&gt;"36 送付中"),1,0))</f>
        <v/>
      </c>
      <c r="AO1961" s="94">
        <f>IF(A1961="","",IF(AG1961&lt;&gt;"",1,0))</f>
        <v/>
      </c>
      <c r="AP1961" s="220">
        <f>IF(P1961&lt;&gt;"","・添待ち","")&amp;IF(Q1961&lt;&gt;"","・住民票","")&amp;IF(R1961&lt;&gt;"","・発信","")&amp;IF(S1961&lt;&gt;"","・確認事項","")&amp;IF(T1961&lt;&gt;"","・管","")&amp;IF(U1961&lt;&gt;"","・SV","")&amp;IF(V1961&lt;&gt;"","・データ送付待ち","")&amp;IF(W1961&lt;&gt;"","・削除","")</f>
        <v/>
      </c>
    </row>
    <row r="1962" ht="15" customHeight="1" s="87">
      <c r="AL1962" s="94">
        <f>IF(A1962="","",IF(COUNTIF(A1962:A$2001,A1962)=1,1,0))</f>
        <v/>
      </c>
      <c r="AM1962" s="94">
        <f>IF(I1962="","",TODAY()-I1962)</f>
        <v/>
      </c>
      <c r="AN1962" s="94">
        <f>IF(A1962="","",IF(AND(E1962&lt;&gt;"33 確認済",E1962&lt;&gt;"36 送付中"),1,0))</f>
        <v/>
      </c>
      <c r="AO1962" s="94">
        <f>IF(A1962="","",IF(AG1962&lt;&gt;"",1,0))</f>
        <v/>
      </c>
      <c r="AP1962" s="220">
        <f>IF(P1962&lt;&gt;"","・添待ち","")&amp;IF(Q1962&lt;&gt;"","・住民票","")&amp;IF(R1962&lt;&gt;"","・発信","")&amp;IF(S1962&lt;&gt;"","・確認事項","")&amp;IF(T1962&lt;&gt;"","・管","")&amp;IF(U1962&lt;&gt;"","・SV","")&amp;IF(V1962&lt;&gt;"","・データ送付待ち","")&amp;IF(W1962&lt;&gt;"","・削除","")</f>
        <v/>
      </c>
    </row>
    <row r="1963" ht="15" customHeight="1" s="87">
      <c r="AL1963" s="94">
        <f>IF(A1963="","",IF(COUNTIF(A1963:A$2001,A1963)=1,1,0))</f>
        <v/>
      </c>
      <c r="AM1963" s="94">
        <f>IF(I1963="","",TODAY()-I1963)</f>
        <v/>
      </c>
      <c r="AN1963" s="94">
        <f>IF(A1963="","",IF(AND(E1963&lt;&gt;"33 確認済",E1963&lt;&gt;"36 送付中"),1,0))</f>
        <v/>
      </c>
      <c r="AO1963" s="94">
        <f>IF(A1963="","",IF(AG1963&lt;&gt;"",1,0))</f>
        <v/>
      </c>
      <c r="AP1963" s="220">
        <f>IF(P1963&lt;&gt;"","・添待ち","")&amp;IF(Q1963&lt;&gt;"","・住民票","")&amp;IF(R1963&lt;&gt;"","・発信","")&amp;IF(S1963&lt;&gt;"","・確認事項","")&amp;IF(T1963&lt;&gt;"","・管","")&amp;IF(U1963&lt;&gt;"","・SV","")&amp;IF(V1963&lt;&gt;"","・データ送付待ち","")&amp;IF(W1963&lt;&gt;"","・削除","")</f>
        <v/>
      </c>
    </row>
    <row r="1964" ht="15" customHeight="1" s="87">
      <c r="AL1964" s="94">
        <f>IF(A1964="","",IF(COUNTIF(A1964:A$2001,A1964)=1,1,0))</f>
        <v/>
      </c>
      <c r="AM1964" s="94">
        <f>IF(I1964="","",TODAY()-I1964)</f>
        <v/>
      </c>
      <c r="AN1964" s="94">
        <f>IF(A1964="","",IF(AND(E1964&lt;&gt;"33 確認済",E1964&lt;&gt;"36 送付中"),1,0))</f>
        <v/>
      </c>
      <c r="AO1964" s="94">
        <f>IF(A1964="","",IF(AG1964&lt;&gt;"",1,0))</f>
        <v/>
      </c>
      <c r="AP1964" s="220">
        <f>IF(P1964&lt;&gt;"","・添待ち","")&amp;IF(Q1964&lt;&gt;"","・住民票","")&amp;IF(R1964&lt;&gt;"","・発信","")&amp;IF(S1964&lt;&gt;"","・確認事項","")&amp;IF(T1964&lt;&gt;"","・管","")&amp;IF(U1964&lt;&gt;"","・SV","")&amp;IF(V1964&lt;&gt;"","・データ送付待ち","")&amp;IF(W1964&lt;&gt;"","・削除","")</f>
        <v/>
      </c>
    </row>
    <row r="1965" ht="15" customHeight="1" s="87">
      <c r="AL1965" s="94">
        <f>IF(A1965="","",IF(COUNTIF(A1965:A$2001,A1965)=1,1,0))</f>
        <v/>
      </c>
      <c r="AM1965" s="94">
        <f>IF(I1965="","",TODAY()-I1965)</f>
        <v/>
      </c>
      <c r="AN1965" s="94">
        <f>IF(A1965="","",IF(AND(E1965&lt;&gt;"33 確認済",E1965&lt;&gt;"36 送付中"),1,0))</f>
        <v/>
      </c>
      <c r="AO1965" s="94">
        <f>IF(A1965="","",IF(AG1965&lt;&gt;"",1,0))</f>
        <v/>
      </c>
      <c r="AP1965" s="220">
        <f>IF(P1965&lt;&gt;"","・添待ち","")&amp;IF(Q1965&lt;&gt;"","・住民票","")&amp;IF(R1965&lt;&gt;"","・発信","")&amp;IF(S1965&lt;&gt;"","・確認事項","")&amp;IF(T1965&lt;&gt;"","・管","")&amp;IF(U1965&lt;&gt;"","・SV","")&amp;IF(V1965&lt;&gt;"","・データ送付待ち","")&amp;IF(W1965&lt;&gt;"","・削除","")</f>
        <v/>
      </c>
    </row>
    <row r="1966" ht="15" customHeight="1" s="87">
      <c r="AL1966" s="94">
        <f>IF(A1966="","",IF(COUNTIF(A1966:A$2001,A1966)=1,1,0))</f>
        <v/>
      </c>
      <c r="AM1966" s="94">
        <f>IF(I1966="","",TODAY()-I1966)</f>
        <v/>
      </c>
      <c r="AN1966" s="94">
        <f>IF(A1966="","",IF(AND(E1966&lt;&gt;"33 確認済",E1966&lt;&gt;"36 送付中"),1,0))</f>
        <v/>
      </c>
      <c r="AO1966" s="94">
        <f>IF(A1966="","",IF(AG1966&lt;&gt;"",1,0))</f>
        <v/>
      </c>
      <c r="AP1966" s="220">
        <f>IF(P1966&lt;&gt;"","・添待ち","")&amp;IF(Q1966&lt;&gt;"","・住民票","")&amp;IF(R1966&lt;&gt;"","・発信","")&amp;IF(S1966&lt;&gt;"","・確認事項","")&amp;IF(T1966&lt;&gt;"","・管","")&amp;IF(U1966&lt;&gt;"","・SV","")&amp;IF(V1966&lt;&gt;"","・データ送付待ち","")&amp;IF(W1966&lt;&gt;"","・削除","")</f>
        <v/>
      </c>
    </row>
    <row r="1967" ht="15" customHeight="1" s="87">
      <c r="AL1967" s="94">
        <f>IF(A1967="","",IF(COUNTIF(A1967:A$2001,A1967)=1,1,0))</f>
        <v/>
      </c>
      <c r="AM1967" s="94">
        <f>IF(I1967="","",TODAY()-I1967)</f>
        <v/>
      </c>
      <c r="AN1967" s="94">
        <f>IF(A1967="","",IF(AND(E1967&lt;&gt;"33 確認済",E1967&lt;&gt;"36 送付中"),1,0))</f>
        <v/>
      </c>
      <c r="AO1967" s="94">
        <f>IF(A1967="","",IF(AG1967&lt;&gt;"",1,0))</f>
        <v/>
      </c>
      <c r="AP1967" s="220">
        <f>IF(P1967&lt;&gt;"","・添待ち","")&amp;IF(Q1967&lt;&gt;"","・住民票","")&amp;IF(R1967&lt;&gt;"","・発信","")&amp;IF(S1967&lt;&gt;"","・確認事項","")&amp;IF(T1967&lt;&gt;"","・管","")&amp;IF(U1967&lt;&gt;"","・SV","")&amp;IF(V1967&lt;&gt;"","・データ送付待ち","")&amp;IF(W1967&lt;&gt;"","・削除","")</f>
        <v/>
      </c>
    </row>
    <row r="1968" ht="15" customHeight="1" s="87">
      <c r="AL1968" s="94">
        <f>IF(A1968="","",IF(COUNTIF(A1968:A$2001,A1968)=1,1,0))</f>
        <v/>
      </c>
      <c r="AM1968" s="94">
        <f>IF(I1968="","",TODAY()-I1968)</f>
        <v/>
      </c>
      <c r="AN1968" s="94">
        <f>IF(A1968="","",IF(AND(E1968&lt;&gt;"33 確認済",E1968&lt;&gt;"36 送付中"),1,0))</f>
        <v/>
      </c>
      <c r="AO1968" s="94">
        <f>IF(A1968="","",IF(AG1968&lt;&gt;"",1,0))</f>
        <v/>
      </c>
      <c r="AP1968" s="220">
        <f>IF(P1968&lt;&gt;"","・添待ち","")&amp;IF(Q1968&lt;&gt;"","・住民票","")&amp;IF(R1968&lt;&gt;"","・発信","")&amp;IF(S1968&lt;&gt;"","・確認事項","")&amp;IF(T1968&lt;&gt;"","・管","")&amp;IF(U1968&lt;&gt;"","・SV","")&amp;IF(V1968&lt;&gt;"","・データ送付待ち","")&amp;IF(W1968&lt;&gt;"","・削除","")</f>
        <v/>
      </c>
    </row>
    <row r="1969" ht="15" customHeight="1" s="87">
      <c r="AL1969" s="94">
        <f>IF(A1969="","",IF(COUNTIF(A1969:A$2001,A1969)=1,1,0))</f>
        <v/>
      </c>
      <c r="AM1969" s="94">
        <f>IF(I1969="","",TODAY()-I1969)</f>
        <v/>
      </c>
      <c r="AN1969" s="94">
        <f>IF(A1969="","",IF(AND(E1969&lt;&gt;"33 確認済",E1969&lt;&gt;"36 送付中"),1,0))</f>
        <v/>
      </c>
      <c r="AO1969" s="94">
        <f>IF(A1969="","",IF(AG1969&lt;&gt;"",1,0))</f>
        <v/>
      </c>
      <c r="AP1969" s="220">
        <f>IF(P1969&lt;&gt;"","・添待ち","")&amp;IF(Q1969&lt;&gt;"","・住民票","")&amp;IF(R1969&lt;&gt;"","・発信","")&amp;IF(S1969&lt;&gt;"","・確認事項","")&amp;IF(T1969&lt;&gt;"","・管","")&amp;IF(U1969&lt;&gt;"","・SV","")&amp;IF(V1969&lt;&gt;"","・データ送付待ち","")&amp;IF(W1969&lt;&gt;"","・削除","")</f>
        <v/>
      </c>
    </row>
    <row r="1970" ht="15" customHeight="1" s="87">
      <c r="AL1970" s="94">
        <f>IF(A1970="","",IF(COUNTIF(A1970:A$2001,A1970)=1,1,0))</f>
        <v/>
      </c>
      <c r="AM1970" s="94">
        <f>IF(I1970="","",TODAY()-I1970)</f>
        <v/>
      </c>
      <c r="AN1970" s="94">
        <f>IF(A1970="","",IF(AND(E1970&lt;&gt;"33 確認済",E1970&lt;&gt;"36 送付中"),1,0))</f>
        <v/>
      </c>
      <c r="AO1970" s="94">
        <f>IF(A1970="","",IF(AG1970&lt;&gt;"",1,0))</f>
        <v/>
      </c>
      <c r="AP1970" s="220">
        <f>IF(P1970&lt;&gt;"","・添待ち","")&amp;IF(Q1970&lt;&gt;"","・住民票","")&amp;IF(R1970&lt;&gt;"","・発信","")&amp;IF(S1970&lt;&gt;"","・確認事項","")&amp;IF(T1970&lt;&gt;"","・管","")&amp;IF(U1970&lt;&gt;"","・SV","")&amp;IF(V1970&lt;&gt;"","・データ送付待ち","")&amp;IF(W1970&lt;&gt;"","・削除","")</f>
        <v/>
      </c>
    </row>
    <row r="1971" ht="15" customHeight="1" s="87">
      <c r="AL1971" s="94">
        <f>IF(A1971="","",IF(COUNTIF(A1971:A$2001,A1971)=1,1,0))</f>
        <v/>
      </c>
      <c r="AM1971" s="94">
        <f>IF(I1971="","",TODAY()-I1971)</f>
        <v/>
      </c>
      <c r="AN1971" s="94">
        <f>IF(A1971="","",IF(AND(E1971&lt;&gt;"33 確認済",E1971&lt;&gt;"36 送付中"),1,0))</f>
        <v/>
      </c>
      <c r="AO1971" s="94">
        <f>IF(A1971="","",IF(AG1971&lt;&gt;"",1,0))</f>
        <v/>
      </c>
      <c r="AP1971" s="220">
        <f>IF(P1971&lt;&gt;"","・添待ち","")&amp;IF(Q1971&lt;&gt;"","・住民票","")&amp;IF(R1971&lt;&gt;"","・発信","")&amp;IF(S1971&lt;&gt;"","・確認事項","")&amp;IF(T1971&lt;&gt;"","・管","")&amp;IF(U1971&lt;&gt;"","・SV","")&amp;IF(V1971&lt;&gt;"","・データ送付待ち","")&amp;IF(W1971&lt;&gt;"","・削除","")</f>
        <v/>
      </c>
    </row>
    <row r="1972" ht="15" customHeight="1" s="87">
      <c r="AL1972" s="94">
        <f>IF(A1972="","",IF(COUNTIF(A1972:A$2001,A1972)=1,1,0))</f>
        <v/>
      </c>
      <c r="AM1972" s="94">
        <f>IF(I1972="","",TODAY()-I1972)</f>
        <v/>
      </c>
      <c r="AN1972" s="94">
        <f>IF(A1972="","",IF(AND(E1972&lt;&gt;"33 確認済",E1972&lt;&gt;"36 送付中"),1,0))</f>
        <v/>
      </c>
      <c r="AO1972" s="94">
        <f>IF(A1972="","",IF(AG1972&lt;&gt;"",1,0))</f>
        <v/>
      </c>
      <c r="AP1972" s="220">
        <f>IF(P1972&lt;&gt;"","・添待ち","")&amp;IF(Q1972&lt;&gt;"","・住民票","")&amp;IF(R1972&lt;&gt;"","・発信","")&amp;IF(S1972&lt;&gt;"","・確認事項","")&amp;IF(T1972&lt;&gt;"","・管","")&amp;IF(U1972&lt;&gt;"","・SV","")&amp;IF(V1972&lt;&gt;"","・データ送付待ち","")&amp;IF(W1972&lt;&gt;"","・削除","")</f>
        <v/>
      </c>
    </row>
    <row r="1973" ht="15" customHeight="1" s="87">
      <c r="AL1973" s="94">
        <f>IF(A1973="","",IF(COUNTIF(A1973:A$2001,A1973)=1,1,0))</f>
        <v/>
      </c>
      <c r="AM1973" s="94">
        <f>IF(I1973="","",TODAY()-I1973)</f>
        <v/>
      </c>
      <c r="AN1973" s="94">
        <f>IF(A1973="","",IF(AND(E1973&lt;&gt;"33 確認済",E1973&lt;&gt;"36 送付中"),1,0))</f>
        <v/>
      </c>
      <c r="AO1973" s="94">
        <f>IF(A1973="","",IF(AG1973&lt;&gt;"",1,0))</f>
        <v/>
      </c>
      <c r="AP1973" s="220">
        <f>IF(P1973&lt;&gt;"","・添待ち","")&amp;IF(Q1973&lt;&gt;"","・住民票","")&amp;IF(R1973&lt;&gt;"","・発信","")&amp;IF(S1973&lt;&gt;"","・確認事項","")&amp;IF(T1973&lt;&gt;"","・管","")&amp;IF(U1973&lt;&gt;"","・SV","")&amp;IF(V1973&lt;&gt;"","・データ送付待ち","")&amp;IF(W1973&lt;&gt;"","・削除","")</f>
        <v/>
      </c>
    </row>
    <row r="1974" ht="15" customHeight="1" s="87">
      <c r="AL1974" s="94">
        <f>IF(A1974="","",IF(COUNTIF(A1974:A$2001,A1974)=1,1,0))</f>
        <v/>
      </c>
      <c r="AM1974" s="94">
        <f>IF(I1974="","",TODAY()-I1974)</f>
        <v/>
      </c>
      <c r="AN1974" s="94">
        <f>IF(A1974="","",IF(AND(E1974&lt;&gt;"33 確認済",E1974&lt;&gt;"36 送付中"),1,0))</f>
        <v/>
      </c>
      <c r="AO1974" s="94">
        <f>IF(A1974="","",IF(AG1974&lt;&gt;"",1,0))</f>
        <v/>
      </c>
      <c r="AP1974" s="220">
        <f>IF(P1974&lt;&gt;"","・添待ち","")&amp;IF(Q1974&lt;&gt;"","・住民票","")&amp;IF(R1974&lt;&gt;"","・発信","")&amp;IF(S1974&lt;&gt;"","・確認事項","")&amp;IF(T1974&lt;&gt;"","・管","")&amp;IF(U1974&lt;&gt;"","・SV","")&amp;IF(V1974&lt;&gt;"","・データ送付待ち","")&amp;IF(W1974&lt;&gt;"","・削除","")</f>
        <v/>
      </c>
    </row>
    <row r="1975" ht="15" customHeight="1" s="87">
      <c r="AL1975" s="94">
        <f>IF(A1975="","",IF(COUNTIF(A1975:A$2001,A1975)=1,1,0))</f>
        <v/>
      </c>
      <c r="AM1975" s="94">
        <f>IF(I1975="","",TODAY()-I1975)</f>
        <v/>
      </c>
      <c r="AN1975" s="94">
        <f>IF(A1975="","",IF(AND(E1975&lt;&gt;"33 確認済",E1975&lt;&gt;"36 送付中"),1,0))</f>
        <v/>
      </c>
      <c r="AO1975" s="94">
        <f>IF(A1975="","",IF(AG1975&lt;&gt;"",1,0))</f>
        <v/>
      </c>
      <c r="AP1975" s="220">
        <f>IF(P1975&lt;&gt;"","・添待ち","")&amp;IF(Q1975&lt;&gt;"","・住民票","")&amp;IF(R1975&lt;&gt;"","・発信","")&amp;IF(S1975&lt;&gt;"","・確認事項","")&amp;IF(T1975&lt;&gt;"","・管","")&amp;IF(U1975&lt;&gt;"","・SV","")&amp;IF(V1975&lt;&gt;"","・データ送付待ち","")&amp;IF(W1975&lt;&gt;"","・削除","")</f>
        <v/>
      </c>
    </row>
    <row r="1976" ht="15" customHeight="1" s="87">
      <c r="AL1976" s="94">
        <f>IF(A1976="","",IF(COUNTIF(A1976:A$2001,A1976)=1,1,0))</f>
        <v/>
      </c>
      <c r="AM1976" s="94">
        <f>IF(I1976="","",TODAY()-I1976)</f>
        <v/>
      </c>
      <c r="AN1976" s="94">
        <f>IF(A1976="","",IF(AND(E1976&lt;&gt;"33 確認済",E1976&lt;&gt;"36 送付中"),1,0))</f>
        <v/>
      </c>
      <c r="AO1976" s="94">
        <f>IF(A1976="","",IF(AG1976&lt;&gt;"",1,0))</f>
        <v/>
      </c>
      <c r="AP1976" s="220">
        <f>IF(P1976&lt;&gt;"","・添待ち","")&amp;IF(Q1976&lt;&gt;"","・住民票","")&amp;IF(R1976&lt;&gt;"","・発信","")&amp;IF(S1976&lt;&gt;"","・確認事項","")&amp;IF(T1976&lt;&gt;"","・管","")&amp;IF(U1976&lt;&gt;"","・SV","")&amp;IF(V1976&lt;&gt;"","・データ送付待ち","")&amp;IF(W1976&lt;&gt;"","・削除","")</f>
        <v/>
      </c>
    </row>
    <row r="1977" ht="15" customHeight="1" s="87">
      <c r="AL1977" s="94">
        <f>IF(A1977="","",IF(COUNTIF(A1977:A$2001,A1977)=1,1,0))</f>
        <v/>
      </c>
      <c r="AM1977" s="94">
        <f>IF(I1977="","",TODAY()-I1977)</f>
        <v/>
      </c>
      <c r="AN1977" s="94">
        <f>IF(A1977="","",IF(AND(E1977&lt;&gt;"33 確認済",E1977&lt;&gt;"36 送付中"),1,0))</f>
        <v/>
      </c>
      <c r="AO1977" s="94">
        <f>IF(A1977="","",IF(AG1977&lt;&gt;"",1,0))</f>
        <v/>
      </c>
      <c r="AP1977" s="220">
        <f>IF(P1977&lt;&gt;"","・添待ち","")&amp;IF(Q1977&lt;&gt;"","・住民票","")&amp;IF(R1977&lt;&gt;"","・発信","")&amp;IF(S1977&lt;&gt;"","・確認事項","")&amp;IF(T1977&lt;&gt;"","・管","")&amp;IF(U1977&lt;&gt;"","・SV","")&amp;IF(V1977&lt;&gt;"","・データ送付待ち","")&amp;IF(W1977&lt;&gt;"","・削除","")</f>
        <v/>
      </c>
    </row>
    <row r="1978" ht="15" customHeight="1" s="87">
      <c r="AL1978" s="94">
        <f>IF(A1978="","",IF(COUNTIF(A1978:A$2001,A1978)=1,1,0))</f>
        <v/>
      </c>
      <c r="AM1978" s="94">
        <f>IF(I1978="","",TODAY()-I1978)</f>
        <v/>
      </c>
      <c r="AN1978" s="94">
        <f>IF(A1978="","",IF(AND(E1978&lt;&gt;"33 確認済",E1978&lt;&gt;"36 送付中"),1,0))</f>
        <v/>
      </c>
      <c r="AO1978" s="94">
        <f>IF(A1978="","",IF(AG1978&lt;&gt;"",1,0))</f>
        <v/>
      </c>
      <c r="AP1978" s="220">
        <f>IF(P1978&lt;&gt;"","・添待ち","")&amp;IF(Q1978&lt;&gt;"","・住民票","")&amp;IF(R1978&lt;&gt;"","・発信","")&amp;IF(S1978&lt;&gt;"","・確認事項","")&amp;IF(T1978&lt;&gt;"","・管","")&amp;IF(U1978&lt;&gt;"","・SV","")&amp;IF(V1978&lt;&gt;"","・データ送付待ち","")&amp;IF(W1978&lt;&gt;"","・削除","")</f>
        <v/>
      </c>
    </row>
    <row r="1979" ht="15" customHeight="1" s="87">
      <c r="AL1979" s="94">
        <f>IF(A1979="","",IF(COUNTIF(A1979:A$2001,A1979)=1,1,0))</f>
        <v/>
      </c>
      <c r="AM1979" s="94">
        <f>IF(I1979="","",TODAY()-I1979)</f>
        <v/>
      </c>
      <c r="AN1979" s="94">
        <f>IF(A1979="","",IF(AND(E1979&lt;&gt;"33 確認済",E1979&lt;&gt;"36 送付中"),1,0))</f>
        <v/>
      </c>
      <c r="AO1979" s="94">
        <f>IF(A1979="","",IF(AG1979&lt;&gt;"",1,0))</f>
        <v/>
      </c>
      <c r="AP1979" s="220">
        <f>IF(P1979&lt;&gt;"","・添待ち","")&amp;IF(Q1979&lt;&gt;"","・住民票","")&amp;IF(R1979&lt;&gt;"","・発信","")&amp;IF(S1979&lt;&gt;"","・確認事項","")&amp;IF(T1979&lt;&gt;"","・管","")&amp;IF(U1979&lt;&gt;"","・SV","")&amp;IF(V1979&lt;&gt;"","・データ送付待ち","")&amp;IF(W1979&lt;&gt;"","・削除","")</f>
        <v/>
      </c>
    </row>
    <row r="1980" ht="15" customHeight="1" s="87">
      <c r="AL1980" s="94">
        <f>IF(A1980="","",IF(COUNTIF(A1980:A$2001,A1980)=1,1,0))</f>
        <v/>
      </c>
      <c r="AM1980" s="94">
        <f>IF(I1980="","",TODAY()-I1980)</f>
        <v/>
      </c>
      <c r="AN1980" s="94">
        <f>IF(A1980="","",IF(AND(E1980&lt;&gt;"33 確認済",E1980&lt;&gt;"36 送付中"),1,0))</f>
        <v/>
      </c>
      <c r="AO1980" s="94">
        <f>IF(A1980="","",IF(AG1980&lt;&gt;"",1,0))</f>
        <v/>
      </c>
      <c r="AP1980" s="220">
        <f>IF(P1980&lt;&gt;"","・添待ち","")&amp;IF(Q1980&lt;&gt;"","・住民票","")&amp;IF(R1980&lt;&gt;"","・発信","")&amp;IF(S1980&lt;&gt;"","・確認事項","")&amp;IF(T1980&lt;&gt;"","・管","")&amp;IF(U1980&lt;&gt;"","・SV","")&amp;IF(V1980&lt;&gt;"","・データ送付待ち","")&amp;IF(W1980&lt;&gt;"","・削除","")</f>
        <v/>
      </c>
    </row>
    <row r="1981" ht="15" customHeight="1" s="87">
      <c r="AL1981" s="94">
        <f>IF(A1981="","",IF(COUNTIF(A1981:A$2001,A1981)=1,1,0))</f>
        <v/>
      </c>
      <c r="AM1981" s="94">
        <f>IF(I1981="","",TODAY()-I1981)</f>
        <v/>
      </c>
      <c r="AN1981" s="94">
        <f>IF(A1981="","",IF(AND(E1981&lt;&gt;"33 確認済",E1981&lt;&gt;"36 送付中"),1,0))</f>
        <v/>
      </c>
      <c r="AO1981" s="94">
        <f>IF(A1981="","",IF(AG1981&lt;&gt;"",1,0))</f>
        <v/>
      </c>
      <c r="AP1981" s="220">
        <f>IF(P1981&lt;&gt;"","・添待ち","")&amp;IF(Q1981&lt;&gt;"","・住民票","")&amp;IF(R1981&lt;&gt;"","・発信","")&amp;IF(S1981&lt;&gt;"","・確認事項","")&amp;IF(T1981&lt;&gt;"","・管","")&amp;IF(U1981&lt;&gt;"","・SV","")&amp;IF(V1981&lt;&gt;"","・データ送付待ち","")&amp;IF(W1981&lt;&gt;"","・削除","")</f>
        <v/>
      </c>
    </row>
    <row r="1982" ht="15" customHeight="1" s="87">
      <c r="AL1982" s="94">
        <f>IF(A1982="","",IF(COUNTIF(A1982:A$2001,A1982)=1,1,0))</f>
        <v/>
      </c>
      <c r="AM1982" s="94">
        <f>IF(I1982="","",TODAY()-I1982)</f>
        <v/>
      </c>
      <c r="AN1982" s="94">
        <f>IF(A1982="","",IF(AND(E1982&lt;&gt;"33 確認済",E1982&lt;&gt;"36 送付中"),1,0))</f>
        <v/>
      </c>
      <c r="AO1982" s="94">
        <f>IF(A1982="","",IF(AG1982&lt;&gt;"",1,0))</f>
        <v/>
      </c>
      <c r="AP1982" s="220">
        <f>IF(P1982&lt;&gt;"","・添待ち","")&amp;IF(Q1982&lt;&gt;"","・住民票","")&amp;IF(R1982&lt;&gt;"","・発信","")&amp;IF(S1982&lt;&gt;"","・確認事項","")&amp;IF(T1982&lt;&gt;"","・管","")&amp;IF(U1982&lt;&gt;"","・SV","")&amp;IF(V1982&lt;&gt;"","・データ送付待ち","")&amp;IF(W1982&lt;&gt;"","・削除","")</f>
        <v/>
      </c>
    </row>
    <row r="1983" ht="15" customHeight="1" s="87">
      <c r="AL1983" s="94">
        <f>IF(A1983="","",IF(COUNTIF(A1983:A$2001,A1983)=1,1,0))</f>
        <v/>
      </c>
      <c r="AM1983" s="94">
        <f>IF(I1983="","",TODAY()-I1983)</f>
        <v/>
      </c>
      <c r="AN1983" s="94">
        <f>IF(A1983="","",IF(AND(E1983&lt;&gt;"33 確認済",E1983&lt;&gt;"36 送付中"),1,0))</f>
        <v/>
      </c>
      <c r="AO1983" s="94">
        <f>IF(A1983="","",IF(AG1983&lt;&gt;"",1,0))</f>
        <v/>
      </c>
      <c r="AP1983" s="220">
        <f>IF(P1983&lt;&gt;"","・添待ち","")&amp;IF(Q1983&lt;&gt;"","・住民票","")&amp;IF(R1983&lt;&gt;"","・発信","")&amp;IF(S1983&lt;&gt;"","・確認事項","")&amp;IF(T1983&lt;&gt;"","・管","")&amp;IF(U1983&lt;&gt;"","・SV","")&amp;IF(V1983&lt;&gt;"","・データ送付待ち","")&amp;IF(W1983&lt;&gt;"","・削除","")</f>
        <v/>
      </c>
    </row>
    <row r="1984" ht="15" customHeight="1" s="87">
      <c r="AL1984" s="94">
        <f>IF(A1984="","",IF(COUNTIF(A1984:A$2001,A1984)=1,1,0))</f>
        <v/>
      </c>
      <c r="AM1984" s="94">
        <f>IF(I1984="","",TODAY()-I1984)</f>
        <v/>
      </c>
      <c r="AN1984" s="94">
        <f>IF(A1984="","",IF(AND(E1984&lt;&gt;"33 確認済",E1984&lt;&gt;"36 送付中"),1,0))</f>
        <v/>
      </c>
      <c r="AO1984" s="94">
        <f>IF(A1984="","",IF(AG1984&lt;&gt;"",1,0))</f>
        <v/>
      </c>
      <c r="AP1984" s="220">
        <f>IF(P1984&lt;&gt;"","・添待ち","")&amp;IF(Q1984&lt;&gt;"","・住民票","")&amp;IF(R1984&lt;&gt;"","・発信","")&amp;IF(S1984&lt;&gt;"","・確認事項","")&amp;IF(T1984&lt;&gt;"","・管","")&amp;IF(U1984&lt;&gt;"","・SV","")&amp;IF(V1984&lt;&gt;"","・データ送付待ち","")&amp;IF(W1984&lt;&gt;"","・削除","")</f>
        <v/>
      </c>
    </row>
    <row r="1985" ht="15" customHeight="1" s="87">
      <c r="AL1985" s="94">
        <f>IF(A1985="","",IF(COUNTIF(A1985:A$2001,A1985)=1,1,0))</f>
        <v/>
      </c>
      <c r="AM1985" s="94">
        <f>IF(I1985="","",TODAY()-I1985)</f>
        <v/>
      </c>
      <c r="AN1985" s="94">
        <f>IF(A1985="","",IF(AND(E1985&lt;&gt;"33 確認済",E1985&lt;&gt;"36 送付中"),1,0))</f>
        <v/>
      </c>
      <c r="AO1985" s="94">
        <f>IF(A1985="","",IF(AG1985&lt;&gt;"",1,0))</f>
        <v/>
      </c>
      <c r="AP1985" s="220">
        <f>IF(P1985&lt;&gt;"","・添待ち","")&amp;IF(Q1985&lt;&gt;"","・住民票","")&amp;IF(R1985&lt;&gt;"","・発信","")&amp;IF(S1985&lt;&gt;"","・確認事項","")&amp;IF(T1985&lt;&gt;"","・管","")&amp;IF(U1985&lt;&gt;"","・SV","")&amp;IF(V1985&lt;&gt;"","・データ送付待ち","")&amp;IF(W1985&lt;&gt;"","・削除","")</f>
        <v/>
      </c>
    </row>
    <row r="1986" ht="15" customHeight="1" s="87">
      <c r="AL1986" s="94">
        <f>IF(A1986="","",IF(COUNTIF(A1986:A$2001,A1986)=1,1,0))</f>
        <v/>
      </c>
      <c r="AM1986" s="94">
        <f>IF(I1986="","",TODAY()-I1986)</f>
        <v/>
      </c>
      <c r="AN1986" s="94">
        <f>IF(A1986="","",IF(AND(E1986&lt;&gt;"33 確認済",E1986&lt;&gt;"36 送付中"),1,0))</f>
        <v/>
      </c>
      <c r="AO1986" s="94">
        <f>IF(A1986="","",IF(AG1986&lt;&gt;"",1,0))</f>
        <v/>
      </c>
      <c r="AP1986" s="220">
        <f>IF(P1986&lt;&gt;"","・添待ち","")&amp;IF(Q1986&lt;&gt;"","・住民票","")&amp;IF(R1986&lt;&gt;"","・発信","")&amp;IF(S1986&lt;&gt;"","・確認事項","")&amp;IF(T1986&lt;&gt;"","・管","")&amp;IF(U1986&lt;&gt;"","・SV","")&amp;IF(V1986&lt;&gt;"","・データ送付待ち","")&amp;IF(W1986&lt;&gt;"","・削除","")</f>
        <v/>
      </c>
    </row>
    <row r="1987" ht="15" customHeight="1" s="87">
      <c r="AL1987" s="94">
        <f>IF(A1987="","",IF(COUNTIF(A1987:A$2001,A1987)=1,1,0))</f>
        <v/>
      </c>
      <c r="AM1987" s="94">
        <f>IF(I1987="","",TODAY()-I1987)</f>
        <v/>
      </c>
      <c r="AN1987" s="94">
        <f>IF(A1987="","",IF(AND(E1987&lt;&gt;"33 確認済",E1987&lt;&gt;"36 送付中"),1,0))</f>
        <v/>
      </c>
      <c r="AO1987" s="94">
        <f>IF(A1987="","",IF(AG1987&lt;&gt;"",1,0))</f>
        <v/>
      </c>
      <c r="AP1987" s="220">
        <f>IF(P1987&lt;&gt;"","・添待ち","")&amp;IF(Q1987&lt;&gt;"","・住民票","")&amp;IF(R1987&lt;&gt;"","・発信","")&amp;IF(S1987&lt;&gt;"","・確認事項","")&amp;IF(T1987&lt;&gt;"","・管","")&amp;IF(U1987&lt;&gt;"","・SV","")&amp;IF(V1987&lt;&gt;"","・データ送付待ち","")&amp;IF(W1987&lt;&gt;"","・削除","")</f>
        <v/>
      </c>
    </row>
    <row r="1988" ht="15" customHeight="1" s="87">
      <c r="AL1988" s="94">
        <f>IF(A1988="","",IF(COUNTIF(A1988:A$2001,A1988)=1,1,0))</f>
        <v/>
      </c>
      <c r="AM1988" s="94">
        <f>IF(I1988="","",TODAY()-I1988)</f>
        <v/>
      </c>
      <c r="AN1988" s="94">
        <f>IF(A1988="","",IF(AND(E1988&lt;&gt;"33 確認済",E1988&lt;&gt;"36 送付中"),1,0))</f>
        <v/>
      </c>
      <c r="AO1988" s="94">
        <f>IF(A1988="","",IF(AG1988&lt;&gt;"",1,0))</f>
        <v/>
      </c>
      <c r="AP1988" s="220">
        <f>IF(P1988&lt;&gt;"","・添待ち","")&amp;IF(Q1988&lt;&gt;"","・住民票","")&amp;IF(R1988&lt;&gt;"","・発信","")&amp;IF(S1988&lt;&gt;"","・確認事項","")&amp;IF(T1988&lt;&gt;"","・管","")&amp;IF(U1988&lt;&gt;"","・SV","")&amp;IF(V1988&lt;&gt;"","・データ送付待ち","")&amp;IF(W1988&lt;&gt;"","・削除","")</f>
        <v/>
      </c>
    </row>
    <row r="1989" ht="15" customHeight="1" s="87">
      <c r="AL1989" s="94">
        <f>IF(A1989="","",IF(COUNTIF(A1989:A$2001,A1989)=1,1,0))</f>
        <v/>
      </c>
      <c r="AM1989" s="94">
        <f>IF(I1989="","",TODAY()-I1989)</f>
        <v/>
      </c>
      <c r="AN1989" s="94">
        <f>IF(A1989="","",IF(AND(E1989&lt;&gt;"33 確認済",E1989&lt;&gt;"36 送付中"),1,0))</f>
        <v/>
      </c>
      <c r="AO1989" s="94">
        <f>IF(A1989="","",IF(AG1989&lt;&gt;"",1,0))</f>
        <v/>
      </c>
      <c r="AP1989" s="220">
        <f>IF(P1989&lt;&gt;"","・添待ち","")&amp;IF(Q1989&lt;&gt;"","・住民票","")&amp;IF(R1989&lt;&gt;"","・発信","")&amp;IF(S1989&lt;&gt;"","・確認事項","")&amp;IF(T1989&lt;&gt;"","・管","")&amp;IF(U1989&lt;&gt;"","・SV","")&amp;IF(V1989&lt;&gt;"","・データ送付待ち","")&amp;IF(W1989&lt;&gt;"","・削除","")</f>
        <v/>
      </c>
    </row>
    <row r="1990" ht="15" customHeight="1" s="87">
      <c r="AL1990" s="94">
        <f>IF(A1990="","",IF(COUNTIF(A1990:A$2001,A1990)=1,1,0))</f>
        <v/>
      </c>
      <c r="AM1990" s="94">
        <f>IF(I1990="","",TODAY()-I1990)</f>
        <v/>
      </c>
      <c r="AN1990" s="94">
        <f>IF(A1990="","",IF(AND(E1990&lt;&gt;"33 確認済",E1990&lt;&gt;"36 送付中"),1,0))</f>
        <v/>
      </c>
      <c r="AO1990" s="94">
        <f>IF(A1990="","",IF(AG1990&lt;&gt;"",1,0))</f>
        <v/>
      </c>
      <c r="AP1990" s="220">
        <f>IF(P1990&lt;&gt;"","・添待ち","")&amp;IF(Q1990&lt;&gt;"","・住民票","")&amp;IF(R1990&lt;&gt;"","・発信","")&amp;IF(S1990&lt;&gt;"","・確認事項","")&amp;IF(T1990&lt;&gt;"","・管","")&amp;IF(U1990&lt;&gt;"","・SV","")&amp;IF(V1990&lt;&gt;"","・データ送付待ち","")&amp;IF(W1990&lt;&gt;"","・削除","")</f>
        <v/>
      </c>
    </row>
    <row r="1991" ht="15" customHeight="1" s="87">
      <c r="AL1991" s="94">
        <f>IF(A1991="","",IF(COUNTIF(A1991:A$2001,A1991)=1,1,0))</f>
        <v/>
      </c>
      <c r="AM1991" s="94">
        <f>IF(I1991="","",TODAY()-I1991)</f>
        <v/>
      </c>
      <c r="AN1991" s="94">
        <f>IF(A1991="","",IF(AND(E1991&lt;&gt;"33 確認済",E1991&lt;&gt;"36 送付中"),1,0))</f>
        <v/>
      </c>
      <c r="AO1991" s="94">
        <f>IF(A1991="","",IF(AG1991&lt;&gt;"",1,0))</f>
        <v/>
      </c>
      <c r="AP1991" s="220">
        <f>IF(P1991&lt;&gt;"","・添待ち","")&amp;IF(Q1991&lt;&gt;"","・住民票","")&amp;IF(R1991&lt;&gt;"","・発信","")&amp;IF(S1991&lt;&gt;"","・確認事項","")&amp;IF(T1991&lt;&gt;"","・管","")&amp;IF(U1991&lt;&gt;"","・SV","")&amp;IF(V1991&lt;&gt;"","・データ送付待ち","")&amp;IF(W1991&lt;&gt;"","・削除","")</f>
        <v/>
      </c>
    </row>
    <row r="1992" ht="15" customHeight="1" s="87">
      <c r="AL1992" s="94">
        <f>IF(A1992="","",IF(COUNTIF(A1992:A$2001,A1992)=1,1,0))</f>
        <v/>
      </c>
      <c r="AM1992" s="94">
        <f>IF(I1992="","",TODAY()-I1992)</f>
        <v/>
      </c>
      <c r="AN1992" s="94">
        <f>IF(A1992="","",IF(AND(E1992&lt;&gt;"33 確認済",E1992&lt;&gt;"36 送付中"),1,0))</f>
        <v/>
      </c>
      <c r="AO1992" s="94">
        <f>IF(A1992="","",IF(AG1992&lt;&gt;"",1,0))</f>
        <v/>
      </c>
      <c r="AP1992" s="220">
        <f>IF(P1992&lt;&gt;"","・添待ち","")&amp;IF(Q1992&lt;&gt;"","・住民票","")&amp;IF(R1992&lt;&gt;"","・発信","")&amp;IF(S1992&lt;&gt;"","・確認事項","")&amp;IF(T1992&lt;&gt;"","・管","")&amp;IF(U1992&lt;&gt;"","・SV","")&amp;IF(V1992&lt;&gt;"","・データ送付待ち","")&amp;IF(W1992&lt;&gt;"","・削除","")</f>
        <v/>
      </c>
    </row>
    <row r="1993" ht="15" customHeight="1" s="87">
      <c r="AL1993" s="94">
        <f>IF(A1993="","",IF(COUNTIF(A1993:A$2001,A1993)=1,1,0))</f>
        <v/>
      </c>
      <c r="AM1993" s="94">
        <f>IF(I1993="","",TODAY()-I1993)</f>
        <v/>
      </c>
      <c r="AN1993" s="94">
        <f>IF(A1993="","",IF(AND(E1993&lt;&gt;"33 確認済",E1993&lt;&gt;"36 送付中"),1,0))</f>
        <v/>
      </c>
      <c r="AO1993" s="94">
        <f>IF(A1993="","",IF(AG1993&lt;&gt;"",1,0))</f>
        <v/>
      </c>
      <c r="AP1993" s="220">
        <f>IF(P1993&lt;&gt;"","・添待ち","")&amp;IF(Q1993&lt;&gt;"","・住民票","")&amp;IF(R1993&lt;&gt;"","・発信","")&amp;IF(S1993&lt;&gt;"","・確認事項","")&amp;IF(T1993&lt;&gt;"","・管","")&amp;IF(U1993&lt;&gt;"","・SV","")&amp;IF(V1993&lt;&gt;"","・データ送付待ち","")&amp;IF(W1993&lt;&gt;"","・削除","")</f>
        <v/>
      </c>
    </row>
    <row r="1994" ht="15" customHeight="1" s="87">
      <c r="AL1994" s="94">
        <f>IF(A1994="","",IF(COUNTIF(A1994:A$2001,A1994)=1,1,0))</f>
        <v/>
      </c>
      <c r="AM1994" s="94">
        <f>IF(I1994="","",TODAY()-I1994)</f>
        <v/>
      </c>
      <c r="AN1994" s="94">
        <f>IF(A1994="","",IF(AND(E1994&lt;&gt;"33 確認済",E1994&lt;&gt;"36 送付中"),1,0))</f>
        <v/>
      </c>
      <c r="AO1994" s="94">
        <f>IF(A1994="","",IF(AG1994&lt;&gt;"",1,0))</f>
        <v/>
      </c>
      <c r="AP1994" s="220">
        <f>IF(P1994&lt;&gt;"","・添待ち","")&amp;IF(Q1994&lt;&gt;"","・住民票","")&amp;IF(R1994&lt;&gt;"","・発信","")&amp;IF(S1994&lt;&gt;"","・確認事項","")&amp;IF(T1994&lt;&gt;"","・管","")&amp;IF(U1994&lt;&gt;"","・SV","")&amp;IF(V1994&lt;&gt;"","・データ送付待ち","")&amp;IF(W1994&lt;&gt;"","・削除","")</f>
        <v/>
      </c>
    </row>
    <row r="1995" ht="15" customHeight="1" s="87">
      <c r="AL1995" s="94">
        <f>IF(A1995="","",IF(COUNTIF(A1995:A$2001,A1995)=1,1,0))</f>
        <v/>
      </c>
      <c r="AM1995" s="94">
        <f>IF(I1995="","",TODAY()-I1995)</f>
        <v/>
      </c>
      <c r="AN1995" s="94">
        <f>IF(A1995="","",IF(AND(E1995&lt;&gt;"33 確認済",E1995&lt;&gt;"36 送付中"),1,0))</f>
        <v/>
      </c>
      <c r="AO1995" s="94">
        <f>IF(A1995="","",IF(AG1995&lt;&gt;"",1,0))</f>
        <v/>
      </c>
      <c r="AP1995" s="220">
        <f>IF(P1995&lt;&gt;"","・添待ち","")&amp;IF(Q1995&lt;&gt;"","・住民票","")&amp;IF(R1995&lt;&gt;"","・発信","")&amp;IF(S1995&lt;&gt;"","・確認事項","")&amp;IF(T1995&lt;&gt;"","・管","")&amp;IF(U1995&lt;&gt;"","・SV","")&amp;IF(V1995&lt;&gt;"","・データ送付待ち","")&amp;IF(W1995&lt;&gt;"","・削除","")</f>
        <v/>
      </c>
    </row>
    <row r="1996" ht="15" customHeight="1" s="87">
      <c r="AL1996" s="94">
        <f>IF(A1996="","",IF(COUNTIF(A1996:A$2001,A1996)=1,1,0))</f>
        <v/>
      </c>
      <c r="AM1996" s="94">
        <f>IF(I1996="","",TODAY()-I1996)</f>
        <v/>
      </c>
      <c r="AN1996" s="94">
        <f>IF(A1996="","",IF(AND(E1996&lt;&gt;"33 確認済",E1996&lt;&gt;"36 送付中"),1,0))</f>
        <v/>
      </c>
      <c r="AO1996" s="94">
        <f>IF(A1996="","",IF(AG1996&lt;&gt;"",1,0))</f>
        <v/>
      </c>
      <c r="AP1996" s="220">
        <f>IF(P1996&lt;&gt;"","・添待ち","")&amp;IF(Q1996&lt;&gt;"","・住民票","")&amp;IF(R1996&lt;&gt;"","・発信","")&amp;IF(S1996&lt;&gt;"","・確認事項","")&amp;IF(T1996&lt;&gt;"","・管","")&amp;IF(U1996&lt;&gt;"","・SV","")&amp;IF(V1996&lt;&gt;"","・データ送付待ち","")&amp;IF(W1996&lt;&gt;"","・削除","")</f>
        <v/>
      </c>
    </row>
    <row r="1997" ht="15" customHeight="1" s="87">
      <c r="AL1997" s="94">
        <f>IF(A1997="","",IF(COUNTIF(A1997:A$2001,A1997)=1,1,0))</f>
        <v/>
      </c>
      <c r="AM1997" s="94">
        <f>IF(I1997="","",TODAY()-I1997)</f>
        <v/>
      </c>
      <c r="AN1997" s="94">
        <f>IF(A1997="","",IF(AND(E1997&lt;&gt;"33 確認済",E1997&lt;&gt;"36 送付中"),1,0))</f>
        <v/>
      </c>
      <c r="AO1997" s="94">
        <f>IF(A1997="","",IF(AG1997&lt;&gt;"",1,0))</f>
        <v/>
      </c>
      <c r="AP1997" s="220">
        <f>IF(P1997&lt;&gt;"","・添待ち","")&amp;IF(Q1997&lt;&gt;"","・住民票","")&amp;IF(R1997&lt;&gt;"","・発信","")&amp;IF(S1997&lt;&gt;"","・確認事項","")&amp;IF(T1997&lt;&gt;"","・管","")&amp;IF(U1997&lt;&gt;"","・SV","")&amp;IF(V1997&lt;&gt;"","・データ送付待ち","")&amp;IF(W1997&lt;&gt;"","・削除","")</f>
        <v/>
      </c>
    </row>
    <row r="1998" ht="15" customHeight="1" s="87">
      <c r="AL1998" s="94">
        <f>IF(A1998="","",IF(COUNTIF(A1998:A$2001,A1998)=1,1,0))</f>
        <v/>
      </c>
      <c r="AM1998" s="94">
        <f>IF(I1998="","",TODAY()-I1998)</f>
        <v/>
      </c>
      <c r="AN1998" s="94">
        <f>IF(A1998="","",IF(AND(E1998&lt;&gt;"33 確認済",E1998&lt;&gt;"36 送付中"),1,0))</f>
        <v/>
      </c>
      <c r="AO1998" s="94">
        <f>IF(A1998="","",IF(AG1998&lt;&gt;"",1,0))</f>
        <v/>
      </c>
      <c r="AP1998" s="220">
        <f>IF(P1998&lt;&gt;"","・添待ち","")&amp;IF(Q1998&lt;&gt;"","・住民票","")&amp;IF(R1998&lt;&gt;"","・発信","")&amp;IF(S1998&lt;&gt;"","・確認事項","")&amp;IF(T1998&lt;&gt;"","・管","")&amp;IF(U1998&lt;&gt;"","・SV","")&amp;IF(V1998&lt;&gt;"","・データ送付待ち","")&amp;IF(W1998&lt;&gt;"","・削除","")</f>
        <v/>
      </c>
    </row>
    <row r="1999" ht="15" customHeight="1" s="87">
      <c r="AL1999" s="94">
        <f>IF(A1999="","",IF(COUNTIF(A1999:A$2001,A1999)=1,1,0))</f>
        <v/>
      </c>
      <c r="AM1999" s="94">
        <f>IF(I1999="","",TODAY()-I1999)</f>
        <v/>
      </c>
      <c r="AN1999" s="94">
        <f>IF(A1999="","",IF(AND(E1999&lt;&gt;"33 確認済",E1999&lt;&gt;"36 送付中"),1,0))</f>
        <v/>
      </c>
      <c r="AO1999" s="94">
        <f>IF(A1999="","",IF(AG1999&lt;&gt;"",1,0))</f>
        <v/>
      </c>
      <c r="AP1999" s="220">
        <f>IF(P1999&lt;&gt;"","・添待ち","")&amp;IF(Q1999&lt;&gt;"","・住民票","")&amp;IF(R1999&lt;&gt;"","・発信","")&amp;IF(S1999&lt;&gt;"","・確認事項","")&amp;IF(T1999&lt;&gt;"","・管","")&amp;IF(U1999&lt;&gt;"","・SV","")&amp;IF(V1999&lt;&gt;"","・データ送付待ち","")&amp;IF(W1999&lt;&gt;"","・削除","")</f>
        <v/>
      </c>
    </row>
    <row r="2000" ht="15" customHeight="1" s="87">
      <c r="AL2000" s="94">
        <f>IF(A2000="","",IF(COUNTIF(A2000:A$2001,A2000)=1,1,0))</f>
        <v/>
      </c>
      <c r="AM2000" s="94">
        <f>IF(I2000="","",TODAY()-I2000)</f>
        <v/>
      </c>
      <c r="AN2000" s="94">
        <f>IF(A2000="","",IF(AND(E2000&lt;&gt;"33 確認済",E2000&lt;&gt;"36 送付中"),1,0))</f>
        <v/>
      </c>
      <c r="AO2000" s="94">
        <f>IF(A2000="","",IF(AG2000&lt;&gt;"",1,0))</f>
        <v/>
      </c>
      <c r="AP2000" s="220">
        <f>IF(P2000&lt;&gt;"","・添待ち","")&amp;IF(Q2000&lt;&gt;"","・住民票","")&amp;IF(R2000&lt;&gt;"","・発信","")&amp;IF(S2000&lt;&gt;"","・確認事項","")&amp;IF(T2000&lt;&gt;"","・管","")&amp;IF(U2000&lt;&gt;"","・SV","")&amp;IF(V2000&lt;&gt;"","・データ送付待ち","")&amp;IF(W2000&lt;&gt;"","・削除"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BH1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.51" customWidth="1" style="86" min="1" max="1"/>
    <col width="5" customWidth="1" style="86" min="2" max="2"/>
    <col width="22" customWidth="1" style="86" min="3" max="4"/>
    <col width="6" customWidth="1" style="87" min="4" max="4"/>
    <col width="8" customWidth="1" style="86" min="5" max="7"/>
    <col width="40" customWidth="1" style="87" min="6" max="6"/>
    <col width="28" customWidth="1" style="86" min="8" max="8"/>
    <col width="6" customWidth="1" style="86" min="9" max="9"/>
    <col width="28" customWidth="1" style="86" min="10" max="10"/>
    <col width="6" customWidth="1" style="86" min="11" max="11"/>
    <col width="28" customWidth="1" style="86" min="12" max="12"/>
    <col width="6" customWidth="1" style="86" min="13" max="13"/>
    <col width="28" customWidth="1" style="86" min="14" max="14"/>
    <col width="6" customWidth="1" style="86" min="15" max="15"/>
    <col width="28" customWidth="1" style="86" min="16" max="16"/>
    <col width="6" customWidth="1" style="86" min="17" max="18"/>
    <col width="28" customWidth="1" style="86" min="19" max="19"/>
    <col width="6" customWidth="1" style="86" min="20" max="20"/>
    <col width="28" customWidth="1" style="86" min="21" max="21"/>
    <col width="6" customWidth="1" style="86" min="22" max="22"/>
    <col width="28" customWidth="1" style="86" min="23" max="23"/>
    <col width="6" customWidth="1" style="86" min="24" max="24"/>
    <col width="28" customWidth="1" style="86" min="25" max="25"/>
    <col width="6" customWidth="1" style="86" min="26" max="26"/>
    <col width="28" customWidth="1" style="86" min="27" max="27"/>
    <col width="6" customWidth="1" style="86" min="28" max="29"/>
    <col width="28" customWidth="1" style="86" min="30" max="30"/>
    <col width="6" customWidth="1" style="86" min="31" max="31"/>
    <col width="28" customWidth="1" style="86" min="32" max="32"/>
    <col width="6" customWidth="1" style="86" min="33" max="33"/>
    <col width="28" customWidth="1" style="86" min="34" max="34"/>
    <col width="6" customWidth="1" style="86" min="35" max="35"/>
    <col width="28" customWidth="1" style="86" min="36" max="36"/>
    <col width="6" customWidth="1" style="86" min="37" max="37"/>
    <col width="28" customWidth="1" style="86" min="38" max="38"/>
    <col width="6" customWidth="1" style="86" min="39" max="40"/>
    <col width="28" customWidth="1" style="86" min="41" max="41"/>
    <col width="6" customWidth="1" style="86" min="42" max="42"/>
    <col width="28" customWidth="1" style="86" min="43" max="43"/>
    <col width="6" customWidth="1" style="86" min="44" max="44"/>
    <col width="28" customWidth="1" style="86" min="45" max="45"/>
    <col width="6" customWidth="1" style="86" min="46" max="46"/>
    <col width="28" customWidth="1" style="86" min="47" max="47"/>
    <col width="6" customWidth="1" style="86" min="48" max="48"/>
    <col width="28" customWidth="1" style="86" min="49" max="49"/>
    <col width="6" customWidth="1" style="86" min="50" max="51"/>
    <col width="28" customWidth="1" style="86" min="52" max="52"/>
    <col width="6" customWidth="1" style="86" min="53" max="53"/>
    <col width="28" customWidth="1" style="86" min="54" max="54"/>
    <col width="6" customWidth="1" style="86" min="55" max="55"/>
    <col width="28" customWidth="1" style="86" min="56" max="56"/>
    <col width="6" customWidth="1" style="86" min="57" max="57"/>
    <col width="28" customWidth="1" style="86" min="58" max="58"/>
    <col width="6" customWidth="1" style="86" min="59" max="59"/>
    <col width="28" customWidth="1" style="86" min="60" max="60"/>
  </cols>
  <sheetData>
    <row r="1" ht="6" customHeight="1" s="87"/>
    <row r="2" ht="36" customHeight="1" s="87">
      <c r="A2" s="95" t="n"/>
      <c r="B2" s="96" t="inlineStr">
        <is>
          <t>扶養異動申請　進捗ダッシュボード</t>
        </is>
      </c>
      <c r="N2" s="97">
        <f>TODAY()</f>
        <v/>
      </c>
    </row>
    <row r="3" ht="7.5" customHeight="1" s="87"/>
    <row r="4" ht="13.5" customHeight="1" s="87">
      <c r="B4" s="98" t="inlineStr">
        <is>
          <t>▼ 使い方</t>
        </is>
      </c>
    </row>
    <row r="5" ht="17" customHeight="1" s="87">
      <c r="B5" s="180" t="inlineStr">
        <is>
          <t>手順①</t>
        </is>
      </c>
      <c r="C5" s="181" t="inlineStr">
        <is>
          <t>元データシートを開き、既存データを「一括クリア」マクロで削除する</t>
        </is>
      </c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12" t="n"/>
    </row>
    <row r="6" ht="17" customHeight="1" s="87">
      <c r="B6" s="180" t="inlineStr">
        <is>
          <t>手順②</t>
        </is>
      </c>
      <c r="C6" s="181" t="inlineStr">
        <is>
          <t>アプリから「扶養検索_YYYYMMDD.xlsx」をダウンロードする</t>
        </is>
      </c>
      <c r="D6" s="101" t="n"/>
      <c r="E6" s="101" t="n"/>
      <c r="F6" s="101" t="n"/>
      <c r="G6" s="101" t="n"/>
      <c r="H6" s="101" t="n"/>
      <c r="I6" s="101" t="n"/>
      <c r="J6" s="101" t="n"/>
      <c r="K6" s="101" t="n"/>
      <c r="L6" s="101" t="n"/>
      <c r="M6" s="101" t="n"/>
      <c r="N6" s="101" t="n"/>
      <c r="O6" s="112" t="n"/>
    </row>
    <row r="7" ht="17" customHeight="1" s="87">
      <c r="B7" s="180" t="inlineStr">
        <is>
          <t>手順③</t>
        </is>
      </c>
      <c r="C7" s="181" t="inlineStr">
        <is>
          <t>ダウンロードしたファイルをこのファイルと同じフォルダに保存する</t>
        </is>
      </c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12" t="n"/>
    </row>
    <row r="8" ht="17" customHeight="1" s="87">
      <c r="B8" s="180" t="inlineStr">
        <is>
          <t>手順④</t>
        </is>
      </c>
      <c r="C8" s="181" t="inlineStr">
        <is>
          <t>「ファイル読込」マクロを実行すると元データシートに自動展開される</t>
        </is>
      </c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12" t="n"/>
    </row>
    <row r="9" ht="17" customHeight="1" s="87">
      <c r="B9" s="180" t="inlineStr">
        <is>
          <t>手順⑤</t>
        </is>
      </c>
      <c r="C9" s="181" t="inlineStr">
        <is>
          <t>ダッシュボードシートに戻ると件数・申請番号がすべて自動で集計・更新される</t>
        </is>
      </c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12" t="n"/>
    </row>
    <row r="10" ht="17" customHeight="1" s="87">
      <c r="B10" s="182" t="inlineStr">
        <is>
          <t>注意</t>
        </is>
      </c>
      <c r="C10" s="183" t="inlineStr">
        <is>
          <t>★黄色列（元データシート右端4列）は作業列。削除・上書き不可</t>
        </is>
      </c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12" t="n"/>
    </row>
    <row r="11" ht="19.5" customHeight="1" s="87">
      <c r="B11" s="107" t="inlineStr">
        <is>
          <t>▼ 以下の案件を確認してください</t>
        </is>
      </c>
      <c r="C11" s="105" t="n"/>
      <c r="D11" s="105" t="n"/>
      <c r="E11" s="105" t="n"/>
      <c r="F11" s="105" t="n"/>
      <c r="G11" s="105" t="n"/>
      <c r="H11" s="105" t="n"/>
      <c r="I11" s="105" t="n"/>
      <c r="J11" s="105" t="n"/>
      <c r="K11" s="105" t="n"/>
      <c r="L11" s="105" t="n"/>
      <c r="M11" s="105" t="n"/>
      <c r="N11" s="105" t="n"/>
      <c r="O11" s="106" t="n"/>
    </row>
    <row r="12" ht="18" customHeight="1" s="87">
      <c r="B12" s="108" t="n"/>
      <c r="C12" s="109" t="n"/>
      <c r="D12" s="109" t="n"/>
      <c r="E12" s="109" t="n"/>
      <c r="F12" s="109" t="n"/>
      <c r="G12" s="109" t="n"/>
      <c r="H12" s="109" t="n"/>
      <c r="I12" s="109" t="n"/>
      <c r="J12" s="109" t="n"/>
      <c r="K12" s="109" t="n"/>
      <c r="L12" s="109" t="n"/>
      <c r="M12" s="109" t="n"/>
      <c r="N12" s="109" t="n"/>
      <c r="O12" s="110" t="n"/>
    </row>
    <row r="13" ht="18" customHeight="1" s="87"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10" t="n"/>
    </row>
    <row r="14" ht="18" customHeight="1" s="87">
      <c r="B14" s="108" t="n"/>
      <c r="C14" s="109" t="n"/>
      <c r="D14" s="109" t="n"/>
      <c r="E14" s="109" t="n"/>
      <c r="F14" s="109" t="n"/>
      <c r="G14" s="109" t="n"/>
      <c r="H14" s="109" t="n"/>
      <c r="I14" s="109" t="n"/>
      <c r="J14" s="109" t="n"/>
      <c r="K14" s="109" t="n"/>
      <c r="L14" s="109" t="n"/>
      <c r="M14" s="109" t="n"/>
      <c r="N14" s="109" t="n"/>
      <c r="O14" s="110" t="n"/>
    </row>
    <row r="15" ht="18" customHeight="1" s="87"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10" t="n"/>
    </row>
    <row r="16" ht="18" customHeight="1" s="87">
      <c r="B16" s="108" t="n"/>
      <c r="C16" s="109" t="n"/>
      <c r="D16" s="109" t="n"/>
      <c r="E16" s="109" t="n"/>
      <c r="F16" s="109" t="n"/>
      <c r="G16" s="109" t="n"/>
      <c r="H16" s="109" t="n"/>
      <c r="I16" s="109" t="n"/>
      <c r="J16" s="109" t="n"/>
      <c r="K16" s="109" t="n"/>
      <c r="L16" s="109" t="n"/>
      <c r="M16" s="109" t="n"/>
      <c r="N16" s="109" t="n"/>
      <c r="O16" s="110" t="n"/>
    </row>
    <row r="17" ht="18" customHeight="1" s="87"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10" t="n"/>
    </row>
    <row r="18" ht="9.75" customHeight="1" s="87"/>
    <row r="19" ht="13.5" customHeight="1" s="87">
      <c r="B19" s="98" t="inlineStr">
        <is>
          <t>▼ 未完了案件サマリー</t>
        </is>
      </c>
    </row>
    <row r="20" ht="13.5" customHeight="1" s="87">
      <c r="B20" s="111" t="inlineStr">
        <is>
          <t>未完了 総件数</t>
        </is>
      </c>
      <c r="C20" s="101" t="n"/>
      <c r="D20" s="101" t="n"/>
      <c r="E20" s="112" t="n"/>
      <c r="F20" s="111" t="inlineStr">
        <is>
          <t>センター対応中</t>
        </is>
      </c>
      <c r="G20" s="101" t="n"/>
      <c r="H20" s="101" t="n"/>
      <c r="I20" s="112" t="n"/>
      <c r="J20" s="111" t="inlineStr">
        <is>
          <t>差戻し中</t>
        </is>
      </c>
      <c r="K20" s="101" t="n"/>
      <c r="L20" s="101" t="n"/>
      <c r="M20" s="112" t="n"/>
    </row>
    <row r="21" ht="43.5" customHeight="1" s="87">
      <c r="B21" s="113">
        <f>SUMPRODUCT((元データ!$AL$2:$AL$2001=1)*(元データ!$AN$2:$AN$2001=1))</f>
        <v/>
      </c>
      <c r="C21" s="101" t="n"/>
      <c r="D21" s="101" t="n"/>
      <c r="E21" s="112" t="n"/>
      <c r="F21" s="114">
        <f>SUMPRODUCT((元データ!$AL$2:$AL$2001=1)*(元データ!$AN$2:$AN$2001=1))-SUMPRODUCT((元データ!$AL$2:$AL$2001=1)*(元データ!$AN$2:$AN$2001=1)*(元データ!$E$2:$E$2001="40 差戻し"))</f>
        <v/>
      </c>
      <c r="G21" s="101" t="n"/>
      <c r="H21" s="101" t="n"/>
      <c r="I21" s="112" t="n"/>
      <c r="J21" s="115">
        <f>SUMPRODUCT((元データ!$AL$2:$AL$2001=1)*(元データ!$AN$2:$AN$2001=1)*(元データ!$E$2:$E$2001="40 差戻し"))</f>
        <v/>
      </c>
      <c r="K21" s="101" t="n"/>
      <c r="L21" s="101" t="n"/>
      <c r="M21" s="112" t="n"/>
    </row>
    <row r="22" ht="9.75" customHeight="1" s="87"/>
    <row r="23" ht="13.5" customHeight="1" s="87">
      <c r="B23" s="98" t="inlineStr">
        <is>
          <t>▼ ステータス別 件数</t>
        </is>
      </c>
    </row>
    <row r="24" ht="27.75" customHeight="1" s="87">
      <c r="B24" s="116" t="inlineStr">
        <is>
          <t>ステータス</t>
        </is>
      </c>
      <c r="C24" s="116" t="inlineStr">
        <is>
          <t>総件数</t>
        </is>
      </c>
      <c r="D24" s="116" t="inlineStr">
        <is>
          <t>申請日から7日以内</t>
        </is>
      </c>
      <c r="E24" s="116" t="inlineStr">
        <is>
          <t>申請日から8〜14日</t>
        </is>
      </c>
      <c r="F24" s="116" t="inlineStr">
        <is>
          <t>申請日から15〜21日</t>
        </is>
      </c>
      <c r="G24" s="116" t="inlineStr">
        <is>
          <t>申請日から1か月超</t>
        </is>
      </c>
      <c r="H24" s="116" t="inlineStr">
        <is>
          <t>申請日から2か月超</t>
        </is>
      </c>
    </row>
    <row r="25" ht="21.75" customHeight="1" s="87">
      <c r="B25" s="117" t="inlineStr">
        <is>
          <t>確認待ち</t>
        </is>
      </c>
      <c r="C25" s="118">
        <f>SUMPRODUCT((元データ!$AL$2:$AL$2001=1)*(元データ!$AN$2:$AN$2001=1)*(元データ!$E$2:$E$2001="20 確認待ち"))</f>
        <v/>
      </c>
      <c r="D25" s="119">
        <f>SUMPRODUCT((元データ!$AL$2:$AL$2001=1)*(元データ!$AN$2:$AN$2001=1)*(元データ!$E$2:$E$2001="20 確認待ち")*(元データ!$AM$2:$AM$2001&lt;=7))</f>
        <v/>
      </c>
      <c r="E25" s="119">
        <f>SUMPRODUCT((元データ!$AL$2:$AL$2001=1)*(元データ!$AN$2:$AN$2001=1)*(元データ!$E$2:$E$2001="20 確認待ち")*(元データ!$AM$2:$AM$2001&gt;=8)*(元データ!$AM$2:$AM$2001&lt;=14))</f>
        <v/>
      </c>
      <c r="F25" s="120">
        <f>SUMPRODUCT((元データ!$AL$2:$AL$2001=1)*(元データ!$AN$2:$AN$2001=1)*(元データ!$E$2:$E$2001="20 確認待ち")*(元データ!$AM$2:$AM$2001&gt;=15)*(元データ!$AM$2:$AM$2001&lt;=21))</f>
        <v/>
      </c>
      <c r="G25" s="120">
        <f>SUMPRODUCT((元データ!$AL$2:$AL$2001=1)*(元データ!$AN$2:$AN$2001=1)*(元データ!$E$2:$E$2001="20 確認待ち")*(元データ!$AM$2:$AM$2001&gt;=22)*(元データ!$AM$2:$AM$2001&lt;=30))</f>
        <v/>
      </c>
      <c r="H25" s="121">
        <f>SUMPRODUCT((元データ!$AL$2:$AL$2001=1)*(元データ!$AN$2:$AN$2001=1)*(元データ!$E$2:$E$2001="20 確認待ち")*(元データ!$AM$2:$AM$2001&gt;=31))</f>
        <v/>
      </c>
    </row>
    <row r="26" ht="21.75" customHeight="1" s="87">
      <c r="B26" s="122" t="inlineStr">
        <is>
          <t>申請受付</t>
        </is>
      </c>
      <c r="C26" s="123">
        <f>SUMPRODUCT((元データ!$AL$2:$AL$2001=1)*(元データ!$AN$2:$AN$2001=1)*(元データ!$E$2:$E$2001="30 申請受付"))</f>
        <v/>
      </c>
      <c r="D26" s="124">
        <f>SUMPRODUCT((元データ!$AL$2:$AL$2001=1)*(元データ!$AN$2:$AN$2001=1)*(元データ!$E$2:$E$2001="30 申請受付")*(元データ!$AM$2:$AM$2001&lt;=7))</f>
        <v/>
      </c>
      <c r="E26" s="124">
        <f>SUMPRODUCT((元データ!$AL$2:$AL$2001=1)*(元データ!$AN$2:$AN$2001=1)*(元データ!$E$2:$E$2001="30 申請受付")*(元データ!$AM$2:$AM$2001&gt;=8)*(元データ!$AM$2:$AM$2001&lt;=14))</f>
        <v/>
      </c>
      <c r="F26" s="120">
        <f>SUMPRODUCT((元データ!$AL$2:$AL$2001=1)*(元データ!$AN$2:$AN$2001=1)*(元データ!$E$2:$E$2001="30 申請受付")*(元データ!$AM$2:$AM$2001&gt;=15)*(元データ!$AM$2:$AM$2001&lt;=21))</f>
        <v/>
      </c>
      <c r="G26" s="120">
        <f>SUMPRODUCT((元データ!$AL$2:$AL$2001=1)*(元データ!$AN$2:$AN$2001=1)*(元データ!$E$2:$E$2001="30 申請受付")*(元データ!$AM$2:$AM$2001&gt;=22)*(元データ!$AM$2:$AM$2001&lt;=30))</f>
        <v/>
      </c>
      <c r="H26" s="121">
        <f>SUMPRODUCT((元データ!$AL$2:$AL$2001=1)*(元データ!$AN$2:$AN$2001=1)*(元データ!$E$2:$E$2001="30 申請受付")*(元データ!$AM$2:$AM$2001&gt;=31))</f>
        <v/>
      </c>
    </row>
    <row r="27" ht="21.75" customHeight="1" s="87">
      <c r="B27" s="125" t="inlineStr">
        <is>
          <t>OP確認中</t>
        </is>
      </c>
      <c r="C27" s="118">
        <f>SUMPRODUCT((元データ!$AL$2:$AL$2001=1)*(元データ!$AN$2:$AN$2001=1)*(元データ!$E$2:$E$2001="31 ＯＰ確認中"))</f>
        <v/>
      </c>
      <c r="D27" s="119">
        <f>SUMPRODUCT((元データ!$AL$2:$AL$2001=1)*(元データ!$AN$2:$AN$2001=1)*(元データ!$E$2:$E$2001="31 ＯＰ確認中")*(元データ!$AM$2:$AM$2001&lt;=7))</f>
        <v/>
      </c>
      <c r="E27" s="119">
        <f>SUMPRODUCT((元データ!$AL$2:$AL$2001=1)*(元データ!$AN$2:$AN$2001=1)*(元データ!$E$2:$E$2001="31 ＯＰ確認中")*(元データ!$AM$2:$AM$2001&gt;=8)*(元データ!$AM$2:$AM$2001&lt;=14))</f>
        <v/>
      </c>
      <c r="F27" s="120">
        <f>SUMPRODUCT((元データ!$AL$2:$AL$2001=1)*(元データ!$AN$2:$AN$2001=1)*(元データ!$E$2:$E$2001="31 ＯＰ確認中")*(元データ!$AM$2:$AM$2001&gt;=15)*(元データ!$AM$2:$AM$2001&lt;=21))</f>
        <v/>
      </c>
      <c r="G27" s="120">
        <f>SUMPRODUCT((元データ!$AL$2:$AL$2001=1)*(元データ!$AN$2:$AN$2001=1)*(元データ!$E$2:$E$2001="31 ＯＰ確認中")*(元データ!$AM$2:$AM$2001&gt;=22)*(元データ!$AM$2:$AM$2001&lt;=30))</f>
        <v/>
      </c>
      <c r="H27" s="121">
        <f>SUMPRODUCT((元データ!$AL$2:$AL$2001=1)*(元データ!$AN$2:$AN$2001=1)*(元データ!$E$2:$E$2001="31 ＯＰ確認中")*(元データ!$AM$2:$AM$2001&gt;=31))</f>
        <v/>
      </c>
    </row>
    <row r="28" ht="21.75" customHeight="1" s="87">
      <c r="B28" s="126" t="inlineStr">
        <is>
          <t>SV確認中</t>
        </is>
      </c>
      <c r="C28" s="123">
        <f>SUMPRODUCT((元データ!$AL$2:$AL$2001=1)*(元データ!$AN$2:$AN$2001=1)*(元データ!$E$2:$E$2001="32 ＳＶ確認中"))</f>
        <v/>
      </c>
      <c r="D28" s="124">
        <f>SUMPRODUCT((元データ!$AL$2:$AL$2001=1)*(元データ!$AN$2:$AN$2001=1)*(元データ!$E$2:$E$2001="32 ＳＶ確認中")*(元データ!$AM$2:$AM$2001&lt;=7))</f>
        <v/>
      </c>
      <c r="E28" s="124">
        <f>SUMPRODUCT((元データ!$AL$2:$AL$2001=1)*(元データ!$AN$2:$AN$2001=1)*(元データ!$E$2:$E$2001="32 ＳＶ確認中")*(元データ!$AM$2:$AM$2001&gt;=8)*(元データ!$AM$2:$AM$2001&lt;=14))</f>
        <v/>
      </c>
      <c r="F28" s="120">
        <f>SUMPRODUCT((元データ!$AL$2:$AL$2001=1)*(元データ!$AN$2:$AN$2001=1)*(元データ!$E$2:$E$2001="32 ＳＶ確認中")*(元データ!$AM$2:$AM$2001&gt;=15)*(元データ!$AM$2:$AM$2001&lt;=21))</f>
        <v/>
      </c>
      <c r="G28" s="120">
        <f>SUMPRODUCT((元データ!$AL$2:$AL$2001=1)*(元データ!$AN$2:$AN$2001=1)*(元データ!$E$2:$E$2001="32 ＳＶ確認中")*(元データ!$AM$2:$AM$2001&gt;=22)*(元データ!$AM$2:$AM$2001&lt;=30))</f>
        <v/>
      </c>
      <c r="H28" s="121">
        <f>SUMPRODUCT((元データ!$AL$2:$AL$2001=1)*(元データ!$AN$2:$AN$2001=1)*(元データ!$E$2:$E$2001="32 ＳＶ確認中")*(元データ!$AM$2:$AM$2001&gt;=31))</f>
        <v/>
      </c>
    </row>
    <row r="29" ht="21.75" customHeight="1" s="87">
      <c r="B29" s="127" t="inlineStr">
        <is>
          <t>差戻し</t>
        </is>
      </c>
      <c r="C29" s="128">
        <f>SUMPRODUCT((元データ!$AL$2:$AL$2001=1)*(元データ!$AN$2:$AN$2001=1)*(元データ!$E$2:$E$2001="40 差戻し"))</f>
        <v/>
      </c>
      <c r="D29" s="129">
        <f>SUMPRODUCT((元データ!$AL$2:$AL$2001=1)*(元データ!$AN$2:$AN$2001=1)*(元データ!$E$2:$E$2001="40 差戻し")*(元データ!$AM$2:$AM$2001&lt;=7))</f>
        <v/>
      </c>
      <c r="E29" s="129">
        <f>SUMPRODUCT((元データ!$AL$2:$AL$2001=1)*(元データ!$AN$2:$AN$2001=1)*(元データ!$E$2:$E$2001="40 差戻し")*(元データ!$AM$2:$AM$2001&gt;=8)*(元データ!$AM$2:$AM$2001&lt;=14))</f>
        <v/>
      </c>
      <c r="F29" s="120">
        <f>SUMPRODUCT((元データ!$AL$2:$AL$2001=1)*(元データ!$AN$2:$AN$2001=1)*(元データ!$E$2:$E$2001="40 差戻し")*(元データ!$AM$2:$AM$2001&gt;=15)*(元データ!$AM$2:$AM$2001&lt;=21))</f>
        <v/>
      </c>
      <c r="G29" s="120">
        <f>SUMPRODUCT((元データ!$AL$2:$AL$2001=1)*(元データ!$AN$2:$AN$2001=1)*(元データ!$E$2:$E$2001="40 差戻し")*(元データ!$AM$2:$AM$2001&gt;=22)*(元データ!$AM$2:$AM$2001&lt;=30))</f>
        <v/>
      </c>
      <c r="H29" s="121">
        <f>SUMPRODUCT((元データ!$AL$2:$AL$2001=1)*(元データ!$AN$2:$AN$2001=1)*(元データ!$E$2:$E$2001="40 差戻し")*(元データ!$AM$2:$AM$2001&gt;=31))</f>
        <v/>
      </c>
    </row>
    <row r="30" ht="21.75" customHeight="1" s="87">
      <c r="B30" s="130" t="inlineStr">
        <is>
          <t>合計</t>
        </is>
      </c>
      <c r="C30" s="131">
        <f>SUMPRODUCT((元データ!$AL$2:$AL$2001=1)*(元データ!$AN$2:$AN$2001=1))</f>
        <v/>
      </c>
      <c r="D30" s="130">
        <f>SUMPRODUCT((元データ!$AL$2:$AL$2001=1)*(元データ!$AN$2:$AN$2001=1)*(元データ!$AM$2:$AM$2001&lt;=7))</f>
        <v/>
      </c>
      <c r="E30" s="130">
        <f>SUMPRODUCT((元データ!$AL$2:$AL$2001=1)*(元データ!$AN$2:$AN$2001=1)*(元データ!$AM$2:$AM$2001&gt;=8)*(元データ!$AM$2:$AM$2001&lt;=14))</f>
        <v/>
      </c>
      <c r="F30" s="130">
        <f>SUMPRODUCT((元データ!$AL$2:$AL$2001=1)*(元データ!$AN$2:$AN$2001=1)*(元データ!$AM$2:$AM$2001&gt;=15)*(元データ!$AM$2:$AM$2001&lt;=21))</f>
        <v/>
      </c>
      <c r="G30" s="130">
        <f>SUMPRODUCT((元データ!$AL$2:$AL$2001=1)*(元データ!$AN$2:$AN$2001=1)*(元データ!$AM$2:$AM$2001&gt;=22)*(元データ!$AM$2:$AM$2001&lt;=30))</f>
        <v/>
      </c>
      <c r="H30" s="130">
        <f>SUMPRODUCT((元データ!$AL$2:$AL$2001=1)*(元データ!$AN$2:$AN$2001=1)*(元データ!$AM$2:$AM$2001&gt;=31))</f>
        <v/>
      </c>
    </row>
    <row r="32" ht="13.5" customHeight="1" s="87">
      <c r="B32" s="98" t="inlineStr">
        <is>
          <t>▼ 事由別 件数（共済あり／なし）</t>
        </is>
      </c>
    </row>
    <row r="33" ht="27.75" customHeight="1" s="87">
      <c r="B33" s="132" t="inlineStr">
        <is>
          <t>優先順位</t>
        </is>
      </c>
      <c r="C33" s="133" t="inlineStr">
        <is>
          <t>事由</t>
        </is>
      </c>
      <c r="D33" s="134" t="inlineStr">
        <is>
          <t>共済</t>
        </is>
      </c>
      <c r="E33" s="133" t="inlineStr">
        <is>
          <t>総件数</t>
        </is>
      </c>
      <c r="F33" s="135" t="inlineStr">
        <is>
          <t>申請日から7日以内</t>
        </is>
      </c>
      <c r="G33" s="101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12" t="n"/>
      <c r="Q33" s="135" t="inlineStr">
        <is>
          <t>申請日から8〜14日</t>
        </is>
      </c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12" t="n"/>
      <c r="AB33" s="135" t="inlineStr">
        <is>
          <t>申請日から15〜21日</t>
        </is>
      </c>
      <c r="AC33" s="101" t="n"/>
      <c r="AD33" s="101" t="n"/>
      <c r="AE33" s="101" t="n"/>
      <c r="AF33" s="101" t="n"/>
      <c r="AG33" s="101" t="n"/>
      <c r="AH33" s="101" t="n"/>
      <c r="AI33" s="101" t="n"/>
      <c r="AJ33" s="101" t="n"/>
      <c r="AK33" s="101" t="n"/>
      <c r="AL33" s="112" t="n"/>
      <c r="AM33" s="135" t="inlineStr">
        <is>
          <t>申請日から1か月超</t>
        </is>
      </c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1" t="n"/>
      <c r="AW33" s="112" t="n"/>
      <c r="AX33" s="135" t="inlineStr">
        <is>
          <t>申請日から2か月超</t>
        </is>
      </c>
      <c r="AY33" s="101" t="n"/>
      <c r="AZ33" s="101" t="n"/>
      <c r="BA33" s="101" t="n"/>
      <c r="BB33" s="101" t="n"/>
      <c r="BC33" s="101" t="n"/>
      <c r="BD33" s="101" t="n"/>
      <c r="BE33" s="101" t="n"/>
      <c r="BF33" s="101" t="n"/>
      <c r="BG33" s="101" t="n"/>
      <c r="BH33" s="112" t="n"/>
    </row>
    <row r="34" ht="19.5" customHeight="1" s="87">
      <c r="B34" s="136" t="n"/>
      <c r="C34" s="136" t="n"/>
      <c r="D34" s="136" t="n"/>
      <c r="E34" s="136" t="n"/>
      <c r="F34" s="137" t="inlineStr">
        <is>
          <t>件数</t>
        </is>
      </c>
      <c r="G34" s="137" t="inlineStr">
        <is>
          <t>確認待
件数</t>
        </is>
      </c>
      <c r="H34" s="137" t="inlineStr">
        <is>
          <t>確認待
申請番号</t>
        </is>
      </c>
      <c r="I34" s="137" t="inlineStr">
        <is>
          <t>受付
件数</t>
        </is>
      </c>
      <c r="J34" s="137" t="inlineStr">
        <is>
          <t>受付
申請番号</t>
        </is>
      </c>
      <c r="K34" s="138" t="inlineStr">
        <is>
          <t>OP
件数</t>
        </is>
      </c>
      <c r="L34" s="138" t="inlineStr">
        <is>
          <t>OP
申請番号</t>
        </is>
      </c>
      <c r="M34" s="138" t="inlineStr">
        <is>
          <t>SV
件数</t>
        </is>
      </c>
      <c r="N34" s="138" t="inlineStr">
        <is>
          <t>SV
申請番号</t>
        </is>
      </c>
      <c r="O34" s="137" t="inlineStr">
        <is>
          <t>差戻
件数</t>
        </is>
      </c>
      <c r="P34" s="137" t="inlineStr">
        <is>
          <t>差戻
申請番号</t>
        </is>
      </c>
      <c r="Q34" s="137" t="inlineStr">
        <is>
          <t>件数</t>
        </is>
      </c>
      <c r="R34" s="137" t="inlineStr">
        <is>
          <t>確認待
件数</t>
        </is>
      </c>
      <c r="S34" s="137" t="inlineStr">
        <is>
          <t>確認待
申請番号</t>
        </is>
      </c>
      <c r="T34" s="137" t="inlineStr">
        <is>
          <t>受付
件数</t>
        </is>
      </c>
      <c r="U34" s="137" t="inlineStr">
        <is>
          <t>受付
申請番号</t>
        </is>
      </c>
      <c r="V34" s="138" t="inlineStr">
        <is>
          <t>OP
件数</t>
        </is>
      </c>
      <c r="W34" s="138" t="inlineStr">
        <is>
          <t>OP
申請番号</t>
        </is>
      </c>
      <c r="X34" s="138" t="inlineStr">
        <is>
          <t>SV
件数</t>
        </is>
      </c>
      <c r="Y34" s="138" t="inlineStr">
        <is>
          <t>SV
申請番号</t>
        </is>
      </c>
      <c r="Z34" s="137" t="inlineStr">
        <is>
          <t>差戻
件数</t>
        </is>
      </c>
      <c r="AA34" s="137" t="inlineStr">
        <is>
          <t>差戻
申請番号</t>
        </is>
      </c>
      <c r="AB34" s="137" t="inlineStr">
        <is>
          <t>件数</t>
        </is>
      </c>
      <c r="AC34" s="137" t="inlineStr">
        <is>
          <t>確認待
件数</t>
        </is>
      </c>
      <c r="AD34" s="137" t="inlineStr">
        <is>
          <t>確認待
申請番号</t>
        </is>
      </c>
      <c r="AE34" s="137" t="inlineStr">
        <is>
          <t>受付
件数</t>
        </is>
      </c>
      <c r="AF34" s="137" t="inlineStr">
        <is>
          <t>受付
申請番号</t>
        </is>
      </c>
      <c r="AG34" s="138" t="inlineStr">
        <is>
          <t>OP
件数</t>
        </is>
      </c>
      <c r="AH34" s="138" t="inlineStr">
        <is>
          <t>OP
申請番号</t>
        </is>
      </c>
      <c r="AI34" s="138" t="inlineStr">
        <is>
          <t>SV
件数</t>
        </is>
      </c>
      <c r="AJ34" s="138" t="inlineStr">
        <is>
          <t>SV
申請番号</t>
        </is>
      </c>
      <c r="AK34" s="137" t="inlineStr">
        <is>
          <t>差戻
件数</t>
        </is>
      </c>
      <c r="AL34" s="137" t="inlineStr">
        <is>
          <t>差戻
申請番号</t>
        </is>
      </c>
      <c r="AM34" s="137" t="inlineStr">
        <is>
          <t>件数</t>
        </is>
      </c>
      <c r="AN34" s="137" t="inlineStr">
        <is>
          <t>確認待
件数</t>
        </is>
      </c>
      <c r="AO34" s="137" t="inlineStr">
        <is>
          <t>確認待
申請番号</t>
        </is>
      </c>
      <c r="AP34" s="137" t="inlineStr">
        <is>
          <t>受付
件数</t>
        </is>
      </c>
      <c r="AQ34" s="137" t="inlineStr">
        <is>
          <t>受付
申請番号</t>
        </is>
      </c>
      <c r="AR34" s="138" t="inlineStr">
        <is>
          <t>OP
件数</t>
        </is>
      </c>
      <c r="AS34" s="138" t="inlineStr">
        <is>
          <t>OP
申請番号</t>
        </is>
      </c>
      <c r="AT34" s="138" t="inlineStr">
        <is>
          <t>SV
件数</t>
        </is>
      </c>
      <c r="AU34" s="138" t="inlineStr">
        <is>
          <t>SV
申請番号</t>
        </is>
      </c>
      <c r="AV34" s="137" t="inlineStr">
        <is>
          <t>差戻
件数</t>
        </is>
      </c>
      <c r="AW34" s="137" t="inlineStr">
        <is>
          <t>差戻
申請番号</t>
        </is>
      </c>
      <c r="AX34" s="137" t="inlineStr">
        <is>
          <t>件数</t>
        </is>
      </c>
      <c r="AY34" s="137" t="inlineStr">
        <is>
          <t>確認待
件数</t>
        </is>
      </c>
      <c r="AZ34" s="137" t="inlineStr">
        <is>
          <t>確認待
申請番号</t>
        </is>
      </c>
      <c r="BA34" s="137" t="inlineStr">
        <is>
          <t>受付
件数</t>
        </is>
      </c>
      <c r="BB34" s="137" t="inlineStr">
        <is>
          <t>受付
申請番号</t>
        </is>
      </c>
      <c r="BC34" s="138" t="inlineStr">
        <is>
          <t>OP
件数</t>
        </is>
      </c>
      <c r="BD34" s="138" t="inlineStr">
        <is>
          <t>OP
申請番号</t>
        </is>
      </c>
      <c r="BE34" s="138" t="inlineStr">
        <is>
          <t>SV
件数</t>
        </is>
      </c>
      <c r="BF34" s="138" t="inlineStr">
        <is>
          <t>SV
申請番号</t>
        </is>
      </c>
      <c r="BG34" s="137" t="inlineStr">
        <is>
          <t>差戻
件数</t>
        </is>
      </c>
      <c r="BH34" s="137" t="inlineStr">
        <is>
          <t>差戻
申請番号</t>
        </is>
      </c>
    </row>
    <row r="35" ht="19.5" customHeight="1" s="87">
      <c r="B35" s="139" t="n"/>
      <c r="C35" s="140" t="inlineStr">
        <is>
          <t>21 出生</t>
        </is>
      </c>
      <c r="D35" s="141" t="inlineStr">
        <is>
          <t>あり</t>
        </is>
      </c>
      <c r="E35" s="142">
        <f>SUMPRODUCT((元データ!$AL$2:$AL$2001=1)*(元データ!$AN$2:$AN$2001=1)*(元データ!$AE$2:$AE$2001=$C$35)*(元データ!$AO$2:$AO$2001=1))</f>
        <v/>
      </c>
      <c r="F35" s="184">
        <f>SUMPRODUCT((元データ!$AL$2:$AL$2001=1)*(元データ!$AN$2:$AN$2001=1)*(元データ!$AE$2:$AE$2001=$C$35)*(元データ!$AO$2:$AO$2001=1)*(元データ!$AM$2:$AM$2001&lt;=7))</f>
        <v/>
      </c>
      <c r="G35" s="185">
        <f>SUMPRODUCT((元データ!$AL$2:$AL$2001=1)*(元データ!$AN$2:$AN$2001=1)*(元データ!$AE$2:$AE$2001=$C$35)*(元データ!$AO$2:$AO$2001=1)*(元データ!$AM$2:$AM$2001&lt;=7)*(元データ!$E$2:$E$2001="20 確認待ち"))</f>
        <v/>
      </c>
      <c r="H35" s="186">
        <f>IFERROR(_xlfn.TEXTJOIN(CHAR(10),TRUE,IF((元データ!$AL$2:$AL$2001=1)*(元データ!$AN$2:$AN$2001=1)*(元データ!$AE$2:$AE$2001=$C$35)*(元データ!$AO$2:$AO$2001=1)*(元データ!$AM$2:$AM$2001&lt;=7)*(元データ!$E$2:$E$2001="20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35" s="185">
        <f>SUMPRODUCT((元データ!$AL$2:$AL$2001=1)*(元データ!$AN$2:$AN$2001=1)*(元データ!$AE$2:$AE$2001=$C$35)*(元データ!$AO$2:$AO$2001=1)*(元データ!$AM$2:$AM$2001&lt;=7)*(元データ!$E$2:$E$2001="30 申請受付"))</f>
        <v/>
      </c>
      <c r="J35" s="186">
        <f>IFERROR(_xlfn.TEXTJOIN(CHAR(10),TRUE,IF((元データ!$AL$2:$AL$2001=1)*(元データ!$AN$2:$AN$2001=1)*(元データ!$AE$2:$AE$2001=$C$35)*(元データ!$AO$2:$AO$2001=1)*(元データ!$AM$2:$AM$2001&lt;=7)*(元データ!$E$2:$E$2001="30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35" s="185">
        <f>SUMPRODUCT((元データ!$AL$2:$AL$2001=1)*(元データ!$AN$2:$AN$2001=1)*(元データ!$AE$2:$AE$2001=$C$35)*(元データ!$AO$2:$AO$2001=1)*(元データ!$AM$2:$AM$2001&lt;=7)*(元データ!$E$2:$E$2001="31 ＯＰ確認中"))</f>
        <v/>
      </c>
      <c r="L35" s="186">
        <f>IFERROR(_xlfn.TEXTJOIN(CHAR(10),TRUE,IF((元データ!$AL$2:$AL$2001=1)*(元データ!$AN$2:$AN$2001=1)*(元データ!$AE$2:$AE$2001=$C$35)*(元データ!$AO$2:$AO$2001=1)*(元データ!$AM$2:$AM$2001&lt;=7)*(元データ!$E$2:$E$2001="31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35" s="185">
        <f>SUMPRODUCT((元データ!$AL$2:$AL$2001=1)*(元データ!$AN$2:$AN$2001=1)*(元データ!$AE$2:$AE$2001=$C$35)*(元データ!$AO$2:$AO$2001=1)*(元データ!$AM$2:$AM$2001&lt;=7)*(元データ!$E$2:$E$2001="32 ＳＶ確認中"))</f>
        <v/>
      </c>
      <c r="N35" s="186">
        <f>IFERROR(_xlfn.TEXTJOIN(CHAR(10),TRUE,IF((元データ!$AL$2:$AL$2001=1)*(元データ!$AN$2:$AN$2001=1)*(元データ!$AE$2:$AE$2001=$C$35)*(元データ!$AO$2:$AO$2001=1)*(元データ!$AM$2:$AM$2001&lt;=7)*(元データ!$E$2:$E$2001="32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35" s="185">
        <f>SUMPRODUCT((元データ!$AL$2:$AL$2001=1)*(元データ!$AN$2:$AN$2001=1)*(元データ!$AE$2:$AE$2001=$C$35)*(元データ!$AO$2:$AO$2001=1)*(元データ!$AM$2:$AM$2001&lt;=7)*(元データ!$E$2:$E$2001="40 差戻し"))</f>
        <v/>
      </c>
      <c r="P35" s="186">
        <f>IFERROR(_xlfn.TEXTJOIN(CHAR(10),TRUE,IF((元データ!$AL$2:$AL$2001=1)*(元データ!$AN$2:$AN$2001=1)*(元データ!$AE$2:$AE$2001=$C$35)*(元データ!$AO$2:$AO$2001=1)*(元データ!$AM$2:$AM$2001&lt;=7)*(元データ!$E$2:$E$2001="40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35" s="184">
        <f>SUMPRODUCT((元データ!$AL$2:$AL$2001=1)*(元データ!$AN$2:$AN$2001=1)*(元データ!$AE$2:$AE$2001=$C$35)*(元データ!$AO$2:$AO$2001=1)*(元データ!$AM$2:$AM$2001&gt;=8)*(元データ!$AM$2:$AM$2001&lt;=14))</f>
        <v/>
      </c>
      <c r="R35" s="185">
        <f>SUMPRODUCT((元データ!$AL$2:$AL$2001=1)*(元データ!$AN$2:$AN$2001=1)*(元データ!$AE$2:$AE$2001=$C$35)*(元データ!$AO$2:$AO$2001=1)*(元データ!$AM$2:$AM$2001&gt;=8)*(元データ!$AM$2:$AM$2001&lt;=14)*(元データ!$E$2:$E$2001="20 確認待ち"))</f>
        <v/>
      </c>
      <c r="S35" s="186">
        <f>IFERROR(_xlfn.TEXTJOIN(CHAR(10),TRUE,IF((元データ!$AL$2:$AL$2001=1)*(元データ!$AN$2:$AN$2001=1)*(元データ!$AE$2:$AE$2001=$C$35)*(元データ!$AO$2:$AO$2001=1)*(元データ!$AM$2:$AM$2001&gt;=8)*(元データ!$AM$2:$AM$2001&lt;=14)*(元データ!$E$2:$E$2001="20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35" s="185">
        <f>SUMPRODUCT((元データ!$AL$2:$AL$2001=1)*(元データ!$AN$2:$AN$2001=1)*(元データ!$AE$2:$AE$2001=$C$35)*(元データ!$AO$2:$AO$2001=1)*(元データ!$AM$2:$AM$2001&gt;=8)*(元データ!$AM$2:$AM$2001&lt;=14)*(元データ!$E$2:$E$2001="30 申請受付"))</f>
        <v/>
      </c>
      <c r="U35" s="186">
        <f>IFERROR(_xlfn.TEXTJOIN(CHAR(10),TRUE,IF((元データ!$AL$2:$AL$2001=1)*(元データ!$AN$2:$AN$2001=1)*(元データ!$AE$2:$AE$2001=$C$35)*(元データ!$AO$2:$AO$2001=1)*(元データ!$AM$2:$AM$2001&gt;=8)*(元データ!$AM$2:$AM$2001&lt;=14)*(元データ!$E$2:$E$2001="30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35" s="185">
        <f>SUMPRODUCT((元データ!$AL$2:$AL$2001=1)*(元データ!$AN$2:$AN$2001=1)*(元データ!$AE$2:$AE$2001=$C$35)*(元データ!$AO$2:$AO$2001=1)*(元データ!$AM$2:$AM$2001&gt;=8)*(元データ!$AM$2:$AM$2001&lt;=14)*(元データ!$E$2:$E$2001="31 ＯＰ確認中"))</f>
        <v/>
      </c>
      <c r="W35" s="186">
        <f>IFERROR(_xlfn.TEXTJOIN(CHAR(10),TRUE,IF((元データ!$AL$2:$AL$2001=1)*(元データ!$AN$2:$AN$2001=1)*(元データ!$AE$2:$AE$2001=$C$35)*(元データ!$AO$2:$AO$2001=1)*(元データ!$AM$2:$AM$2001&gt;=8)*(元データ!$AM$2:$AM$2001&lt;=14)*(元データ!$E$2:$E$2001="31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35" s="185">
        <f>SUMPRODUCT((元データ!$AL$2:$AL$2001=1)*(元データ!$AN$2:$AN$2001=1)*(元データ!$AE$2:$AE$2001=$C$35)*(元データ!$AO$2:$AO$2001=1)*(元データ!$AM$2:$AM$2001&gt;=8)*(元データ!$AM$2:$AM$2001&lt;=14)*(元データ!$E$2:$E$2001="32 ＳＶ確認中"))</f>
        <v/>
      </c>
      <c r="Y35" s="186">
        <f>IFERROR(_xlfn.TEXTJOIN(CHAR(10),TRUE,IF((元データ!$AL$2:$AL$2001=1)*(元データ!$AN$2:$AN$2001=1)*(元データ!$AE$2:$AE$2001=$C$35)*(元データ!$AO$2:$AO$2001=1)*(元データ!$AM$2:$AM$2001&gt;=8)*(元データ!$AM$2:$AM$2001&lt;=14)*(元データ!$E$2:$E$2001="32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35" s="185">
        <f>SUMPRODUCT((元データ!$AL$2:$AL$2001=1)*(元データ!$AN$2:$AN$2001=1)*(元データ!$AE$2:$AE$2001=$C$35)*(元データ!$AO$2:$AO$2001=1)*(元データ!$AM$2:$AM$2001&gt;=8)*(元データ!$AM$2:$AM$2001&lt;=14)*(元データ!$E$2:$E$2001="40 差戻し"))</f>
        <v/>
      </c>
      <c r="AA35" s="186">
        <f>IFERROR(_xlfn.TEXTJOIN(CHAR(10),TRUE,IF((元データ!$AL$2:$AL$2001=1)*(元データ!$AN$2:$AN$2001=1)*(元データ!$AE$2:$AE$2001=$C$35)*(元データ!$AO$2:$AO$2001=1)*(元データ!$AM$2:$AM$2001&gt;=8)*(元データ!$AM$2:$AM$2001&lt;=14)*(元データ!$E$2:$E$2001="40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35" s="187">
        <f>SUMPRODUCT((元データ!$AL$2:$AL$2001=1)*(元データ!$AN$2:$AN$2001=1)*(元データ!$AE$2:$AE$2001=$C$35)*(元データ!$AO$2:$AO$2001=1)*(元データ!$AM$2:$AM$2001&gt;=15)*(元データ!$AM$2:$AM$2001&lt;=21))</f>
        <v/>
      </c>
      <c r="AC35" s="188">
        <f>SUMPRODUCT((元データ!$AL$2:$AL$2001=1)*(元データ!$AN$2:$AN$2001=1)*(元データ!$AE$2:$AE$2001=$C$35)*(元データ!$AO$2:$AO$2001=1)*(元データ!$AM$2:$AM$2001&gt;=15)*(元データ!$AM$2:$AM$2001&lt;=21)*(元データ!$E$2:$E$2001="20 確認待ち"))</f>
        <v/>
      </c>
      <c r="AD35" s="189">
        <f>IFERROR(_xlfn.TEXTJOIN(CHAR(10),TRUE,IF((元データ!$AL$2:$AL$2001=1)*(元データ!$AN$2:$AN$2001=1)*(元データ!$AE$2:$AE$2001=$C$35)*(元データ!$AO$2:$AO$2001=1)*(元データ!$AM$2:$AM$2001&gt;=15)*(元データ!$AM$2:$AM$2001&lt;=21)*(元データ!$E$2:$E$2001="20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35" s="188">
        <f>SUMPRODUCT((元データ!$AL$2:$AL$2001=1)*(元データ!$AN$2:$AN$2001=1)*(元データ!$AE$2:$AE$2001=$C$35)*(元データ!$AO$2:$AO$2001=1)*(元データ!$AM$2:$AM$2001&gt;=15)*(元データ!$AM$2:$AM$2001&lt;=21)*(元データ!$E$2:$E$2001="30 申請受付"))</f>
        <v/>
      </c>
      <c r="AF35" s="189">
        <f>IFERROR(_xlfn.TEXTJOIN(CHAR(10),TRUE,IF((元データ!$AL$2:$AL$2001=1)*(元データ!$AN$2:$AN$2001=1)*(元データ!$AE$2:$AE$2001=$C$35)*(元データ!$AO$2:$AO$2001=1)*(元データ!$AM$2:$AM$2001&gt;=15)*(元データ!$AM$2:$AM$2001&lt;=21)*(元データ!$E$2:$E$2001="30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35" s="188">
        <f>SUMPRODUCT((元データ!$AL$2:$AL$2001=1)*(元データ!$AN$2:$AN$2001=1)*(元データ!$AE$2:$AE$2001=$C$35)*(元データ!$AO$2:$AO$2001=1)*(元データ!$AM$2:$AM$2001&gt;=15)*(元データ!$AM$2:$AM$2001&lt;=21)*(元データ!$E$2:$E$2001="31 ＯＰ確認中"))</f>
        <v/>
      </c>
      <c r="AH35" s="189">
        <f>IFERROR(_xlfn.TEXTJOIN(CHAR(10),TRUE,IF((元データ!$AL$2:$AL$2001=1)*(元データ!$AN$2:$AN$2001=1)*(元データ!$AE$2:$AE$2001=$C$35)*(元データ!$AO$2:$AO$2001=1)*(元データ!$AM$2:$AM$2001&gt;=15)*(元データ!$AM$2:$AM$2001&lt;=21)*(元データ!$E$2:$E$2001="31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35" s="188">
        <f>SUMPRODUCT((元データ!$AL$2:$AL$2001=1)*(元データ!$AN$2:$AN$2001=1)*(元データ!$AE$2:$AE$2001=$C$35)*(元データ!$AO$2:$AO$2001=1)*(元データ!$AM$2:$AM$2001&gt;=15)*(元データ!$AM$2:$AM$2001&lt;=21)*(元データ!$E$2:$E$2001="32 ＳＶ確認中"))</f>
        <v/>
      </c>
      <c r="AJ35" s="189">
        <f>IFERROR(_xlfn.TEXTJOIN(CHAR(10),TRUE,IF((元データ!$AL$2:$AL$2001=1)*(元データ!$AN$2:$AN$2001=1)*(元データ!$AE$2:$AE$2001=$C$35)*(元データ!$AO$2:$AO$2001=1)*(元データ!$AM$2:$AM$2001&gt;=15)*(元データ!$AM$2:$AM$2001&lt;=21)*(元データ!$E$2:$E$2001="32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35" s="188">
        <f>SUMPRODUCT((元データ!$AL$2:$AL$2001=1)*(元データ!$AN$2:$AN$2001=1)*(元データ!$AE$2:$AE$2001=$C$35)*(元データ!$AO$2:$AO$2001=1)*(元データ!$AM$2:$AM$2001&gt;=15)*(元データ!$AM$2:$AM$2001&lt;=21)*(元データ!$E$2:$E$2001="40 差戻し"))</f>
        <v/>
      </c>
      <c r="AL35" s="189">
        <f>IFERROR(_xlfn.TEXTJOIN(CHAR(10),TRUE,IF((元データ!$AL$2:$AL$2001=1)*(元データ!$AN$2:$AN$2001=1)*(元データ!$AE$2:$AE$2001=$C$35)*(元データ!$AO$2:$AO$2001=1)*(元データ!$AM$2:$AM$2001&gt;=15)*(元データ!$AM$2:$AM$2001&lt;=21)*(元データ!$E$2:$E$2001="40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35" s="190">
        <f>SUMPRODUCT((元データ!$AL$2:$AL$2001=1)*(元データ!$AN$2:$AN$2001=1)*(元データ!$AE$2:$AE$2001=$C$35)*(元データ!$AO$2:$AO$2001=1)*(元データ!$AM$2:$AM$2001&gt;=22)*(元データ!$AM$2:$AM$2001&lt;=30))</f>
        <v/>
      </c>
      <c r="AN35" s="191">
        <f>SUMPRODUCT((元データ!$AL$2:$AL$2001=1)*(元データ!$AN$2:$AN$2001=1)*(元データ!$AE$2:$AE$2001=$C$35)*(元データ!$AO$2:$AO$2001=1)*(元データ!$AM$2:$AM$2001&gt;=22)*(元データ!$AM$2:$AM$2001&lt;=30)*(元データ!$E$2:$E$2001="20 確認待ち"))</f>
        <v/>
      </c>
      <c r="AO35" s="192">
        <f>IFERROR(_xlfn.TEXTJOIN(CHAR(10),TRUE,IF((元データ!$AL$2:$AL$2001=1)*(元データ!$AN$2:$AN$2001=1)*(元データ!$AE$2:$AE$2001=$C$35)*(元データ!$AO$2:$AO$2001=1)*(元データ!$AM$2:$AM$2001&gt;=22)*(元データ!$AM$2:$AM$2001&lt;=30)*(元データ!$E$2:$E$2001="20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35" s="191">
        <f>SUMPRODUCT((元データ!$AL$2:$AL$2001=1)*(元データ!$AN$2:$AN$2001=1)*(元データ!$AE$2:$AE$2001=$C$35)*(元データ!$AO$2:$AO$2001=1)*(元データ!$AM$2:$AM$2001&gt;=22)*(元データ!$AM$2:$AM$2001&lt;=30)*(元データ!$E$2:$E$2001="30 申請受付"))</f>
        <v/>
      </c>
      <c r="AQ35" s="192">
        <f>IFERROR(_xlfn.TEXTJOIN(CHAR(10),TRUE,IF((元データ!$AL$2:$AL$2001=1)*(元データ!$AN$2:$AN$2001=1)*(元データ!$AE$2:$AE$2001=$C$35)*(元データ!$AO$2:$AO$2001=1)*(元データ!$AM$2:$AM$2001&gt;=22)*(元データ!$AM$2:$AM$2001&lt;=30)*(元データ!$E$2:$E$2001="30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35" s="191">
        <f>SUMPRODUCT((元データ!$AL$2:$AL$2001=1)*(元データ!$AN$2:$AN$2001=1)*(元データ!$AE$2:$AE$2001=$C$35)*(元データ!$AO$2:$AO$2001=1)*(元データ!$AM$2:$AM$2001&gt;=22)*(元データ!$AM$2:$AM$2001&lt;=30)*(元データ!$E$2:$E$2001="31 ＯＰ確認中"))</f>
        <v/>
      </c>
      <c r="AS35" s="192">
        <f>IFERROR(_xlfn.TEXTJOIN(CHAR(10),TRUE,IF((元データ!$AL$2:$AL$2001=1)*(元データ!$AN$2:$AN$2001=1)*(元データ!$AE$2:$AE$2001=$C$35)*(元データ!$AO$2:$AO$2001=1)*(元データ!$AM$2:$AM$2001&gt;=22)*(元データ!$AM$2:$AM$2001&lt;=30)*(元データ!$E$2:$E$2001="31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35" s="191">
        <f>SUMPRODUCT((元データ!$AL$2:$AL$2001=1)*(元データ!$AN$2:$AN$2001=1)*(元データ!$AE$2:$AE$2001=$C$35)*(元データ!$AO$2:$AO$2001=1)*(元データ!$AM$2:$AM$2001&gt;=22)*(元データ!$AM$2:$AM$2001&lt;=30)*(元データ!$E$2:$E$2001="32 ＳＶ確認中"))</f>
        <v/>
      </c>
      <c r="AU35" s="192">
        <f>IFERROR(_xlfn.TEXTJOIN(CHAR(10),TRUE,IF((元データ!$AL$2:$AL$2001=1)*(元データ!$AN$2:$AN$2001=1)*(元データ!$AE$2:$AE$2001=$C$35)*(元データ!$AO$2:$AO$2001=1)*(元データ!$AM$2:$AM$2001&gt;=22)*(元データ!$AM$2:$AM$2001&lt;=30)*(元データ!$E$2:$E$2001="32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35" s="191">
        <f>SUMPRODUCT((元データ!$AL$2:$AL$2001=1)*(元データ!$AN$2:$AN$2001=1)*(元データ!$AE$2:$AE$2001=$C$35)*(元データ!$AO$2:$AO$2001=1)*(元データ!$AM$2:$AM$2001&gt;=22)*(元データ!$AM$2:$AM$2001&lt;=30)*(元データ!$E$2:$E$2001="40 差戻し"))</f>
        <v/>
      </c>
      <c r="AW35" s="192">
        <f>IFERROR(_xlfn.TEXTJOIN(CHAR(10),TRUE,IF((元データ!$AL$2:$AL$2001=1)*(元データ!$AN$2:$AN$2001=1)*(元データ!$AE$2:$AE$2001=$C$35)*(元データ!$AO$2:$AO$2001=1)*(元データ!$AM$2:$AM$2001&gt;=22)*(元データ!$AM$2:$AM$2001&lt;=30)*(元データ!$E$2:$E$2001="40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35" s="193">
        <f>SUMPRODUCT((元データ!$AL$2:$AL$2001=1)*(元データ!$AN$2:$AN$2001=1)*(元データ!$AE$2:$AE$2001=$C$35)*(元データ!$AO$2:$AO$2001=1)*(元データ!$AM$2:$AM$2001&gt;=31))</f>
        <v/>
      </c>
      <c r="AY35" s="194">
        <f>SUMPRODUCT((元データ!$AL$2:$AL$2001=1)*(元データ!$AN$2:$AN$2001=1)*(元データ!$AE$2:$AE$2001=$C$35)*(元データ!$AO$2:$AO$2001=1)*(元データ!$AM$2:$AM$2001&gt;=31)*(元データ!$E$2:$E$2001="20 確認待ち"))</f>
        <v/>
      </c>
      <c r="AZ35" s="195">
        <f>IFERROR(_xlfn.TEXTJOIN(CHAR(10),TRUE,IF((元データ!$AL$2:$AL$2001=1)*(元データ!$AN$2:$AN$2001=1)*(元データ!$AE$2:$AE$2001=$C$35)*(元データ!$AO$2:$AO$2001=1)*(元データ!$AM$2:$AM$2001&gt;=31)*(元データ!$E$2:$E$2001="20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35" s="194">
        <f>SUMPRODUCT((元データ!$AL$2:$AL$2001=1)*(元データ!$AN$2:$AN$2001=1)*(元データ!$AE$2:$AE$2001=$C$35)*(元データ!$AO$2:$AO$2001=1)*(元データ!$AM$2:$AM$2001&gt;=31)*(元データ!$E$2:$E$2001="30 申請受付"))</f>
        <v/>
      </c>
      <c r="BB35" s="195">
        <f>IFERROR(_xlfn.TEXTJOIN(CHAR(10),TRUE,IF((元データ!$AL$2:$AL$2001=1)*(元データ!$AN$2:$AN$2001=1)*(元データ!$AE$2:$AE$2001=$C$35)*(元データ!$AO$2:$AO$2001=1)*(元データ!$AM$2:$AM$2001&gt;=31)*(元データ!$E$2:$E$2001="30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35" s="194">
        <f>SUMPRODUCT((元データ!$AL$2:$AL$2001=1)*(元データ!$AN$2:$AN$2001=1)*(元データ!$AE$2:$AE$2001=$C$35)*(元データ!$AO$2:$AO$2001=1)*(元データ!$AM$2:$AM$2001&gt;=31)*(元データ!$E$2:$E$2001="31 ＯＰ確認中"))</f>
        <v/>
      </c>
      <c r="BD35" s="195">
        <f>IFERROR(_xlfn.TEXTJOIN(CHAR(10),TRUE,IF((元データ!$AL$2:$AL$2001=1)*(元データ!$AN$2:$AN$2001=1)*(元データ!$AE$2:$AE$2001=$C$35)*(元データ!$AO$2:$AO$2001=1)*(元データ!$AM$2:$AM$2001&gt;=31)*(元データ!$E$2:$E$2001="31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35" s="194">
        <f>SUMPRODUCT((元データ!$AL$2:$AL$2001=1)*(元データ!$AN$2:$AN$2001=1)*(元データ!$AE$2:$AE$2001=$C$35)*(元データ!$AO$2:$AO$2001=1)*(元データ!$AM$2:$AM$2001&gt;=31)*(元データ!$E$2:$E$2001="32 ＳＶ確認中"))</f>
        <v/>
      </c>
      <c r="BF35" s="195">
        <f>IFERROR(_xlfn.TEXTJOIN(CHAR(10),TRUE,IF((元データ!$AL$2:$AL$2001=1)*(元データ!$AN$2:$AN$2001=1)*(元データ!$AE$2:$AE$2001=$C$35)*(元データ!$AO$2:$AO$2001=1)*(元データ!$AM$2:$AM$2001&gt;=31)*(元データ!$E$2:$E$2001="32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35" s="194">
        <f>SUMPRODUCT((元データ!$AL$2:$AL$2001=1)*(元データ!$AN$2:$AN$2001=1)*(元データ!$AE$2:$AE$2001=$C$35)*(元データ!$AO$2:$AO$2001=1)*(元データ!$AM$2:$AM$2001&gt;=31)*(元データ!$E$2:$E$2001="40 差戻し"))</f>
        <v/>
      </c>
      <c r="BH35" s="195">
        <f>IFERROR(_xlfn.TEXTJOIN(CHAR(10),TRUE,IF((元データ!$AL$2:$AL$2001=1)*(元データ!$AN$2:$AN$2001=1)*(元データ!$AE$2:$AE$2001=$C$35)*(元データ!$AO$2:$AO$2001=1)*(元データ!$AM$2:$AM$2001&gt;=31)*(元データ!$E$2:$E$2001="40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36" ht="19.5" customHeight="1" s="87">
      <c r="B36" s="155" t="n"/>
      <c r="C36" s="156" t="n"/>
      <c r="D36" s="157" t="inlineStr">
        <is>
          <t>なし</t>
        </is>
      </c>
      <c r="E36" s="158">
        <f>SUMPRODUCT((元データ!$AL$2:$AL$2001=1)*(元データ!$AN$2:$AN$2001=1)*(元データ!$AE$2:$AE$2001=$C$35)*(元データ!$AO$2:$AO$2001=0))</f>
        <v/>
      </c>
      <c r="F36" s="196">
        <f>SUMPRODUCT((元データ!$AL$2:$AL$2001=1)*(元データ!$AN$2:$AN$2001=1)*(元データ!$AE$2:$AE$2001=$C$35)*(元データ!$AO$2:$AO$2001=0)*(元データ!$AM$2:$AM$2001&lt;=7))</f>
        <v/>
      </c>
      <c r="G36" s="197">
        <f>SUMPRODUCT((元データ!$AL$2:$AL$2001=1)*(元データ!$AN$2:$AN$2001=1)*(元データ!$AE$2:$AE$2001=$C$35)*(元データ!$AO$2:$AO$2001=0)*(元データ!$AM$2:$AM$2001&lt;=7)*(元データ!$E$2:$E$2001="20 確認待ち"))</f>
        <v/>
      </c>
      <c r="H36" s="198">
        <f>IFERROR(_xlfn.TEXTJOIN(CHAR(10),TRUE,IF((元データ!$AL$2:$AL$2001=1)*(元データ!$AN$2:$AN$2001=1)*(元データ!$AE$2:$AE$2001=$C$35)*(元データ!$AO$2:$AO$2001=0)*(元データ!$AM$2:$AM$2001&lt;=7)*(元データ!$E$2:$E$2001="20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36" s="197">
        <f>SUMPRODUCT((元データ!$AL$2:$AL$2001=1)*(元データ!$AN$2:$AN$2001=1)*(元データ!$AE$2:$AE$2001=$C$35)*(元データ!$AO$2:$AO$2001=0)*(元データ!$AM$2:$AM$2001&lt;=7)*(元データ!$E$2:$E$2001="30 申請受付"))</f>
        <v/>
      </c>
      <c r="J36" s="198">
        <f>IFERROR(_xlfn.TEXTJOIN(CHAR(10),TRUE,IF((元データ!$AL$2:$AL$2001=1)*(元データ!$AN$2:$AN$2001=1)*(元データ!$AE$2:$AE$2001=$C$35)*(元データ!$AO$2:$AO$2001=0)*(元データ!$AM$2:$AM$2001&lt;=7)*(元データ!$E$2:$E$2001="30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36" s="197">
        <f>SUMPRODUCT((元データ!$AL$2:$AL$2001=1)*(元データ!$AN$2:$AN$2001=1)*(元データ!$AE$2:$AE$2001=$C$35)*(元データ!$AO$2:$AO$2001=0)*(元データ!$AM$2:$AM$2001&lt;=7)*(元データ!$E$2:$E$2001="31 ＯＰ確認中"))</f>
        <v/>
      </c>
      <c r="L36" s="198">
        <f>IFERROR(_xlfn.TEXTJOIN(CHAR(10),TRUE,IF((元データ!$AL$2:$AL$2001=1)*(元データ!$AN$2:$AN$2001=1)*(元データ!$AE$2:$AE$2001=$C$35)*(元データ!$AO$2:$AO$2001=0)*(元データ!$AM$2:$AM$2001&lt;=7)*(元データ!$E$2:$E$2001="31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36" s="197">
        <f>SUMPRODUCT((元データ!$AL$2:$AL$2001=1)*(元データ!$AN$2:$AN$2001=1)*(元データ!$AE$2:$AE$2001=$C$35)*(元データ!$AO$2:$AO$2001=0)*(元データ!$AM$2:$AM$2001&lt;=7)*(元データ!$E$2:$E$2001="32 ＳＶ確認中"))</f>
        <v/>
      </c>
      <c r="N36" s="198">
        <f>IFERROR(_xlfn.TEXTJOIN(CHAR(10),TRUE,IF((元データ!$AL$2:$AL$2001=1)*(元データ!$AN$2:$AN$2001=1)*(元データ!$AE$2:$AE$2001=$C$35)*(元データ!$AO$2:$AO$2001=0)*(元データ!$AM$2:$AM$2001&lt;=7)*(元データ!$E$2:$E$2001="32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36" s="197">
        <f>SUMPRODUCT((元データ!$AL$2:$AL$2001=1)*(元データ!$AN$2:$AN$2001=1)*(元データ!$AE$2:$AE$2001=$C$35)*(元データ!$AO$2:$AO$2001=0)*(元データ!$AM$2:$AM$2001&lt;=7)*(元データ!$E$2:$E$2001="40 差戻し"))</f>
        <v/>
      </c>
      <c r="P36" s="198">
        <f>IFERROR(_xlfn.TEXTJOIN(CHAR(10),TRUE,IF((元データ!$AL$2:$AL$2001=1)*(元データ!$AN$2:$AN$2001=1)*(元データ!$AE$2:$AE$2001=$C$35)*(元データ!$AO$2:$AO$2001=0)*(元データ!$AM$2:$AM$2001&lt;=7)*(元データ!$E$2:$E$2001="40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36" s="196">
        <f>SUMPRODUCT((元データ!$AL$2:$AL$2001=1)*(元データ!$AN$2:$AN$2001=1)*(元データ!$AE$2:$AE$2001=$C$35)*(元データ!$AO$2:$AO$2001=0)*(元データ!$AM$2:$AM$2001&gt;=8)*(元データ!$AM$2:$AM$2001&lt;=14))</f>
        <v/>
      </c>
      <c r="R36" s="197">
        <f>SUMPRODUCT((元データ!$AL$2:$AL$2001=1)*(元データ!$AN$2:$AN$2001=1)*(元データ!$AE$2:$AE$2001=$C$35)*(元データ!$AO$2:$AO$2001=0)*(元データ!$AM$2:$AM$2001&gt;=8)*(元データ!$AM$2:$AM$2001&lt;=14)*(元データ!$E$2:$E$2001="20 確認待ち"))</f>
        <v/>
      </c>
      <c r="S36" s="198">
        <f>IFERROR(_xlfn.TEXTJOIN(CHAR(10),TRUE,IF((元データ!$AL$2:$AL$2001=1)*(元データ!$AN$2:$AN$2001=1)*(元データ!$AE$2:$AE$2001=$C$35)*(元データ!$AO$2:$AO$2001=0)*(元データ!$AM$2:$AM$2001&gt;=8)*(元データ!$AM$2:$AM$2001&lt;=14)*(元データ!$E$2:$E$2001="20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36" s="197">
        <f>SUMPRODUCT((元データ!$AL$2:$AL$2001=1)*(元データ!$AN$2:$AN$2001=1)*(元データ!$AE$2:$AE$2001=$C$35)*(元データ!$AO$2:$AO$2001=0)*(元データ!$AM$2:$AM$2001&gt;=8)*(元データ!$AM$2:$AM$2001&lt;=14)*(元データ!$E$2:$E$2001="30 申請受付"))</f>
        <v/>
      </c>
      <c r="U36" s="198">
        <f>IFERROR(_xlfn.TEXTJOIN(CHAR(10),TRUE,IF((元データ!$AL$2:$AL$2001=1)*(元データ!$AN$2:$AN$2001=1)*(元データ!$AE$2:$AE$2001=$C$35)*(元データ!$AO$2:$AO$2001=0)*(元データ!$AM$2:$AM$2001&gt;=8)*(元データ!$AM$2:$AM$2001&lt;=14)*(元データ!$E$2:$E$2001="30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36" s="197">
        <f>SUMPRODUCT((元データ!$AL$2:$AL$2001=1)*(元データ!$AN$2:$AN$2001=1)*(元データ!$AE$2:$AE$2001=$C$35)*(元データ!$AO$2:$AO$2001=0)*(元データ!$AM$2:$AM$2001&gt;=8)*(元データ!$AM$2:$AM$2001&lt;=14)*(元データ!$E$2:$E$2001="31 ＯＰ確認中"))</f>
        <v/>
      </c>
      <c r="W36" s="198">
        <f>IFERROR(_xlfn.TEXTJOIN(CHAR(10),TRUE,IF((元データ!$AL$2:$AL$2001=1)*(元データ!$AN$2:$AN$2001=1)*(元データ!$AE$2:$AE$2001=$C$35)*(元データ!$AO$2:$AO$2001=0)*(元データ!$AM$2:$AM$2001&gt;=8)*(元データ!$AM$2:$AM$2001&lt;=14)*(元データ!$E$2:$E$2001="31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36" s="197">
        <f>SUMPRODUCT((元データ!$AL$2:$AL$2001=1)*(元データ!$AN$2:$AN$2001=1)*(元データ!$AE$2:$AE$2001=$C$35)*(元データ!$AO$2:$AO$2001=0)*(元データ!$AM$2:$AM$2001&gt;=8)*(元データ!$AM$2:$AM$2001&lt;=14)*(元データ!$E$2:$E$2001="32 ＳＶ確認中"))</f>
        <v/>
      </c>
      <c r="Y36" s="198">
        <f>IFERROR(_xlfn.TEXTJOIN(CHAR(10),TRUE,IF((元データ!$AL$2:$AL$2001=1)*(元データ!$AN$2:$AN$2001=1)*(元データ!$AE$2:$AE$2001=$C$35)*(元データ!$AO$2:$AO$2001=0)*(元データ!$AM$2:$AM$2001&gt;=8)*(元データ!$AM$2:$AM$2001&lt;=14)*(元データ!$E$2:$E$2001="32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36" s="197">
        <f>SUMPRODUCT((元データ!$AL$2:$AL$2001=1)*(元データ!$AN$2:$AN$2001=1)*(元データ!$AE$2:$AE$2001=$C$35)*(元データ!$AO$2:$AO$2001=0)*(元データ!$AM$2:$AM$2001&gt;=8)*(元データ!$AM$2:$AM$2001&lt;=14)*(元データ!$E$2:$E$2001="40 差戻し"))</f>
        <v/>
      </c>
      <c r="AA36" s="198">
        <f>IFERROR(_xlfn.TEXTJOIN(CHAR(10),TRUE,IF((元データ!$AL$2:$AL$2001=1)*(元データ!$AN$2:$AN$2001=1)*(元データ!$AE$2:$AE$2001=$C$35)*(元データ!$AO$2:$AO$2001=0)*(元データ!$AM$2:$AM$2001&gt;=8)*(元データ!$AM$2:$AM$2001&lt;=14)*(元データ!$E$2:$E$2001="40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36" s="187">
        <f>SUMPRODUCT((元データ!$AL$2:$AL$2001=1)*(元データ!$AN$2:$AN$2001=1)*(元データ!$AE$2:$AE$2001=$C$35)*(元データ!$AO$2:$AO$2001=0)*(元データ!$AM$2:$AM$2001&gt;=15)*(元データ!$AM$2:$AM$2001&lt;=21))</f>
        <v/>
      </c>
      <c r="AC36" s="188">
        <f>SUMPRODUCT((元データ!$AL$2:$AL$2001=1)*(元データ!$AN$2:$AN$2001=1)*(元データ!$AE$2:$AE$2001=$C$35)*(元データ!$AO$2:$AO$2001=0)*(元データ!$AM$2:$AM$2001&gt;=15)*(元データ!$AM$2:$AM$2001&lt;=21)*(元データ!$E$2:$E$2001="20 確認待ち"))</f>
        <v/>
      </c>
      <c r="AD36" s="189">
        <f>IFERROR(_xlfn.TEXTJOIN(CHAR(10),TRUE,IF((元データ!$AL$2:$AL$2001=1)*(元データ!$AN$2:$AN$2001=1)*(元データ!$AE$2:$AE$2001=$C$35)*(元データ!$AO$2:$AO$2001=0)*(元データ!$AM$2:$AM$2001&gt;=15)*(元データ!$AM$2:$AM$2001&lt;=21)*(元データ!$E$2:$E$2001="20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36" s="188">
        <f>SUMPRODUCT((元データ!$AL$2:$AL$2001=1)*(元データ!$AN$2:$AN$2001=1)*(元データ!$AE$2:$AE$2001=$C$35)*(元データ!$AO$2:$AO$2001=0)*(元データ!$AM$2:$AM$2001&gt;=15)*(元データ!$AM$2:$AM$2001&lt;=21)*(元データ!$E$2:$E$2001="30 申請受付"))</f>
        <v/>
      </c>
      <c r="AF36" s="189">
        <f>IFERROR(_xlfn.TEXTJOIN(CHAR(10),TRUE,IF((元データ!$AL$2:$AL$2001=1)*(元データ!$AN$2:$AN$2001=1)*(元データ!$AE$2:$AE$2001=$C$35)*(元データ!$AO$2:$AO$2001=0)*(元データ!$AM$2:$AM$2001&gt;=15)*(元データ!$AM$2:$AM$2001&lt;=21)*(元データ!$E$2:$E$2001="30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36" s="188">
        <f>SUMPRODUCT((元データ!$AL$2:$AL$2001=1)*(元データ!$AN$2:$AN$2001=1)*(元データ!$AE$2:$AE$2001=$C$35)*(元データ!$AO$2:$AO$2001=0)*(元データ!$AM$2:$AM$2001&gt;=15)*(元データ!$AM$2:$AM$2001&lt;=21)*(元データ!$E$2:$E$2001="31 ＯＰ確認中"))</f>
        <v/>
      </c>
      <c r="AH36" s="189">
        <f>IFERROR(_xlfn.TEXTJOIN(CHAR(10),TRUE,IF((元データ!$AL$2:$AL$2001=1)*(元データ!$AN$2:$AN$2001=1)*(元データ!$AE$2:$AE$2001=$C$35)*(元データ!$AO$2:$AO$2001=0)*(元データ!$AM$2:$AM$2001&gt;=15)*(元データ!$AM$2:$AM$2001&lt;=21)*(元データ!$E$2:$E$2001="31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36" s="188">
        <f>SUMPRODUCT((元データ!$AL$2:$AL$2001=1)*(元データ!$AN$2:$AN$2001=1)*(元データ!$AE$2:$AE$2001=$C$35)*(元データ!$AO$2:$AO$2001=0)*(元データ!$AM$2:$AM$2001&gt;=15)*(元データ!$AM$2:$AM$2001&lt;=21)*(元データ!$E$2:$E$2001="32 ＳＶ確認中"))</f>
        <v/>
      </c>
      <c r="AJ36" s="189">
        <f>IFERROR(_xlfn.TEXTJOIN(CHAR(10),TRUE,IF((元データ!$AL$2:$AL$2001=1)*(元データ!$AN$2:$AN$2001=1)*(元データ!$AE$2:$AE$2001=$C$35)*(元データ!$AO$2:$AO$2001=0)*(元データ!$AM$2:$AM$2001&gt;=15)*(元データ!$AM$2:$AM$2001&lt;=21)*(元データ!$E$2:$E$2001="32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36" s="188">
        <f>SUMPRODUCT((元データ!$AL$2:$AL$2001=1)*(元データ!$AN$2:$AN$2001=1)*(元データ!$AE$2:$AE$2001=$C$35)*(元データ!$AO$2:$AO$2001=0)*(元データ!$AM$2:$AM$2001&gt;=15)*(元データ!$AM$2:$AM$2001&lt;=21)*(元データ!$E$2:$E$2001="40 差戻し"))</f>
        <v/>
      </c>
      <c r="AL36" s="189">
        <f>IFERROR(_xlfn.TEXTJOIN(CHAR(10),TRUE,IF((元データ!$AL$2:$AL$2001=1)*(元データ!$AN$2:$AN$2001=1)*(元データ!$AE$2:$AE$2001=$C$35)*(元データ!$AO$2:$AO$2001=0)*(元データ!$AM$2:$AM$2001&gt;=15)*(元データ!$AM$2:$AM$2001&lt;=21)*(元データ!$E$2:$E$2001="40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36" s="190">
        <f>SUMPRODUCT((元データ!$AL$2:$AL$2001=1)*(元データ!$AN$2:$AN$2001=1)*(元データ!$AE$2:$AE$2001=$C$35)*(元データ!$AO$2:$AO$2001=0)*(元データ!$AM$2:$AM$2001&gt;=22)*(元データ!$AM$2:$AM$2001&lt;=30))</f>
        <v/>
      </c>
      <c r="AN36" s="191">
        <f>SUMPRODUCT((元データ!$AL$2:$AL$2001=1)*(元データ!$AN$2:$AN$2001=1)*(元データ!$AE$2:$AE$2001=$C$35)*(元データ!$AO$2:$AO$2001=0)*(元データ!$AM$2:$AM$2001&gt;=22)*(元データ!$AM$2:$AM$2001&lt;=30)*(元データ!$E$2:$E$2001="20 確認待ち"))</f>
        <v/>
      </c>
      <c r="AO36" s="192">
        <f>IFERROR(_xlfn.TEXTJOIN(CHAR(10),TRUE,IF((元データ!$AL$2:$AL$2001=1)*(元データ!$AN$2:$AN$2001=1)*(元データ!$AE$2:$AE$2001=$C$35)*(元データ!$AO$2:$AO$2001=0)*(元データ!$AM$2:$AM$2001&gt;=22)*(元データ!$AM$2:$AM$2001&lt;=30)*(元データ!$E$2:$E$2001="20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36" s="191">
        <f>SUMPRODUCT((元データ!$AL$2:$AL$2001=1)*(元データ!$AN$2:$AN$2001=1)*(元データ!$AE$2:$AE$2001=$C$35)*(元データ!$AO$2:$AO$2001=0)*(元データ!$AM$2:$AM$2001&gt;=22)*(元データ!$AM$2:$AM$2001&lt;=30)*(元データ!$E$2:$E$2001="30 申請受付"))</f>
        <v/>
      </c>
      <c r="AQ36" s="192">
        <f>IFERROR(_xlfn.TEXTJOIN(CHAR(10),TRUE,IF((元データ!$AL$2:$AL$2001=1)*(元データ!$AN$2:$AN$2001=1)*(元データ!$AE$2:$AE$2001=$C$35)*(元データ!$AO$2:$AO$2001=0)*(元データ!$AM$2:$AM$2001&gt;=22)*(元データ!$AM$2:$AM$2001&lt;=30)*(元データ!$E$2:$E$2001="30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36" s="191">
        <f>SUMPRODUCT((元データ!$AL$2:$AL$2001=1)*(元データ!$AN$2:$AN$2001=1)*(元データ!$AE$2:$AE$2001=$C$35)*(元データ!$AO$2:$AO$2001=0)*(元データ!$AM$2:$AM$2001&gt;=22)*(元データ!$AM$2:$AM$2001&lt;=30)*(元データ!$E$2:$E$2001="31 ＯＰ確認中"))</f>
        <v/>
      </c>
      <c r="AS36" s="192">
        <f>IFERROR(_xlfn.TEXTJOIN(CHAR(10),TRUE,IF((元データ!$AL$2:$AL$2001=1)*(元データ!$AN$2:$AN$2001=1)*(元データ!$AE$2:$AE$2001=$C$35)*(元データ!$AO$2:$AO$2001=0)*(元データ!$AM$2:$AM$2001&gt;=22)*(元データ!$AM$2:$AM$2001&lt;=30)*(元データ!$E$2:$E$2001="31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36" s="191">
        <f>SUMPRODUCT((元データ!$AL$2:$AL$2001=1)*(元データ!$AN$2:$AN$2001=1)*(元データ!$AE$2:$AE$2001=$C$35)*(元データ!$AO$2:$AO$2001=0)*(元データ!$AM$2:$AM$2001&gt;=22)*(元データ!$AM$2:$AM$2001&lt;=30)*(元データ!$E$2:$E$2001="32 ＳＶ確認中"))</f>
        <v/>
      </c>
      <c r="AU36" s="192">
        <f>IFERROR(_xlfn.TEXTJOIN(CHAR(10),TRUE,IF((元データ!$AL$2:$AL$2001=1)*(元データ!$AN$2:$AN$2001=1)*(元データ!$AE$2:$AE$2001=$C$35)*(元データ!$AO$2:$AO$2001=0)*(元データ!$AM$2:$AM$2001&gt;=22)*(元データ!$AM$2:$AM$2001&lt;=30)*(元データ!$E$2:$E$2001="32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36" s="191">
        <f>SUMPRODUCT((元データ!$AL$2:$AL$2001=1)*(元データ!$AN$2:$AN$2001=1)*(元データ!$AE$2:$AE$2001=$C$35)*(元データ!$AO$2:$AO$2001=0)*(元データ!$AM$2:$AM$2001&gt;=22)*(元データ!$AM$2:$AM$2001&lt;=30)*(元データ!$E$2:$E$2001="40 差戻し"))</f>
        <v/>
      </c>
      <c r="AW36" s="192">
        <f>IFERROR(_xlfn.TEXTJOIN(CHAR(10),TRUE,IF((元データ!$AL$2:$AL$2001=1)*(元データ!$AN$2:$AN$2001=1)*(元データ!$AE$2:$AE$2001=$C$35)*(元データ!$AO$2:$AO$2001=0)*(元データ!$AM$2:$AM$2001&gt;=22)*(元データ!$AM$2:$AM$2001&lt;=30)*(元データ!$E$2:$E$2001="40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36" s="193">
        <f>SUMPRODUCT((元データ!$AL$2:$AL$2001=1)*(元データ!$AN$2:$AN$2001=1)*(元データ!$AE$2:$AE$2001=$C$35)*(元データ!$AO$2:$AO$2001=0)*(元データ!$AM$2:$AM$2001&gt;=31))</f>
        <v/>
      </c>
      <c r="AY36" s="194">
        <f>SUMPRODUCT((元データ!$AL$2:$AL$2001=1)*(元データ!$AN$2:$AN$2001=1)*(元データ!$AE$2:$AE$2001=$C$35)*(元データ!$AO$2:$AO$2001=0)*(元データ!$AM$2:$AM$2001&gt;=31)*(元データ!$E$2:$E$2001="20 確認待ち"))</f>
        <v/>
      </c>
      <c r="AZ36" s="195">
        <f>IFERROR(_xlfn.TEXTJOIN(CHAR(10),TRUE,IF((元データ!$AL$2:$AL$2001=1)*(元データ!$AN$2:$AN$2001=1)*(元データ!$AE$2:$AE$2001=$C$35)*(元データ!$AO$2:$AO$2001=0)*(元データ!$AM$2:$AM$2001&gt;=31)*(元データ!$E$2:$E$2001="20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36" s="194">
        <f>SUMPRODUCT((元データ!$AL$2:$AL$2001=1)*(元データ!$AN$2:$AN$2001=1)*(元データ!$AE$2:$AE$2001=$C$35)*(元データ!$AO$2:$AO$2001=0)*(元データ!$AM$2:$AM$2001&gt;=31)*(元データ!$E$2:$E$2001="30 申請受付"))</f>
        <v/>
      </c>
      <c r="BB36" s="195">
        <f>IFERROR(_xlfn.TEXTJOIN(CHAR(10),TRUE,IF((元データ!$AL$2:$AL$2001=1)*(元データ!$AN$2:$AN$2001=1)*(元データ!$AE$2:$AE$2001=$C$35)*(元データ!$AO$2:$AO$2001=0)*(元データ!$AM$2:$AM$2001&gt;=31)*(元データ!$E$2:$E$2001="30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36" s="194">
        <f>SUMPRODUCT((元データ!$AL$2:$AL$2001=1)*(元データ!$AN$2:$AN$2001=1)*(元データ!$AE$2:$AE$2001=$C$35)*(元データ!$AO$2:$AO$2001=0)*(元データ!$AM$2:$AM$2001&gt;=31)*(元データ!$E$2:$E$2001="31 ＯＰ確認中"))</f>
        <v/>
      </c>
      <c r="BD36" s="195">
        <f>IFERROR(_xlfn.TEXTJOIN(CHAR(10),TRUE,IF((元データ!$AL$2:$AL$2001=1)*(元データ!$AN$2:$AN$2001=1)*(元データ!$AE$2:$AE$2001=$C$35)*(元データ!$AO$2:$AO$2001=0)*(元データ!$AM$2:$AM$2001&gt;=31)*(元データ!$E$2:$E$2001="31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36" s="194">
        <f>SUMPRODUCT((元データ!$AL$2:$AL$2001=1)*(元データ!$AN$2:$AN$2001=1)*(元データ!$AE$2:$AE$2001=$C$35)*(元データ!$AO$2:$AO$2001=0)*(元データ!$AM$2:$AM$2001&gt;=31)*(元データ!$E$2:$E$2001="32 ＳＶ確認中"))</f>
        <v/>
      </c>
      <c r="BF36" s="195">
        <f>IFERROR(_xlfn.TEXTJOIN(CHAR(10),TRUE,IF((元データ!$AL$2:$AL$2001=1)*(元データ!$AN$2:$AN$2001=1)*(元データ!$AE$2:$AE$2001=$C$35)*(元データ!$AO$2:$AO$2001=0)*(元データ!$AM$2:$AM$2001&gt;=31)*(元データ!$E$2:$E$2001="32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36" s="194">
        <f>SUMPRODUCT((元データ!$AL$2:$AL$2001=1)*(元データ!$AN$2:$AN$2001=1)*(元データ!$AE$2:$AE$2001=$C$35)*(元データ!$AO$2:$AO$2001=0)*(元データ!$AM$2:$AM$2001&gt;=31)*(元データ!$E$2:$E$2001="40 差戻し"))</f>
        <v/>
      </c>
      <c r="BH36" s="195">
        <f>IFERROR(_xlfn.TEXTJOIN(CHAR(10),TRUE,IF((元データ!$AL$2:$AL$2001=1)*(元データ!$AN$2:$AN$2001=1)*(元データ!$AE$2:$AE$2001=$C$35)*(元データ!$AO$2:$AO$2001=0)*(元データ!$AM$2:$AM$2001&gt;=31)*(元データ!$E$2:$E$2001="40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37" ht="19.5" customHeight="1" s="87">
      <c r="B37" s="139" t="n"/>
      <c r="C37" s="140" t="inlineStr">
        <is>
          <t>23 結婚</t>
        </is>
      </c>
      <c r="D37" s="141" t="inlineStr">
        <is>
          <t>あり</t>
        </is>
      </c>
      <c r="E37" s="142">
        <f>SUMPRODUCT((元データ!$AL$2:$AL$2001=1)*(元データ!$AN$2:$AN$2001=1)*(元データ!$AE$2:$AE$2001=$C$37)*(元データ!$AO$2:$AO$2001=1))</f>
        <v/>
      </c>
      <c r="F37" s="184">
        <f>SUMPRODUCT((元データ!$AL$2:$AL$2001=1)*(元データ!$AN$2:$AN$2001=1)*(元データ!$AE$2:$AE$2001=$C$37)*(元データ!$AO$2:$AO$2001=1)*(元データ!$AM$2:$AM$2001&lt;=7))</f>
        <v/>
      </c>
      <c r="G37" s="185">
        <f>SUMPRODUCT((元データ!$AL$2:$AL$2001=1)*(元データ!$AN$2:$AN$2001=1)*(元データ!$AE$2:$AE$2001=$C$37)*(元データ!$AO$2:$AO$2001=1)*(元データ!$AM$2:$AM$2001&lt;=7)*(元データ!$E$2:$E$2001="20 確認待ち"))</f>
        <v/>
      </c>
      <c r="H37" s="186">
        <f>IFERROR(_xlfn.TEXTJOIN(CHAR(10),TRUE,IF((元データ!$AL$2:$AL$2001=1)*(元データ!$AN$2:$AN$2001=1)*(元データ!$AE$2:$AE$2001=$C$37)*(元データ!$AO$2:$AO$2001=1)*(元データ!$AM$2:$AM$2001&lt;=7)*(元データ!$E$2:$E$2001="20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37" s="185">
        <f>SUMPRODUCT((元データ!$AL$2:$AL$2001=1)*(元データ!$AN$2:$AN$2001=1)*(元データ!$AE$2:$AE$2001=$C$37)*(元データ!$AO$2:$AO$2001=1)*(元データ!$AM$2:$AM$2001&lt;=7)*(元データ!$E$2:$E$2001="30 申請受付"))</f>
        <v/>
      </c>
      <c r="J37" s="186">
        <f>IFERROR(_xlfn.TEXTJOIN(CHAR(10),TRUE,IF((元データ!$AL$2:$AL$2001=1)*(元データ!$AN$2:$AN$2001=1)*(元データ!$AE$2:$AE$2001=$C$37)*(元データ!$AO$2:$AO$2001=1)*(元データ!$AM$2:$AM$2001&lt;=7)*(元データ!$E$2:$E$2001="30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37" s="185">
        <f>SUMPRODUCT((元データ!$AL$2:$AL$2001=1)*(元データ!$AN$2:$AN$2001=1)*(元データ!$AE$2:$AE$2001=$C$37)*(元データ!$AO$2:$AO$2001=1)*(元データ!$AM$2:$AM$2001&lt;=7)*(元データ!$E$2:$E$2001="31 ＯＰ確認中"))</f>
        <v/>
      </c>
      <c r="L37" s="186">
        <f>IFERROR(_xlfn.TEXTJOIN(CHAR(10),TRUE,IF((元データ!$AL$2:$AL$2001=1)*(元データ!$AN$2:$AN$2001=1)*(元データ!$AE$2:$AE$2001=$C$37)*(元データ!$AO$2:$AO$2001=1)*(元データ!$AM$2:$AM$2001&lt;=7)*(元データ!$E$2:$E$2001="31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37" s="185">
        <f>SUMPRODUCT((元データ!$AL$2:$AL$2001=1)*(元データ!$AN$2:$AN$2001=1)*(元データ!$AE$2:$AE$2001=$C$37)*(元データ!$AO$2:$AO$2001=1)*(元データ!$AM$2:$AM$2001&lt;=7)*(元データ!$E$2:$E$2001="32 ＳＶ確認中"))</f>
        <v/>
      </c>
      <c r="N37" s="186">
        <f>IFERROR(_xlfn.TEXTJOIN(CHAR(10),TRUE,IF((元データ!$AL$2:$AL$2001=1)*(元データ!$AN$2:$AN$2001=1)*(元データ!$AE$2:$AE$2001=$C$37)*(元データ!$AO$2:$AO$2001=1)*(元データ!$AM$2:$AM$2001&lt;=7)*(元データ!$E$2:$E$2001="32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37" s="185">
        <f>SUMPRODUCT((元データ!$AL$2:$AL$2001=1)*(元データ!$AN$2:$AN$2001=1)*(元データ!$AE$2:$AE$2001=$C$37)*(元データ!$AO$2:$AO$2001=1)*(元データ!$AM$2:$AM$2001&lt;=7)*(元データ!$E$2:$E$2001="40 差戻し"))</f>
        <v/>
      </c>
      <c r="P37" s="186">
        <f>IFERROR(_xlfn.TEXTJOIN(CHAR(10),TRUE,IF((元データ!$AL$2:$AL$2001=1)*(元データ!$AN$2:$AN$2001=1)*(元データ!$AE$2:$AE$2001=$C$37)*(元データ!$AO$2:$AO$2001=1)*(元データ!$AM$2:$AM$2001&lt;=7)*(元データ!$E$2:$E$2001="40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37" s="184">
        <f>SUMPRODUCT((元データ!$AL$2:$AL$2001=1)*(元データ!$AN$2:$AN$2001=1)*(元データ!$AE$2:$AE$2001=$C$37)*(元データ!$AO$2:$AO$2001=1)*(元データ!$AM$2:$AM$2001&gt;=8)*(元データ!$AM$2:$AM$2001&lt;=14))</f>
        <v/>
      </c>
      <c r="R37" s="185">
        <f>SUMPRODUCT((元データ!$AL$2:$AL$2001=1)*(元データ!$AN$2:$AN$2001=1)*(元データ!$AE$2:$AE$2001=$C$37)*(元データ!$AO$2:$AO$2001=1)*(元データ!$AM$2:$AM$2001&gt;=8)*(元データ!$AM$2:$AM$2001&lt;=14)*(元データ!$E$2:$E$2001="20 確認待ち"))</f>
        <v/>
      </c>
      <c r="S37" s="186">
        <f>IFERROR(_xlfn.TEXTJOIN(CHAR(10),TRUE,IF((元データ!$AL$2:$AL$2001=1)*(元データ!$AN$2:$AN$2001=1)*(元データ!$AE$2:$AE$2001=$C$37)*(元データ!$AO$2:$AO$2001=1)*(元データ!$AM$2:$AM$2001&gt;=8)*(元データ!$AM$2:$AM$2001&lt;=14)*(元データ!$E$2:$E$2001="20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37" s="185">
        <f>SUMPRODUCT((元データ!$AL$2:$AL$2001=1)*(元データ!$AN$2:$AN$2001=1)*(元データ!$AE$2:$AE$2001=$C$37)*(元データ!$AO$2:$AO$2001=1)*(元データ!$AM$2:$AM$2001&gt;=8)*(元データ!$AM$2:$AM$2001&lt;=14)*(元データ!$E$2:$E$2001="30 申請受付"))</f>
        <v/>
      </c>
      <c r="U37" s="186">
        <f>IFERROR(_xlfn.TEXTJOIN(CHAR(10),TRUE,IF((元データ!$AL$2:$AL$2001=1)*(元データ!$AN$2:$AN$2001=1)*(元データ!$AE$2:$AE$2001=$C$37)*(元データ!$AO$2:$AO$2001=1)*(元データ!$AM$2:$AM$2001&gt;=8)*(元データ!$AM$2:$AM$2001&lt;=14)*(元データ!$E$2:$E$2001="30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37" s="185">
        <f>SUMPRODUCT((元データ!$AL$2:$AL$2001=1)*(元データ!$AN$2:$AN$2001=1)*(元データ!$AE$2:$AE$2001=$C$37)*(元データ!$AO$2:$AO$2001=1)*(元データ!$AM$2:$AM$2001&gt;=8)*(元データ!$AM$2:$AM$2001&lt;=14)*(元データ!$E$2:$E$2001="31 ＯＰ確認中"))</f>
        <v/>
      </c>
      <c r="W37" s="186">
        <f>IFERROR(_xlfn.TEXTJOIN(CHAR(10),TRUE,IF((元データ!$AL$2:$AL$2001=1)*(元データ!$AN$2:$AN$2001=1)*(元データ!$AE$2:$AE$2001=$C$37)*(元データ!$AO$2:$AO$2001=1)*(元データ!$AM$2:$AM$2001&gt;=8)*(元データ!$AM$2:$AM$2001&lt;=14)*(元データ!$E$2:$E$2001="31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37" s="185">
        <f>SUMPRODUCT((元データ!$AL$2:$AL$2001=1)*(元データ!$AN$2:$AN$2001=1)*(元データ!$AE$2:$AE$2001=$C$37)*(元データ!$AO$2:$AO$2001=1)*(元データ!$AM$2:$AM$2001&gt;=8)*(元データ!$AM$2:$AM$2001&lt;=14)*(元データ!$E$2:$E$2001="32 ＳＶ確認中"))</f>
        <v/>
      </c>
      <c r="Y37" s="186">
        <f>IFERROR(_xlfn.TEXTJOIN(CHAR(10),TRUE,IF((元データ!$AL$2:$AL$2001=1)*(元データ!$AN$2:$AN$2001=1)*(元データ!$AE$2:$AE$2001=$C$37)*(元データ!$AO$2:$AO$2001=1)*(元データ!$AM$2:$AM$2001&gt;=8)*(元データ!$AM$2:$AM$2001&lt;=14)*(元データ!$E$2:$E$2001="32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37" s="185">
        <f>SUMPRODUCT((元データ!$AL$2:$AL$2001=1)*(元データ!$AN$2:$AN$2001=1)*(元データ!$AE$2:$AE$2001=$C$37)*(元データ!$AO$2:$AO$2001=1)*(元データ!$AM$2:$AM$2001&gt;=8)*(元データ!$AM$2:$AM$2001&lt;=14)*(元データ!$E$2:$E$2001="40 差戻し"))</f>
        <v/>
      </c>
      <c r="AA37" s="186">
        <f>IFERROR(_xlfn.TEXTJOIN(CHAR(10),TRUE,IF((元データ!$AL$2:$AL$2001=1)*(元データ!$AN$2:$AN$2001=1)*(元データ!$AE$2:$AE$2001=$C$37)*(元データ!$AO$2:$AO$2001=1)*(元データ!$AM$2:$AM$2001&gt;=8)*(元データ!$AM$2:$AM$2001&lt;=14)*(元データ!$E$2:$E$2001="40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37" s="187">
        <f>SUMPRODUCT((元データ!$AL$2:$AL$2001=1)*(元データ!$AN$2:$AN$2001=1)*(元データ!$AE$2:$AE$2001=$C$37)*(元データ!$AO$2:$AO$2001=1)*(元データ!$AM$2:$AM$2001&gt;=15)*(元データ!$AM$2:$AM$2001&lt;=21))</f>
        <v/>
      </c>
      <c r="AC37" s="188">
        <f>SUMPRODUCT((元データ!$AL$2:$AL$2001=1)*(元データ!$AN$2:$AN$2001=1)*(元データ!$AE$2:$AE$2001=$C$37)*(元データ!$AO$2:$AO$2001=1)*(元データ!$AM$2:$AM$2001&gt;=15)*(元データ!$AM$2:$AM$2001&lt;=21)*(元データ!$E$2:$E$2001="20 確認待ち"))</f>
        <v/>
      </c>
      <c r="AD37" s="189">
        <f>IFERROR(_xlfn.TEXTJOIN(CHAR(10),TRUE,IF((元データ!$AL$2:$AL$2001=1)*(元データ!$AN$2:$AN$2001=1)*(元データ!$AE$2:$AE$2001=$C$37)*(元データ!$AO$2:$AO$2001=1)*(元データ!$AM$2:$AM$2001&gt;=15)*(元データ!$AM$2:$AM$2001&lt;=21)*(元データ!$E$2:$E$2001="20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37" s="188">
        <f>SUMPRODUCT((元データ!$AL$2:$AL$2001=1)*(元データ!$AN$2:$AN$2001=1)*(元データ!$AE$2:$AE$2001=$C$37)*(元データ!$AO$2:$AO$2001=1)*(元データ!$AM$2:$AM$2001&gt;=15)*(元データ!$AM$2:$AM$2001&lt;=21)*(元データ!$E$2:$E$2001="30 申請受付"))</f>
        <v/>
      </c>
      <c r="AF37" s="189">
        <f>IFERROR(_xlfn.TEXTJOIN(CHAR(10),TRUE,IF((元データ!$AL$2:$AL$2001=1)*(元データ!$AN$2:$AN$2001=1)*(元データ!$AE$2:$AE$2001=$C$37)*(元データ!$AO$2:$AO$2001=1)*(元データ!$AM$2:$AM$2001&gt;=15)*(元データ!$AM$2:$AM$2001&lt;=21)*(元データ!$E$2:$E$2001="30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37" s="188">
        <f>SUMPRODUCT((元データ!$AL$2:$AL$2001=1)*(元データ!$AN$2:$AN$2001=1)*(元データ!$AE$2:$AE$2001=$C$37)*(元データ!$AO$2:$AO$2001=1)*(元データ!$AM$2:$AM$2001&gt;=15)*(元データ!$AM$2:$AM$2001&lt;=21)*(元データ!$E$2:$E$2001="31 ＯＰ確認中"))</f>
        <v/>
      </c>
      <c r="AH37" s="189">
        <f>IFERROR(_xlfn.TEXTJOIN(CHAR(10),TRUE,IF((元データ!$AL$2:$AL$2001=1)*(元データ!$AN$2:$AN$2001=1)*(元データ!$AE$2:$AE$2001=$C$37)*(元データ!$AO$2:$AO$2001=1)*(元データ!$AM$2:$AM$2001&gt;=15)*(元データ!$AM$2:$AM$2001&lt;=21)*(元データ!$E$2:$E$2001="31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37" s="188">
        <f>SUMPRODUCT((元データ!$AL$2:$AL$2001=1)*(元データ!$AN$2:$AN$2001=1)*(元データ!$AE$2:$AE$2001=$C$37)*(元データ!$AO$2:$AO$2001=1)*(元データ!$AM$2:$AM$2001&gt;=15)*(元データ!$AM$2:$AM$2001&lt;=21)*(元データ!$E$2:$E$2001="32 ＳＶ確認中"))</f>
        <v/>
      </c>
      <c r="AJ37" s="189">
        <f>IFERROR(_xlfn.TEXTJOIN(CHAR(10),TRUE,IF((元データ!$AL$2:$AL$2001=1)*(元データ!$AN$2:$AN$2001=1)*(元データ!$AE$2:$AE$2001=$C$37)*(元データ!$AO$2:$AO$2001=1)*(元データ!$AM$2:$AM$2001&gt;=15)*(元データ!$AM$2:$AM$2001&lt;=21)*(元データ!$E$2:$E$2001="32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37" s="188">
        <f>SUMPRODUCT((元データ!$AL$2:$AL$2001=1)*(元データ!$AN$2:$AN$2001=1)*(元データ!$AE$2:$AE$2001=$C$37)*(元データ!$AO$2:$AO$2001=1)*(元データ!$AM$2:$AM$2001&gt;=15)*(元データ!$AM$2:$AM$2001&lt;=21)*(元データ!$E$2:$E$2001="40 差戻し"))</f>
        <v/>
      </c>
      <c r="AL37" s="189">
        <f>IFERROR(_xlfn.TEXTJOIN(CHAR(10),TRUE,IF((元データ!$AL$2:$AL$2001=1)*(元データ!$AN$2:$AN$2001=1)*(元データ!$AE$2:$AE$2001=$C$37)*(元データ!$AO$2:$AO$2001=1)*(元データ!$AM$2:$AM$2001&gt;=15)*(元データ!$AM$2:$AM$2001&lt;=21)*(元データ!$E$2:$E$2001="40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37" s="190">
        <f>SUMPRODUCT((元データ!$AL$2:$AL$2001=1)*(元データ!$AN$2:$AN$2001=1)*(元データ!$AE$2:$AE$2001=$C$37)*(元データ!$AO$2:$AO$2001=1)*(元データ!$AM$2:$AM$2001&gt;=22)*(元データ!$AM$2:$AM$2001&lt;=30))</f>
        <v/>
      </c>
      <c r="AN37" s="191">
        <f>SUMPRODUCT((元データ!$AL$2:$AL$2001=1)*(元データ!$AN$2:$AN$2001=1)*(元データ!$AE$2:$AE$2001=$C$37)*(元データ!$AO$2:$AO$2001=1)*(元データ!$AM$2:$AM$2001&gt;=22)*(元データ!$AM$2:$AM$2001&lt;=30)*(元データ!$E$2:$E$2001="20 確認待ち"))</f>
        <v/>
      </c>
      <c r="AO37" s="192">
        <f>IFERROR(_xlfn.TEXTJOIN(CHAR(10),TRUE,IF((元データ!$AL$2:$AL$2001=1)*(元データ!$AN$2:$AN$2001=1)*(元データ!$AE$2:$AE$2001=$C$37)*(元データ!$AO$2:$AO$2001=1)*(元データ!$AM$2:$AM$2001&gt;=22)*(元データ!$AM$2:$AM$2001&lt;=30)*(元データ!$E$2:$E$2001="20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37" s="191">
        <f>SUMPRODUCT((元データ!$AL$2:$AL$2001=1)*(元データ!$AN$2:$AN$2001=1)*(元データ!$AE$2:$AE$2001=$C$37)*(元データ!$AO$2:$AO$2001=1)*(元データ!$AM$2:$AM$2001&gt;=22)*(元データ!$AM$2:$AM$2001&lt;=30)*(元データ!$E$2:$E$2001="30 申請受付"))</f>
        <v/>
      </c>
      <c r="AQ37" s="192">
        <f>IFERROR(_xlfn.TEXTJOIN(CHAR(10),TRUE,IF((元データ!$AL$2:$AL$2001=1)*(元データ!$AN$2:$AN$2001=1)*(元データ!$AE$2:$AE$2001=$C$37)*(元データ!$AO$2:$AO$2001=1)*(元データ!$AM$2:$AM$2001&gt;=22)*(元データ!$AM$2:$AM$2001&lt;=30)*(元データ!$E$2:$E$2001="30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37" s="191">
        <f>SUMPRODUCT((元データ!$AL$2:$AL$2001=1)*(元データ!$AN$2:$AN$2001=1)*(元データ!$AE$2:$AE$2001=$C$37)*(元データ!$AO$2:$AO$2001=1)*(元データ!$AM$2:$AM$2001&gt;=22)*(元データ!$AM$2:$AM$2001&lt;=30)*(元データ!$E$2:$E$2001="31 ＯＰ確認中"))</f>
        <v/>
      </c>
      <c r="AS37" s="192">
        <f>IFERROR(_xlfn.TEXTJOIN(CHAR(10),TRUE,IF((元データ!$AL$2:$AL$2001=1)*(元データ!$AN$2:$AN$2001=1)*(元データ!$AE$2:$AE$2001=$C$37)*(元データ!$AO$2:$AO$2001=1)*(元データ!$AM$2:$AM$2001&gt;=22)*(元データ!$AM$2:$AM$2001&lt;=30)*(元データ!$E$2:$E$2001="31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37" s="191">
        <f>SUMPRODUCT((元データ!$AL$2:$AL$2001=1)*(元データ!$AN$2:$AN$2001=1)*(元データ!$AE$2:$AE$2001=$C$37)*(元データ!$AO$2:$AO$2001=1)*(元データ!$AM$2:$AM$2001&gt;=22)*(元データ!$AM$2:$AM$2001&lt;=30)*(元データ!$E$2:$E$2001="32 ＳＶ確認中"))</f>
        <v/>
      </c>
      <c r="AU37" s="192">
        <f>IFERROR(_xlfn.TEXTJOIN(CHAR(10),TRUE,IF((元データ!$AL$2:$AL$2001=1)*(元データ!$AN$2:$AN$2001=1)*(元データ!$AE$2:$AE$2001=$C$37)*(元データ!$AO$2:$AO$2001=1)*(元データ!$AM$2:$AM$2001&gt;=22)*(元データ!$AM$2:$AM$2001&lt;=30)*(元データ!$E$2:$E$2001="32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37" s="191">
        <f>SUMPRODUCT((元データ!$AL$2:$AL$2001=1)*(元データ!$AN$2:$AN$2001=1)*(元データ!$AE$2:$AE$2001=$C$37)*(元データ!$AO$2:$AO$2001=1)*(元データ!$AM$2:$AM$2001&gt;=22)*(元データ!$AM$2:$AM$2001&lt;=30)*(元データ!$E$2:$E$2001="40 差戻し"))</f>
        <v/>
      </c>
      <c r="AW37" s="192">
        <f>IFERROR(_xlfn.TEXTJOIN(CHAR(10),TRUE,IF((元データ!$AL$2:$AL$2001=1)*(元データ!$AN$2:$AN$2001=1)*(元データ!$AE$2:$AE$2001=$C$37)*(元データ!$AO$2:$AO$2001=1)*(元データ!$AM$2:$AM$2001&gt;=22)*(元データ!$AM$2:$AM$2001&lt;=30)*(元データ!$E$2:$E$2001="40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37" s="193">
        <f>SUMPRODUCT((元データ!$AL$2:$AL$2001=1)*(元データ!$AN$2:$AN$2001=1)*(元データ!$AE$2:$AE$2001=$C$37)*(元データ!$AO$2:$AO$2001=1)*(元データ!$AM$2:$AM$2001&gt;=31))</f>
        <v/>
      </c>
      <c r="AY37" s="194">
        <f>SUMPRODUCT((元データ!$AL$2:$AL$2001=1)*(元データ!$AN$2:$AN$2001=1)*(元データ!$AE$2:$AE$2001=$C$37)*(元データ!$AO$2:$AO$2001=1)*(元データ!$AM$2:$AM$2001&gt;=31)*(元データ!$E$2:$E$2001="20 確認待ち"))</f>
        <v/>
      </c>
      <c r="AZ37" s="195">
        <f>IFERROR(_xlfn.TEXTJOIN(CHAR(10),TRUE,IF((元データ!$AL$2:$AL$2001=1)*(元データ!$AN$2:$AN$2001=1)*(元データ!$AE$2:$AE$2001=$C$37)*(元データ!$AO$2:$AO$2001=1)*(元データ!$AM$2:$AM$2001&gt;=31)*(元データ!$E$2:$E$2001="20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37" s="194">
        <f>SUMPRODUCT((元データ!$AL$2:$AL$2001=1)*(元データ!$AN$2:$AN$2001=1)*(元データ!$AE$2:$AE$2001=$C$37)*(元データ!$AO$2:$AO$2001=1)*(元データ!$AM$2:$AM$2001&gt;=31)*(元データ!$E$2:$E$2001="30 申請受付"))</f>
        <v/>
      </c>
      <c r="BB37" s="195">
        <f>IFERROR(_xlfn.TEXTJOIN(CHAR(10),TRUE,IF((元データ!$AL$2:$AL$2001=1)*(元データ!$AN$2:$AN$2001=1)*(元データ!$AE$2:$AE$2001=$C$37)*(元データ!$AO$2:$AO$2001=1)*(元データ!$AM$2:$AM$2001&gt;=31)*(元データ!$E$2:$E$2001="30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37" s="194">
        <f>SUMPRODUCT((元データ!$AL$2:$AL$2001=1)*(元データ!$AN$2:$AN$2001=1)*(元データ!$AE$2:$AE$2001=$C$37)*(元データ!$AO$2:$AO$2001=1)*(元データ!$AM$2:$AM$2001&gt;=31)*(元データ!$E$2:$E$2001="31 ＯＰ確認中"))</f>
        <v/>
      </c>
      <c r="BD37" s="195">
        <f>IFERROR(_xlfn.TEXTJOIN(CHAR(10),TRUE,IF((元データ!$AL$2:$AL$2001=1)*(元データ!$AN$2:$AN$2001=1)*(元データ!$AE$2:$AE$2001=$C$37)*(元データ!$AO$2:$AO$2001=1)*(元データ!$AM$2:$AM$2001&gt;=31)*(元データ!$E$2:$E$2001="31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37" s="194">
        <f>SUMPRODUCT((元データ!$AL$2:$AL$2001=1)*(元データ!$AN$2:$AN$2001=1)*(元データ!$AE$2:$AE$2001=$C$37)*(元データ!$AO$2:$AO$2001=1)*(元データ!$AM$2:$AM$2001&gt;=31)*(元データ!$E$2:$E$2001="32 ＳＶ確認中"))</f>
        <v/>
      </c>
      <c r="BF37" s="195">
        <f>IFERROR(_xlfn.TEXTJOIN(CHAR(10),TRUE,IF((元データ!$AL$2:$AL$2001=1)*(元データ!$AN$2:$AN$2001=1)*(元データ!$AE$2:$AE$2001=$C$37)*(元データ!$AO$2:$AO$2001=1)*(元データ!$AM$2:$AM$2001&gt;=31)*(元データ!$E$2:$E$2001="32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37" s="194">
        <f>SUMPRODUCT((元データ!$AL$2:$AL$2001=1)*(元データ!$AN$2:$AN$2001=1)*(元データ!$AE$2:$AE$2001=$C$37)*(元データ!$AO$2:$AO$2001=1)*(元データ!$AM$2:$AM$2001&gt;=31)*(元データ!$E$2:$E$2001="40 差戻し"))</f>
        <v/>
      </c>
      <c r="BH37" s="195">
        <f>IFERROR(_xlfn.TEXTJOIN(CHAR(10),TRUE,IF((元データ!$AL$2:$AL$2001=1)*(元データ!$AN$2:$AN$2001=1)*(元データ!$AE$2:$AE$2001=$C$37)*(元データ!$AO$2:$AO$2001=1)*(元データ!$AM$2:$AM$2001&gt;=31)*(元データ!$E$2:$E$2001="40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38" ht="19.5" customHeight="1" s="87">
      <c r="B38" s="155" t="n"/>
      <c r="C38" s="156" t="n"/>
      <c r="D38" s="157" t="inlineStr">
        <is>
          <t>なし</t>
        </is>
      </c>
      <c r="E38" s="158">
        <f>SUMPRODUCT((元データ!$AL$2:$AL$2001=1)*(元データ!$AN$2:$AN$2001=1)*(元データ!$AE$2:$AE$2001=$C$37)*(元データ!$AO$2:$AO$2001=0))</f>
        <v/>
      </c>
      <c r="F38" s="196">
        <f>SUMPRODUCT((元データ!$AL$2:$AL$2001=1)*(元データ!$AN$2:$AN$2001=1)*(元データ!$AE$2:$AE$2001=$C$37)*(元データ!$AO$2:$AO$2001=0)*(元データ!$AM$2:$AM$2001&lt;=7))</f>
        <v/>
      </c>
      <c r="G38" s="197">
        <f>SUMPRODUCT((元データ!$AL$2:$AL$2001=1)*(元データ!$AN$2:$AN$2001=1)*(元データ!$AE$2:$AE$2001=$C$37)*(元データ!$AO$2:$AO$2001=0)*(元データ!$AM$2:$AM$2001&lt;=7)*(元データ!$E$2:$E$2001="20 確認待ち"))</f>
        <v/>
      </c>
      <c r="H38" s="198">
        <f>IFERROR(_xlfn.TEXTJOIN(CHAR(10),TRUE,IF((元データ!$AL$2:$AL$2001=1)*(元データ!$AN$2:$AN$2001=1)*(元データ!$AE$2:$AE$2001=$C$37)*(元データ!$AO$2:$AO$2001=0)*(元データ!$AM$2:$AM$2001&lt;=7)*(元データ!$E$2:$E$2001="20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38" s="197">
        <f>SUMPRODUCT((元データ!$AL$2:$AL$2001=1)*(元データ!$AN$2:$AN$2001=1)*(元データ!$AE$2:$AE$2001=$C$37)*(元データ!$AO$2:$AO$2001=0)*(元データ!$AM$2:$AM$2001&lt;=7)*(元データ!$E$2:$E$2001="30 申請受付"))</f>
        <v/>
      </c>
      <c r="J38" s="198">
        <f>IFERROR(_xlfn.TEXTJOIN(CHAR(10),TRUE,IF((元データ!$AL$2:$AL$2001=1)*(元データ!$AN$2:$AN$2001=1)*(元データ!$AE$2:$AE$2001=$C$37)*(元データ!$AO$2:$AO$2001=0)*(元データ!$AM$2:$AM$2001&lt;=7)*(元データ!$E$2:$E$2001="30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38" s="197">
        <f>SUMPRODUCT((元データ!$AL$2:$AL$2001=1)*(元データ!$AN$2:$AN$2001=1)*(元データ!$AE$2:$AE$2001=$C$37)*(元データ!$AO$2:$AO$2001=0)*(元データ!$AM$2:$AM$2001&lt;=7)*(元データ!$E$2:$E$2001="31 ＯＰ確認中"))</f>
        <v/>
      </c>
      <c r="L38" s="198">
        <f>IFERROR(_xlfn.TEXTJOIN(CHAR(10),TRUE,IF((元データ!$AL$2:$AL$2001=1)*(元データ!$AN$2:$AN$2001=1)*(元データ!$AE$2:$AE$2001=$C$37)*(元データ!$AO$2:$AO$2001=0)*(元データ!$AM$2:$AM$2001&lt;=7)*(元データ!$E$2:$E$2001="31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38" s="197">
        <f>SUMPRODUCT((元データ!$AL$2:$AL$2001=1)*(元データ!$AN$2:$AN$2001=1)*(元データ!$AE$2:$AE$2001=$C$37)*(元データ!$AO$2:$AO$2001=0)*(元データ!$AM$2:$AM$2001&lt;=7)*(元データ!$E$2:$E$2001="32 ＳＶ確認中"))</f>
        <v/>
      </c>
      <c r="N38" s="198">
        <f>IFERROR(_xlfn.TEXTJOIN(CHAR(10),TRUE,IF((元データ!$AL$2:$AL$2001=1)*(元データ!$AN$2:$AN$2001=1)*(元データ!$AE$2:$AE$2001=$C$37)*(元データ!$AO$2:$AO$2001=0)*(元データ!$AM$2:$AM$2001&lt;=7)*(元データ!$E$2:$E$2001="32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38" s="197">
        <f>SUMPRODUCT((元データ!$AL$2:$AL$2001=1)*(元データ!$AN$2:$AN$2001=1)*(元データ!$AE$2:$AE$2001=$C$37)*(元データ!$AO$2:$AO$2001=0)*(元データ!$AM$2:$AM$2001&lt;=7)*(元データ!$E$2:$E$2001="40 差戻し"))</f>
        <v/>
      </c>
      <c r="P38" s="198">
        <f>IFERROR(_xlfn.TEXTJOIN(CHAR(10),TRUE,IF((元データ!$AL$2:$AL$2001=1)*(元データ!$AN$2:$AN$2001=1)*(元データ!$AE$2:$AE$2001=$C$37)*(元データ!$AO$2:$AO$2001=0)*(元データ!$AM$2:$AM$2001&lt;=7)*(元データ!$E$2:$E$2001="40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38" s="196">
        <f>SUMPRODUCT((元データ!$AL$2:$AL$2001=1)*(元データ!$AN$2:$AN$2001=1)*(元データ!$AE$2:$AE$2001=$C$37)*(元データ!$AO$2:$AO$2001=0)*(元データ!$AM$2:$AM$2001&gt;=8)*(元データ!$AM$2:$AM$2001&lt;=14))</f>
        <v/>
      </c>
      <c r="R38" s="197">
        <f>SUMPRODUCT((元データ!$AL$2:$AL$2001=1)*(元データ!$AN$2:$AN$2001=1)*(元データ!$AE$2:$AE$2001=$C$37)*(元データ!$AO$2:$AO$2001=0)*(元データ!$AM$2:$AM$2001&gt;=8)*(元データ!$AM$2:$AM$2001&lt;=14)*(元データ!$E$2:$E$2001="20 確認待ち"))</f>
        <v/>
      </c>
      <c r="S38" s="198">
        <f>IFERROR(_xlfn.TEXTJOIN(CHAR(10),TRUE,IF((元データ!$AL$2:$AL$2001=1)*(元データ!$AN$2:$AN$2001=1)*(元データ!$AE$2:$AE$2001=$C$37)*(元データ!$AO$2:$AO$2001=0)*(元データ!$AM$2:$AM$2001&gt;=8)*(元データ!$AM$2:$AM$2001&lt;=14)*(元データ!$E$2:$E$2001="20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38" s="197">
        <f>SUMPRODUCT((元データ!$AL$2:$AL$2001=1)*(元データ!$AN$2:$AN$2001=1)*(元データ!$AE$2:$AE$2001=$C$37)*(元データ!$AO$2:$AO$2001=0)*(元データ!$AM$2:$AM$2001&gt;=8)*(元データ!$AM$2:$AM$2001&lt;=14)*(元データ!$E$2:$E$2001="30 申請受付"))</f>
        <v/>
      </c>
      <c r="U38" s="198">
        <f>IFERROR(_xlfn.TEXTJOIN(CHAR(10),TRUE,IF((元データ!$AL$2:$AL$2001=1)*(元データ!$AN$2:$AN$2001=1)*(元データ!$AE$2:$AE$2001=$C$37)*(元データ!$AO$2:$AO$2001=0)*(元データ!$AM$2:$AM$2001&gt;=8)*(元データ!$AM$2:$AM$2001&lt;=14)*(元データ!$E$2:$E$2001="30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38" s="197">
        <f>SUMPRODUCT((元データ!$AL$2:$AL$2001=1)*(元データ!$AN$2:$AN$2001=1)*(元データ!$AE$2:$AE$2001=$C$37)*(元データ!$AO$2:$AO$2001=0)*(元データ!$AM$2:$AM$2001&gt;=8)*(元データ!$AM$2:$AM$2001&lt;=14)*(元データ!$E$2:$E$2001="31 ＯＰ確認中"))</f>
        <v/>
      </c>
      <c r="W38" s="198">
        <f>IFERROR(_xlfn.TEXTJOIN(CHAR(10),TRUE,IF((元データ!$AL$2:$AL$2001=1)*(元データ!$AN$2:$AN$2001=1)*(元データ!$AE$2:$AE$2001=$C$37)*(元データ!$AO$2:$AO$2001=0)*(元データ!$AM$2:$AM$2001&gt;=8)*(元データ!$AM$2:$AM$2001&lt;=14)*(元データ!$E$2:$E$2001="31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38" s="197">
        <f>SUMPRODUCT((元データ!$AL$2:$AL$2001=1)*(元データ!$AN$2:$AN$2001=1)*(元データ!$AE$2:$AE$2001=$C$37)*(元データ!$AO$2:$AO$2001=0)*(元データ!$AM$2:$AM$2001&gt;=8)*(元データ!$AM$2:$AM$2001&lt;=14)*(元データ!$E$2:$E$2001="32 ＳＶ確認中"))</f>
        <v/>
      </c>
      <c r="Y38" s="198">
        <f>IFERROR(_xlfn.TEXTJOIN(CHAR(10),TRUE,IF((元データ!$AL$2:$AL$2001=1)*(元データ!$AN$2:$AN$2001=1)*(元データ!$AE$2:$AE$2001=$C$37)*(元データ!$AO$2:$AO$2001=0)*(元データ!$AM$2:$AM$2001&gt;=8)*(元データ!$AM$2:$AM$2001&lt;=14)*(元データ!$E$2:$E$2001="32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38" s="197">
        <f>SUMPRODUCT((元データ!$AL$2:$AL$2001=1)*(元データ!$AN$2:$AN$2001=1)*(元データ!$AE$2:$AE$2001=$C$37)*(元データ!$AO$2:$AO$2001=0)*(元データ!$AM$2:$AM$2001&gt;=8)*(元データ!$AM$2:$AM$2001&lt;=14)*(元データ!$E$2:$E$2001="40 差戻し"))</f>
        <v/>
      </c>
      <c r="AA38" s="198">
        <f>IFERROR(_xlfn.TEXTJOIN(CHAR(10),TRUE,IF((元データ!$AL$2:$AL$2001=1)*(元データ!$AN$2:$AN$2001=1)*(元データ!$AE$2:$AE$2001=$C$37)*(元データ!$AO$2:$AO$2001=0)*(元データ!$AM$2:$AM$2001&gt;=8)*(元データ!$AM$2:$AM$2001&lt;=14)*(元データ!$E$2:$E$2001="40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38" s="187">
        <f>SUMPRODUCT((元データ!$AL$2:$AL$2001=1)*(元データ!$AN$2:$AN$2001=1)*(元データ!$AE$2:$AE$2001=$C$37)*(元データ!$AO$2:$AO$2001=0)*(元データ!$AM$2:$AM$2001&gt;=15)*(元データ!$AM$2:$AM$2001&lt;=21))</f>
        <v/>
      </c>
      <c r="AC38" s="188">
        <f>SUMPRODUCT((元データ!$AL$2:$AL$2001=1)*(元データ!$AN$2:$AN$2001=1)*(元データ!$AE$2:$AE$2001=$C$37)*(元データ!$AO$2:$AO$2001=0)*(元データ!$AM$2:$AM$2001&gt;=15)*(元データ!$AM$2:$AM$2001&lt;=21)*(元データ!$E$2:$E$2001="20 確認待ち"))</f>
        <v/>
      </c>
      <c r="AD38" s="189">
        <f>IFERROR(_xlfn.TEXTJOIN(CHAR(10),TRUE,IF((元データ!$AL$2:$AL$2001=1)*(元データ!$AN$2:$AN$2001=1)*(元データ!$AE$2:$AE$2001=$C$37)*(元データ!$AO$2:$AO$2001=0)*(元データ!$AM$2:$AM$2001&gt;=15)*(元データ!$AM$2:$AM$2001&lt;=21)*(元データ!$E$2:$E$2001="20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38" s="188">
        <f>SUMPRODUCT((元データ!$AL$2:$AL$2001=1)*(元データ!$AN$2:$AN$2001=1)*(元データ!$AE$2:$AE$2001=$C$37)*(元データ!$AO$2:$AO$2001=0)*(元データ!$AM$2:$AM$2001&gt;=15)*(元データ!$AM$2:$AM$2001&lt;=21)*(元データ!$E$2:$E$2001="30 申請受付"))</f>
        <v/>
      </c>
      <c r="AF38" s="189">
        <f>IFERROR(_xlfn.TEXTJOIN(CHAR(10),TRUE,IF((元データ!$AL$2:$AL$2001=1)*(元データ!$AN$2:$AN$2001=1)*(元データ!$AE$2:$AE$2001=$C$37)*(元データ!$AO$2:$AO$2001=0)*(元データ!$AM$2:$AM$2001&gt;=15)*(元データ!$AM$2:$AM$2001&lt;=21)*(元データ!$E$2:$E$2001="30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38" s="188">
        <f>SUMPRODUCT((元データ!$AL$2:$AL$2001=1)*(元データ!$AN$2:$AN$2001=1)*(元データ!$AE$2:$AE$2001=$C$37)*(元データ!$AO$2:$AO$2001=0)*(元データ!$AM$2:$AM$2001&gt;=15)*(元データ!$AM$2:$AM$2001&lt;=21)*(元データ!$E$2:$E$2001="31 ＯＰ確認中"))</f>
        <v/>
      </c>
      <c r="AH38" s="189">
        <f>IFERROR(_xlfn.TEXTJOIN(CHAR(10),TRUE,IF((元データ!$AL$2:$AL$2001=1)*(元データ!$AN$2:$AN$2001=1)*(元データ!$AE$2:$AE$2001=$C$37)*(元データ!$AO$2:$AO$2001=0)*(元データ!$AM$2:$AM$2001&gt;=15)*(元データ!$AM$2:$AM$2001&lt;=21)*(元データ!$E$2:$E$2001="31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38" s="188">
        <f>SUMPRODUCT((元データ!$AL$2:$AL$2001=1)*(元データ!$AN$2:$AN$2001=1)*(元データ!$AE$2:$AE$2001=$C$37)*(元データ!$AO$2:$AO$2001=0)*(元データ!$AM$2:$AM$2001&gt;=15)*(元データ!$AM$2:$AM$2001&lt;=21)*(元データ!$E$2:$E$2001="32 ＳＶ確認中"))</f>
        <v/>
      </c>
      <c r="AJ38" s="189">
        <f>IFERROR(_xlfn.TEXTJOIN(CHAR(10),TRUE,IF((元データ!$AL$2:$AL$2001=1)*(元データ!$AN$2:$AN$2001=1)*(元データ!$AE$2:$AE$2001=$C$37)*(元データ!$AO$2:$AO$2001=0)*(元データ!$AM$2:$AM$2001&gt;=15)*(元データ!$AM$2:$AM$2001&lt;=21)*(元データ!$E$2:$E$2001="32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38" s="188">
        <f>SUMPRODUCT((元データ!$AL$2:$AL$2001=1)*(元データ!$AN$2:$AN$2001=1)*(元データ!$AE$2:$AE$2001=$C$37)*(元データ!$AO$2:$AO$2001=0)*(元データ!$AM$2:$AM$2001&gt;=15)*(元データ!$AM$2:$AM$2001&lt;=21)*(元データ!$E$2:$E$2001="40 差戻し"))</f>
        <v/>
      </c>
      <c r="AL38" s="189">
        <f>IFERROR(_xlfn.TEXTJOIN(CHAR(10),TRUE,IF((元データ!$AL$2:$AL$2001=1)*(元データ!$AN$2:$AN$2001=1)*(元データ!$AE$2:$AE$2001=$C$37)*(元データ!$AO$2:$AO$2001=0)*(元データ!$AM$2:$AM$2001&gt;=15)*(元データ!$AM$2:$AM$2001&lt;=21)*(元データ!$E$2:$E$2001="40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38" s="190">
        <f>SUMPRODUCT((元データ!$AL$2:$AL$2001=1)*(元データ!$AN$2:$AN$2001=1)*(元データ!$AE$2:$AE$2001=$C$37)*(元データ!$AO$2:$AO$2001=0)*(元データ!$AM$2:$AM$2001&gt;=22)*(元データ!$AM$2:$AM$2001&lt;=30))</f>
        <v/>
      </c>
      <c r="AN38" s="191">
        <f>SUMPRODUCT((元データ!$AL$2:$AL$2001=1)*(元データ!$AN$2:$AN$2001=1)*(元データ!$AE$2:$AE$2001=$C$37)*(元データ!$AO$2:$AO$2001=0)*(元データ!$AM$2:$AM$2001&gt;=22)*(元データ!$AM$2:$AM$2001&lt;=30)*(元データ!$E$2:$E$2001="20 確認待ち"))</f>
        <v/>
      </c>
      <c r="AO38" s="192">
        <f>IFERROR(_xlfn.TEXTJOIN(CHAR(10),TRUE,IF((元データ!$AL$2:$AL$2001=1)*(元データ!$AN$2:$AN$2001=1)*(元データ!$AE$2:$AE$2001=$C$37)*(元データ!$AO$2:$AO$2001=0)*(元データ!$AM$2:$AM$2001&gt;=22)*(元データ!$AM$2:$AM$2001&lt;=30)*(元データ!$E$2:$E$2001="20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38" s="191">
        <f>SUMPRODUCT((元データ!$AL$2:$AL$2001=1)*(元データ!$AN$2:$AN$2001=1)*(元データ!$AE$2:$AE$2001=$C$37)*(元データ!$AO$2:$AO$2001=0)*(元データ!$AM$2:$AM$2001&gt;=22)*(元データ!$AM$2:$AM$2001&lt;=30)*(元データ!$E$2:$E$2001="30 申請受付"))</f>
        <v/>
      </c>
      <c r="AQ38" s="192">
        <f>IFERROR(_xlfn.TEXTJOIN(CHAR(10),TRUE,IF((元データ!$AL$2:$AL$2001=1)*(元データ!$AN$2:$AN$2001=1)*(元データ!$AE$2:$AE$2001=$C$37)*(元データ!$AO$2:$AO$2001=0)*(元データ!$AM$2:$AM$2001&gt;=22)*(元データ!$AM$2:$AM$2001&lt;=30)*(元データ!$E$2:$E$2001="30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38" s="191">
        <f>SUMPRODUCT((元データ!$AL$2:$AL$2001=1)*(元データ!$AN$2:$AN$2001=1)*(元データ!$AE$2:$AE$2001=$C$37)*(元データ!$AO$2:$AO$2001=0)*(元データ!$AM$2:$AM$2001&gt;=22)*(元データ!$AM$2:$AM$2001&lt;=30)*(元データ!$E$2:$E$2001="31 ＯＰ確認中"))</f>
        <v/>
      </c>
      <c r="AS38" s="192">
        <f>IFERROR(_xlfn.TEXTJOIN(CHAR(10),TRUE,IF((元データ!$AL$2:$AL$2001=1)*(元データ!$AN$2:$AN$2001=1)*(元データ!$AE$2:$AE$2001=$C$37)*(元データ!$AO$2:$AO$2001=0)*(元データ!$AM$2:$AM$2001&gt;=22)*(元データ!$AM$2:$AM$2001&lt;=30)*(元データ!$E$2:$E$2001="31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38" s="191">
        <f>SUMPRODUCT((元データ!$AL$2:$AL$2001=1)*(元データ!$AN$2:$AN$2001=1)*(元データ!$AE$2:$AE$2001=$C$37)*(元データ!$AO$2:$AO$2001=0)*(元データ!$AM$2:$AM$2001&gt;=22)*(元データ!$AM$2:$AM$2001&lt;=30)*(元データ!$E$2:$E$2001="32 ＳＶ確認中"))</f>
        <v/>
      </c>
      <c r="AU38" s="192">
        <f>IFERROR(_xlfn.TEXTJOIN(CHAR(10),TRUE,IF((元データ!$AL$2:$AL$2001=1)*(元データ!$AN$2:$AN$2001=1)*(元データ!$AE$2:$AE$2001=$C$37)*(元データ!$AO$2:$AO$2001=0)*(元データ!$AM$2:$AM$2001&gt;=22)*(元データ!$AM$2:$AM$2001&lt;=30)*(元データ!$E$2:$E$2001="32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38" s="191">
        <f>SUMPRODUCT((元データ!$AL$2:$AL$2001=1)*(元データ!$AN$2:$AN$2001=1)*(元データ!$AE$2:$AE$2001=$C$37)*(元データ!$AO$2:$AO$2001=0)*(元データ!$AM$2:$AM$2001&gt;=22)*(元データ!$AM$2:$AM$2001&lt;=30)*(元データ!$E$2:$E$2001="40 差戻し"))</f>
        <v/>
      </c>
      <c r="AW38" s="192">
        <f>IFERROR(_xlfn.TEXTJOIN(CHAR(10),TRUE,IF((元データ!$AL$2:$AL$2001=1)*(元データ!$AN$2:$AN$2001=1)*(元データ!$AE$2:$AE$2001=$C$37)*(元データ!$AO$2:$AO$2001=0)*(元データ!$AM$2:$AM$2001&gt;=22)*(元データ!$AM$2:$AM$2001&lt;=30)*(元データ!$E$2:$E$2001="40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38" s="193">
        <f>SUMPRODUCT((元データ!$AL$2:$AL$2001=1)*(元データ!$AN$2:$AN$2001=1)*(元データ!$AE$2:$AE$2001=$C$37)*(元データ!$AO$2:$AO$2001=0)*(元データ!$AM$2:$AM$2001&gt;=31))</f>
        <v/>
      </c>
      <c r="AY38" s="194">
        <f>SUMPRODUCT((元データ!$AL$2:$AL$2001=1)*(元データ!$AN$2:$AN$2001=1)*(元データ!$AE$2:$AE$2001=$C$37)*(元データ!$AO$2:$AO$2001=0)*(元データ!$AM$2:$AM$2001&gt;=31)*(元データ!$E$2:$E$2001="20 確認待ち"))</f>
        <v/>
      </c>
      <c r="AZ38" s="195">
        <f>IFERROR(_xlfn.TEXTJOIN(CHAR(10),TRUE,IF((元データ!$AL$2:$AL$2001=1)*(元データ!$AN$2:$AN$2001=1)*(元データ!$AE$2:$AE$2001=$C$37)*(元データ!$AO$2:$AO$2001=0)*(元データ!$AM$2:$AM$2001&gt;=31)*(元データ!$E$2:$E$2001="20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38" s="194">
        <f>SUMPRODUCT((元データ!$AL$2:$AL$2001=1)*(元データ!$AN$2:$AN$2001=1)*(元データ!$AE$2:$AE$2001=$C$37)*(元データ!$AO$2:$AO$2001=0)*(元データ!$AM$2:$AM$2001&gt;=31)*(元データ!$E$2:$E$2001="30 申請受付"))</f>
        <v/>
      </c>
      <c r="BB38" s="195">
        <f>IFERROR(_xlfn.TEXTJOIN(CHAR(10),TRUE,IF((元データ!$AL$2:$AL$2001=1)*(元データ!$AN$2:$AN$2001=1)*(元データ!$AE$2:$AE$2001=$C$37)*(元データ!$AO$2:$AO$2001=0)*(元データ!$AM$2:$AM$2001&gt;=31)*(元データ!$E$2:$E$2001="30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38" s="194">
        <f>SUMPRODUCT((元データ!$AL$2:$AL$2001=1)*(元データ!$AN$2:$AN$2001=1)*(元データ!$AE$2:$AE$2001=$C$37)*(元データ!$AO$2:$AO$2001=0)*(元データ!$AM$2:$AM$2001&gt;=31)*(元データ!$E$2:$E$2001="31 ＯＰ確認中"))</f>
        <v/>
      </c>
      <c r="BD38" s="195">
        <f>IFERROR(_xlfn.TEXTJOIN(CHAR(10),TRUE,IF((元データ!$AL$2:$AL$2001=1)*(元データ!$AN$2:$AN$2001=1)*(元データ!$AE$2:$AE$2001=$C$37)*(元データ!$AO$2:$AO$2001=0)*(元データ!$AM$2:$AM$2001&gt;=31)*(元データ!$E$2:$E$2001="31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38" s="194">
        <f>SUMPRODUCT((元データ!$AL$2:$AL$2001=1)*(元データ!$AN$2:$AN$2001=1)*(元データ!$AE$2:$AE$2001=$C$37)*(元データ!$AO$2:$AO$2001=0)*(元データ!$AM$2:$AM$2001&gt;=31)*(元データ!$E$2:$E$2001="32 ＳＶ確認中"))</f>
        <v/>
      </c>
      <c r="BF38" s="195">
        <f>IFERROR(_xlfn.TEXTJOIN(CHAR(10),TRUE,IF((元データ!$AL$2:$AL$2001=1)*(元データ!$AN$2:$AN$2001=1)*(元データ!$AE$2:$AE$2001=$C$37)*(元データ!$AO$2:$AO$2001=0)*(元データ!$AM$2:$AM$2001&gt;=31)*(元データ!$E$2:$E$2001="32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38" s="194">
        <f>SUMPRODUCT((元データ!$AL$2:$AL$2001=1)*(元データ!$AN$2:$AN$2001=1)*(元データ!$AE$2:$AE$2001=$C$37)*(元データ!$AO$2:$AO$2001=0)*(元データ!$AM$2:$AM$2001&gt;=31)*(元データ!$E$2:$E$2001="40 差戻し"))</f>
        <v/>
      </c>
      <c r="BH38" s="195">
        <f>IFERROR(_xlfn.TEXTJOIN(CHAR(10),TRUE,IF((元データ!$AL$2:$AL$2001=1)*(元データ!$AN$2:$AN$2001=1)*(元データ!$AE$2:$AE$2001=$C$37)*(元データ!$AO$2:$AO$2001=0)*(元データ!$AM$2:$AM$2001&gt;=31)*(元データ!$E$2:$E$2001="40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39" ht="19.5" customHeight="1" s="87">
      <c r="B39" s="139" t="n"/>
      <c r="C39" s="140" t="inlineStr">
        <is>
          <t>30 養子縁組</t>
        </is>
      </c>
      <c r="D39" s="141" t="inlineStr">
        <is>
          <t>あり</t>
        </is>
      </c>
      <c r="E39" s="142">
        <f>SUMPRODUCT((元データ!$AL$2:$AL$2001=1)*(元データ!$AN$2:$AN$2001=1)*(元データ!$AE$2:$AE$2001=$C$39)*(元データ!$AO$2:$AO$2001=1))</f>
        <v/>
      </c>
      <c r="F39" s="184">
        <f>SUMPRODUCT((元データ!$AL$2:$AL$2001=1)*(元データ!$AN$2:$AN$2001=1)*(元データ!$AE$2:$AE$2001=$C$39)*(元データ!$AO$2:$AO$2001=1)*(元データ!$AM$2:$AM$2001&lt;=7))</f>
        <v/>
      </c>
      <c r="G39" s="185">
        <f>SUMPRODUCT((元データ!$AL$2:$AL$2001=1)*(元データ!$AN$2:$AN$2001=1)*(元データ!$AE$2:$AE$2001=$C$39)*(元データ!$AO$2:$AO$2001=1)*(元データ!$AM$2:$AM$2001&lt;=7)*(元データ!$E$2:$E$2001="20 確認待ち"))</f>
        <v/>
      </c>
      <c r="H39" s="186">
        <f>IFERROR(_xlfn.TEXTJOIN(CHAR(10),TRUE,IF((元データ!$AL$2:$AL$2001=1)*(元データ!$AN$2:$AN$2001=1)*(元データ!$AE$2:$AE$2001=$C$39)*(元データ!$AO$2:$AO$2001=1)*(元データ!$AM$2:$AM$2001&lt;=7)*(元データ!$E$2:$E$2001="20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39" s="185">
        <f>SUMPRODUCT((元データ!$AL$2:$AL$2001=1)*(元データ!$AN$2:$AN$2001=1)*(元データ!$AE$2:$AE$2001=$C$39)*(元データ!$AO$2:$AO$2001=1)*(元データ!$AM$2:$AM$2001&lt;=7)*(元データ!$E$2:$E$2001="30 申請受付"))</f>
        <v/>
      </c>
      <c r="J39" s="186">
        <f>IFERROR(_xlfn.TEXTJOIN(CHAR(10),TRUE,IF((元データ!$AL$2:$AL$2001=1)*(元データ!$AN$2:$AN$2001=1)*(元データ!$AE$2:$AE$2001=$C$39)*(元データ!$AO$2:$AO$2001=1)*(元データ!$AM$2:$AM$2001&lt;=7)*(元データ!$E$2:$E$2001="30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39" s="185">
        <f>SUMPRODUCT((元データ!$AL$2:$AL$2001=1)*(元データ!$AN$2:$AN$2001=1)*(元データ!$AE$2:$AE$2001=$C$39)*(元データ!$AO$2:$AO$2001=1)*(元データ!$AM$2:$AM$2001&lt;=7)*(元データ!$E$2:$E$2001="31 ＯＰ確認中"))</f>
        <v/>
      </c>
      <c r="L39" s="186">
        <f>IFERROR(_xlfn.TEXTJOIN(CHAR(10),TRUE,IF((元データ!$AL$2:$AL$2001=1)*(元データ!$AN$2:$AN$2001=1)*(元データ!$AE$2:$AE$2001=$C$39)*(元データ!$AO$2:$AO$2001=1)*(元データ!$AM$2:$AM$2001&lt;=7)*(元データ!$E$2:$E$2001="31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39" s="185">
        <f>SUMPRODUCT((元データ!$AL$2:$AL$2001=1)*(元データ!$AN$2:$AN$2001=1)*(元データ!$AE$2:$AE$2001=$C$39)*(元データ!$AO$2:$AO$2001=1)*(元データ!$AM$2:$AM$2001&lt;=7)*(元データ!$E$2:$E$2001="32 ＳＶ確認中"))</f>
        <v/>
      </c>
      <c r="N39" s="186">
        <f>IFERROR(_xlfn.TEXTJOIN(CHAR(10),TRUE,IF((元データ!$AL$2:$AL$2001=1)*(元データ!$AN$2:$AN$2001=1)*(元データ!$AE$2:$AE$2001=$C$39)*(元データ!$AO$2:$AO$2001=1)*(元データ!$AM$2:$AM$2001&lt;=7)*(元データ!$E$2:$E$2001="32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39" s="185">
        <f>SUMPRODUCT((元データ!$AL$2:$AL$2001=1)*(元データ!$AN$2:$AN$2001=1)*(元データ!$AE$2:$AE$2001=$C$39)*(元データ!$AO$2:$AO$2001=1)*(元データ!$AM$2:$AM$2001&lt;=7)*(元データ!$E$2:$E$2001="40 差戻し"))</f>
        <v/>
      </c>
      <c r="P39" s="186">
        <f>IFERROR(_xlfn.TEXTJOIN(CHAR(10),TRUE,IF((元データ!$AL$2:$AL$2001=1)*(元データ!$AN$2:$AN$2001=1)*(元データ!$AE$2:$AE$2001=$C$39)*(元データ!$AO$2:$AO$2001=1)*(元データ!$AM$2:$AM$2001&lt;=7)*(元データ!$E$2:$E$2001="40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39" s="184">
        <f>SUMPRODUCT((元データ!$AL$2:$AL$2001=1)*(元データ!$AN$2:$AN$2001=1)*(元データ!$AE$2:$AE$2001=$C$39)*(元データ!$AO$2:$AO$2001=1)*(元データ!$AM$2:$AM$2001&gt;=8)*(元データ!$AM$2:$AM$2001&lt;=14))</f>
        <v/>
      </c>
      <c r="R39" s="185">
        <f>SUMPRODUCT((元データ!$AL$2:$AL$2001=1)*(元データ!$AN$2:$AN$2001=1)*(元データ!$AE$2:$AE$2001=$C$39)*(元データ!$AO$2:$AO$2001=1)*(元データ!$AM$2:$AM$2001&gt;=8)*(元データ!$AM$2:$AM$2001&lt;=14)*(元データ!$E$2:$E$2001="20 確認待ち"))</f>
        <v/>
      </c>
      <c r="S39" s="186">
        <f>IFERROR(_xlfn.TEXTJOIN(CHAR(10),TRUE,IF((元データ!$AL$2:$AL$2001=1)*(元データ!$AN$2:$AN$2001=1)*(元データ!$AE$2:$AE$2001=$C$39)*(元データ!$AO$2:$AO$2001=1)*(元データ!$AM$2:$AM$2001&gt;=8)*(元データ!$AM$2:$AM$2001&lt;=14)*(元データ!$E$2:$E$2001="20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39" s="185">
        <f>SUMPRODUCT((元データ!$AL$2:$AL$2001=1)*(元データ!$AN$2:$AN$2001=1)*(元データ!$AE$2:$AE$2001=$C$39)*(元データ!$AO$2:$AO$2001=1)*(元データ!$AM$2:$AM$2001&gt;=8)*(元データ!$AM$2:$AM$2001&lt;=14)*(元データ!$E$2:$E$2001="30 申請受付"))</f>
        <v/>
      </c>
      <c r="U39" s="186">
        <f>IFERROR(_xlfn.TEXTJOIN(CHAR(10),TRUE,IF((元データ!$AL$2:$AL$2001=1)*(元データ!$AN$2:$AN$2001=1)*(元データ!$AE$2:$AE$2001=$C$39)*(元データ!$AO$2:$AO$2001=1)*(元データ!$AM$2:$AM$2001&gt;=8)*(元データ!$AM$2:$AM$2001&lt;=14)*(元データ!$E$2:$E$2001="30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39" s="185">
        <f>SUMPRODUCT((元データ!$AL$2:$AL$2001=1)*(元データ!$AN$2:$AN$2001=1)*(元データ!$AE$2:$AE$2001=$C$39)*(元データ!$AO$2:$AO$2001=1)*(元データ!$AM$2:$AM$2001&gt;=8)*(元データ!$AM$2:$AM$2001&lt;=14)*(元データ!$E$2:$E$2001="31 ＯＰ確認中"))</f>
        <v/>
      </c>
      <c r="W39" s="186">
        <f>IFERROR(_xlfn.TEXTJOIN(CHAR(10),TRUE,IF((元データ!$AL$2:$AL$2001=1)*(元データ!$AN$2:$AN$2001=1)*(元データ!$AE$2:$AE$2001=$C$39)*(元データ!$AO$2:$AO$2001=1)*(元データ!$AM$2:$AM$2001&gt;=8)*(元データ!$AM$2:$AM$2001&lt;=14)*(元データ!$E$2:$E$2001="31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39" s="185">
        <f>SUMPRODUCT((元データ!$AL$2:$AL$2001=1)*(元データ!$AN$2:$AN$2001=1)*(元データ!$AE$2:$AE$2001=$C$39)*(元データ!$AO$2:$AO$2001=1)*(元データ!$AM$2:$AM$2001&gt;=8)*(元データ!$AM$2:$AM$2001&lt;=14)*(元データ!$E$2:$E$2001="32 ＳＶ確認中"))</f>
        <v/>
      </c>
      <c r="Y39" s="186">
        <f>IFERROR(_xlfn.TEXTJOIN(CHAR(10),TRUE,IF((元データ!$AL$2:$AL$2001=1)*(元データ!$AN$2:$AN$2001=1)*(元データ!$AE$2:$AE$2001=$C$39)*(元データ!$AO$2:$AO$2001=1)*(元データ!$AM$2:$AM$2001&gt;=8)*(元データ!$AM$2:$AM$2001&lt;=14)*(元データ!$E$2:$E$2001="32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39" s="185">
        <f>SUMPRODUCT((元データ!$AL$2:$AL$2001=1)*(元データ!$AN$2:$AN$2001=1)*(元データ!$AE$2:$AE$2001=$C$39)*(元データ!$AO$2:$AO$2001=1)*(元データ!$AM$2:$AM$2001&gt;=8)*(元データ!$AM$2:$AM$2001&lt;=14)*(元データ!$E$2:$E$2001="40 差戻し"))</f>
        <v/>
      </c>
      <c r="AA39" s="186">
        <f>IFERROR(_xlfn.TEXTJOIN(CHAR(10),TRUE,IF((元データ!$AL$2:$AL$2001=1)*(元データ!$AN$2:$AN$2001=1)*(元データ!$AE$2:$AE$2001=$C$39)*(元データ!$AO$2:$AO$2001=1)*(元データ!$AM$2:$AM$2001&gt;=8)*(元データ!$AM$2:$AM$2001&lt;=14)*(元データ!$E$2:$E$2001="40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39" s="187">
        <f>SUMPRODUCT((元データ!$AL$2:$AL$2001=1)*(元データ!$AN$2:$AN$2001=1)*(元データ!$AE$2:$AE$2001=$C$39)*(元データ!$AO$2:$AO$2001=1)*(元データ!$AM$2:$AM$2001&gt;=15)*(元データ!$AM$2:$AM$2001&lt;=21))</f>
        <v/>
      </c>
      <c r="AC39" s="188">
        <f>SUMPRODUCT((元データ!$AL$2:$AL$2001=1)*(元データ!$AN$2:$AN$2001=1)*(元データ!$AE$2:$AE$2001=$C$39)*(元データ!$AO$2:$AO$2001=1)*(元データ!$AM$2:$AM$2001&gt;=15)*(元データ!$AM$2:$AM$2001&lt;=21)*(元データ!$E$2:$E$2001="20 確認待ち"))</f>
        <v/>
      </c>
      <c r="AD39" s="189">
        <f>IFERROR(_xlfn.TEXTJOIN(CHAR(10),TRUE,IF((元データ!$AL$2:$AL$2001=1)*(元データ!$AN$2:$AN$2001=1)*(元データ!$AE$2:$AE$2001=$C$39)*(元データ!$AO$2:$AO$2001=1)*(元データ!$AM$2:$AM$2001&gt;=15)*(元データ!$AM$2:$AM$2001&lt;=21)*(元データ!$E$2:$E$2001="20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39" s="188">
        <f>SUMPRODUCT((元データ!$AL$2:$AL$2001=1)*(元データ!$AN$2:$AN$2001=1)*(元データ!$AE$2:$AE$2001=$C$39)*(元データ!$AO$2:$AO$2001=1)*(元データ!$AM$2:$AM$2001&gt;=15)*(元データ!$AM$2:$AM$2001&lt;=21)*(元データ!$E$2:$E$2001="30 申請受付"))</f>
        <v/>
      </c>
      <c r="AF39" s="189">
        <f>IFERROR(_xlfn.TEXTJOIN(CHAR(10),TRUE,IF((元データ!$AL$2:$AL$2001=1)*(元データ!$AN$2:$AN$2001=1)*(元データ!$AE$2:$AE$2001=$C$39)*(元データ!$AO$2:$AO$2001=1)*(元データ!$AM$2:$AM$2001&gt;=15)*(元データ!$AM$2:$AM$2001&lt;=21)*(元データ!$E$2:$E$2001="30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39" s="188">
        <f>SUMPRODUCT((元データ!$AL$2:$AL$2001=1)*(元データ!$AN$2:$AN$2001=1)*(元データ!$AE$2:$AE$2001=$C$39)*(元データ!$AO$2:$AO$2001=1)*(元データ!$AM$2:$AM$2001&gt;=15)*(元データ!$AM$2:$AM$2001&lt;=21)*(元データ!$E$2:$E$2001="31 ＯＰ確認中"))</f>
        <v/>
      </c>
      <c r="AH39" s="189">
        <f>IFERROR(_xlfn.TEXTJOIN(CHAR(10),TRUE,IF((元データ!$AL$2:$AL$2001=1)*(元データ!$AN$2:$AN$2001=1)*(元データ!$AE$2:$AE$2001=$C$39)*(元データ!$AO$2:$AO$2001=1)*(元データ!$AM$2:$AM$2001&gt;=15)*(元データ!$AM$2:$AM$2001&lt;=21)*(元データ!$E$2:$E$2001="31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39" s="188">
        <f>SUMPRODUCT((元データ!$AL$2:$AL$2001=1)*(元データ!$AN$2:$AN$2001=1)*(元データ!$AE$2:$AE$2001=$C$39)*(元データ!$AO$2:$AO$2001=1)*(元データ!$AM$2:$AM$2001&gt;=15)*(元データ!$AM$2:$AM$2001&lt;=21)*(元データ!$E$2:$E$2001="32 ＳＶ確認中"))</f>
        <v/>
      </c>
      <c r="AJ39" s="189">
        <f>IFERROR(_xlfn.TEXTJOIN(CHAR(10),TRUE,IF((元データ!$AL$2:$AL$2001=1)*(元データ!$AN$2:$AN$2001=1)*(元データ!$AE$2:$AE$2001=$C$39)*(元データ!$AO$2:$AO$2001=1)*(元データ!$AM$2:$AM$2001&gt;=15)*(元データ!$AM$2:$AM$2001&lt;=21)*(元データ!$E$2:$E$2001="32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39" s="188">
        <f>SUMPRODUCT((元データ!$AL$2:$AL$2001=1)*(元データ!$AN$2:$AN$2001=1)*(元データ!$AE$2:$AE$2001=$C$39)*(元データ!$AO$2:$AO$2001=1)*(元データ!$AM$2:$AM$2001&gt;=15)*(元データ!$AM$2:$AM$2001&lt;=21)*(元データ!$E$2:$E$2001="40 差戻し"))</f>
        <v/>
      </c>
      <c r="AL39" s="189">
        <f>IFERROR(_xlfn.TEXTJOIN(CHAR(10),TRUE,IF((元データ!$AL$2:$AL$2001=1)*(元データ!$AN$2:$AN$2001=1)*(元データ!$AE$2:$AE$2001=$C$39)*(元データ!$AO$2:$AO$2001=1)*(元データ!$AM$2:$AM$2001&gt;=15)*(元データ!$AM$2:$AM$2001&lt;=21)*(元データ!$E$2:$E$2001="40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39" s="190">
        <f>SUMPRODUCT((元データ!$AL$2:$AL$2001=1)*(元データ!$AN$2:$AN$2001=1)*(元データ!$AE$2:$AE$2001=$C$39)*(元データ!$AO$2:$AO$2001=1)*(元データ!$AM$2:$AM$2001&gt;=22)*(元データ!$AM$2:$AM$2001&lt;=30))</f>
        <v/>
      </c>
      <c r="AN39" s="191">
        <f>SUMPRODUCT((元データ!$AL$2:$AL$2001=1)*(元データ!$AN$2:$AN$2001=1)*(元データ!$AE$2:$AE$2001=$C$39)*(元データ!$AO$2:$AO$2001=1)*(元データ!$AM$2:$AM$2001&gt;=22)*(元データ!$AM$2:$AM$2001&lt;=30)*(元データ!$E$2:$E$2001="20 確認待ち"))</f>
        <v/>
      </c>
      <c r="AO39" s="192">
        <f>IFERROR(_xlfn.TEXTJOIN(CHAR(10),TRUE,IF((元データ!$AL$2:$AL$2001=1)*(元データ!$AN$2:$AN$2001=1)*(元データ!$AE$2:$AE$2001=$C$39)*(元データ!$AO$2:$AO$2001=1)*(元データ!$AM$2:$AM$2001&gt;=22)*(元データ!$AM$2:$AM$2001&lt;=30)*(元データ!$E$2:$E$2001="20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39" s="191">
        <f>SUMPRODUCT((元データ!$AL$2:$AL$2001=1)*(元データ!$AN$2:$AN$2001=1)*(元データ!$AE$2:$AE$2001=$C$39)*(元データ!$AO$2:$AO$2001=1)*(元データ!$AM$2:$AM$2001&gt;=22)*(元データ!$AM$2:$AM$2001&lt;=30)*(元データ!$E$2:$E$2001="30 申請受付"))</f>
        <v/>
      </c>
      <c r="AQ39" s="192">
        <f>IFERROR(_xlfn.TEXTJOIN(CHAR(10),TRUE,IF((元データ!$AL$2:$AL$2001=1)*(元データ!$AN$2:$AN$2001=1)*(元データ!$AE$2:$AE$2001=$C$39)*(元データ!$AO$2:$AO$2001=1)*(元データ!$AM$2:$AM$2001&gt;=22)*(元データ!$AM$2:$AM$2001&lt;=30)*(元データ!$E$2:$E$2001="30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39" s="191">
        <f>SUMPRODUCT((元データ!$AL$2:$AL$2001=1)*(元データ!$AN$2:$AN$2001=1)*(元データ!$AE$2:$AE$2001=$C$39)*(元データ!$AO$2:$AO$2001=1)*(元データ!$AM$2:$AM$2001&gt;=22)*(元データ!$AM$2:$AM$2001&lt;=30)*(元データ!$E$2:$E$2001="31 ＯＰ確認中"))</f>
        <v/>
      </c>
      <c r="AS39" s="192">
        <f>IFERROR(_xlfn.TEXTJOIN(CHAR(10),TRUE,IF((元データ!$AL$2:$AL$2001=1)*(元データ!$AN$2:$AN$2001=1)*(元データ!$AE$2:$AE$2001=$C$39)*(元データ!$AO$2:$AO$2001=1)*(元データ!$AM$2:$AM$2001&gt;=22)*(元データ!$AM$2:$AM$2001&lt;=30)*(元データ!$E$2:$E$2001="31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39" s="191">
        <f>SUMPRODUCT((元データ!$AL$2:$AL$2001=1)*(元データ!$AN$2:$AN$2001=1)*(元データ!$AE$2:$AE$2001=$C$39)*(元データ!$AO$2:$AO$2001=1)*(元データ!$AM$2:$AM$2001&gt;=22)*(元データ!$AM$2:$AM$2001&lt;=30)*(元データ!$E$2:$E$2001="32 ＳＶ確認中"))</f>
        <v/>
      </c>
      <c r="AU39" s="192">
        <f>IFERROR(_xlfn.TEXTJOIN(CHAR(10),TRUE,IF((元データ!$AL$2:$AL$2001=1)*(元データ!$AN$2:$AN$2001=1)*(元データ!$AE$2:$AE$2001=$C$39)*(元データ!$AO$2:$AO$2001=1)*(元データ!$AM$2:$AM$2001&gt;=22)*(元データ!$AM$2:$AM$2001&lt;=30)*(元データ!$E$2:$E$2001="32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39" s="191">
        <f>SUMPRODUCT((元データ!$AL$2:$AL$2001=1)*(元データ!$AN$2:$AN$2001=1)*(元データ!$AE$2:$AE$2001=$C$39)*(元データ!$AO$2:$AO$2001=1)*(元データ!$AM$2:$AM$2001&gt;=22)*(元データ!$AM$2:$AM$2001&lt;=30)*(元データ!$E$2:$E$2001="40 差戻し"))</f>
        <v/>
      </c>
      <c r="AW39" s="192">
        <f>IFERROR(_xlfn.TEXTJOIN(CHAR(10),TRUE,IF((元データ!$AL$2:$AL$2001=1)*(元データ!$AN$2:$AN$2001=1)*(元データ!$AE$2:$AE$2001=$C$39)*(元データ!$AO$2:$AO$2001=1)*(元データ!$AM$2:$AM$2001&gt;=22)*(元データ!$AM$2:$AM$2001&lt;=30)*(元データ!$E$2:$E$2001="40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39" s="193">
        <f>SUMPRODUCT((元データ!$AL$2:$AL$2001=1)*(元データ!$AN$2:$AN$2001=1)*(元データ!$AE$2:$AE$2001=$C$39)*(元データ!$AO$2:$AO$2001=1)*(元データ!$AM$2:$AM$2001&gt;=31))</f>
        <v/>
      </c>
      <c r="AY39" s="194">
        <f>SUMPRODUCT((元データ!$AL$2:$AL$2001=1)*(元データ!$AN$2:$AN$2001=1)*(元データ!$AE$2:$AE$2001=$C$39)*(元データ!$AO$2:$AO$2001=1)*(元データ!$AM$2:$AM$2001&gt;=31)*(元データ!$E$2:$E$2001="20 確認待ち"))</f>
        <v/>
      </c>
      <c r="AZ39" s="195">
        <f>IFERROR(_xlfn.TEXTJOIN(CHAR(10),TRUE,IF((元データ!$AL$2:$AL$2001=1)*(元データ!$AN$2:$AN$2001=1)*(元データ!$AE$2:$AE$2001=$C$39)*(元データ!$AO$2:$AO$2001=1)*(元データ!$AM$2:$AM$2001&gt;=31)*(元データ!$E$2:$E$2001="20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39" s="194">
        <f>SUMPRODUCT((元データ!$AL$2:$AL$2001=1)*(元データ!$AN$2:$AN$2001=1)*(元データ!$AE$2:$AE$2001=$C$39)*(元データ!$AO$2:$AO$2001=1)*(元データ!$AM$2:$AM$2001&gt;=31)*(元データ!$E$2:$E$2001="30 申請受付"))</f>
        <v/>
      </c>
      <c r="BB39" s="195">
        <f>IFERROR(_xlfn.TEXTJOIN(CHAR(10),TRUE,IF((元データ!$AL$2:$AL$2001=1)*(元データ!$AN$2:$AN$2001=1)*(元データ!$AE$2:$AE$2001=$C$39)*(元データ!$AO$2:$AO$2001=1)*(元データ!$AM$2:$AM$2001&gt;=31)*(元データ!$E$2:$E$2001="30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39" s="194">
        <f>SUMPRODUCT((元データ!$AL$2:$AL$2001=1)*(元データ!$AN$2:$AN$2001=1)*(元データ!$AE$2:$AE$2001=$C$39)*(元データ!$AO$2:$AO$2001=1)*(元データ!$AM$2:$AM$2001&gt;=31)*(元データ!$E$2:$E$2001="31 ＯＰ確認中"))</f>
        <v/>
      </c>
      <c r="BD39" s="195">
        <f>IFERROR(_xlfn.TEXTJOIN(CHAR(10),TRUE,IF((元データ!$AL$2:$AL$2001=1)*(元データ!$AN$2:$AN$2001=1)*(元データ!$AE$2:$AE$2001=$C$39)*(元データ!$AO$2:$AO$2001=1)*(元データ!$AM$2:$AM$2001&gt;=31)*(元データ!$E$2:$E$2001="31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39" s="194">
        <f>SUMPRODUCT((元データ!$AL$2:$AL$2001=1)*(元データ!$AN$2:$AN$2001=1)*(元データ!$AE$2:$AE$2001=$C$39)*(元データ!$AO$2:$AO$2001=1)*(元データ!$AM$2:$AM$2001&gt;=31)*(元データ!$E$2:$E$2001="32 ＳＶ確認中"))</f>
        <v/>
      </c>
      <c r="BF39" s="195">
        <f>IFERROR(_xlfn.TEXTJOIN(CHAR(10),TRUE,IF((元データ!$AL$2:$AL$2001=1)*(元データ!$AN$2:$AN$2001=1)*(元データ!$AE$2:$AE$2001=$C$39)*(元データ!$AO$2:$AO$2001=1)*(元データ!$AM$2:$AM$2001&gt;=31)*(元データ!$E$2:$E$2001="32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39" s="194">
        <f>SUMPRODUCT((元データ!$AL$2:$AL$2001=1)*(元データ!$AN$2:$AN$2001=1)*(元データ!$AE$2:$AE$2001=$C$39)*(元データ!$AO$2:$AO$2001=1)*(元データ!$AM$2:$AM$2001&gt;=31)*(元データ!$E$2:$E$2001="40 差戻し"))</f>
        <v/>
      </c>
      <c r="BH39" s="195">
        <f>IFERROR(_xlfn.TEXTJOIN(CHAR(10),TRUE,IF((元データ!$AL$2:$AL$2001=1)*(元データ!$AN$2:$AN$2001=1)*(元データ!$AE$2:$AE$2001=$C$39)*(元データ!$AO$2:$AO$2001=1)*(元データ!$AM$2:$AM$2001&gt;=31)*(元データ!$E$2:$E$2001="40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40" ht="19.5" customHeight="1" s="87">
      <c r="B40" s="155" t="n"/>
      <c r="C40" s="156" t="n"/>
      <c r="D40" s="157" t="inlineStr">
        <is>
          <t>なし</t>
        </is>
      </c>
      <c r="E40" s="158">
        <f>SUMPRODUCT((元データ!$AL$2:$AL$2001=1)*(元データ!$AN$2:$AN$2001=1)*(元データ!$AE$2:$AE$2001=$C$39)*(元データ!$AO$2:$AO$2001=0))</f>
        <v/>
      </c>
      <c r="F40" s="196">
        <f>SUMPRODUCT((元データ!$AL$2:$AL$2001=1)*(元データ!$AN$2:$AN$2001=1)*(元データ!$AE$2:$AE$2001=$C$39)*(元データ!$AO$2:$AO$2001=0)*(元データ!$AM$2:$AM$2001&lt;=7))</f>
        <v/>
      </c>
      <c r="G40" s="197">
        <f>SUMPRODUCT((元データ!$AL$2:$AL$2001=1)*(元データ!$AN$2:$AN$2001=1)*(元データ!$AE$2:$AE$2001=$C$39)*(元データ!$AO$2:$AO$2001=0)*(元データ!$AM$2:$AM$2001&lt;=7)*(元データ!$E$2:$E$2001="20 確認待ち"))</f>
        <v/>
      </c>
      <c r="H40" s="198">
        <f>IFERROR(_xlfn.TEXTJOIN(CHAR(10),TRUE,IF((元データ!$AL$2:$AL$2001=1)*(元データ!$AN$2:$AN$2001=1)*(元データ!$AE$2:$AE$2001=$C$39)*(元データ!$AO$2:$AO$2001=0)*(元データ!$AM$2:$AM$2001&lt;=7)*(元データ!$E$2:$E$2001="20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40" s="197">
        <f>SUMPRODUCT((元データ!$AL$2:$AL$2001=1)*(元データ!$AN$2:$AN$2001=1)*(元データ!$AE$2:$AE$2001=$C$39)*(元データ!$AO$2:$AO$2001=0)*(元データ!$AM$2:$AM$2001&lt;=7)*(元データ!$E$2:$E$2001="30 申請受付"))</f>
        <v/>
      </c>
      <c r="J40" s="198">
        <f>IFERROR(_xlfn.TEXTJOIN(CHAR(10),TRUE,IF((元データ!$AL$2:$AL$2001=1)*(元データ!$AN$2:$AN$2001=1)*(元データ!$AE$2:$AE$2001=$C$39)*(元データ!$AO$2:$AO$2001=0)*(元データ!$AM$2:$AM$2001&lt;=7)*(元データ!$E$2:$E$2001="30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40" s="197">
        <f>SUMPRODUCT((元データ!$AL$2:$AL$2001=1)*(元データ!$AN$2:$AN$2001=1)*(元データ!$AE$2:$AE$2001=$C$39)*(元データ!$AO$2:$AO$2001=0)*(元データ!$AM$2:$AM$2001&lt;=7)*(元データ!$E$2:$E$2001="31 ＯＰ確認中"))</f>
        <v/>
      </c>
      <c r="L40" s="198">
        <f>IFERROR(_xlfn.TEXTJOIN(CHAR(10),TRUE,IF((元データ!$AL$2:$AL$2001=1)*(元データ!$AN$2:$AN$2001=1)*(元データ!$AE$2:$AE$2001=$C$39)*(元データ!$AO$2:$AO$2001=0)*(元データ!$AM$2:$AM$2001&lt;=7)*(元データ!$E$2:$E$2001="31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40" s="197">
        <f>SUMPRODUCT((元データ!$AL$2:$AL$2001=1)*(元データ!$AN$2:$AN$2001=1)*(元データ!$AE$2:$AE$2001=$C$39)*(元データ!$AO$2:$AO$2001=0)*(元データ!$AM$2:$AM$2001&lt;=7)*(元データ!$E$2:$E$2001="32 ＳＶ確認中"))</f>
        <v/>
      </c>
      <c r="N40" s="198">
        <f>IFERROR(_xlfn.TEXTJOIN(CHAR(10),TRUE,IF((元データ!$AL$2:$AL$2001=1)*(元データ!$AN$2:$AN$2001=1)*(元データ!$AE$2:$AE$2001=$C$39)*(元データ!$AO$2:$AO$2001=0)*(元データ!$AM$2:$AM$2001&lt;=7)*(元データ!$E$2:$E$2001="32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40" s="197">
        <f>SUMPRODUCT((元データ!$AL$2:$AL$2001=1)*(元データ!$AN$2:$AN$2001=1)*(元データ!$AE$2:$AE$2001=$C$39)*(元データ!$AO$2:$AO$2001=0)*(元データ!$AM$2:$AM$2001&lt;=7)*(元データ!$E$2:$E$2001="40 差戻し"))</f>
        <v/>
      </c>
      <c r="P40" s="198">
        <f>IFERROR(_xlfn.TEXTJOIN(CHAR(10),TRUE,IF((元データ!$AL$2:$AL$2001=1)*(元データ!$AN$2:$AN$2001=1)*(元データ!$AE$2:$AE$2001=$C$39)*(元データ!$AO$2:$AO$2001=0)*(元データ!$AM$2:$AM$2001&lt;=7)*(元データ!$E$2:$E$2001="40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40" s="196">
        <f>SUMPRODUCT((元データ!$AL$2:$AL$2001=1)*(元データ!$AN$2:$AN$2001=1)*(元データ!$AE$2:$AE$2001=$C$39)*(元データ!$AO$2:$AO$2001=0)*(元データ!$AM$2:$AM$2001&gt;=8)*(元データ!$AM$2:$AM$2001&lt;=14))</f>
        <v/>
      </c>
      <c r="R40" s="197">
        <f>SUMPRODUCT((元データ!$AL$2:$AL$2001=1)*(元データ!$AN$2:$AN$2001=1)*(元データ!$AE$2:$AE$2001=$C$39)*(元データ!$AO$2:$AO$2001=0)*(元データ!$AM$2:$AM$2001&gt;=8)*(元データ!$AM$2:$AM$2001&lt;=14)*(元データ!$E$2:$E$2001="20 確認待ち"))</f>
        <v/>
      </c>
      <c r="S40" s="198">
        <f>IFERROR(_xlfn.TEXTJOIN(CHAR(10),TRUE,IF((元データ!$AL$2:$AL$2001=1)*(元データ!$AN$2:$AN$2001=1)*(元データ!$AE$2:$AE$2001=$C$39)*(元データ!$AO$2:$AO$2001=0)*(元データ!$AM$2:$AM$2001&gt;=8)*(元データ!$AM$2:$AM$2001&lt;=14)*(元データ!$E$2:$E$2001="20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40" s="197">
        <f>SUMPRODUCT((元データ!$AL$2:$AL$2001=1)*(元データ!$AN$2:$AN$2001=1)*(元データ!$AE$2:$AE$2001=$C$39)*(元データ!$AO$2:$AO$2001=0)*(元データ!$AM$2:$AM$2001&gt;=8)*(元データ!$AM$2:$AM$2001&lt;=14)*(元データ!$E$2:$E$2001="30 申請受付"))</f>
        <v/>
      </c>
      <c r="U40" s="198">
        <f>IFERROR(_xlfn.TEXTJOIN(CHAR(10),TRUE,IF((元データ!$AL$2:$AL$2001=1)*(元データ!$AN$2:$AN$2001=1)*(元データ!$AE$2:$AE$2001=$C$39)*(元データ!$AO$2:$AO$2001=0)*(元データ!$AM$2:$AM$2001&gt;=8)*(元データ!$AM$2:$AM$2001&lt;=14)*(元データ!$E$2:$E$2001="30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40" s="197">
        <f>SUMPRODUCT((元データ!$AL$2:$AL$2001=1)*(元データ!$AN$2:$AN$2001=1)*(元データ!$AE$2:$AE$2001=$C$39)*(元データ!$AO$2:$AO$2001=0)*(元データ!$AM$2:$AM$2001&gt;=8)*(元データ!$AM$2:$AM$2001&lt;=14)*(元データ!$E$2:$E$2001="31 ＯＰ確認中"))</f>
        <v/>
      </c>
      <c r="W40" s="198">
        <f>IFERROR(_xlfn.TEXTJOIN(CHAR(10),TRUE,IF((元データ!$AL$2:$AL$2001=1)*(元データ!$AN$2:$AN$2001=1)*(元データ!$AE$2:$AE$2001=$C$39)*(元データ!$AO$2:$AO$2001=0)*(元データ!$AM$2:$AM$2001&gt;=8)*(元データ!$AM$2:$AM$2001&lt;=14)*(元データ!$E$2:$E$2001="31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40" s="197">
        <f>SUMPRODUCT((元データ!$AL$2:$AL$2001=1)*(元データ!$AN$2:$AN$2001=1)*(元データ!$AE$2:$AE$2001=$C$39)*(元データ!$AO$2:$AO$2001=0)*(元データ!$AM$2:$AM$2001&gt;=8)*(元データ!$AM$2:$AM$2001&lt;=14)*(元データ!$E$2:$E$2001="32 ＳＶ確認中"))</f>
        <v/>
      </c>
      <c r="Y40" s="198">
        <f>IFERROR(_xlfn.TEXTJOIN(CHAR(10),TRUE,IF((元データ!$AL$2:$AL$2001=1)*(元データ!$AN$2:$AN$2001=1)*(元データ!$AE$2:$AE$2001=$C$39)*(元データ!$AO$2:$AO$2001=0)*(元データ!$AM$2:$AM$2001&gt;=8)*(元データ!$AM$2:$AM$2001&lt;=14)*(元データ!$E$2:$E$2001="32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40" s="197">
        <f>SUMPRODUCT((元データ!$AL$2:$AL$2001=1)*(元データ!$AN$2:$AN$2001=1)*(元データ!$AE$2:$AE$2001=$C$39)*(元データ!$AO$2:$AO$2001=0)*(元データ!$AM$2:$AM$2001&gt;=8)*(元データ!$AM$2:$AM$2001&lt;=14)*(元データ!$E$2:$E$2001="40 差戻し"))</f>
        <v/>
      </c>
      <c r="AA40" s="198">
        <f>IFERROR(_xlfn.TEXTJOIN(CHAR(10),TRUE,IF((元データ!$AL$2:$AL$2001=1)*(元データ!$AN$2:$AN$2001=1)*(元データ!$AE$2:$AE$2001=$C$39)*(元データ!$AO$2:$AO$2001=0)*(元データ!$AM$2:$AM$2001&gt;=8)*(元データ!$AM$2:$AM$2001&lt;=14)*(元データ!$E$2:$E$2001="40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40" s="187">
        <f>SUMPRODUCT((元データ!$AL$2:$AL$2001=1)*(元データ!$AN$2:$AN$2001=1)*(元データ!$AE$2:$AE$2001=$C$39)*(元データ!$AO$2:$AO$2001=0)*(元データ!$AM$2:$AM$2001&gt;=15)*(元データ!$AM$2:$AM$2001&lt;=21))</f>
        <v/>
      </c>
      <c r="AC40" s="188">
        <f>SUMPRODUCT((元データ!$AL$2:$AL$2001=1)*(元データ!$AN$2:$AN$2001=1)*(元データ!$AE$2:$AE$2001=$C$39)*(元データ!$AO$2:$AO$2001=0)*(元データ!$AM$2:$AM$2001&gt;=15)*(元データ!$AM$2:$AM$2001&lt;=21)*(元データ!$E$2:$E$2001="20 確認待ち"))</f>
        <v/>
      </c>
      <c r="AD40" s="189">
        <f>IFERROR(_xlfn.TEXTJOIN(CHAR(10),TRUE,IF((元データ!$AL$2:$AL$2001=1)*(元データ!$AN$2:$AN$2001=1)*(元データ!$AE$2:$AE$2001=$C$39)*(元データ!$AO$2:$AO$2001=0)*(元データ!$AM$2:$AM$2001&gt;=15)*(元データ!$AM$2:$AM$2001&lt;=21)*(元データ!$E$2:$E$2001="20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40" s="188">
        <f>SUMPRODUCT((元データ!$AL$2:$AL$2001=1)*(元データ!$AN$2:$AN$2001=1)*(元データ!$AE$2:$AE$2001=$C$39)*(元データ!$AO$2:$AO$2001=0)*(元データ!$AM$2:$AM$2001&gt;=15)*(元データ!$AM$2:$AM$2001&lt;=21)*(元データ!$E$2:$E$2001="30 申請受付"))</f>
        <v/>
      </c>
      <c r="AF40" s="189">
        <f>IFERROR(_xlfn.TEXTJOIN(CHAR(10),TRUE,IF((元データ!$AL$2:$AL$2001=1)*(元データ!$AN$2:$AN$2001=1)*(元データ!$AE$2:$AE$2001=$C$39)*(元データ!$AO$2:$AO$2001=0)*(元データ!$AM$2:$AM$2001&gt;=15)*(元データ!$AM$2:$AM$2001&lt;=21)*(元データ!$E$2:$E$2001="30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40" s="188">
        <f>SUMPRODUCT((元データ!$AL$2:$AL$2001=1)*(元データ!$AN$2:$AN$2001=1)*(元データ!$AE$2:$AE$2001=$C$39)*(元データ!$AO$2:$AO$2001=0)*(元データ!$AM$2:$AM$2001&gt;=15)*(元データ!$AM$2:$AM$2001&lt;=21)*(元データ!$E$2:$E$2001="31 ＯＰ確認中"))</f>
        <v/>
      </c>
      <c r="AH40" s="189">
        <f>IFERROR(_xlfn.TEXTJOIN(CHAR(10),TRUE,IF((元データ!$AL$2:$AL$2001=1)*(元データ!$AN$2:$AN$2001=1)*(元データ!$AE$2:$AE$2001=$C$39)*(元データ!$AO$2:$AO$2001=0)*(元データ!$AM$2:$AM$2001&gt;=15)*(元データ!$AM$2:$AM$2001&lt;=21)*(元データ!$E$2:$E$2001="31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40" s="188">
        <f>SUMPRODUCT((元データ!$AL$2:$AL$2001=1)*(元データ!$AN$2:$AN$2001=1)*(元データ!$AE$2:$AE$2001=$C$39)*(元データ!$AO$2:$AO$2001=0)*(元データ!$AM$2:$AM$2001&gt;=15)*(元データ!$AM$2:$AM$2001&lt;=21)*(元データ!$E$2:$E$2001="32 ＳＶ確認中"))</f>
        <v/>
      </c>
      <c r="AJ40" s="189">
        <f>IFERROR(_xlfn.TEXTJOIN(CHAR(10),TRUE,IF((元データ!$AL$2:$AL$2001=1)*(元データ!$AN$2:$AN$2001=1)*(元データ!$AE$2:$AE$2001=$C$39)*(元データ!$AO$2:$AO$2001=0)*(元データ!$AM$2:$AM$2001&gt;=15)*(元データ!$AM$2:$AM$2001&lt;=21)*(元データ!$E$2:$E$2001="32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40" s="188">
        <f>SUMPRODUCT((元データ!$AL$2:$AL$2001=1)*(元データ!$AN$2:$AN$2001=1)*(元データ!$AE$2:$AE$2001=$C$39)*(元データ!$AO$2:$AO$2001=0)*(元データ!$AM$2:$AM$2001&gt;=15)*(元データ!$AM$2:$AM$2001&lt;=21)*(元データ!$E$2:$E$2001="40 差戻し"))</f>
        <v/>
      </c>
      <c r="AL40" s="189">
        <f>IFERROR(_xlfn.TEXTJOIN(CHAR(10),TRUE,IF((元データ!$AL$2:$AL$2001=1)*(元データ!$AN$2:$AN$2001=1)*(元データ!$AE$2:$AE$2001=$C$39)*(元データ!$AO$2:$AO$2001=0)*(元データ!$AM$2:$AM$2001&gt;=15)*(元データ!$AM$2:$AM$2001&lt;=21)*(元データ!$E$2:$E$2001="40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40" s="190">
        <f>SUMPRODUCT((元データ!$AL$2:$AL$2001=1)*(元データ!$AN$2:$AN$2001=1)*(元データ!$AE$2:$AE$2001=$C$39)*(元データ!$AO$2:$AO$2001=0)*(元データ!$AM$2:$AM$2001&gt;=22)*(元データ!$AM$2:$AM$2001&lt;=30))</f>
        <v/>
      </c>
      <c r="AN40" s="191">
        <f>SUMPRODUCT((元データ!$AL$2:$AL$2001=1)*(元データ!$AN$2:$AN$2001=1)*(元データ!$AE$2:$AE$2001=$C$39)*(元データ!$AO$2:$AO$2001=0)*(元データ!$AM$2:$AM$2001&gt;=22)*(元データ!$AM$2:$AM$2001&lt;=30)*(元データ!$E$2:$E$2001="20 確認待ち"))</f>
        <v/>
      </c>
      <c r="AO40" s="192">
        <f>IFERROR(_xlfn.TEXTJOIN(CHAR(10),TRUE,IF((元データ!$AL$2:$AL$2001=1)*(元データ!$AN$2:$AN$2001=1)*(元データ!$AE$2:$AE$2001=$C$39)*(元データ!$AO$2:$AO$2001=0)*(元データ!$AM$2:$AM$2001&gt;=22)*(元データ!$AM$2:$AM$2001&lt;=30)*(元データ!$E$2:$E$2001="20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40" s="191">
        <f>SUMPRODUCT((元データ!$AL$2:$AL$2001=1)*(元データ!$AN$2:$AN$2001=1)*(元データ!$AE$2:$AE$2001=$C$39)*(元データ!$AO$2:$AO$2001=0)*(元データ!$AM$2:$AM$2001&gt;=22)*(元データ!$AM$2:$AM$2001&lt;=30)*(元データ!$E$2:$E$2001="30 申請受付"))</f>
        <v/>
      </c>
      <c r="AQ40" s="192">
        <f>IFERROR(_xlfn.TEXTJOIN(CHAR(10),TRUE,IF((元データ!$AL$2:$AL$2001=1)*(元データ!$AN$2:$AN$2001=1)*(元データ!$AE$2:$AE$2001=$C$39)*(元データ!$AO$2:$AO$2001=0)*(元データ!$AM$2:$AM$2001&gt;=22)*(元データ!$AM$2:$AM$2001&lt;=30)*(元データ!$E$2:$E$2001="30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40" s="191">
        <f>SUMPRODUCT((元データ!$AL$2:$AL$2001=1)*(元データ!$AN$2:$AN$2001=1)*(元データ!$AE$2:$AE$2001=$C$39)*(元データ!$AO$2:$AO$2001=0)*(元データ!$AM$2:$AM$2001&gt;=22)*(元データ!$AM$2:$AM$2001&lt;=30)*(元データ!$E$2:$E$2001="31 ＯＰ確認中"))</f>
        <v/>
      </c>
      <c r="AS40" s="192">
        <f>IFERROR(_xlfn.TEXTJOIN(CHAR(10),TRUE,IF((元データ!$AL$2:$AL$2001=1)*(元データ!$AN$2:$AN$2001=1)*(元データ!$AE$2:$AE$2001=$C$39)*(元データ!$AO$2:$AO$2001=0)*(元データ!$AM$2:$AM$2001&gt;=22)*(元データ!$AM$2:$AM$2001&lt;=30)*(元データ!$E$2:$E$2001="31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40" s="191">
        <f>SUMPRODUCT((元データ!$AL$2:$AL$2001=1)*(元データ!$AN$2:$AN$2001=1)*(元データ!$AE$2:$AE$2001=$C$39)*(元データ!$AO$2:$AO$2001=0)*(元データ!$AM$2:$AM$2001&gt;=22)*(元データ!$AM$2:$AM$2001&lt;=30)*(元データ!$E$2:$E$2001="32 ＳＶ確認中"))</f>
        <v/>
      </c>
      <c r="AU40" s="192">
        <f>IFERROR(_xlfn.TEXTJOIN(CHAR(10),TRUE,IF((元データ!$AL$2:$AL$2001=1)*(元データ!$AN$2:$AN$2001=1)*(元データ!$AE$2:$AE$2001=$C$39)*(元データ!$AO$2:$AO$2001=0)*(元データ!$AM$2:$AM$2001&gt;=22)*(元データ!$AM$2:$AM$2001&lt;=30)*(元データ!$E$2:$E$2001="32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40" s="191">
        <f>SUMPRODUCT((元データ!$AL$2:$AL$2001=1)*(元データ!$AN$2:$AN$2001=1)*(元データ!$AE$2:$AE$2001=$C$39)*(元データ!$AO$2:$AO$2001=0)*(元データ!$AM$2:$AM$2001&gt;=22)*(元データ!$AM$2:$AM$2001&lt;=30)*(元データ!$E$2:$E$2001="40 差戻し"))</f>
        <v/>
      </c>
      <c r="AW40" s="192">
        <f>IFERROR(_xlfn.TEXTJOIN(CHAR(10),TRUE,IF((元データ!$AL$2:$AL$2001=1)*(元データ!$AN$2:$AN$2001=1)*(元データ!$AE$2:$AE$2001=$C$39)*(元データ!$AO$2:$AO$2001=0)*(元データ!$AM$2:$AM$2001&gt;=22)*(元データ!$AM$2:$AM$2001&lt;=30)*(元データ!$E$2:$E$2001="40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40" s="193">
        <f>SUMPRODUCT((元データ!$AL$2:$AL$2001=1)*(元データ!$AN$2:$AN$2001=1)*(元データ!$AE$2:$AE$2001=$C$39)*(元データ!$AO$2:$AO$2001=0)*(元データ!$AM$2:$AM$2001&gt;=31))</f>
        <v/>
      </c>
      <c r="AY40" s="194">
        <f>SUMPRODUCT((元データ!$AL$2:$AL$2001=1)*(元データ!$AN$2:$AN$2001=1)*(元データ!$AE$2:$AE$2001=$C$39)*(元データ!$AO$2:$AO$2001=0)*(元データ!$AM$2:$AM$2001&gt;=31)*(元データ!$E$2:$E$2001="20 確認待ち"))</f>
        <v/>
      </c>
      <c r="AZ40" s="195">
        <f>IFERROR(_xlfn.TEXTJOIN(CHAR(10),TRUE,IF((元データ!$AL$2:$AL$2001=1)*(元データ!$AN$2:$AN$2001=1)*(元データ!$AE$2:$AE$2001=$C$39)*(元データ!$AO$2:$AO$2001=0)*(元データ!$AM$2:$AM$2001&gt;=31)*(元データ!$E$2:$E$2001="20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40" s="194">
        <f>SUMPRODUCT((元データ!$AL$2:$AL$2001=1)*(元データ!$AN$2:$AN$2001=1)*(元データ!$AE$2:$AE$2001=$C$39)*(元データ!$AO$2:$AO$2001=0)*(元データ!$AM$2:$AM$2001&gt;=31)*(元データ!$E$2:$E$2001="30 申請受付"))</f>
        <v/>
      </c>
      <c r="BB40" s="195">
        <f>IFERROR(_xlfn.TEXTJOIN(CHAR(10),TRUE,IF((元データ!$AL$2:$AL$2001=1)*(元データ!$AN$2:$AN$2001=1)*(元データ!$AE$2:$AE$2001=$C$39)*(元データ!$AO$2:$AO$2001=0)*(元データ!$AM$2:$AM$2001&gt;=31)*(元データ!$E$2:$E$2001="30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40" s="194">
        <f>SUMPRODUCT((元データ!$AL$2:$AL$2001=1)*(元データ!$AN$2:$AN$2001=1)*(元データ!$AE$2:$AE$2001=$C$39)*(元データ!$AO$2:$AO$2001=0)*(元データ!$AM$2:$AM$2001&gt;=31)*(元データ!$E$2:$E$2001="31 ＯＰ確認中"))</f>
        <v/>
      </c>
      <c r="BD40" s="195">
        <f>IFERROR(_xlfn.TEXTJOIN(CHAR(10),TRUE,IF((元データ!$AL$2:$AL$2001=1)*(元データ!$AN$2:$AN$2001=1)*(元データ!$AE$2:$AE$2001=$C$39)*(元データ!$AO$2:$AO$2001=0)*(元データ!$AM$2:$AM$2001&gt;=31)*(元データ!$E$2:$E$2001="31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40" s="194">
        <f>SUMPRODUCT((元データ!$AL$2:$AL$2001=1)*(元データ!$AN$2:$AN$2001=1)*(元データ!$AE$2:$AE$2001=$C$39)*(元データ!$AO$2:$AO$2001=0)*(元データ!$AM$2:$AM$2001&gt;=31)*(元データ!$E$2:$E$2001="32 ＳＶ確認中"))</f>
        <v/>
      </c>
      <c r="BF40" s="195">
        <f>IFERROR(_xlfn.TEXTJOIN(CHAR(10),TRUE,IF((元データ!$AL$2:$AL$2001=1)*(元データ!$AN$2:$AN$2001=1)*(元データ!$AE$2:$AE$2001=$C$39)*(元データ!$AO$2:$AO$2001=0)*(元データ!$AM$2:$AM$2001&gt;=31)*(元データ!$E$2:$E$2001="32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40" s="194">
        <f>SUMPRODUCT((元データ!$AL$2:$AL$2001=1)*(元データ!$AN$2:$AN$2001=1)*(元データ!$AE$2:$AE$2001=$C$39)*(元データ!$AO$2:$AO$2001=0)*(元データ!$AM$2:$AM$2001&gt;=31)*(元データ!$E$2:$E$2001="40 差戻し"))</f>
        <v/>
      </c>
      <c r="BH40" s="195">
        <f>IFERROR(_xlfn.TEXTJOIN(CHAR(10),TRUE,IF((元データ!$AL$2:$AL$2001=1)*(元データ!$AN$2:$AN$2001=1)*(元データ!$AE$2:$AE$2001=$C$39)*(元データ!$AO$2:$AO$2001=0)*(元データ!$AM$2:$AM$2001&gt;=31)*(元データ!$E$2:$E$2001="40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41" ht="19.5" customHeight="1" s="87">
      <c r="B41" s="139" t="n"/>
      <c r="C41" s="140" t="inlineStr">
        <is>
          <t>55 扶養親族の結婚</t>
        </is>
      </c>
      <c r="D41" s="141" t="inlineStr">
        <is>
          <t>あり</t>
        </is>
      </c>
      <c r="E41" s="142">
        <f>SUMPRODUCT((元データ!$AL$2:$AL$2001=1)*(元データ!$AN$2:$AN$2001=1)*(元データ!$AE$2:$AE$2001=$C$41)*(元データ!$AO$2:$AO$2001=1))</f>
        <v/>
      </c>
      <c r="F41" s="184">
        <f>SUMPRODUCT((元データ!$AL$2:$AL$2001=1)*(元データ!$AN$2:$AN$2001=1)*(元データ!$AE$2:$AE$2001=$C$41)*(元データ!$AO$2:$AO$2001=1)*(元データ!$AM$2:$AM$2001&lt;=7))</f>
        <v/>
      </c>
      <c r="G41" s="185">
        <f>SUMPRODUCT((元データ!$AL$2:$AL$2001=1)*(元データ!$AN$2:$AN$2001=1)*(元データ!$AE$2:$AE$2001=$C$41)*(元データ!$AO$2:$AO$2001=1)*(元データ!$AM$2:$AM$2001&lt;=7)*(元データ!$E$2:$E$2001="20 確認待ち"))</f>
        <v/>
      </c>
      <c r="H41" s="186">
        <f>IFERROR(_xlfn.TEXTJOIN(CHAR(10),TRUE,IF((元データ!$AL$2:$AL$2001=1)*(元データ!$AN$2:$AN$2001=1)*(元データ!$AE$2:$AE$2001=$C$41)*(元データ!$AO$2:$AO$2001=1)*(元データ!$AM$2:$AM$2001&lt;=7)*(元データ!$E$2:$E$2001="20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41" s="185">
        <f>SUMPRODUCT((元データ!$AL$2:$AL$2001=1)*(元データ!$AN$2:$AN$2001=1)*(元データ!$AE$2:$AE$2001=$C$41)*(元データ!$AO$2:$AO$2001=1)*(元データ!$AM$2:$AM$2001&lt;=7)*(元データ!$E$2:$E$2001="30 申請受付"))</f>
        <v/>
      </c>
      <c r="J41" s="186">
        <f>IFERROR(_xlfn.TEXTJOIN(CHAR(10),TRUE,IF((元データ!$AL$2:$AL$2001=1)*(元データ!$AN$2:$AN$2001=1)*(元データ!$AE$2:$AE$2001=$C$41)*(元データ!$AO$2:$AO$2001=1)*(元データ!$AM$2:$AM$2001&lt;=7)*(元データ!$E$2:$E$2001="30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41" s="185">
        <f>SUMPRODUCT((元データ!$AL$2:$AL$2001=1)*(元データ!$AN$2:$AN$2001=1)*(元データ!$AE$2:$AE$2001=$C$41)*(元データ!$AO$2:$AO$2001=1)*(元データ!$AM$2:$AM$2001&lt;=7)*(元データ!$E$2:$E$2001="31 ＯＰ確認中"))</f>
        <v/>
      </c>
      <c r="L41" s="186">
        <f>IFERROR(_xlfn.TEXTJOIN(CHAR(10),TRUE,IF((元データ!$AL$2:$AL$2001=1)*(元データ!$AN$2:$AN$2001=1)*(元データ!$AE$2:$AE$2001=$C$41)*(元データ!$AO$2:$AO$2001=1)*(元データ!$AM$2:$AM$2001&lt;=7)*(元データ!$E$2:$E$2001="31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41" s="185">
        <f>SUMPRODUCT((元データ!$AL$2:$AL$2001=1)*(元データ!$AN$2:$AN$2001=1)*(元データ!$AE$2:$AE$2001=$C$41)*(元データ!$AO$2:$AO$2001=1)*(元データ!$AM$2:$AM$2001&lt;=7)*(元データ!$E$2:$E$2001="32 ＳＶ確認中"))</f>
        <v/>
      </c>
      <c r="N41" s="186">
        <f>IFERROR(_xlfn.TEXTJOIN(CHAR(10),TRUE,IF((元データ!$AL$2:$AL$2001=1)*(元データ!$AN$2:$AN$2001=1)*(元データ!$AE$2:$AE$2001=$C$41)*(元データ!$AO$2:$AO$2001=1)*(元データ!$AM$2:$AM$2001&lt;=7)*(元データ!$E$2:$E$2001="32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41" s="185">
        <f>SUMPRODUCT((元データ!$AL$2:$AL$2001=1)*(元データ!$AN$2:$AN$2001=1)*(元データ!$AE$2:$AE$2001=$C$41)*(元データ!$AO$2:$AO$2001=1)*(元データ!$AM$2:$AM$2001&lt;=7)*(元データ!$E$2:$E$2001="40 差戻し"))</f>
        <v/>
      </c>
      <c r="P41" s="186">
        <f>IFERROR(_xlfn.TEXTJOIN(CHAR(10),TRUE,IF((元データ!$AL$2:$AL$2001=1)*(元データ!$AN$2:$AN$2001=1)*(元データ!$AE$2:$AE$2001=$C$41)*(元データ!$AO$2:$AO$2001=1)*(元データ!$AM$2:$AM$2001&lt;=7)*(元データ!$E$2:$E$2001="40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41" s="184">
        <f>SUMPRODUCT((元データ!$AL$2:$AL$2001=1)*(元データ!$AN$2:$AN$2001=1)*(元データ!$AE$2:$AE$2001=$C$41)*(元データ!$AO$2:$AO$2001=1)*(元データ!$AM$2:$AM$2001&gt;=8)*(元データ!$AM$2:$AM$2001&lt;=14))</f>
        <v/>
      </c>
      <c r="R41" s="185">
        <f>SUMPRODUCT((元データ!$AL$2:$AL$2001=1)*(元データ!$AN$2:$AN$2001=1)*(元データ!$AE$2:$AE$2001=$C$41)*(元データ!$AO$2:$AO$2001=1)*(元データ!$AM$2:$AM$2001&gt;=8)*(元データ!$AM$2:$AM$2001&lt;=14)*(元データ!$E$2:$E$2001="20 確認待ち"))</f>
        <v/>
      </c>
      <c r="S41" s="186">
        <f>IFERROR(_xlfn.TEXTJOIN(CHAR(10),TRUE,IF((元データ!$AL$2:$AL$2001=1)*(元データ!$AN$2:$AN$2001=1)*(元データ!$AE$2:$AE$2001=$C$41)*(元データ!$AO$2:$AO$2001=1)*(元データ!$AM$2:$AM$2001&gt;=8)*(元データ!$AM$2:$AM$2001&lt;=14)*(元データ!$E$2:$E$2001="20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41" s="185">
        <f>SUMPRODUCT((元データ!$AL$2:$AL$2001=1)*(元データ!$AN$2:$AN$2001=1)*(元データ!$AE$2:$AE$2001=$C$41)*(元データ!$AO$2:$AO$2001=1)*(元データ!$AM$2:$AM$2001&gt;=8)*(元データ!$AM$2:$AM$2001&lt;=14)*(元データ!$E$2:$E$2001="30 申請受付"))</f>
        <v/>
      </c>
      <c r="U41" s="186">
        <f>IFERROR(_xlfn.TEXTJOIN(CHAR(10),TRUE,IF((元データ!$AL$2:$AL$2001=1)*(元データ!$AN$2:$AN$2001=1)*(元データ!$AE$2:$AE$2001=$C$41)*(元データ!$AO$2:$AO$2001=1)*(元データ!$AM$2:$AM$2001&gt;=8)*(元データ!$AM$2:$AM$2001&lt;=14)*(元データ!$E$2:$E$2001="30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41" s="185">
        <f>SUMPRODUCT((元データ!$AL$2:$AL$2001=1)*(元データ!$AN$2:$AN$2001=1)*(元データ!$AE$2:$AE$2001=$C$41)*(元データ!$AO$2:$AO$2001=1)*(元データ!$AM$2:$AM$2001&gt;=8)*(元データ!$AM$2:$AM$2001&lt;=14)*(元データ!$E$2:$E$2001="31 ＯＰ確認中"))</f>
        <v/>
      </c>
      <c r="W41" s="186">
        <f>IFERROR(_xlfn.TEXTJOIN(CHAR(10),TRUE,IF((元データ!$AL$2:$AL$2001=1)*(元データ!$AN$2:$AN$2001=1)*(元データ!$AE$2:$AE$2001=$C$41)*(元データ!$AO$2:$AO$2001=1)*(元データ!$AM$2:$AM$2001&gt;=8)*(元データ!$AM$2:$AM$2001&lt;=14)*(元データ!$E$2:$E$2001="31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41" s="185">
        <f>SUMPRODUCT((元データ!$AL$2:$AL$2001=1)*(元データ!$AN$2:$AN$2001=1)*(元データ!$AE$2:$AE$2001=$C$41)*(元データ!$AO$2:$AO$2001=1)*(元データ!$AM$2:$AM$2001&gt;=8)*(元データ!$AM$2:$AM$2001&lt;=14)*(元データ!$E$2:$E$2001="32 ＳＶ確認中"))</f>
        <v/>
      </c>
      <c r="Y41" s="186">
        <f>IFERROR(_xlfn.TEXTJOIN(CHAR(10),TRUE,IF((元データ!$AL$2:$AL$2001=1)*(元データ!$AN$2:$AN$2001=1)*(元データ!$AE$2:$AE$2001=$C$41)*(元データ!$AO$2:$AO$2001=1)*(元データ!$AM$2:$AM$2001&gt;=8)*(元データ!$AM$2:$AM$2001&lt;=14)*(元データ!$E$2:$E$2001="32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41" s="185">
        <f>SUMPRODUCT((元データ!$AL$2:$AL$2001=1)*(元データ!$AN$2:$AN$2001=1)*(元データ!$AE$2:$AE$2001=$C$41)*(元データ!$AO$2:$AO$2001=1)*(元データ!$AM$2:$AM$2001&gt;=8)*(元データ!$AM$2:$AM$2001&lt;=14)*(元データ!$E$2:$E$2001="40 差戻し"))</f>
        <v/>
      </c>
      <c r="AA41" s="186">
        <f>IFERROR(_xlfn.TEXTJOIN(CHAR(10),TRUE,IF((元データ!$AL$2:$AL$2001=1)*(元データ!$AN$2:$AN$2001=1)*(元データ!$AE$2:$AE$2001=$C$41)*(元データ!$AO$2:$AO$2001=1)*(元データ!$AM$2:$AM$2001&gt;=8)*(元データ!$AM$2:$AM$2001&lt;=14)*(元データ!$E$2:$E$2001="40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41" s="187">
        <f>SUMPRODUCT((元データ!$AL$2:$AL$2001=1)*(元データ!$AN$2:$AN$2001=1)*(元データ!$AE$2:$AE$2001=$C$41)*(元データ!$AO$2:$AO$2001=1)*(元データ!$AM$2:$AM$2001&gt;=15)*(元データ!$AM$2:$AM$2001&lt;=21))</f>
        <v/>
      </c>
      <c r="AC41" s="188">
        <f>SUMPRODUCT((元データ!$AL$2:$AL$2001=1)*(元データ!$AN$2:$AN$2001=1)*(元データ!$AE$2:$AE$2001=$C$41)*(元データ!$AO$2:$AO$2001=1)*(元データ!$AM$2:$AM$2001&gt;=15)*(元データ!$AM$2:$AM$2001&lt;=21)*(元データ!$E$2:$E$2001="20 確認待ち"))</f>
        <v/>
      </c>
      <c r="AD41" s="189">
        <f>IFERROR(_xlfn.TEXTJOIN(CHAR(10),TRUE,IF((元データ!$AL$2:$AL$2001=1)*(元データ!$AN$2:$AN$2001=1)*(元データ!$AE$2:$AE$2001=$C$41)*(元データ!$AO$2:$AO$2001=1)*(元データ!$AM$2:$AM$2001&gt;=15)*(元データ!$AM$2:$AM$2001&lt;=21)*(元データ!$E$2:$E$2001="20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41" s="188">
        <f>SUMPRODUCT((元データ!$AL$2:$AL$2001=1)*(元データ!$AN$2:$AN$2001=1)*(元データ!$AE$2:$AE$2001=$C$41)*(元データ!$AO$2:$AO$2001=1)*(元データ!$AM$2:$AM$2001&gt;=15)*(元データ!$AM$2:$AM$2001&lt;=21)*(元データ!$E$2:$E$2001="30 申請受付"))</f>
        <v/>
      </c>
      <c r="AF41" s="189">
        <f>IFERROR(_xlfn.TEXTJOIN(CHAR(10),TRUE,IF((元データ!$AL$2:$AL$2001=1)*(元データ!$AN$2:$AN$2001=1)*(元データ!$AE$2:$AE$2001=$C$41)*(元データ!$AO$2:$AO$2001=1)*(元データ!$AM$2:$AM$2001&gt;=15)*(元データ!$AM$2:$AM$2001&lt;=21)*(元データ!$E$2:$E$2001="30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41" s="188">
        <f>SUMPRODUCT((元データ!$AL$2:$AL$2001=1)*(元データ!$AN$2:$AN$2001=1)*(元データ!$AE$2:$AE$2001=$C$41)*(元データ!$AO$2:$AO$2001=1)*(元データ!$AM$2:$AM$2001&gt;=15)*(元データ!$AM$2:$AM$2001&lt;=21)*(元データ!$E$2:$E$2001="31 ＯＰ確認中"))</f>
        <v/>
      </c>
      <c r="AH41" s="189">
        <f>IFERROR(_xlfn.TEXTJOIN(CHAR(10),TRUE,IF((元データ!$AL$2:$AL$2001=1)*(元データ!$AN$2:$AN$2001=1)*(元データ!$AE$2:$AE$2001=$C$41)*(元データ!$AO$2:$AO$2001=1)*(元データ!$AM$2:$AM$2001&gt;=15)*(元データ!$AM$2:$AM$2001&lt;=21)*(元データ!$E$2:$E$2001="31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41" s="188">
        <f>SUMPRODUCT((元データ!$AL$2:$AL$2001=1)*(元データ!$AN$2:$AN$2001=1)*(元データ!$AE$2:$AE$2001=$C$41)*(元データ!$AO$2:$AO$2001=1)*(元データ!$AM$2:$AM$2001&gt;=15)*(元データ!$AM$2:$AM$2001&lt;=21)*(元データ!$E$2:$E$2001="32 ＳＶ確認中"))</f>
        <v/>
      </c>
      <c r="AJ41" s="189">
        <f>IFERROR(_xlfn.TEXTJOIN(CHAR(10),TRUE,IF((元データ!$AL$2:$AL$2001=1)*(元データ!$AN$2:$AN$2001=1)*(元データ!$AE$2:$AE$2001=$C$41)*(元データ!$AO$2:$AO$2001=1)*(元データ!$AM$2:$AM$2001&gt;=15)*(元データ!$AM$2:$AM$2001&lt;=21)*(元データ!$E$2:$E$2001="32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41" s="188">
        <f>SUMPRODUCT((元データ!$AL$2:$AL$2001=1)*(元データ!$AN$2:$AN$2001=1)*(元データ!$AE$2:$AE$2001=$C$41)*(元データ!$AO$2:$AO$2001=1)*(元データ!$AM$2:$AM$2001&gt;=15)*(元データ!$AM$2:$AM$2001&lt;=21)*(元データ!$E$2:$E$2001="40 差戻し"))</f>
        <v/>
      </c>
      <c r="AL41" s="189">
        <f>IFERROR(_xlfn.TEXTJOIN(CHAR(10),TRUE,IF((元データ!$AL$2:$AL$2001=1)*(元データ!$AN$2:$AN$2001=1)*(元データ!$AE$2:$AE$2001=$C$41)*(元データ!$AO$2:$AO$2001=1)*(元データ!$AM$2:$AM$2001&gt;=15)*(元データ!$AM$2:$AM$2001&lt;=21)*(元データ!$E$2:$E$2001="40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41" s="190">
        <f>SUMPRODUCT((元データ!$AL$2:$AL$2001=1)*(元データ!$AN$2:$AN$2001=1)*(元データ!$AE$2:$AE$2001=$C$41)*(元データ!$AO$2:$AO$2001=1)*(元データ!$AM$2:$AM$2001&gt;=22)*(元データ!$AM$2:$AM$2001&lt;=30))</f>
        <v/>
      </c>
      <c r="AN41" s="191">
        <f>SUMPRODUCT((元データ!$AL$2:$AL$2001=1)*(元データ!$AN$2:$AN$2001=1)*(元データ!$AE$2:$AE$2001=$C$41)*(元データ!$AO$2:$AO$2001=1)*(元データ!$AM$2:$AM$2001&gt;=22)*(元データ!$AM$2:$AM$2001&lt;=30)*(元データ!$E$2:$E$2001="20 確認待ち"))</f>
        <v/>
      </c>
      <c r="AO41" s="192">
        <f>IFERROR(_xlfn.TEXTJOIN(CHAR(10),TRUE,IF((元データ!$AL$2:$AL$2001=1)*(元データ!$AN$2:$AN$2001=1)*(元データ!$AE$2:$AE$2001=$C$41)*(元データ!$AO$2:$AO$2001=1)*(元データ!$AM$2:$AM$2001&gt;=22)*(元データ!$AM$2:$AM$2001&lt;=30)*(元データ!$E$2:$E$2001="20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41" s="191">
        <f>SUMPRODUCT((元データ!$AL$2:$AL$2001=1)*(元データ!$AN$2:$AN$2001=1)*(元データ!$AE$2:$AE$2001=$C$41)*(元データ!$AO$2:$AO$2001=1)*(元データ!$AM$2:$AM$2001&gt;=22)*(元データ!$AM$2:$AM$2001&lt;=30)*(元データ!$E$2:$E$2001="30 申請受付"))</f>
        <v/>
      </c>
      <c r="AQ41" s="192">
        <f>IFERROR(_xlfn.TEXTJOIN(CHAR(10),TRUE,IF((元データ!$AL$2:$AL$2001=1)*(元データ!$AN$2:$AN$2001=1)*(元データ!$AE$2:$AE$2001=$C$41)*(元データ!$AO$2:$AO$2001=1)*(元データ!$AM$2:$AM$2001&gt;=22)*(元データ!$AM$2:$AM$2001&lt;=30)*(元データ!$E$2:$E$2001="30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41" s="191">
        <f>SUMPRODUCT((元データ!$AL$2:$AL$2001=1)*(元データ!$AN$2:$AN$2001=1)*(元データ!$AE$2:$AE$2001=$C$41)*(元データ!$AO$2:$AO$2001=1)*(元データ!$AM$2:$AM$2001&gt;=22)*(元データ!$AM$2:$AM$2001&lt;=30)*(元データ!$E$2:$E$2001="31 ＯＰ確認中"))</f>
        <v/>
      </c>
      <c r="AS41" s="192">
        <f>IFERROR(_xlfn.TEXTJOIN(CHAR(10),TRUE,IF((元データ!$AL$2:$AL$2001=1)*(元データ!$AN$2:$AN$2001=1)*(元データ!$AE$2:$AE$2001=$C$41)*(元データ!$AO$2:$AO$2001=1)*(元データ!$AM$2:$AM$2001&gt;=22)*(元データ!$AM$2:$AM$2001&lt;=30)*(元データ!$E$2:$E$2001="31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41" s="191">
        <f>SUMPRODUCT((元データ!$AL$2:$AL$2001=1)*(元データ!$AN$2:$AN$2001=1)*(元データ!$AE$2:$AE$2001=$C$41)*(元データ!$AO$2:$AO$2001=1)*(元データ!$AM$2:$AM$2001&gt;=22)*(元データ!$AM$2:$AM$2001&lt;=30)*(元データ!$E$2:$E$2001="32 ＳＶ確認中"))</f>
        <v/>
      </c>
      <c r="AU41" s="192">
        <f>IFERROR(_xlfn.TEXTJOIN(CHAR(10),TRUE,IF((元データ!$AL$2:$AL$2001=1)*(元データ!$AN$2:$AN$2001=1)*(元データ!$AE$2:$AE$2001=$C$41)*(元データ!$AO$2:$AO$2001=1)*(元データ!$AM$2:$AM$2001&gt;=22)*(元データ!$AM$2:$AM$2001&lt;=30)*(元データ!$E$2:$E$2001="32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41" s="191">
        <f>SUMPRODUCT((元データ!$AL$2:$AL$2001=1)*(元データ!$AN$2:$AN$2001=1)*(元データ!$AE$2:$AE$2001=$C$41)*(元データ!$AO$2:$AO$2001=1)*(元データ!$AM$2:$AM$2001&gt;=22)*(元データ!$AM$2:$AM$2001&lt;=30)*(元データ!$E$2:$E$2001="40 差戻し"))</f>
        <v/>
      </c>
      <c r="AW41" s="192">
        <f>IFERROR(_xlfn.TEXTJOIN(CHAR(10),TRUE,IF((元データ!$AL$2:$AL$2001=1)*(元データ!$AN$2:$AN$2001=1)*(元データ!$AE$2:$AE$2001=$C$41)*(元データ!$AO$2:$AO$2001=1)*(元データ!$AM$2:$AM$2001&gt;=22)*(元データ!$AM$2:$AM$2001&lt;=30)*(元データ!$E$2:$E$2001="40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41" s="193">
        <f>SUMPRODUCT((元データ!$AL$2:$AL$2001=1)*(元データ!$AN$2:$AN$2001=1)*(元データ!$AE$2:$AE$2001=$C$41)*(元データ!$AO$2:$AO$2001=1)*(元データ!$AM$2:$AM$2001&gt;=31))</f>
        <v/>
      </c>
      <c r="AY41" s="194">
        <f>SUMPRODUCT((元データ!$AL$2:$AL$2001=1)*(元データ!$AN$2:$AN$2001=1)*(元データ!$AE$2:$AE$2001=$C$41)*(元データ!$AO$2:$AO$2001=1)*(元データ!$AM$2:$AM$2001&gt;=31)*(元データ!$E$2:$E$2001="20 確認待ち"))</f>
        <v/>
      </c>
      <c r="AZ41" s="195">
        <f>IFERROR(_xlfn.TEXTJOIN(CHAR(10),TRUE,IF((元データ!$AL$2:$AL$2001=1)*(元データ!$AN$2:$AN$2001=1)*(元データ!$AE$2:$AE$2001=$C$41)*(元データ!$AO$2:$AO$2001=1)*(元データ!$AM$2:$AM$2001&gt;=31)*(元データ!$E$2:$E$2001="20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41" s="194">
        <f>SUMPRODUCT((元データ!$AL$2:$AL$2001=1)*(元データ!$AN$2:$AN$2001=1)*(元データ!$AE$2:$AE$2001=$C$41)*(元データ!$AO$2:$AO$2001=1)*(元データ!$AM$2:$AM$2001&gt;=31)*(元データ!$E$2:$E$2001="30 申請受付"))</f>
        <v/>
      </c>
      <c r="BB41" s="195">
        <f>IFERROR(_xlfn.TEXTJOIN(CHAR(10),TRUE,IF((元データ!$AL$2:$AL$2001=1)*(元データ!$AN$2:$AN$2001=1)*(元データ!$AE$2:$AE$2001=$C$41)*(元データ!$AO$2:$AO$2001=1)*(元データ!$AM$2:$AM$2001&gt;=31)*(元データ!$E$2:$E$2001="30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41" s="194">
        <f>SUMPRODUCT((元データ!$AL$2:$AL$2001=1)*(元データ!$AN$2:$AN$2001=1)*(元データ!$AE$2:$AE$2001=$C$41)*(元データ!$AO$2:$AO$2001=1)*(元データ!$AM$2:$AM$2001&gt;=31)*(元データ!$E$2:$E$2001="31 ＯＰ確認中"))</f>
        <v/>
      </c>
      <c r="BD41" s="195">
        <f>IFERROR(_xlfn.TEXTJOIN(CHAR(10),TRUE,IF((元データ!$AL$2:$AL$2001=1)*(元データ!$AN$2:$AN$2001=1)*(元データ!$AE$2:$AE$2001=$C$41)*(元データ!$AO$2:$AO$2001=1)*(元データ!$AM$2:$AM$2001&gt;=31)*(元データ!$E$2:$E$2001="31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41" s="194">
        <f>SUMPRODUCT((元データ!$AL$2:$AL$2001=1)*(元データ!$AN$2:$AN$2001=1)*(元データ!$AE$2:$AE$2001=$C$41)*(元データ!$AO$2:$AO$2001=1)*(元データ!$AM$2:$AM$2001&gt;=31)*(元データ!$E$2:$E$2001="32 ＳＶ確認中"))</f>
        <v/>
      </c>
      <c r="BF41" s="195">
        <f>IFERROR(_xlfn.TEXTJOIN(CHAR(10),TRUE,IF((元データ!$AL$2:$AL$2001=1)*(元データ!$AN$2:$AN$2001=1)*(元データ!$AE$2:$AE$2001=$C$41)*(元データ!$AO$2:$AO$2001=1)*(元データ!$AM$2:$AM$2001&gt;=31)*(元データ!$E$2:$E$2001="32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41" s="194">
        <f>SUMPRODUCT((元データ!$AL$2:$AL$2001=1)*(元データ!$AN$2:$AN$2001=1)*(元データ!$AE$2:$AE$2001=$C$41)*(元データ!$AO$2:$AO$2001=1)*(元データ!$AM$2:$AM$2001&gt;=31)*(元データ!$E$2:$E$2001="40 差戻し"))</f>
        <v/>
      </c>
      <c r="BH41" s="195">
        <f>IFERROR(_xlfn.TEXTJOIN(CHAR(10),TRUE,IF((元データ!$AL$2:$AL$2001=1)*(元データ!$AN$2:$AN$2001=1)*(元データ!$AE$2:$AE$2001=$C$41)*(元データ!$AO$2:$AO$2001=1)*(元データ!$AM$2:$AM$2001&gt;=31)*(元データ!$E$2:$E$2001="40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42" ht="19.5" customHeight="1" s="87">
      <c r="B42" s="155" t="n"/>
      <c r="C42" s="156" t="n"/>
      <c r="D42" s="157" t="inlineStr">
        <is>
          <t>なし</t>
        </is>
      </c>
      <c r="E42" s="158">
        <f>SUMPRODUCT((元データ!$AL$2:$AL$2001=1)*(元データ!$AN$2:$AN$2001=1)*(元データ!$AE$2:$AE$2001=$C$41)*(元データ!$AO$2:$AO$2001=0))</f>
        <v/>
      </c>
      <c r="F42" s="196">
        <f>SUMPRODUCT((元データ!$AL$2:$AL$2001=1)*(元データ!$AN$2:$AN$2001=1)*(元データ!$AE$2:$AE$2001=$C$41)*(元データ!$AO$2:$AO$2001=0)*(元データ!$AM$2:$AM$2001&lt;=7))</f>
        <v/>
      </c>
      <c r="G42" s="197">
        <f>SUMPRODUCT((元データ!$AL$2:$AL$2001=1)*(元データ!$AN$2:$AN$2001=1)*(元データ!$AE$2:$AE$2001=$C$41)*(元データ!$AO$2:$AO$2001=0)*(元データ!$AM$2:$AM$2001&lt;=7)*(元データ!$E$2:$E$2001="20 確認待ち"))</f>
        <v/>
      </c>
      <c r="H42" s="198">
        <f>IFERROR(_xlfn.TEXTJOIN(CHAR(10),TRUE,IF((元データ!$AL$2:$AL$2001=1)*(元データ!$AN$2:$AN$2001=1)*(元データ!$AE$2:$AE$2001=$C$41)*(元データ!$AO$2:$AO$2001=0)*(元データ!$AM$2:$AM$2001&lt;=7)*(元データ!$E$2:$E$2001="20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42" s="197">
        <f>SUMPRODUCT((元データ!$AL$2:$AL$2001=1)*(元データ!$AN$2:$AN$2001=1)*(元データ!$AE$2:$AE$2001=$C$41)*(元データ!$AO$2:$AO$2001=0)*(元データ!$AM$2:$AM$2001&lt;=7)*(元データ!$E$2:$E$2001="30 申請受付"))</f>
        <v/>
      </c>
      <c r="J42" s="198">
        <f>IFERROR(_xlfn.TEXTJOIN(CHAR(10),TRUE,IF((元データ!$AL$2:$AL$2001=1)*(元データ!$AN$2:$AN$2001=1)*(元データ!$AE$2:$AE$2001=$C$41)*(元データ!$AO$2:$AO$2001=0)*(元データ!$AM$2:$AM$2001&lt;=7)*(元データ!$E$2:$E$2001="30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42" s="197">
        <f>SUMPRODUCT((元データ!$AL$2:$AL$2001=1)*(元データ!$AN$2:$AN$2001=1)*(元データ!$AE$2:$AE$2001=$C$41)*(元データ!$AO$2:$AO$2001=0)*(元データ!$AM$2:$AM$2001&lt;=7)*(元データ!$E$2:$E$2001="31 ＯＰ確認中"))</f>
        <v/>
      </c>
      <c r="L42" s="198">
        <f>IFERROR(_xlfn.TEXTJOIN(CHAR(10),TRUE,IF((元データ!$AL$2:$AL$2001=1)*(元データ!$AN$2:$AN$2001=1)*(元データ!$AE$2:$AE$2001=$C$41)*(元データ!$AO$2:$AO$2001=0)*(元データ!$AM$2:$AM$2001&lt;=7)*(元データ!$E$2:$E$2001="31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42" s="197">
        <f>SUMPRODUCT((元データ!$AL$2:$AL$2001=1)*(元データ!$AN$2:$AN$2001=1)*(元データ!$AE$2:$AE$2001=$C$41)*(元データ!$AO$2:$AO$2001=0)*(元データ!$AM$2:$AM$2001&lt;=7)*(元データ!$E$2:$E$2001="32 ＳＶ確認中"))</f>
        <v/>
      </c>
      <c r="N42" s="198">
        <f>IFERROR(_xlfn.TEXTJOIN(CHAR(10),TRUE,IF((元データ!$AL$2:$AL$2001=1)*(元データ!$AN$2:$AN$2001=1)*(元データ!$AE$2:$AE$2001=$C$41)*(元データ!$AO$2:$AO$2001=0)*(元データ!$AM$2:$AM$2001&lt;=7)*(元データ!$E$2:$E$2001="32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42" s="197">
        <f>SUMPRODUCT((元データ!$AL$2:$AL$2001=1)*(元データ!$AN$2:$AN$2001=1)*(元データ!$AE$2:$AE$2001=$C$41)*(元データ!$AO$2:$AO$2001=0)*(元データ!$AM$2:$AM$2001&lt;=7)*(元データ!$E$2:$E$2001="40 差戻し"))</f>
        <v/>
      </c>
      <c r="P42" s="198">
        <f>IFERROR(_xlfn.TEXTJOIN(CHAR(10),TRUE,IF((元データ!$AL$2:$AL$2001=1)*(元データ!$AN$2:$AN$2001=1)*(元データ!$AE$2:$AE$2001=$C$41)*(元データ!$AO$2:$AO$2001=0)*(元データ!$AM$2:$AM$2001&lt;=7)*(元データ!$E$2:$E$2001="40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42" s="196">
        <f>SUMPRODUCT((元データ!$AL$2:$AL$2001=1)*(元データ!$AN$2:$AN$2001=1)*(元データ!$AE$2:$AE$2001=$C$41)*(元データ!$AO$2:$AO$2001=0)*(元データ!$AM$2:$AM$2001&gt;=8)*(元データ!$AM$2:$AM$2001&lt;=14))</f>
        <v/>
      </c>
      <c r="R42" s="197">
        <f>SUMPRODUCT((元データ!$AL$2:$AL$2001=1)*(元データ!$AN$2:$AN$2001=1)*(元データ!$AE$2:$AE$2001=$C$41)*(元データ!$AO$2:$AO$2001=0)*(元データ!$AM$2:$AM$2001&gt;=8)*(元データ!$AM$2:$AM$2001&lt;=14)*(元データ!$E$2:$E$2001="20 確認待ち"))</f>
        <v/>
      </c>
      <c r="S42" s="198">
        <f>IFERROR(_xlfn.TEXTJOIN(CHAR(10),TRUE,IF((元データ!$AL$2:$AL$2001=1)*(元データ!$AN$2:$AN$2001=1)*(元データ!$AE$2:$AE$2001=$C$41)*(元データ!$AO$2:$AO$2001=0)*(元データ!$AM$2:$AM$2001&gt;=8)*(元データ!$AM$2:$AM$2001&lt;=14)*(元データ!$E$2:$E$2001="20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42" s="197">
        <f>SUMPRODUCT((元データ!$AL$2:$AL$2001=1)*(元データ!$AN$2:$AN$2001=1)*(元データ!$AE$2:$AE$2001=$C$41)*(元データ!$AO$2:$AO$2001=0)*(元データ!$AM$2:$AM$2001&gt;=8)*(元データ!$AM$2:$AM$2001&lt;=14)*(元データ!$E$2:$E$2001="30 申請受付"))</f>
        <v/>
      </c>
      <c r="U42" s="198">
        <f>IFERROR(_xlfn.TEXTJOIN(CHAR(10),TRUE,IF((元データ!$AL$2:$AL$2001=1)*(元データ!$AN$2:$AN$2001=1)*(元データ!$AE$2:$AE$2001=$C$41)*(元データ!$AO$2:$AO$2001=0)*(元データ!$AM$2:$AM$2001&gt;=8)*(元データ!$AM$2:$AM$2001&lt;=14)*(元データ!$E$2:$E$2001="30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42" s="197">
        <f>SUMPRODUCT((元データ!$AL$2:$AL$2001=1)*(元データ!$AN$2:$AN$2001=1)*(元データ!$AE$2:$AE$2001=$C$41)*(元データ!$AO$2:$AO$2001=0)*(元データ!$AM$2:$AM$2001&gt;=8)*(元データ!$AM$2:$AM$2001&lt;=14)*(元データ!$E$2:$E$2001="31 ＯＰ確認中"))</f>
        <v/>
      </c>
      <c r="W42" s="198">
        <f>IFERROR(_xlfn.TEXTJOIN(CHAR(10),TRUE,IF((元データ!$AL$2:$AL$2001=1)*(元データ!$AN$2:$AN$2001=1)*(元データ!$AE$2:$AE$2001=$C$41)*(元データ!$AO$2:$AO$2001=0)*(元データ!$AM$2:$AM$2001&gt;=8)*(元データ!$AM$2:$AM$2001&lt;=14)*(元データ!$E$2:$E$2001="31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42" s="197">
        <f>SUMPRODUCT((元データ!$AL$2:$AL$2001=1)*(元データ!$AN$2:$AN$2001=1)*(元データ!$AE$2:$AE$2001=$C$41)*(元データ!$AO$2:$AO$2001=0)*(元データ!$AM$2:$AM$2001&gt;=8)*(元データ!$AM$2:$AM$2001&lt;=14)*(元データ!$E$2:$E$2001="32 ＳＶ確認中"))</f>
        <v/>
      </c>
      <c r="Y42" s="198">
        <f>IFERROR(_xlfn.TEXTJOIN(CHAR(10),TRUE,IF((元データ!$AL$2:$AL$2001=1)*(元データ!$AN$2:$AN$2001=1)*(元データ!$AE$2:$AE$2001=$C$41)*(元データ!$AO$2:$AO$2001=0)*(元データ!$AM$2:$AM$2001&gt;=8)*(元データ!$AM$2:$AM$2001&lt;=14)*(元データ!$E$2:$E$2001="32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42" s="197">
        <f>SUMPRODUCT((元データ!$AL$2:$AL$2001=1)*(元データ!$AN$2:$AN$2001=1)*(元データ!$AE$2:$AE$2001=$C$41)*(元データ!$AO$2:$AO$2001=0)*(元データ!$AM$2:$AM$2001&gt;=8)*(元データ!$AM$2:$AM$2001&lt;=14)*(元データ!$E$2:$E$2001="40 差戻し"))</f>
        <v/>
      </c>
      <c r="AA42" s="198">
        <f>IFERROR(_xlfn.TEXTJOIN(CHAR(10),TRUE,IF((元データ!$AL$2:$AL$2001=1)*(元データ!$AN$2:$AN$2001=1)*(元データ!$AE$2:$AE$2001=$C$41)*(元データ!$AO$2:$AO$2001=0)*(元データ!$AM$2:$AM$2001&gt;=8)*(元データ!$AM$2:$AM$2001&lt;=14)*(元データ!$E$2:$E$2001="40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42" s="187">
        <f>SUMPRODUCT((元データ!$AL$2:$AL$2001=1)*(元データ!$AN$2:$AN$2001=1)*(元データ!$AE$2:$AE$2001=$C$41)*(元データ!$AO$2:$AO$2001=0)*(元データ!$AM$2:$AM$2001&gt;=15)*(元データ!$AM$2:$AM$2001&lt;=21))</f>
        <v/>
      </c>
      <c r="AC42" s="188">
        <f>SUMPRODUCT((元データ!$AL$2:$AL$2001=1)*(元データ!$AN$2:$AN$2001=1)*(元データ!$AE$2:$AE$2001=$C$41)*(元データ!$AO$2:$AO$2001=0)*(元データ!$AM$2:$AM$2001&gt;=15)*(元データ!$AM$2:$AM$2001&lt;=21)*(元データ!$E$2:$E$2001="20 確認待ち"))</f>
        <v/>
      </c>
      <c r="AD42" s="189">
        <f>IFERROR(_xlfn.TEXTJOIN(CHAR(10),TRUE,IF((元データ!$AL$2:$AL$2001=1)*(元データ!$AN$2:$AN$2001=1)*(元データ!$AE$2:$AE$2001=$C$41)*(元データ!$AO$2:$AO$2001=0)*(元データ!$AM$2:$AM$2001&gt;=15)*(元データ!$AM$2:$AM$2001&lt;=21)*(元データ!$E$2:$E$2001="20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42" s="188">
        <f>SUMPRODUCT((元データ!$AL$2:$AL$2001=1)*(元データ!$AN$2:$AN$2001=1)*(元データ!$AE$2:$AE$2001=$C$41)*(元データ!$AO$2:$AO$2001=0)*(元データ!$AM$2:$AM$2001&gt;=15)*(元データ!$AM$2:$AM$2001&lt;=21)*(元データ!$E$2:$E$2001="30 申請受付"))</f>
        <v/>
      </c>
      <c r="AF42" s="189">
        <f>IFERROR(_xlfn.TEXTJOIN(CHAR(10),TRUE,IF((元データ!$AL$2:$AL$2001=1)*(元データ!$AN$2:$AN$2001=1)*(元データ!$AE$2:$AE$2001=$C$41)*(元データ!$AO$2:$AO$2001=0)*(元データ!$AM$2:$AM$2001&gt;=15)*(元データ!$AM$2:$AM$2001&lt;=21)*(元データ!$E$2:$E$2001="30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42" s="188">
        <f>SUMPRODUCT((元データ!$AL$2:$AL$2001=1)*(元データ!$AN$2:$AN$2001=1)*(元データ!$AE$2:$AE$2001=$C$41)*(元データ!$AO$2:$AO$2001=0)*(元データ!$AM$2:$AM$2001&gt;=15)*(元データ!$AM$2:$AM$2001&lt;=21)*(元データ!$E$2:$E$2001="31 ＯＰ確認中"))</f>
        <v/>
      </c>
      <c r="AH42" s="189">
        <f>IFERROR(_xlfn.TEXTJOIN(CHAR(10),TRUE,IF((元データ!$AL$2:$AL$2001=1)*(元データ!$AN$2:$AN$2001=1)*(元データ!$AE$2:$AE$2001=$C$41)*(元データ!$AO$2:$AO$2001=0)*(元データ!$AM$2:$AM$2001&gt;=15)*(元データ!$AM$2:$AM$2001&lt;=21)*(元データ!$E$2:$E$2001="31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42" s="188">
        <f>SUMPRODUCT((元データ!$AL$2:$AL$2001=1)*(元データ!$AN$2:$AN$2001=1)*(元データ!$AE$2:$AE$2001=$C$41)*(元データ!$AO$2:$AO$2001=0)*(元データ!$AM$2:$AM$2001&gt;=15)*(元データ!$AM$2:$AM$2001&lt;=21)*(元データ!$E$2:$E$2001="32 ＳＶ確認中"))</f>
        <v/>
      </c>
      <c r="AJ42" s="189">
        <f>IFERROR(_xlfn.TEXTJOIN(CHAR(10),TRUE,IF((元データ!$AL$2:$AL$2001=1)*(元データ!$AN$2:$AN$2001=1)*(元データ!$AE$2:$AE$2001=$C$41)*(元データ!$AO$2:$AO$2001=0)*(元データ!$AM$2:$AM$2001&gt;=15)*(元データ!$AM$2:$AM$2001&lt;=21)*(元データ!$E$2:$E$2001="32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42" s="188">
        <f>SUMPRODUCT((元データ!$AL$2:$AL$2001=1)*(元データ!$AN$2:$AN$2001=1)*(元データ!$AE$2:$AE$2001=$C$41)*(元データ!$AO$2:$AO$2001=0)*(元データ!$AM$2:$AM$2001&gt;=15)*(元データ!$AM$2:$AM$2001&lt;=21)*(元データ!$E$2:$E$2001="40 差戻し"))</f>
        <v/>
      </c>
      <c r="AL42" s="189">
        <f>IFERROR(_xlfn.TEXTJOIN(CHAR(10),TRUE,IF((元データ!$AL$2:$AL$2001=1)*(元データ!$AN$2:$AN$2001=1)*(元データ!$AE$2:$AE$2001=$C$41)*(元データ!$AO$2:$AO$2001=0)*(元データ!$AM$2:$AM$2001&gt;=15)*(元データ!$AM$2:$AM$2001&lt;=21)*(元データ!$E$2:$E$2001="40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42" s="190">
        <f>SUMPRODUCT((元データ!$AL$2:$AL$2001=1)*(元データ!$AN$2:$AN$2001=1)*(元データ!$AE$2:$AE$2001=$C$41)*(元データ!$AO$2:$AO$2001=0)*(元データ!$AM$2:$AM$2001&gt;=22)*(元データ!$AM$2:$AM$2001&lt;=30))</f>
        <v/>
      </c>
      <c r="AN42" s="191">
        <f>SUMPRODUCT((元データ!$AL$2:$AL$2001=1)*(元データ!$AN$2:$AN$2001=1)*(元データ!$AE$2:$AE$2001=$C$41)*(元データ!$AO$2:$AO$2001=0)*(元データ!$AM$2:$AM$2001&gt;=22)*(元データ!$AM$2:$AM$2001&lt;=30)*(元データ!$E$2:$E$2001="20 確認待ち"))</f>
        <v/>
      </c>
      <c r="AO42" s="192">
        <f>IFERROR(_xlfn.TEXTJOIN(CHAR(10),TRUE,IF((元データ!$AL$2:$AL$2001=1)*(元データ!$AN$2:$AN$2001=1)*(元データ!$AE$2:$AE$2001=$C$41)*(元データ!$AO$2:$AO$2001=0)*(元データ!$AM$2:$AM$2001&gt;=22)*(元データ!$AM$2:$AM$2001&lt;=30)*(元データ!$E$2:$E$2001="20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42" s="191">
        <f>SUMPRODUCT((元データ!$AL$2:$AL$2001=1)*(元データ!$AN$2:$AN$2001=1)*(元データ!$AE$2:$AE$2001=$C$41)*(元データ!$AO$2:$AO$2001=0)*(元データ!$AM$2:$AM$2001&gt;=22)*(元データ!$AM$2:$AM$2001&lt;=30)*(元データ!$E$2:$E$2001="30 申請受付"))</f>
        <v/>
      </c>
      <c r="AQ42" s="192">
        <f>IFERROR(_xlfn.TEXTJOIN(CHAR(10),TRUE,IF((元データ!$AL$2:$AL$2001=1)*(元データ!$AN$2:$AN$2001=1)*(元データ!$AE$2:$AE$2001=$C$41)*(元データ!$AO$2:$AO$2001=0)*(元データ!$AM$2:$AM$2001&gt;=22)*(元データ!$AM$2:$AM$2001&lt;=30)*(元データ!$E$2:$E$2001="30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42" s="191">
        <f>SUMPRODUCT((元データ!$AL$2:$AL$2001=1)*(元データ!$AN$2:$AN$2001=1)*(元データ!$AE$2:$AE$2001=$C$41)*(元データ!$AO$2:$AO$2001=0)*(元データ!$AM$2:$AM$2001&gt;=22)*(元データ!$AM$2:$AM$2001&lt;=30)*(元データ!$E$2:$E$2001="31 ＯＰ確認中"))</f>
        <v/>
      </c>
      <c r="AS42" s="192">
        <f>IFERROR(_xlfn.TEXTJOIN(CHAR(10),TRUE,IF((元データ!$AL$2:$AL$2001=1)*(元データ!$AN$2:$AN$2001=1)*(元データ!$AE$2:$AE$2001=$C$41)*(元データ!$AO$2:$AO$2001=0)*(元データ!$AM$2:$AM$2001&gt;=22)*(元データ!$AM$2:$AM$2001&lt;=30)*(元データ!$E$2:$E$2001="31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42" s="191">
        <f>SUMPRODUCT((元データ!$AL$2:$AL$2001=1)*(元データ!$AN$2:$AN$2001=1)*(元データ!$AE$2:$AE$2001=$C$41)*(元データ!$AO$2:$AO$2001=0)*(元データ!$AM$2:$AM$2001&gt;=22)*(元データ!$AM$2:$AM$2001&lt;=30)*(元データ!$E$2:$E$2001="32 ＳＶ確認中"))</f>
        <v/>
      </c>
      <c r="AU42" s="192">
        <f>IFERROR(_xlfn.TEXTJOIN(CHAR(10),TRUE,IF((元データ!$AL$2:$AL$2001=1)*(元データ!$AN$2:$AN$2001=1)*(元データ!$AE$2:$AE$2001=$C$41)*(元データ!$AO$2:$AO$2001=0)*(元データ!$AM$2:$AM$2001&gt;=22)*(元データ!$AM$2:$AM$2001&lt;=30)*(元データ!$E$2:$E$2001="32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42" s="191">
        <f>SUMPRODUCT((元データ!$AL$2:$AL$2001=1)*(元データ!$AN$2:$AN$2001=1)*(元データ!$AE$2:$AE$2001=$C$41)*(元データ!$AO$2:$AO$2001=0)*(元データ!$AM$2:$AM$2001&gt;=22)*(元データ!$AM$2:$AM$2001&lt;=30)*(元データ!$E$2:$E$2001="40 差戻し"))</f>
        <v/>
      </c>
      <c r="AW42" s="192">
        <f>IFERROR(_xlfn.TEXTJOIN(CHAR(10),TRUE,IF((元データ!$AL$2:$AL$2001=1)*(元データ!$AN$2:$AN$2001=1)*(元データ!$AE$2:$AE$2001=$C$41)*(元データ!$AO$2:$AO$2001=0)*(元データ!$AM$2:$AM$2001&gt;=22)*(元データ!$AM$2:$AM$2001&lt;=30)*(元データ!$E$2:$E$2001="40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42" s="193">
        <f>SUMPRODUCT((元データ!$AL$2:$AL$2001=1)*(元データ!$AN$2:$AN$2001=1)*(元データ!$AE$2:$AE$2001=$C$41)*(元データ!$AO$2:$AO$2001=0)*(元データ!$AM$2:$AM$2001&gt;=31))</f>
        <v/>
      </c>
      <c r="AY42" s="194">
        <f>SUMPRODUCT((元データ!$AL$2:$AL$2001=1)*(元データ!$AN$2:$AN$2001=1)*(元データ!$AE$2:$AE$2001=$C$41)*(元データ!$AO$2:$AO$2001=0)*(元データ!$AM$2:$AM$2001&gt;=31)*(元データ!$E$2:$E$2001="20 確認待ち"))</f>
        <v/>
      </c>
      <c r="AZ42" s="195">
        <f>IFERROR(_xlfn.TEXTJOIN(CHAR(10),TRUE,IF((元データ!$AL$2:$AL$2001=1)*(元データ!$AN$2:$AN$2001=1)*(元データ!$AE$2:$AE$2001=$C$41)*(元データ!$AO$2:$AO$2001=0)*(元データ!$AM$2:$AM$2001&gt;=31)*(元データ!$E$2:$E$2001="20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42" s="194">
        <f>SUMPRODUCT((元データ!$AL$2:$AL$2001=1)*(元データ!$AN$2:$AN$2001=1)*(元データ!$AE$2:$AE$2001=$C$41)*(元データ!$AO$2:$AO$2001=0)*(元データ!$AM$2:$AM$2001&gt;=31)*(元データ!$E$2:$E$2001="30 申請受付"))</f>
        <v/>
      </c>
      <c r="BB42" s="195">
        <f>IFERROR(_xlfn.TEXTJOIN(CHAR(10),TRUE,IF((元データ!$AL$2:$AL$2001=1)*(元データ!$AN$2:$AN$2001=1)*(元データ!$AE$2:$AE$2001=$C$41)*(元データ!$AO$2:$AO$2001=0)*(元データ!$AM$2:$AM$2001&gt;=31)*(元データ!$E$2:$E$2001="30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42" s="194">
        <f>SUMPRODUCT((元データ!$AL$2:$AL$2001=1)*(元データ!$AN$2:$AN$2001=1)*(元データ!$AE$2:$AE$2001=$C$41)*(元データ!$AO$2:$AO$2001=0)*(元データ!$AM$2:$AM$2001&gt;=31)*(元データ!$E$2:$E$2001="31 ＯＰ確認中"))</f>
        <v/>
      </c>
      <c r="BD42" s="195">
        <f>IFERROR(_xlfn.TEXTJOIN(CHAR(10),TRUE,IF((元データ!$AL$2:$AL$2001=1)*(元データ!$AN$2:$AN$2001=1)*(元データ!$AE$2:$AE$2001=$C$41)*(元データ!$AO$2:$AO$2001=0)*(元データ!$AM$2:$AM$2001&gt;=31)*(元データ!$E$2:$E$2001="31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42" s="194">
        <f>SUMPRODUCT((元データ!$AL$2:$AL$2001=1)*(元データ!$AN$2:$AN$2001=1)*(元データ!$AE$2:$AE$2001=$C$41)*(元データ!$AO$2:$AO$2001=0)*(元データ!$AM$2:$AM$2001&gt;=31)*(元データ!$E$2:$E$2001="32 ＳＶ確認中"))</f>
        <v/>
      </c>
      <c r="BF42" s="195">
        <f>IFERROR(_xlfn.TEXTJOIN(CHAR(10),TRUE,IF((元データ!$AL$2:$AL$2001=1)*(元データ!$AN$2:$AN$2001=1)*(元データ!$AE$2:$AE$2001=$C$41)*(元データ!$AO$2:$AO$2001=0)*(元データ!$AM$2:$AM$2001&gt;=31)*(元データ!$E$2:$E$2001="32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42" s="194">
        <f>SUMPRODUCT((元データ!$AL$2:$AL$2001=1)*(元データ!$AN$2:$AN$2001=1)*(元データ!$AE$2:$AE$2001=$C$41)*(元データ!$AO$2:$AO$2001=0)*(元データ!$AM$2:$AM$2001&gt;=31)*(元データ!$E$2:$E$2001="40 差戻し"))</f>
        <v/>
      </c>
      <c r="BH42" s="195">
        <f>IFERROR(_xlfn.TEXTJOIN(CHAR(10),TRUE,IF((元データ!$AL$2:$AL$2001=1)*(元データ!$AN$2:$AN$2001=1)*(元データ!$AE$2:$AE$2001=$C$41)*(元データ!$AO$2:$AO$2001=0)*(元データ!$AM$2:$AM$2001&gt;=31)*(元データ!$E$2:$E$2001="40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43" ht="19.5" customHeight="1" s="87">
      <c r="B43" s="139" t="n"/>
      <c r="C43" s="140" t="inlineStr">
        <is>
          <t>22 扶養親族の退職</t>
        </is>
      </c>
      <c r="D43" s="141" t="inlineStr">
        <is>
          <t>あり</t>
        </is>
      </c>
      <c r="E43" s="142">
        <f>SUMPRODUCT((元データ!$AL$2:$AL$2001=1)*(元データ!$AN$2:$AN$2001=1)*(元データ!$AE$2:$AE$2001=$C$43)*(元データ!$AO$2:$AO$2001=1))</f>
        <v/>
      </c>
      <c r="F43" s="184">
        <f>SUMPRODUCT((元データ!$AL$2:$AL$2001=1)*(元データ!$AN$2:$AN$2001=1)*(元データ!$AE$2:$AE$2001=$C$43)*(元データ!$AO$2:$AO$2001=1)*(元データ!$AM$2:$AM$2001&lt;=7))</f>
        <v/>
      </c>
      <c r="G43" s="185">
        <f>SUMPRODUCT((元データ!$AL$2:$AL$2001=1)*(元データ!$AN$2:$AN$2001=1)*(元データ!$AE$2:$AE$2001=$C$43)*(元データ!$AO$2:$AO$2001=1)*(元データ!$AM$2:$AM$2001&lt;=7)*(元データ!$E$2:$E$2001="20 確認待ち"))</f>
        <v/>
      </c>
      <c r="H43" s="186">
        <f>IFERROR(_xlfn.TEXTJOIN(CHAR(10),TRUE,IF((元データ!$AL$2:$AL$2001=1)*(元データ!$AN$2:$AN$2001=1)*(元データ!$AE$2:$AE$2001=$C$43)*(元データ!$AO$2:$AO$2001=1)*(元データ!$AM$2:$AM$2001&lt;=7)*(元データ!$E$2:$E$2001="20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43" s="185">
        <f>SUMPRODUCT((元データ!$AL$2:$AL$2001=1)*(元データ!$AN$2:$AN$2001=1)*(元データ!$AE$2:$AE$2001=$C$43)*(元データ!$AO$2:$AO$2001=1)*(元データ!$AM$2:$AM$2001&lt;=7)*(元データ!$E$2:$E$2001="30 申請受付"))</f>
        <v/>
      </c>
      <c r="J43" s="186">
        <f>IFERROR(_xlfn.TEXTJOIN(CHAR(10),TRUE,IF((元データ!$AL$2:$AL$2001=1)*(元データ!$AN$2:$AN$2001=1)*(元データ!$AE$2:$AE$2001=$C$43)*(元データ!$AO$2:$AO$2001=1)*(元データ!$AM$2:$AM$2001&lt;=7)*(元データ!$E$2:$E$2001="30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43" s="185">
        <f>SUMPRODUCT((元データ!$AL$2:$AL$2001=1)*(元データ!$AN$2:$AN$2001=1)*(元データ!$AE$2:$AE$2001=$C$43)*(元データ!$AO$2:$AO$2001=1)*(元データ!$AM$2:$AM$2001&lt;=7)*(元データ!$E$2:$E$2001="31 ＯＰ確認中"))</f>
        <v/>
      </c>
      <c r="L43" s="186">
        <f>IFERROR(_xlfn.TEXTJOIN(CHAR(10),TRUE,IF((元データ!$AL$2:$AL$2001=1)*(元データ!$AN$2:$AN$2001=1)*(元データ!$AE$2:$AE$2001=$C$43)*(元データ!$AO$2:$AO$2001=1)*(元データ!$AM$2:$AM$2001&lt;=7)*(元データ!$E$2:$E$2001="31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43" s="185">
        <f>SUMPRODUCT((元データ!$AL$2:$AL$2001=1)*(元データ!$AN$2:$AN$2001=1)*(元データ!$AE$2:$AE$2001=$C$43)*(元データ!$AO$2:$AO$2001=1)*(元データ!$AM$2:$AM$2001&lt;=7)*(元データ!$E$2:$E$2001="32 ＳＶ確認中"))</f>
        <v/>
      </c>
      <c r="N43" s="186">
        <f>IFERROR(_xlfn.TEXTJOIN(CHAR(10),TRUE,IF((元データ!$AL$2:$AL$2001=1)*(元データ!$AN$2:$AN$2001=1)*(元データ!$AE$2:$AE$2001=$C$43)*(元データ!$AO$2:$AO$2001=1)*(元データ!$AM$2:$AM$2001&lt;=7)*(元データ!$E$2:$E$2001="32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43" s="185">
        <f>SUMPRODUCT((元データ!$AL$2:$AL$2001=1)*(元データ!$AN$2:$AN$2001=1)*(元データ!$AE$2:$AE$2001=$C$43)*(元データ!$AO$2:$AO$2001=1)*(元データ!$AM$2:$AM$2001&lt;=7)*(元データ!$E$2:$E$2001="40 差戻し"))</f>
        <v/>
      </c>
      <c r="P43" s="186">
        <f>IFERROR(_xlfn.TEXTJOIN(CHAR(10),TRUE,IF((元データ!$AL$2:$AL$2001=1)*(元データ!$AN$2:$AN$2001=1)*(元データ!$AE$2:$AE$2001=$C$43)*(元データ!$AO$2:$AO$2001=1)*(元データ!$AM$2:$AM$2001&lt;=7)*(元データ!$E$2:$E$2001="40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43" s="184">
        <f>SUMPRODUCT((元データ!$AL$2:$AL$2001=1)*(元データ!$AN$2:$AN$2001=1)*(元データ!$AE$2:$AE$2001=$C$43)*(元データ!$AO$2:$AO$2001=1)*(元データ!$AM$2:$AM$2001&gt;=8)*(元データ!$AM$2:$AM$2001&lt;=14))</f>
        <v/>
      </c>
      <c r="R43" s="185">
        <f>SUMPRODUCT((元データ!$AL$2:$AL$2001=1)*(元データ!$AN$2:$AN$2001=1)*(元データ!$AE$2:$AE$2001=$C$43)*(元データ!$AO$2:$AO$2001=1)*(元データ!$AM$2:$AM$2001&gt;=8)*(元データ!$AM$2:$AM$2001&lt;=14)*(元データ!$E$2:$E$2001="20 確認待ち"))</f>
        <v/>
      </c>
      <c r="S43" s="186">
        <f>IFERROR(_xlfn.TEXTJOIN(CHAR(10),TRUE,IF((元データ!$AL$2:$AL$2001=1)*(元データ!$AN$2:$AN$2001=1)*(元データ!$AE$2:$AE$2001=$C$43)*(元データ!$AO$2:$AO$2001=1)*(元データ!$AM$2:$AM$2001&gt;=8)*(元データ!$AM$2:$AM$2001&lt;=14)*(元データ!$E$2:$E$2001="20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43" s="185">
        <f>SUMPRODUCT((元データ!$AL$2:$AL$2001=1)*(元データ!$AN$2:$AN$2001=1)*(元データ!$AE$2:$AE$2001=$C$43)*(元データ!$AO$2:$AO$2001=1)*(元データ!$AM$2:$AM$2001&gt;=8)*(元データ!$AM$2:$AM$2001&lt;=14)*(元データ!$E$2:$E$2001="30 申請受付"))</f>
        <v/>
      </c>
      <c r="U43" s="186">
        <f>IFERROR(_xlfn.TEXTJOIN(CHAR(10),TRUE,IF((元データ!$AL$2:$AL$2001=1)*(元データ!$AN$2:$AN$2001=1)*(元データ!$AE$2:$AE$2001=$C$43)*(元データ!$AO$2:$AO$2001=1)*(元データ!$AM$2:$AM$2001&gt;=8)*(元データ!$AM$2:$AM$2001&lt;=14)*(元データ!$E$2:$E$2001="30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43" s="185">
        <f>SUMPRODUCT((元データ!$AL$2:$AL$2001=1)*(元データ!$AN$2:$AN$2001=1)*(元データ!$AE$2:$AE$2001=$C$43)*(元データ!$AO$2:$AO$2001=1)*(元データ!$AM$2:$AM$2001&gt;=8)*(元データ!$AM$2:$AM$2001&lt;=14)*(元データ!$E$2:$E$2001="31 ＯＰ確認中"))</f>
        <v/>
      </c>
      <c r="W43" s="186">
        <f>IFERROR(_xlfn.TEXTJOIN(CHAR(10),TRUE,IF((元データ!$AL$2:$AL$2001=1)*(元データ!$AN$2:$AN$2001=1)*(元データ!$AE$2:$AE$2001=$C$43)*(元データ!$AO$2:$AO$2001=1)*(元データ!$AM$2:$AM$2001&gt;=8)*(元データ!$AM$2:$AM$2001&lt;=14)*(元データ!$E$2:$E$2001="31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43" s="185">
        <f>SUMPRODUCT((元データ!$AL$2:$AL$2001=1)*(元データ!$AN$2:$AN$2001=1)*(元データ!$AE$2:$AE$2001=$C$43)*(元データ!$AO$2:$AO$2001=1)*(元データ!$AM$2:$AM$2001&gt;=8)*(元データ!$AM$2:$AM$2001&lt;=14)*(元データ!$E$2:$E$2001="32 ＳＶ確認中"))</f>
        <v/>
      </c>
      <c r="Y43" s="186">
        <f>IFERROR(_xlfn.TEXTJOIN(CHAR(10),TRUE,IF((元データ!$AL$2:$AL$2001=1)*(元データ!$AN$2:$AN$2001=1)*(元データ!$AE$2:$AE$2001=$C$43)*(元データ!$AO$2:$AO$2001=1)*(元データ!$AM$2:$AM$2001&gt;=8)*(元データ!$AM$2:$AM$2001&lt;=14)*(元データ!$E$2:$E$2001="32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43" s="185">
        <f>SUMPRODUCT((元データ!$AL$2:$AL$2001=1)*(元データ!$AN$2:$AN$2001=1)*(元データ!$AE$2:$AE$2001=$C$43)*(元データ!$AO$2:$AO$2001=1)*(元データ!$AM$2:$AM$2001&gt;=8)*(元データ!$AM$2:$AM$2001&lt;=14)*(元データ!$E$2:$E$2001="40 差戻し"))</f>
        <v/>
      </c>
      <c r="AA43" s="186">
        <f>IFERROR(_xlfn.TEXTJOIN(CHAR(10),TRUE,IF((元データ!$AL$2:$AL$2001=1)*(元データ!$AN$2:$AN$2001=1)*(元データ!$AE$2:$AE$2001=$C$43)*(元データ!$AO$2:$AO$2001=1)*(元データ!$AM$2:$AM$2001&gt;=8)*(元データ!$AM$2:$AM$2001&lt;=14)*(元データ!$E$2:$E$2001="40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43" s="187">
        <f>SUMPRODUCT((元データ!$AL$2:$AL$2001=1)*(元データ!$AN$2:$AN$2001=1)*(元データ!$AE$2:$AE$2001=$C$43)*(元データ!$AO$2:$AO$2001=1)*(元データ!$AM$2:$AM$2001&gt;=15)*(元データ!$AM$2:$AM$2001&lt;=21))</f>
        <v/>
      </c>
      <c r="AC43" s="188">
        <f>SUMPRODUCT((元データ!$AL$2:$AL$2001=1)*(元データ!$AN$2:$AN$2001=1)*(元データ!$AE$2:$AE$2001=$C$43)*(元データ!$AO$2:$AO$2001=1)*(元データ!$AM$2:$AM$2001&gt;=15)*(元データ!$AM$2:$AM$2001&lt;=21)*(元データ!$E$2:$E$2001="20 確認待ち"))</f>
        <v/>
      </c>
      <c r="AD43" s="189">
        <f>IFERROR(_xlfn.TEXTJOIN(CHAR(10),TRUE,IF((元データ!$AL$2:$AL$2001=1)*(元データ!$AN$2:$AN$2001=1)*(元データ!$AE$2:$AE$2001=$C$43)*(元データ!$AO$2:$AO$2001=1)*(元データ!$AM$2:$AM$2001&gt;=15)*(元データ!$AM$2:$AM$2001&lt;=21)*(元データ!$E$2:$E$2001="20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43" s="188">
        <f>SUMPRODUCT((元データ!$AL$2:$AL$2001=1)*(元データ!$AN$2:$AN$2001=1)*(元データ!$AE$2:$AE$2001=$C$43)*(元データ!$AO$2:$AO$2001=1)*(元データ!$AM$2:$AM$2001&gt;=15)*(元データ!$AM$2:$AM$2001&lt;=21)*(元データ!$E$2:$E$2001="30 申請受付"))</f>
        <v/>
      </c>
      <c r="AF43" s="189">
        <f>IFERROR(_xlfn.TEXTJOIN(CHAR(10),TRUE,IF((元データ!$AL$2:$AL$2001=1)*(元データ!$AN$2:$AN$2001=1)*(元データ!$AE$2:$AE$2001=$C$43)*(元データ!$AO$2:$AO$2001=1)*(元データ!$AM$2:$AM$2001&gt;=15)*(元データ!$AM$2:$AM$2001&lt;=21)*(元データ!$E$2:$E$2001="30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43" s="188">
        <f>SUMPRODUCT((元データ!$AL$2:$AL$2001=1)*(元データ!$AN$2:$AN$2001=1)*(元データ!$AE$2:$AE$2001=$C$43)*(元データ!$AO$2:$AO$2001=1)*(元データ!$AM$2:$AM$2001&gt;=15)*(元データ!$AM$2:$AM$2001&lt;=21)*(元データ!$E$2:$E$2001="31 ＯＰ確認中"))</f>
        <v/>
      </c>
      <c r="AH43" s="189">
        <f>IFERROR(_xlfn.TEXTJOIN(CHAR(10),TRUE,IF((元データ!$AL$2:$AL$2001=1)*(元データ!$AN$2:$AN$2001=1)*(元データ!$AE$2:$AE$2001=$C$43)*(元データ!$AO$2:$AO$2001=1)*(元データ!$AM$2:$AM$2001&gt;=15)*(元データ!$AM$2:$AM$2001&lt;=21)*(元データ!$E$2:$E$2001="31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43" s="188">
        <f>SUMPRODUCT((元データ!$AL$2:$AL$2001=1)*(元データ!$AN$2:$AN$2001=1)*(元データ!$AE$2:$AE$2001=$C$43)*(元データ!$AO$2:$AO$2001=1)*(元データ!$AM$2:$AM$2001&gt;=15)*(元データ!$AM$2:$AM$2001&lt;=21)*(元データ!$E$2:$E$2001="32 ＳＶ確認中"))</f>
        <v/>
      </c>
      <c r="AJ43" s="189">
        <f>IFERROR(_xlfn.TEXTJOIN(CHAR(10),TRUE,IF((元データ!$AL$2:$AL$2001=1)*(元データ!$AN$2:$AN$2001=1)*(元データ!$AE$2:$AE$2001=$C$43)*(元データ!$AO$2:$AO$2001=1)*(元データ!$AM$2:$AM$2001&gt;=15)*(元データ!$AM$2:$AM$2001&lt;=21)*(元データ!$E$2:$E$2001="32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43" s="188">
        <f>SUMPRODUCT((元データ!$AL$2:$AL$2001=1)*(元データ!$AN$2:$AN$2001=1)*(元データ!$AE$2:$AE$2001=$C$43)*(元データ!$AO$2:$AO$2001=1)*(元データ!$AM$2:$AM$2001&gt;=15)*(元データ!$AM$2:$AM$2001&lt;=21)*(元データ!$E$2:$E$2001="40 差戻し"))</f>
        <v/>
      </c>
      <c r="AL43" s="189">
        <f>IFERROR(_xlfn.TEXTJOIN(CHAR(10),TRUE,IF((元データ!$AL$2:$AL$2001=1)*(元データ!$AN$2:$AN$2001=1)*(元データ!$AE$2:$AE$2001=$C$43)*(元データ!$AO$2:$AO$2001=1)*(元データ!$AM$2:$AM$2001&gt;=15)*(元データ!$AM$2:$AM$2001&lt;=21)*(元データ!$E$2:$E$2001="40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43" s="190">
        <f>SUMPRODUCT((元データ!$AL$2:$AL$2001=1)*(元データ!$AN$2:$AN$2001=1)*(元データ!$AE$2:$AE$2001=$C$43)*(元データ!$AO$2:$AO$2001=1)*(元データ!$AM$2:$AM$2001&gt;=22)*(元データ!$AM$2:$AM$2001&lt;=30))</f>
        <v/>
      </c>
      <c r="AN43" s="191">
        <f>SUMPRODUCT((元データ!$AL$2:$AL$2001=1)*(元データ!$AN$2:$AN$2001=1)*(元データ!$AE$2:$AE$2001=$C$43)*(元データ!$AO$2:$AO$2001=1)*(元データ!$AM$2:$AM$2001&gt;=22)*(元データ!$AM$2:$AM$2001&lt;=30)*(元データ!$E$2:$E$2001="20 確認待ち"))</f>
        <v/>
      </c>
      <c r="AO43" s="192">
        <f>IFERROR(_xlfn.TEXTJOIN(CHAR(10),TRUE,IF((元データ!$AL$2:$AL$2001=1)*(元データ!$AN$2:$AN$2001=1)*(元データ!$AE$2:$AE$2001=$C$43)*(元データ!$AO$2:$AO$2001=1)*(元データ!$AM$2:$AM$2001&gt;=22)*(元データ!$AM$2:$AM$2001&lt;=30)*(元データ!$E$2:$E$2001="20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43" s="191">
        <f>SUMPRODUCT((元データ!$AL$2:$AL$2001=1)*(元データ!$AN$2:$AN$2001=1)*(元データ!$AE$2:$AE$2001=$C$43)*(元データ!$AO$2:$AO$2001=1)*(元データ!$AM$2:$AM$2001&gt;=22)*(元データ!$AM$2:$AM$2001&lt;=30)*(元データ!$E$2:$E$2001="30 申請受付"))</f>
        <v/>
      </c>
      <c r="AQ43" s="192">
        <f>IFERROR(_xlfn.TEXTJOIN(CHAR(10),TRUE,IF((元データ!$AL$2:$AL$2001=1)*(元データ!$AN$2:$AN$2001=1)*(元データ!$AE$2:$AE$2001=$C$43)*(元データ!$AO$2:$AO$2001=1)*(元データ!$AM$2:$AM$2001&gt;=22)*(元データ!$AM$2:$AM$2001&lt;=30)*(元データ!$E$2:$E$2001="30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43" s="191">
        <f>SUMPRODUCT((元データ!$AL$2:$AL$2001=1)*(元データ!$AN$2:$AN$2001=1)*(元データ!$AE$2:$AE$2001=$C$43)*(元データ!$AO$2:$AO$2001=1)*(元データ!$AM$2:$AM$2001&gt;=22)*(元データ!$AM$2:$AM$2001&lt;=30)*(元データ!$E$2:$E$2001="31 ＯＰ確認中"))</f>
        <v/>
      </c>
      <c r="AS43" s="192">
        <f>IFERROR(_xlfn.TEXTJOIN(CHAR(10),TRUE,IF((元データ!$AL$2:$AL$2001=1)*(元データ!$AN$2:$AN$2001=1)*(元データ!$AE$2:$AE$2001=$C$43)*(元データ!$AO$2:$AO$2001=1)*(元データ!$AM$2:$AM$2001&gt;=22)*(元データ!$AM$2:$AM$2001&lt;=30)*(元データ!$E$2:$E$2001="31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43" s="191">
        <f>SUMPRODUCT((元データ!$AL$2:$AL$2001=1)*(元データ!$AN$2:$AN$2001=1)*(元データ!$AE$2:$AE$2001=$C$43)*(元データ!$AO$2:$AO$2001=1)*(元データ!$AM$2:$AM$2001&gt;=22)*(元データ!$AM$2:$AM$2001&lt;=30)*(元データ!$E$2:$E$2001="32 ＳＶ確認中"))</f>
        <v/>
      </c>
      <c r="AU43" s="192">
        <f>IFERROR(_xlfn.TEXTJOIN(CHAR(10),TRUE,IF((元データ!$AL$2:$AL$2001=1)*(元データ!$AN$2:$AN$2001=1)*(元データ!$AE$2:$AE$2001=$C$43)*(元データ!$AO$2:$AO$2001=1)*(元データ!$AM$2:$AM$2001&gt;=22)*(元データ!$AM$2:$AM$2001&lt;=30)*(元データ!$E$2:$E$2001="32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43" s="191">
        <f>SUMPRODUCT((元データ!$AL$2:$AL$2001=1)*(元データ!$AN$2:$AN$2001=1)*(元データ!$AE$2:$AE$2001=$C$43)*(元データ!$AO$2:$AO$2001=1)*(元データ!$AM$2:$AM$2001&gt;=22)*(元データ!$AM$2:$AM$2001&lt;=30)*(元データ!$E$2:$E$2001="40 差戻し"))</f>
        <v/>
      </c>
      <c r="AW43" s="192">
        <f>IFERROR(_xlfn.TEXTJOIN(CHAR(10),TRUE,IF((元データ!$AL$2:$AL$2001=1)*(元データ!$AN$2:$AN$2001=1)*(元データ!$AE$2:$AE$2001=$C$43)*(元データ!$AO$2:$AO$2001=1)*(元データ!$AM$2:$AM$2001&gt;=22)*(元データ!$AM$2:$AM$2001&lt;=30)*(元データ!$E$2:$E$2001="40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43" s="193">
        <f>SUMPRODUCT((元データ!$AL$2:$AL$2001=1)*(元データ!$AN$2:$AN$2001=1)*(元データ!$AE$2:$AE$2001=$C$43)*(元データ!$AO$2:$AO$2001=1)*(元データ!$AM$2:$AM$2001&gt;=31))</f>
        <v/>
      </c>
      <c r="AY43" s="194">
        <f>SUMPRODUCT((元データ!$AL$2:$AL$2001=1)*(元データ!$AN$2:$AN$2001=1)*(元データ!$AE$2:$AE$2001=$C$43)*(元データ!$AO$2:$AO$2001=1)*(元データ!$AM$2:$AM$2001&gt;=31)*(元データ!$E$2:$E$2001="20 確認待ち"))</f>
        <v/>
      </c>
      <c r="AZ43" s="195">
        <f>IFERROR(_xlfn.TEXTJOIN(CHAR(10),TRUE,IF((元データ!$AL$2:$AL$2001=1)*(元データ!$AN$2:$AN$2001=1)*(元データ!$AE$2:$AE$2001=$C$43)*(元データ!$AO$2:$AO$2001=1)*(元データ!$AM$2:$AM$2001&gt;=31)*(元データ!$E$2:$E$2001="20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43" s="194">
        <f>SUMPRODUCT((元データ!$AL$2:$AL$2001=1)*(元データ!$AN$2:$AN$2001=1)*(元データ!$AE$2:$AE$2001=$C$43)*(元データ!$AO$2:$AO$2001=1)*(元データ!$AM$2:$AM$2001&gt;=31)*(元データ!$E$2:$E$2001="30 申請受付"))</f>
        <v/>
      </c>
      <c r="BB43" s="195">
        <f>IFERROR(_xlfn.TEXTJOIN(CHAR(10),TRUE,IF((元データ!$AL$2:$AL$2001=1)*(元データ!$AN$2:$AN$2001=1)*(元データ!$AE$2:$AE$2001=$C$43)*(元データ!$AO$2:$AO$2001=1)*(元データ!$AM$2:$AM$2001&gt;=31)*(元データ!$E$2:$E$2001="30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43" s="194">
        <f>SUMPRODUCT((元データ!$AL$2:$AL$2001=1)*(元データ!$AN$2:$AN$2001=1)*(元データ!$AE$2:$AE$2001=$C$43)*(元データ!$AO$2:$AO$2001=1)*(元データ!$AM$2:$AM$2001&gt;=31)*(元データ!$E$2:$E$2001="31 ＯＰ確認中"))</f>
        <v/>
      </c>
      <c r="BD43" s="195">
        <f>IFERROR(_xlfn.TEXTJOIN(CHAR(10),TRUE,IF((元データ!$AL$2:$AL$2001=1)*(元データ!$AN$2:$AN$2001=1)*(元データ!$AE$2:$AE$2001=$C$43)*(元データ!$AO$2:$AO$2001=1)*(元データ!$AM$2:$AM$2001&gt;=31)*(元データ!$E$2:$E$2001="31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43" s="194">
        <f>SUMPRODUCT((元データ!$AL$2:$AL$2001=1)*(元データ!$AN$2:$AN$2001=1)*(元データ!$AE$2:$AE$2001=$C$43)*(元データ!$AO$2:$AO$2001=1)*(元データ!$AM$2:$AM$2001&gt;=31)*(元データ!$E$2:$E$2001="32 ＳＶ確認中"))</f>
        <v/>
      </c>
      <c r="BF43" s="195">
        <f>IFERROR(_xlfn.TEXTJOIN(CHAR(10),TRUE,IF((元データ!$AL$2:$AL$2001=1)*(元データ!$AN$2:$AN$2001=1)*(元データ!$AE$2:$AE$2001=$C$43)*(元データ!$AO$2:$AO$2001=1)*(元データ!$AM$2:$AM$2001&gt;=31)*(元データ!$E$2:$E$2001="32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43" s="194">
        <f>SUMPRODUCT((元データ!$AL$2:$AL$2001=1)*(元データ!$AN$2:$AN$2001=1)*(元データ!$AE$2:$AE$2001=$C$43)*(元データ!$AO$2:$AO$2001=1)*(元データ!$AM$2:$AM$2001&gt;=31)*(元データ!$E$2:$E$2001="40 差戻し"))</f>
        <v/>
      </c>
      <c r="BH43" s="195">
        <f>IFERROR(_xlfn.TEXTJOIN(CHAR(10),TRUE,IF((元データ!$AL$2:$AL$2001=1)*(元データ!$AN$2:$AN$2001=1)*(元データ!$AE$2:$AE$2001=$C$43)*(元データ!$AO$2:$AO$2001=1)*(元データ!$AM$2:$AM$2001&gt;=31)*(元データ!$E$2:$E$2001="40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44" ht="19.5" customHeight="1" s="87">
      <c r="B44" s="155" t="n"/>
      <c r="C44" s="156" t="n"/>
      <c r="D44" s="157" t="inlineStr">
        <is>
          <t>なし</t>
        </is>
      </c>
      <c r="E44" s="158">
        <f>SUMPRODUCT((元データ!$AL$2:$AL$2001=1)*(元データ!$AN$2:$AN$2001=1)*(元データ!$AE$2:$AE$2001=$C$43)*(元データ!$AO$2:$AO$2001=0))</f>
        <v/>
      </c>
      <c r="F44" s="196">
        <f>SUMPRODUCT((元データ!$AL$2:$AL$2001=1)*(元データ!$AN$2:$AN$2001=1)*(元データ!$AE$2:$AE$2001=$C$43)*(元データ!$AO$2:$AO$2001=0)*(元データ!$AM$2:$AM$2001&lt;=7))</f>
        <v/>
      </c>
      <c r="G44" s="197">
        <f>SUMPRODUCT((元データ!$AL$2:$AL$2001=1)*(元データ!$AN$2:$AN$2001=1)*(元データ!$AE$2:$AE$2001=$C$43)*(元データ!$AO$2:$AO$2001=0)*(元データ!$AM$2:$AM$2001&lt;=7)*(元データ!$E$2:$E$2001="20 確認待ち"))</f>
        <v/>
      </c>
      <c r="H44" s="198">
        <f>IFERROR(_xlfn.TEXTJOIN(CHAR(10),TRUE,IF((元データ!$AL$2:$AL$2001=1)*(元データ!$AN$2:$AN$2001=1)*(元データ!$AE$2:$AE$2001=$C$43)*(元データ!$AO$2:$AO$2001=0)*(元データ!$AM$2:$AM$2001&lt;=7)*(元データ!$E$2:$E$2001="20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44" s="197">
        <f>SUMPRODUCT((元データ!$AL$2:$AL$2001=1)*(元データ!$AN$2:$AN$2001=1)*(元データ!$AE$2:$AE$2001=$C$43)*(元データ!$AO$2:$AO$2001=0)*(元データ!$AM$2:$AM$2001&lt;=7)*(元データ!$E$2:$E$2001="30 申請受付"))</f>
        <v/>
      </c>
      <c r="J44" s="198">
        <f>IFERROR(_xlfn.TEXTJOIN(CHAR(10),TRUE,IF((元データ!$AL$2:$AL$2001=1)*(元データ!$AN$2:$AN$2001=1)*(元データ!$AE$2:$AE$2001=$C$43)*(元データ!$AO$2:$AO$2001=0)*(元データ!$AM$2:$AM$2001&lt;=7)*(元データ!$E$2:$E$2001="30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44" s="197">
        <f>SUMPRODUCT((元データ!$AL$2:$AL$2001=1)*(元データ!$AN$2:$AN$2001=1)*(元データ!$AE$2:$AE$2001=$C$43)*(元データ!$AO$2:$AO$2001=0)*(元データ!$AM$2:$AM$2001&lt;=7)*(元データ!$E$2:$E$2001="31 ＯＰ確認中"))</f>
        <v/>
      </c>
      <c r="L44" s="198">
        <f>IFERROR(_xlfn.TEXTJOIN(CHAR(10),TRUE,IF((元データ!$AL$2:$AL$2001=1)*(元データ!$AN$2:$AN$2001=1)*(元データ!$AE$2:$AE$2001=$C$43)*(元データ!$AO$2:$AO$2001=0)*(元データ!$AM$2:$AM$2001&lt;=7)*(元データ!$E$2:$E$2001="31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44" s="197">
        <f>SUMPRODUCT((元データ!$AL$2:$AL$2001=1)*(元データ!$AN$2:$AN$2001=1)*(元データ!$AE$2:$AE$2001=$C$43)*(元データ!$AO$2:$AO$2001=0)*(元データ!$AM$2:$AM$2001&lt;=7)*(元データ!$E$2:$E$2001="32 ＳＶ確認中"))</f>
        <v/>
      </c>
      <c r="N44" s="198">
        <f>IFERROR(_xlfn.TEXTJOIN(CHAR(10),TRUE,IF((元データ!$AL$2:$AL$2001=1)*(元データ!$AN$2:$AN$2001=1)*(元データ!$AE$2:$AE$2001=$C$43)*(元データ!$AO$2:$AO$2001=0)*(元データ!$AM$2:$AM$2001&lt;=7)*(元データ!$E$2:$E$2001="32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44" s="197">
        <f>SUMPRODUCT((元データ!$AL$2:$AL$2001=1)*(元データ!$AN$2:$AN$2001=1)*(元データ!$AE$2:$AE$2001=$C$43)*(元データ!$AO$2:$AO$2001=0)*(元データ!$AM$2:$AM$2001&lt;=7)*(元データ!$E$2:$E$2001="40 差戻し"))</f>
        <v/>
      </c>
      <c r="P44" s="198">
        <f>IFERROR(_xlfn.TEXTJOIN(CHAR(10),TRUE,IF((元データ!$AL$2:$AL$2001=1)*(元データ!$AN$2:$AN$2001=1)*(元データ!$AE$2:$AE$2001=$C$43)*(元データ!$AO$2:$AO$2001=0)*(元データ!$AM$2:$AM$2001&lt;=7)*(元データ!$E$2:$E$2001="40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44" s="196">
        <f>SUMPRODUCT((元データ!$AL$2:$AL$2001=1)*(元データ!$AN$2:$AN$2001=1)*(元データ!$AE$2:$AE$2001=$C$43)*(元データ!$AO$2:$AO$2001=0)*(元データ!$AM$2:$AM$2001&gt;=8)*(元データ!$AM$2:$AM$2001&lt;=14))</f>
        <v/>
      </c>
      <c r="R44" s="197">
        <f>SUMPRODUCT((元データ!$AL$2:$AL$2001=1)*(元データ!$AN$2:$AN$2001=1)*(元データ!$AE$2:$AE$2001=$C$43)*(元データ!$AO$2:$AO$2001=0)*(元データ!$AM$2:$AM$2001&gt;=8)*(元データ!$AM$2:$AM$2001&lt;=14)*(元データ!$E$2:$E$2001="20 確認待ち"))</f>
        <v/>
      </c>
      <c r="S44" s="198">
        <f>IFERROR(_xlfn.TEXTJOIN(CHAR(10),TRUE,IF((元データ!$AL$2:$AL$2001=1)*(元データ!$AN$2:$AN$2001=1)*(元データ!$AE$2:$AE$2001=$C$43)*(元データ!$AO$2:$AO$2001=0)*(元データ!$AM$2:$AM$2001&gt;=8)*(元データ!$AM$2:$AM$2001&lt;=14)*(元データ!$E$2:$E$2001="20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44" s="197">
        <f>SUMPRODUCT((元データ!$AL$2:$AL$2001=1)*(元データ!$AN$2:$AN$2001=1)*(元データ!$AE$2:$AE$2001=$C$43)*(元データ!$AO$2:$AO$2001=0)*(元データ!$AM$2:$AM$2001&gt;=8)*(元データ!$AM$2:$AM$2001&lt;=14)*(元データ!$E$2:$E$2001="30 申請受付"))</f>
        <v/>
      </c>
      <c r="U44" s="198">
        <f>IFERROR(_xlfn.TEXTJOIN(CHAR(10),TRUE,IF((元データ!$AL$2:$AL$2001=1)*(元データ!$AN$2:$AN$2001=1)*(元データ!$AE$2:$AE$2001=$C$43)*(元データ!$AO$2:$AO$2001=0)*(元データ!$AM$2:$AM$2001&gt;=8)*(元データ!$AM$2:$AM$2001&lt;=14)*(元データ!$E$2:$E$2001="30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44" s="197">
        <f>SUMPRODUCT((元データ!$AL$2:$AL$2001=1)*(元データ!$AN$2:$AN$2001=1)*(元データ!$AE$2:$AE$2001=$C$43)*(元データ!$AO$2:$AO$2001=0)*(元データ!$AM$2:$AM$2001&gt;=8)*(元データ!$AM$2:$AM$2001&lt;=14)*(元データ!$E$2:$E$2001="31 ＯＰ確認中"))</f>
        <v/>
      </c>
      <c r="W44" s="198">
        <f>IFERROR(_xlfn.TEXTJOIN(CHAR(10),TRUE,IF((元データ!$AL$2:$AL$2001=1)*(元データ!$AN$2:$AN$2001=1)*(元データ!$AE$2:$AE$2001=$C$43)*(元データ!$AO$2:$AO$2001=0)*(元データ!$AM$2:$AM$2001&gt;=8)*(元データ!$AM$2:$AM$2001&lt;=14)*(元データ!$E$2:$E$2001="31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44" s="197">
        <f>SUMPRODUCT((元データ!$AL$2:$AL$2001=1)*(元データ!$AN$2:$AN$2001=1)*(元データ!$AE$2:$AE$2001=$C$43)*(元データ!$AO$2:$AO$2001=0)*(元データ!$AM$2:$AM$2001&gt;=8)*(元データ!$AM$2:$AM$2001&lt;=14)*(元データ!$E$2:$E$2001="32 ＳＶ確認中"))</f>
        <v/>
      </c>
      <c r="Y44" s="198">
        <f>IFERROR(_xlfn.TEXTJOIN(CHAR(10),TRUE,IF((元データ!$AL$2:$AL$2001=1)*(元データ!$AN$2:$AN$2001=1)*(元データ!$AE$2:$AE$2001=$C$43)*(元データ!$AO$2:$AO$2001=0)*(元データ!$AM$2:$AM$2001&gt;=8)*(元データ!$AM$2:$AM$2001&lt;=14)*(元データ!$E$2:$E$2001="32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44" s="197">
        <f>SUMPRODUCT((元データ!$AL$2:$AL$2001=1)*(元データ!$AN$2:$AN$2001=1)*(元データ!$AE$2:$AE$2001=$C$43)*(元データ!$AO$2:$AO$2001=0)*(元データ!$AM$2:$AM$2001&gt;=8)*(元データ!$AM$2:$AM$2001&lt;=14)*(元データ!$E$2:$E$2001="40 差戻し"))</f>
        <v/>
      </c>
      <c r="AA44" s="198">
        <f>IFERROR(_xlfn.TEXTJOIN(CHAR(10),TRUE,IF((元データ!$AL$2:$AL$2001=1)*(元データ!$AN$2:$AN$2001=1)*(元データ!$AE$2:$AE$2001=$C$43)*(元データ!$AO$2:$AO$2001=0)*(元データ!$AM$2:$AM$2001&gt;=8)*(元データ!$AM$2:$AM$2001&lt;=14)*(元データ!$E$2:$E$2001="40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44" s="187">
        <f>SUMPRODUCT((元データ!$AL$2:$AL$2001=1)*(元データ!$AN$2:$AN$2001=1)*(元データ!$AE$2:$AE$2001=$C$43)*(元データ!$AO$2:$AO$2001=0)*(元データ!$AM$2:$AM$2001&gt;=15)*(元データ!$AM$2:$AM$2001&lt;=21))</f>
        <v/>
      </c>
      <c r="AC44" s="188">
        <f>SUMPRODUCT((元データ!$AL$2:$AL$2001=1)*(元データ!$AN$2:$AN$2001=1)*(元データ!$AE$2:$AE$2001=$C$43)*(元データ!$AO$2:$AO$2001=0)*(元データ!$AM$2:$AM$2001&gt;=15)*(元データ!$AM$2:$AM$2001&lt;=21)*(元データ!$E$2:$E$2001="20 確認待ち"))</f>
        <v/>
      </c>
      <c r="AD44" s="189">
        <f>IFERROR(_xlfn.TEXTJOIN(CHAR(10),TRUE,IF((元データ!$AL$2:$AL$2001=1)*(元データ!$AN$2:$AN$2001=1)*(元データ!$AE$2:$AE$2001=$C$43)*(元データ!$AO$2:$AO$2001=0)*(元データ!$AM$2:$AM$2001&gt;=15)*(元データ!$AM$2:$AM$2001&lt;=21)*(元データ!$E$2:$E$2001="20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44" s="188">
        <f>SUMPRODUCT((元データ!$AL$2:$AL$2001=1)*(元データ!$AN$2:$AN$2001=1)*(元データ!$AE$2:$AE$2001=$C$43)*(元データ!$AO$2:$AO$2001=0)*(元データ!$AM$2:$AM$2001&gt;=15)*(元データ!$AM$2:$AM$2001&lt;=21)*(元データ!$E$2:$E$2001="30 申請受付"))</f>
        <v/>
      </c>
      <c r="AF44" s="189">
        <f>IFERROR(_xlfn.TEXTJOIN(CHAR(10),TRUE,IF((元データ!$AL$2:$AL$2001=1)*(元データ!$AN$2:$AN$2001=1)*(元データ!$AE$2:$AE$2001=$C$43)*(元データ!$AO$2:$AO$2001=0)*(元データ!$AM$2:$AM$2001&gt;=15)*(元データ!$AM$2:$AM$2001&lt;=21)*(元データ!$E$2:$E$2001="30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44" s="188">
        <f>SUMPRODUCT((元データ!$AL$2:$AL$2001=1)*(元データ!$AN$2:$AN$2001=1)*(元データ!$AE$2:$AE$2001=$C$43)*(元データ!$AO$2:$AO$2001=0)*(元データ!$AM$2:$AM$2001&gt;=15)*(元データ!$AM$2:$AM$2001&lt;=21)*(元データ!$E$2:$E$2001="31 ＯＰ確認中"))</f>
        <v/>
      </c>
      <c r="AH44" s="189">
        <f>IFERROR(_xlfn.TEXTJOIN(CHAR(10),TRUE,IF((元データ!$AL$2:$AL$2001=1)*(元データ!$AN$2:$AN$2001=1)*(元データ!$AE$2:$AE$2001=$C$43)*(元データ!$AO$2:$AO$2001=0)*(元データ!$AM$2:$AM$2001&gt;=15)*(元データ!$AM$2:$AM$2001&lt;=21)*(元データ!$E$2:$E$2001="31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44" s="188">
        <f>SUMPRODUCT((元データ!$AL$2:$AL$2001=1)*(元データ!$AN$2:$AN$2001=1)*(元データ!$AE$2:$AE$2001=$C$43)*(元データ!$AO$2:$AO$2001=0)*(元データ!$AM$2:$AM$2001&gt;=15)*(元データ!$AM$2:$AM$2001&lt;=21)*(元データ!$E$2:$E$2001="32 ＳＶ確認中"))</f>
        <v/>
      </c>
      <c r="AJ44" s="189">
        <f>IFERROR(_xlfn.TEXTJOIN(CHAR(10),TRUE,IF((元データ!$AL$2:$AL$2001=1)*(元データ!$AN$2:$AN$2001=1)*(元データ!$AE$2:$AE$2001=$C$43)*(元データ!$AO$2:$AO$2001=0)*(元データ!$AM$2:$AM$2001&gt;=15)*(元データ!$AM$2:$AM$2001&lt;=21)*(元データ!$E$2:$E$2001="32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44" s="188">
        <f>SUMPRODUCT((元データ!$AL$2:$AL$2001=1)*(元データ!$AN$2:$AN$2001=1)*(元データ!$AE$2:$AE$2001=$C$43)*(元データ!$AO$2:$AO$2001=0)*(元データ!$AM$2:$AM$2001&gt;=15)*(元データ!$AM$2:$AM$2001&lt;=21)*(元データ!$E$2:$E$2001="40 差戻し"))</f>
        <v/>
      </c>
      <c r="AL44" s="189">
        <f>IFERROR(_xlfn.TEXTJOIN(CHAR(10),TRUE,IF((元データ!$AL$2:$AL$2001=1)*(元データ!$AN$2:$AN$2001=1)*(元データ!$AE$2:$AE$2001=$C$43)*(元データ!$AO$2:$AO$2001=0)*(元データ!$AM$2:$AM$2001&gt;=15)*(元データ!$AM$2:$AM$2001&lt;=21)*(元データ!$E$2:$E$2001="40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44" s="190">
        <f>SUMPRODUCT((元データ!$AL$2:$AL$2001=1)*(元データ!$AN$2:$AN$2001=1)*(元データ!$AE$2:$AE$2001=$C$43)*(元データ!$AO$2:$AO$2001=0)*(元データ!$AM$2:$AM$2001&gt;=22)*(元データ!$AM$2:$AM$2001&lt;=30))</f>
        <v/>
      </c>
      <c r="AN44" s="191">
        <f>SUMPRODUCT((元データ!$AL$2:$AL$2001=1)*(元データ!$AN$2:$AN$2001=1)*(元データ!$AE$2:$AE$2001=$C$43)*(元データ!$AO$2:$AO$2001=0)*(元データ!$AM$2:$AM$2001&gt;=22)*(元データ!$AM$2:$AM$2001&lt;=30)*(元データ!$E$2:$E$2001="20 確認待ち"))</f>
        <v/>
      </c>
      <c r="AO44" s="192">
        <f>IFERROR(_xlfn.TEXTJOIN(CHAR(10),TRUE,IF((元データ!$AL$2:$AL$2001=1)*(元データ!$AN$2:$AN$2001=1)*(元データ!$AE$2:$AE$2001=$C$43)*(元データ!$AO$2:$AO$2001=0)*(元データ!$AM$2:$AM$2001&gt;=22)*(元データ!$AM$2:$AM$2001&lt;=30)*(元データ!$E$2:$E$2001="20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44" s="191">
        <f>SUMPRODUCT((元データ!$AL$2:$AL$2001=1)*(元データ!$AN$2:$AN$2001=1)*(元データ!$AE$2:$AE$2001=$C$43)*(元データ!$AO$2:$AO$2001=0)*(元データ!$AM$2:$AM$2001&gt;=22)*(元データ!$AM$2:$AM$2001&lt;=30)*(元データ!$E$2:$E$2001="30 申請受付"))</f>
        <v/>
      </c>
      <c r="AQ44" s="192">
        <f>IFERROR(_xlfn.TEXTJOIN(CHAR(10),TRUE,IF((元データ!$AL$2:$AL$2001=1)*(元データ!$AN$2:$AN$2001=1)*(元データ!$AE$2:$AE$2001=$C$43)*(元データ!$AO$2:$AO$2001=0)*(元データ!$AM$2:$AM$2001&gt;=22)*(元データ!$AM$2:$AM$2001&lt;=30)*(元データ!$E$2:$E$2001="30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44" s="191">
        <f>SUMPRODUCT((元データ!$AL$2:$AL$2001=1)*(元データ!$AN$2:$AN$2001=1)*(元データ!$AE$2:$AE$2001=$C$43)*(元データ!$AO$2:$AO$2001=0)*(元データ!$AM$2:$AM$2001&gt;=22)*(元データ!$AM$2:$AM$2001&lt;=30)*(元データ!$E$2:$E$2001="31 ＯＰ確認中"))</f>
        <v/>
      </c>
      <c r="AS44" s="192">
        <f>IFERROR(_xlfn.TEXTJOIN(CHAR(10),TRUE,IF((元データ!$AL$2:$AL$2001=1)*(元データ!$AN$2:$AN$2001=1)*(元データ!$AE$2:$AE$2001=$C$43)*(元データ!$AO$2:$AO$2001=0)*(元データ!$AM$2:$AM$2001&gt;=22)*(元データ!$AM$2:$AM$2001&lt;=30)*(元データ!$E$2:$E$2001="31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44" s="191">
        <f>SUMPRODUCT((元データ!$AL$2:$AL$2001=1)*(元データ!$AN$2:$AN$2001=1)*(元データ!$AE$2:$AE$2001=$C$43)*(元データ!$AO$2:$AO$2001=0)*(元データ!$AM$2:$AM$2001&gt;=22)*(元データ!$AM$2:$AM$2001&lt;=30)*(元データ!$E$2:$E$2001="32 ＳＶ確認中"))</f>
        <v/>
      </c>
      <c r="AU44" s="192">
        <f>IFERROR(_xlfn.TEXTJOIN(CHAR(10),TRUE,IF((元データ!$AL$2:$AL$2001=1)*(元データ!$AN$2:$AN$2001=1)*(元データ!$AE$2:$AE$2001=$C$43)*(元データ!$AO$2:$AO$2001=0)*(元データ!$AM$2:$AM$2001&gt;=22)*(元データ!$AM$2:$AM$2001&lt;=30)*(元データ!$E$2:$E$2001="32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44" s="191">
        <f>SUMPRODUCT((元データ!$AL$2:$AL$2001=1)*(元データ!$AN$2:$AN$2001=1)*(元データ!$AE$2:$AE$2001=$C$43)*(元データ!$AO$2:$AO$2001=0)*(元データ!$AM$2:$AM$2001&gt;=22)*(元データ!$AM$2:$AM$2001&lt;=30)*(元データ!$E$2:$E$2001="40 差戻し"))</f>
        <v/>
      </c>
      <c r="AW44" s="192">
        <f>IFERROR(_xlfn.TEXTJOIN(CHAR(10),TRUE,IF((元データ!$AL$2:$AL$2001=1)*(元データ!$AN$2:$AN$2001=1)*(元データ!$AE$2:$AE$2001=$C$43)*(元データ!$AO$2:$AO$2001=0)*(元データ!$AM$2:$AM$2001&gt;=22)*(元データ!$AM$2:$AM$2001&lt;=30)*(元データ!$E$2:$E$2001="40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44" s="193">
        <f>SUMPRODUCT((元データ!$AL$2:$AL$2001=1)*(元データ!$AN$2:$AN$2001=1)*(元データ!$AE$2:$AE$2001=$C$43)*(元データ!$AO$2:$AO$2001=0)*(元データ!$AM$2:$AM$2001&gt;=31))</f>
        <v/>
      </c>
      <c r="AY44" s="194">
        <f>SUMPRODUCT((元データ!$AL$2:$AL$2001=1)*(元データ!$AN$2:$AN$2001=1)*(元データ!$AE$2:$AE$2001=$C$43)*(元データ!$AO$2:$AO$2001=0)*(元データ!$AM$2:$AM$2001&gt;=31)*(元データ!$E$2:$E$2001="20 確認待ち"))</f>
        <v/>
      </c>
      <c r="AZ44" s="195">
        <f>IFERROR(_xlfn.TEXTJOIN(CHAR(10),TRUE,IF((元データ!$AL$2:$AL$2001=1)*(元データ!$AN$2:$AN$2001=1)*(元データ!$AE$2:$AE$2001=$C$43)*(元データ!$AO$2:$AO$2001=0)*(元データ!$AM$2:$AM$2001&gt;=31)*(元データ!$E$2:$E$2001="20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44" s="194">
        <f>SUMPRODUCT((元データ!$AL$2:$AL$2001=1)*(元データ!$AN$2:$AN$2001=1)*(元データ!$AE$2:$AE$2001=$C$43)*(元データ!$AO$2:$AO$2001=0)*(元データ!$AM$2:$AM$2001&gt;=31)*(元データ!$E$2:$E$2001="30 申請受付"))</f>
        <v/>
      </c>
      <c r="BB44" s="195">
        <f>IFERROR(_xlfn.TEXTJOIN(CHAR(10),TRUE,IF((元データ!$AL$2:$AL$2001=1)*(元データ!$AN$2:$AN$2001=1)*(元データ!$AE$2:$AE$2001=$C$43)*(元データ!$AO$2:$AO$2001=0)*(元データ!$AM$2:$AM$2001&gt;=31)*(元データ!$E$2:$E$2001="30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44" s="194">
        <f>SUMPRODUCT((元データ!$AL$2:$AL$2001=1)*(元データ!$AN$2:$AN$2001=1)*(元データ!$AE$2:$AE$2001=$C$43)*(元データ!$AO$2:$AO$2001=0)*(元データ!$AM$2:$AM$2001&gt;=31)*(元データ!$E$2:$E$2001="31 ＯＰ確認中"))</f>
        <v/>
      </c>
      <c r="BD44" s="195">
        <f>IFERROR(_xlfn.TEXTJOIN(CHAR(10),TRUE,IF((元データ!$AL$2:$AL$2001=1)*(元データ!$AN$2:$AN$2001=1)*(元データ!$AE$2:$AE$2001=$C$43)*(元データ!$AO$2:$AO$2001=0)*(元データ!$AM$2:$AM$2001&gt;=31)*(元データ!$E$2:$E$2001="31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44" s="194">
        <f>SUMPRODUCT((元データ!$AL$2:$AL$2001=1)*(元データ!$AN$2:$AN$2001=1)*(元データ!$AE$2:$AE$2001=$C$43)*(元データ!$AO$2:$AO$2001=0)*(元データ!$AM$2:$AM$2001&gt;=31)*(元データ!$E$2:$E$2001="32 ＳＶ確認中"))</f>
        <v/>
      </c>
      <c r="BF44" s="195">
        <f>IFERROR(_xlfn.TEXTJOIN(CHAR(10),TRUE,IF((元データ!$AL$2:$AL$2001=1)*(元データ!$AN$2:$AN$2001=1)*(元データ!$AE$2:$AE$2001=$C$43)*(元データ!$AO$2:$AO$2001=0)*(元データ!$AM$2:$AM$2001&gt;=31)*(元データ!$E$2:$E$2001="32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44" s="194">
        <f>SUMPRODUCT((元データ!$AL$2:$AL$2001=1)*(元データ!$AN$2:$AN$2001=1)*(元データ!$AE$2:$AE$2001=$C$43)*(元データ!$AO$2:$AO$2001=0)*(元データ!$AM$2:$AM$2001&gt;=31)*(元データ!$E$2:$E$2001="40 差戻し"))</f>
        <v/>
      </c>
      <c r="BH44" s="195">
        <f>IFERROR(_xlfn.TEXTJOIN(CHAR(10),TRUE,IF((元データ!$AL$2:$AL$2001=1)*(元データ!$AN$2:$AN$2001=1)*(元データ!$AE$2:$AE$2001=$C$43)*(元データ!$AO$2:$AO$2001=0)*(元データ!$AM$2:$AM$2001&gt;=31)*(元データ!$E$2:$E$2001="40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45" ht="19.5" customHeight="1" s="87">
      <c r="B45" s="139" t="n"/>
      <c r="C45" s="140" t="inlineStr">
        <is>
          <t>24 雇用保険受給終了</t>
        </is>
      </c>
      <c r="D45" s="141" t="inlineStr">
        <is>
          <t>あり</t>
        </is>
      </c>
      <c r="E45" s="142">
        <f>SUMPRODUCT((元データ!$AL$2:$AL$2001=1)*(元データ!$AN$2:$AN$2001=1)*(元データ!$AE$2:$AE$2001=$C$45)*(元データ!$AO$2:$AO$2001=1))</f>
        <v/>
      </c>
      <c r="F45" s="184">
        <f>SUMPRODUCT((元データ!$AL$2:$AL$2001=1)*(元データ!$AN$2:$AN$2001=1)*(元データ!$AE$2:$AE$2001=$C$45)*(元データ!$AO$2:$AO$2001=1)*(元データ!$AM$2:$AM$2001&lt;=7))</f>
        <v/>
      </c>
      <c r="G45" s="185">
        <f>SUMPRODUCT((元データ!$AL$2:$AL$2001=1)*(元データ!$AN$2:$AN$2001=1)*(元データ!$AE$2:$AE$2001=$C$45)*(元データ!$AO$2:$AO$2001=1)*(元データ!$AM$2:$AM$2001&lt;=7)*(元データ!$E$2:$E$2001="20 確認待ち"))</f>
        <v/>
      </c>
      <c r="H45" s="186">
        <f>IFERROR(_xlfn.TEXTJOIN(CHAR(10),TRUE,IF((元データ!$AL$2:$AL$2001=1)*(元データ!$AN$2:$AN$2001=1)*(元データ!$AE$2:$AE$2001=$C$45)*(元データ!$AO$2:$AO$2001=1)*(元データ!$AM$2:$AM$2001&lt;=7)*(元データ!$E$2:$E$2001="20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45" s="185">
        <f>SUMPRODUCT((元データ!$AL$2:$AL$2001=1)*(元データ!$AN$2:$AN$2001=1)*(元データ!$AE$2:$AE$2001=$C$45)*(元データ!$AO$2:$AO$2001=1)*(元データ!$AM$2:$AM$2001&lt;=7)*(元データ!$E$2:$E$2001="30 申請受付"))</f>
        <v/>
      </c>
      <c r="J45" s="186">
        <f>IFERROR(_xlfn.TEXTJOIN(CHAR(10),TRUE,IF((元データ!$AL$2:$AL$2001=1)*(元データ!$AN$2:$AN$2001=1)*(元データ!$AE$2:$AE$2001=$C$45)*(元データ!$AO$2:$AO$2001=1)*(元データ!$AM$2:$AM$2001&lt;=7)*(元データ!$E$2:$E$2001="30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45" s="185">
        <f>SUMPRODUCT((元データ!$AL$2:$AL$2001=1)*(元データ!$AN$2:$AN$2001=1)*(元データ!$AE$2:$AE$2001=$C$45)*(元データ!$AO$2:$AO$2001=1)*(元データ!$AM$2:$AM$2001&lt;=7)*(元データ!$E$2:$E$2001="31 ＯＰ確認中"))</f>
        <v/>
      </c>
      <c r="L45" s="186">
        <f>IFERROR(_xlfn.TEXTJOIN(CHAR(10),TRUE,IF((元データ!$AL$2:$AL$2001=1)*(元データ!$AN$2:$AN$2001=1)*(元データ!$AE$2:$AE$2001=$C$45)*(元データ!$AO$2:$AO$2001=1)*(元データ!$AM$2:$AM$2001&lt;=7)*(元データ!$E$2:$E$2001="31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45" s="185">
        <f>SUMPRODUCT((元データ!$AL$2:$AL$2001=1)*(元データ!$AN$2:$AN$2001=1)*(元データ!$AE$2:$AE$2001=$C$45)*(元データ!$AO$2:$AO$2001=1)*(元データ!$AM$2:$AM$2001&lt;=7)*(元データ!$E$2:$E$2001="32 ＳＶ確認中"))</f>
        <v/>
      </c>
      <c r="N45" s="186">
        <f>IFERROR(_xlfn.TEXTJOIN(CHAR(10),TRUE,IF((元データ!$AL$2:$AL$2001=1)*(元データ!$AN$2:$AN$2001=1)*(元データ!$AE$2:$AE$2001=$C$45)*(元データ!$AO$2:$AO$2001=1)*(元データ!$AM$2:$AM$2001&lt;=7)*(元データ!$E$2:$E$2001="32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45" s="185">
        <f>SUMPRODUCT((元データ!$AL$2:$AL$2001=1)*(元データ!$AN$2:$AN$2001=1)*(元データ!$AE$2:$AE$2001=$C$45)*(元データ!$AO$2:$AO$2001=1)*(元データ!$AM$2:$AM$2001&lt;=7)*(元データ!$E$2:$E$2001="40 差戻し"))</f>
        <v/>
      </c>
      <c r="P45" s="186">
        <f>IFERROR(_xlfn.TEXTJOIN(CHAR(10),TRUE,IF((元データ!$AL$2:$AL$2001=1)*(元データ!$AN$2:$AN$2001=1)*(元データ!$AE$2:$AE$2001=$C$45)*(元データ!$AO$2:$AO$2001=1)*(元データ!$AM$2:$AM$2001&lt;=7)*(元データ!$E$2:$E$2001="40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45" s="184">
        <f>SUMPRODUCT((元データ!$AL$2:$AL$2001=1)*(元データ!$AN$2:$AN$2001=1)*(元データ!$AE$2:$AE$2001=$C$45)*(元データ!$AO$2:$AO$2001=1)*(元データ!$AM$2:$AM$2001&gt;=8)*(元データ!$AM$2:$AM$2001&lt;=14))</f>
        <v/>
      </c>
      <c r="R45" s="185">
        <f>SUMPRODUCT((元データ!$AL$2:$AL$2001=1)*(元データ!$AN$2:$AN$2001=1)*(元データ!$AE$2:$AE$2001=$C$45)*(元データ!$AO$2:$AO$2001=1)*(元データ!$AM$2:$AM$2001&gt;=8)*(元データ!$AM$2:$AM$2001&lt;=14)*(元データ!$E$2:$E$2001="20 確認待ち"))</f>
        <v/>
      </c>
      <c r="S45" s="186">
        <f>IFERROR(_xlfn.TEXTJOIN(CHAR(10),TRUE,IF((元データ!$AL$2:$AL$2001=1)*(元データ!$AN$2:$AN$2001=1)*(元データ!$AE$2:$AE$2001=$C$45)*(元データ!$AO$2:$AO$2001=1)*(元データ!$AM$2:$AM$2001&gt;=8)*(元データ!$AM$2:$AM$2001&lt;=14)*(元データ!$E$2:$E$2001="20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45" s="185">
        <f>SUMPRODUCT((元データ!$AL$2:$AL$2001=1)*(元データ!$AN$2:$AN$2001=1)*(元データ!$AE$2:$AE$2001=$C$45)*(元データ!$AO$2:$AO$2001=1)*(元データ!$AM$2:$AM$2001&gt;=8)*(元データ!$AM$2:$AM$2001&lt;=14)*(元データ!$E$2:$E$2001="30 申請受付"))</f>
        <v/>
      </c>
      <c r="U45" s="186">
        <f>IFERROR(_xlfn.TEXTJOIN(CHAR(10),TRUE,IF((元データ!$AL$2:$AL$2001=1)*(元データ!$AN$2:$AN$2001=1)*(元データ!$AE$2:$AE$2001=$C$45)*(元データ!$AO$2:$AO$2001=1)*(元データ!$AM$2:$AM$2001&gt;=8)*(元データ!$AM$2:$AM$2001&lt;=14)*(元データ!$E$2:$E$2001="30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45" s="185">
        <f>SUMPRODUCT((元データ!$AL$2:$AL$2001=1)*(元データ!$AN$2:$AN$2001=1)*(元データ!$AE$2:$AE$2001=$C$45)*(元データ!$AO$2:$AO$2001=1)*(元データ!$AM$2:$AM$2001&gt;=8)*(元データ!$AM$2:$AM$2001&lt;=14)*(元データ!$E$2:$E$2001="31 ＯＰ確認中"))</f>
        <v/>
      </c>
      <c r="W45" s="186">
        <f>IFERROR(_xlfn.TEXTJOIN(CHAR(10),TRUE,IF((元データ!$AL$2:$AL$2001=1)*(元データ!$AN$2:$AN$2001=1)*(元データ!$AE$2:$AE$2001=$C$45)*(元データ!$AO$2:$AO$2001=1)*(元データ!$AM$2:$AM$2001&gt;=8)*(元データ!$AM$2:$AM$2001&lt;=14)*(元データ!$E$2:$E$2001="31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45" s="185">
        <f>SUMPRODUCT((元データ!$AL$2:$AL$2001=1)*(元データ!$AN$2:$AN$2001=1)*(元データ!$AE$2:$AE$2001=$C$45)*(元データ!$AO$2:$AO$2001=1)*(元データ!$AM$2:$AM$2001&gt;=8)*(元データ!$AM$2:$AM$2001&lt;=14)*(元データ!$E$2:$E$2001="32 ＳＶ確認中"))</f>
        <v/>
      </c>
      <c r="Y45" s="186">
        <f>IFERROR(_xlfn.TEXTJOIN(CHAR(10),TRUE,IF((元データ!$AL$2:$AL$2001=1)*(元データ!$AN$2:$AN$2001=1)*(元データ!$AE$2:$AE$2001=$C$45)*(元データ!$AO$2:$AO$2001=1)*(元データ!$AM$2:$AM$2001&gt;=8)*(元データ!$AM$2:$AM$2001&lt;=14)*(元データ!$E$2:$E$2001="32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45" s="185">
        <f>SUMPRODUCT((元データ!$AL$2:$AL$2001=1)*(元データ!$AN$2:$AN$2001=1)*(元データ!$AE$2:$AE$2001=$C$45)*(元データ!$AO$2:$AO$2001=1)*(元データ!$AM$2:$AM$2001&gt;=8)*(元データ!$AM$2:$AM$2001&lt;=14)*(元データ!$E$2:$E$2001="40 差戻し"))</f>
        <v/>
      </c>
      <c r="AA45" s="186">
        <f>IFERROR(_xlfn.TEXTJOIN(CHAR(10),TRUE,IF((元データ!$AL$2:$AL$2001=1)*(元データ!$AN$2:$AN$2001=1)*(元データ!$AE$2:$AE$2001=$C$45)*(元データ!$AO$2:$AO$2001=1)*(元データ!$AM$2:$AM$2001&gt;=8)*(元データ!$AM$2:$AM$2001&lt;=14)*(元データ!$E$2:$E$2001="40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45" s="187">
        <f>SUMPRODUCT((元データ!$AL$2:$AL$2001=1)*(元データ!$AN$2:$AN$2001=1)*(元データ!$AE$2:$AE$2001=$C$45)*(元データ!$AO$2:$AO$2001=1)*(元データ!$AM$2:$AM$2001&gt;=15)*(元データ!$AM$2:$AM$2001&lt;=21))</f>
        <v/>
      </c>
      <c r="AC45" s="188">
        <f>SUMPRODUCT((元データ!$AL$2:$AL$2001=1)*(元データ!$AN$2:$AN$2001=1)*(元データ!$AE$2:$AE$2001=$C$45)*(元データ!$AO$2:$AO$2001=1)*(元データ!$AM$2:$AM$2001&gt;=15)*(元データ!$AM$2:$AM$2001&lt;=21)*(元データ!$E$2:$E$2001="20 確認待ち"))</f>
        <v/>
      </c>
      <c r="AD45" s="189">
        <f>IFERROR(_xlfn.TEXTJOIN(CHAR(10),TRUE,IF((元データ!$AL$2:$AL$2001=1)*(元データ!$AN$2:$AN$2001=1)*(元データ!$AE$2:$AE$2001=$C$45)*(元データ!$AO$2:$AO$2001=1)*(元データ!$AM$2:$AM$2001&gt;=15)*(元データ!$AM$2:$AM$2001&lt;=21)*(元データ!$E$2:$E$2001="20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45" s="188">
        <f>SUMPRODUCT((元データ!$AL$2:$AL$2001=1)*(元データ!$AN$2:$AN$2001=1)*(元データ!$AE$2:$AE$2001=$C$45)*(元データ!$AO$2:$AO$2001=1)*(元データ!$AM$2:$AM$2001&gt;=15)*(元データ!$AM$2:$AM$2001&lt;=21)*(元データ!$E$2:$E$2001="30 申請受付"))</f>
        <v/>
      </c>
      <c r="AF45" s="189">
        <f>IFERROR(_xlfn.TEXTJOIN(CHAR(10),TRUE,IF((元データ!$AL$2:$AL$2001=1)*(元データ!$AN$2:$AN$2001=1)*(元データ!$AE$2:$AE$2001=$C$45)*(元データ!$AO$2:$AO$2001=1)*(元データ!$AM$2:$AM$2001&gt;=15)*(元データ!$AM$2:$AM$2001&lt;=21)*(元データ!$E$2:$E$2001="30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45" s="188">
        <f>SUMPRODUCT((元データ!$AL$2:$AL$2001=1)*(元データ!$AN$2:$AN$2001=1)*(元データ!$AE$2:$AE$2001=$C$45)*(元データ!$AO$2:$AO$2001=1)*(元データ!$AM$2:$AM$2001&gt;=15)*(元データ!$AM$2:$AM$2001&lt;=21)*(元データ!$E$2:$E$2001="31 ＯＰ確認中"))</f>
        <v/>
      </c>
      <c r="AH45" s="189">
        <f>IFERROR(_xlfn.TEXTJOIN(CHAR(10),TRUE,IF((元データ!$AL$2:$AL$2001=1)*(元データ!$AN$2:$AN$2001=1)*(元データ!$AE$2:$AE$2001=$C$45)*(元データ!$AO$2:$AO$2001=1)*(元データ!$AM$2:$AM$2001&gt;=15)*(元データ!$AM$2:$AM$2001&lt;=21)*(元データ!$E$2:$E$2001="31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45" s="188">
        <f>SUMPRODUCT((元データ!$AL$2:$AL$2001=1)*(元データ!$AN$2:$AN$2001=1)*(元データ!$AE$2:$AE$2001=$C$45)*(元データ!$AO$2:$AO$2001=1)*(元データ!$AM$2:$AM$2001&gt;=15)*(元データ!$AM$2:$AM$2001&lt;=21)*(元データ!$E$2:$E$2001="32 ＳＶ確認中"))</f>
        <v/>
      </c>
      <c r="AJ45" s="189">
        <f>IFERROR(_xlfn.TEXTJOIN(CHAR(10),TRUE,IF((元データ!$AL$2:$AL$2001=1)*(元データ!$AN$2:$AN$2001=1)*(元データ!$AE$2:$AE$2001=$C$45)*(元データ!$AO$2:$AO$2001=1)*(元データ!$AM$2:$AM$2001&gt;=15)*(元データ!$AM$2:$AM$2001&lt;=21)*(元データ!$E$2:$E$2001="32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45" s="188">
        <f>SUMPRODUCT((元データ!$AL$2:$AL$2001=1)*(元データ!$AN$2:$AN$2001=1)*(元データ!$AE$2:$AE$2001=$C$45)*(元データ!$AO$2:$AO$2001=1)*(元データ!$AM$2:$AM$2001&gt;=15)*(元データ!$AM$2:$AM$2001&lt;=21)*(元データ!$E$2:$E$2001="40 差戻し"))</f>
        <v/>
      </c>
      <c r="AL45" s="189">
        <f>IFERROR(_xlfn.TEXTJOIN(CHAR(10),TRUE,IF((元データ!$AL$2:$AL$2001=1)*(元データ!$AN$2:$AN$2001=1)*(元データ!$AE$2:$AE$2001=$C$45)*(元データ!$AO$2:$AO$2001=1)*(元データ!$AM$2:$AM$2001&gt;=15)*(元データ!$AM$2:$AM$2001&lt;=21)*(元データ!$E$2:$E$2001="40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45" s="190">
        <f>SUMPRODUCT((元データ!$AL$2:$AL$2001=1)*(元データ!$AN$2:$AN$2001=1)*(元データ!$AE$2:$AE$2001=$C$45)*(元データ!$AO$2:$AO$2001=1)*(元データ!$AM$2:$AM$2001&gt;=22)*(元データ!$AM$2:$AM$2001&lt;=30))</f>
        <v/>
      </c>
      <c r="AN45" s="191">
        <f>SUMPRODUCT((元データ!$AL$2:$AL$2001=1)*(元データ!$AN$2:$AN$2001=1)*(元データ!$AE$2:$AE$2001=$C$45)*(元データ!$AO$2:$AO$2001=1)*(元データ!$AM$2:$AM$2001&gt;=22)*(元データ!$AM$2:$AM$2001&lt;=30)*(元データ!$E$2:$E$2001="20 確認待ち"))</f>
        <v/>
      </c>
      <c r="AO45" s="192">
        <f>IFERROR(_xlfn.TEXTJOIN(CHAR(10),TRUE,IF((元データ!$AL$2:$AL$2001=1)*(元データ!$AN$2:$AN$2001=1)*(元データ!$AE$2:$AE$2001=$C$45)*(元データ!$AO$2:$AO$2001=1)*(元データ!$AM$2:$AM$2001&gt;=22)*(元データ!$AM$2:$AM$2001&lt;=30)*(元データ!$E$2:$E$2001="20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45" s="191">
        <f>SUMPRODUCT((元データ!$AL$2:$AL$2001=1)*(元データ!$AN$2:$AN$2001=1)*(元データ!$AE$2:$AE$2001=$C$45)*(元データ!$AO$2:$AO$2001=1)*(元データ!$AM$2:$AM$2001&gt;=22)*(元データ!$AM$2:$AM$2001&lt;=30)*(元データ!$E$2:$E$2001="30 申請受付"))</f>
        <v/>
      </c>
      <c r="AQ45" s="192">
        <f>IFERROR(_xlfn.TEXTJOIN(CHAR(10),TRUE,IF((元データ!$AL$2:$AL$2001=1)*(元データ!$AN$2:$AN$2001=1)*(元データ!$AE$2:$AE$2001=$C$45)*(元データ!$AO$2:$AO$2001=1)*(元データ!$AM$2:$AM$2001&gt;=22)*(元データ!$AM$2:$AM$2001&lt;=30)*(元データ!$E$2:$E$2001="30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45" s="191">
        <f>SUMPRODUCT((元データ!$AL$2:$AL$2001=1)*(元データ!$AN$2:$AN$2001=1)*(元データ!$AE$2:$AE$2001=$C$45)*(元データ!$AO$2:$AO$2001=1)*(元データ!$AM$2:$AM$2001&gt;=22)*(元データ!$AM$2:$AM$2001&lt;=30)*(元データ!$E$2:$E$2001="31 ＯＰ確認中"))</f>
        <v/>
      </c>
      <c r="AS45" s="192">
        <f>IFERROR(_xlfn.TEXTJOIN(CHAR(10),TRUE,IF((元データ!$AL$2:$AL$2001=1)*(元データ!$AN$2:$AN$2001=1)*(元データ!$AE$2:$AE$2001=$C$45)*(元データ!$AO$2:$AO$2001=1)*(元データ!$AM$2:$AM$2001&gt;=22)*(元データ!$AM$2:$AM$2001&lt;=30)*(元データ!$E$2:$E$2001="31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45" s="191">
        <f>SUMPRODUCT((元データ!$AL$2:$AL$2001=1)*(元データ!$AN$2:$AN$2001=1)*(元データ!$AE$2:$AE$2001=$C$45)*(元データ!$AO$2:$AO$2001=1)*(元データ!$AM$2:$AM$2001&gt;=22)*(元データ!$AM$2:$AM$2001&lt;=30)*(元データ!$E$2:$E$2001="32 ＳＶ確認中"))</f>
        <v/>
      </c>
      <c r="AU45" s="192">
        <f>IFERROR(_xlfn.TEXTJOIN(CHAR(10),TRUE,IF((元データ!$AL$2:$AL$2001=1)*(元データ!$AN$2:$AN$2001=1)*(元データ!$AE$2:$AE$2001=$C$45)*(元データ!$AO$2:$AO$2001=1)*(元データ!$AM$2:$AM$2001&gt;=22)*(元データ!$AM$2:$AM$2001&lt;=30)*(元データ!$E$2:$E$2001="32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45" s="191">
        <f>SUMPRODUCT((元データ!$AL$2:$AL$2001=1)*(元データ!$AN$2:$AN$2001=1)*(元データ!$AE$2:$AE$2001=$C$45)*(元データ!$AO$2:$AO$2001=1)*(元データ!$AM$2:$AM$2001&gt;=22)*(元データ!$AM$2:$AM$2001&lt;=30)*(元データ!$E$2:$E$2001="40 差戻し"))</f>
        <v/>
      </c>
      <c r="AW45" s="192">
        <f>IFERROR(_xlfn.TEXTJOIN(CHAR(10),TRUE,IF((元データ!$AL$2:$AL$2001=1)*(元データ!$AN$2:$AN$2001=1)*(元データ!$AE$2:$AE$2001=$C$45)*(元データ!$AO$2:$AO$2001=1)*(元データ!$AM$2:$AM$2001&gt;=22)*(元データ!$AM$2:$AM$2001&lt;=30)*(元データ!$E$2:$E$2001="40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45" s="193">
        <f>SUMPRODUCT((元データ!$AL$2:$AL$2001=1)*(元データ!$AN$2:$AN$2001=1)*(元データ!$AE$2:$AE$2001=$C$45)*(元データ!$AO$2:$AO$2001=1)*(元データ!$AM$2:$AM$2001&gt;=31))</f>
        <v/>
      </c>
      <c r="AY45" s="194">
        <f>SUMPRODUCT((元データ!$AL$2:$AL$2001=1)*(元データ!$AN$2:$AN$2001=1)*(元データ!$AE$2:$AE$2001=$C$45)*(元データ!$AO$2:$AO$2001=1)*(元データ!$AM$2:$AM$2001&gt;=31)*(元データ!$E$2:$E$2001="20 確認待ち"))</f>
        <v/>
      </c>
      <c r="AZ45" s="195">
        <f>IFERROR(_xlfn.TEXTJOIN(CHAR(10),TRUE,IF((元データ!$AL$2:$AL$2001=1)*(元データ!$AN$2:$AN$2001=1)*(元データ!$AE$2:$AE$2001=$C$45)*(元データ!$AO$2:$AO$2001=1)*(元データ!$AM$2:$AM$2001&gt;=31)*(元データ!$E$2:$E$2001="20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45" s="194">
        <f>SUMPRODUCT((元データ!$AL$2:$AL$2001=1)*(元データ!$AN$2:$AN$2001=1)*(元データ!$AE$2:$AE$2001=$C$45)*(元データ!$AO$2:$AO$2001=1)*(元データ!$AM$2:$AM$2001&gt;=31)*(元データ!$E$2:$E$2001="30 申請受付"))</f>
        <v/>
      </c>
      <c r="BB45" s="195">
        <f>IFERROR(_xlfn.TEXTJOIN(CHAR(10),TRUE,IF((元データ!$AL$2:$AL$2001=1)*(元データ!$AN$2:$AN$2001=1)*(元データ!$AE$2:$AE$2001=$C$45)*(元データ!$AO$2:$AO$2001=1)*(元データ!$AM$2:$AM$2001&gt;=31)*(元データ!$E$2:$E$2001="30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45" s="194">
        <f>SUMPRODUCT((元データ!$AL$2:$AL$2001=1)*(元データ!$AN$2:$AN$2001=1)*(元データ!$AE$2:$AE$2001=$C$45)*(元データ!$AO$2:$AO$2001=1)*(元データ!$AM$2:$AM$2001&gt;=31)*(元データ!$E$2:$E$2001="31 ＯＰ確認中"))</f>
        <v/>
      </c>
      <c r="BD45" s="195">
        <f>IFERROR(_xlfn.TEXTJOIN(CHAR(10),TRUE,IF((元データ!$AL$2:$AL$2001=1)*(元データ!$AN$2:$AN$2001=1)*(元データ!$AE$2:$AE$2001=$C$45)*(元データ!$AO$2:$AO$2001=1)*(元データ!$AM$2:$AM$2001&gt;=31)*(元データ!$E$2:$E$2001="31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45" s="194">
        <f>SUMPRODUCT((元データ!$AL$2:$AL$2001=1)*(元データ!$AN$2:$AN$2001=1)*(元データ!$AE$2:$AE$2001=$C$45)*(元データ!$AO$2:$AO$2001=1)*(元データ!$AM$2:$AM$2001&gt;=31)*(元データ!$E$2:$E$2001="32 ＳＶ確認中"))</f>
        <v/>
      </c>
      <c r="BF45" s="195">
        <f>IFERROR(_xlfn.TEXTJOIN(CHAR(10),TRUE,IF((元データ!$AL$2:$AL$2001=1)*(元データ!$AN$2:$AN$2001=1)*(元データ!$AE$2:$AE$2001=$C$45)*(元データ!$AO$2:$AO$2001=1)*(元データ!$AM$2:$AM$2001&gt;=31)*(元データ!$E$2:$E$2001="32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45" s="194">
        <f>SUMPRODUCT((元データ!$AL$2:$AL$2001=1)*(元データ!$AN$2:$AN$2001=1)*(元データ!$AE$2:$AE$2001=$C$45)*(元データ!$AO$2:$AO$2001=1)*(元データ!$AM$2:$AM$2001&gt;=31)*(元データ!$E$2:$E$2001="40 差戻し"))</f>
        <v/>
      </c>
      <c r="BH45" s="195">
        <f>IFERROR(_xlfn.TEXTJOIN(CHAR(10),TRUE,IF((元データ!$AL$2:$AL$2001=1)*(元データ!$AN$2:$AN$2001=1)*(元データ!$AE$2:$AE$2001=$C$45)*(元データ!$AO$2:$AO$2001=1)*(元データ!$AM$2:$AM$2001&gt;=31)*(元データ!$E$2:$E$2001="40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46" ht="19.5" customHeight="1" s="87">
      <c r="B46" s="155" t="n"/>
      <c r="C46" s="156" t="n"/>
      <c r="D46" s="157" t="inlineStr">
        <is>
          <t>なし</t>
        </is>
      </c>
      <c r="E46" s="158">
        <f>SUMPRODUCT((元データ!$AL$2:$AL$2001=1)*(元データ!$AN$2:$AN$2001=1)*(元データ!$AE$2:$AE$2001=$C$45)*(元データ!$AO$2:$AO$2001=0))</f>
        <v/>
      </c>
      <c r="F46" s="196">
        <f>SUMPRODUCT((元データ!$AL$2:$AL$2001=1)*(元データ!$AN$2:$AN$2001=1)*(元データ!$AE$2:$AE$2001=$C$45)*(元データ!$AO$2:$AO$2001=0)*(元データ!$AM$2:$AM$2001&lt;=7))</f>
        <v/>
      </c>
      <c r="G46" s="197">
        <f>SUMPRODUCT((元データ!$AL$2:$AL$2001=1)*(元データ!$AN$2:$AN$2001=1)*(元データ!$AE$2:$AE$2001=$C$45)*(元データ!$AO$2:$AO$2001=0)*(元データ!$AM$2:$AM$2001&lt;=7)*(元データ!$E$2:$E$2001="20 確認待ち"))</f>
        <v/>
      </c>
      <c r="H46" s="198">
        <f>IFERROR(_xlfn.TEXTJOIN(CHAR(10),TRUE,IF((元データ!$AL$2:$AL$2001=1)*(元データ!$AN$2:$AN$2001=1)*(元データ!$AE$2:$AE$2001=$C$45)*(元データ!$AO$2:$AO$2001=0)*(元データ!$AM$2:$AM$2001&lt;=7)*(元データ!$E$2:$E$2001="20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46" s="197">
        <f>SUMPRODUCT((元データ!$AL$2:$AL$2001=1)*(元データ!$AN$2:$AN$2001=1)*(元データ!$AE$2:$AE$2001=$C$45)*(元データ!$AO$2:$AO$2001=0)*(元データ!$AM$2:$AM$2001&lt;=7)*(元データ!$E$2:$E$2001="30 申請受付"))</f>
        <v/>
      </c>
      <c r="J46" s="198">
        <f>IFERROR(_xlfn.TEXTJOIN(CHAR(10),TRUE,IF((元データ!$AL$2:$AL$2001=1)*(元データ!$AN$2:$AN$2001=1)*(元データ!$AE$2:$AE$2001=$C$45)*(元データ!$AO$2:$AO$2001=0)*(元データ!$AM$2:$AM$2001&lt;=7)*(元データ!$E$2:$E$2001="30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46" s="197">
        <f>SUMPRODUCT((元データ!$AL$2:$AL$2001=1)*(元データ!$AN$2:$AN$2001=1)*(元データ!$AE$2:$AE$2001=$C$45)*(元データ!$AO$2:$AO$2001=0)*(元データ!$AM$2:$AM$2001&lt;=7)*(元データ!$E$2:$E$2001="31 ＯＰ確認中"))</f>
        <v/>
      </c>
      <c r="L46" s="198">
        <f>IFERROR(_xlfn.TEXTJOIN(CHAR(10),TRUE,IF((元データ!$AL$2:$AL$2001=1)*(元データ!$AN$2:$AN$2001=1)*(元データ!$AE$2:$AE$2001=$C$45)*(元データ!$AO$2:$AO$2001=0)*(元データ!$AM$2:$AM$2001&lt;=7)*(元データ!$E$2:$E$2001="31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46" s="197">
        <f>SUMPRODUCT((元データ!$AL$2:$AL$2001=1)*(元データ!$AN$2:$AN$2001=1)*(元データ!$AE$2:$AE$2001=$C$45)*(元データ!$AO$2:$AO$2001=0)*(元データ!$AM$2:$AM$2001&lt;=7)*(元データ!$E$2:$E$2001="32 ＳＶ確認中"))</f>
        <v/>
      </c>
      <c r="N46" s="198">
        <f>IFERROR(_xlfn.TEXTJOIN(CHAR(10),TRUE,IF((元データ!$AL$2:$AL$2001=1)*(元データ!$AN$2:$AN$2001=1)*(元データ!$AE$2:$AE$2001=$C$45)*(元データ!$AO$2:$AO$2001=0)*(元データ!$AM$2:$AM$2001&lt;=7)*(元データ!$E$2:$E$2001="32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46" s="197">
        <f>SUMPRODUCT((元データ!$AL$2:$AL$2001=1)*(元データ!$AN$2:$AN$2001=1)*(元データ!$AE$2:$AE$2001=$C$45)*(元データ!$AO$2:$AO$2001=0)*(元データ!$AM$2:$AM$2001&lt;=7)*(元データ!$E$2:$E$2001="40 差戻し"))</f>
        <v/>
      </c>
      <c r="P46" s="198">
        <f>IFERROR(_xlfn.TEXTJOIN(CHAR(10),TRUE,IF((元データ!$AL$2:$AL$2001=1)*(元データ!$AN$2:$AN$2001=1)*(元データ!$AE$2:$AE$2001=$C$45)*(元データ!$AO$2:$AO$2001=0)*(元データ!$AM$2:$AM$2001&lt;=7)*(元データ!$E$2:$E$2001="40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46" s="196">
        <f>SUMPRODUCT((元データ!$AL$2:$AL$2001=1)*(元データ!$AN$2:$AN$2001=1)*(元データ!$AE$2:$AE$2001=$C$45)*(元データ!$AO$2:$AO$2001=0)*(元データ!$AM$2:$AM$2001&gt;=8)*(元データ!$AM$2:$AM$2001&lt;=14))</f>
        <v/>
      </c>
      <c r="R46" s="197">
        <f>SUMPRODUCT((元データ!$AL$2:$AL$2001=1)*(元データ!$AN$2:$AN$2001=1)*(元データ!$AE$2:$AE$2001=$C$45)*(元データ!$AO$2:$AO$2001=0)*(元データ!$AM$2:$AM$2001&gt;=8)*(元データ!$AM$2:$AM$2001&lt;=14)*(元データ!$E$2:$E$2001="20 確認待ち"))</f>
        <v/>
      </c>
      <c r="S46" s="198">
        <f>IFERROR(_xlfn.TEXTJOIN(CHAR(10),TRUE,IF((元データ!$AL$2:$AL$2001=1)*(元データ!$AN$2:$AN$2001=1)*(元データ!$AE$2:$AE$2001=$C$45)*(元データ!$AO$2:$AO$2001=0)*(元データ!$AM$2:$AM$2001&gt;=8)*(元データ!$AM$2:$AM$2001&lt;=14)*(元データ!$E$2:$E$2001="20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46" s="197">
        <f>SUMPRODUCT((元データ!$AL$2:$AL$2001=1)*(元データ!$AN$2:$AN$2001=1)*(元データ!$AE$2:$AE$2001=$C$45)*(元データ!$AO$2:$AO$2001=0)*(元データ!$AM$2:$AM$2001&gt;=8)*(元データ!$AM$2:$AM$2001&lt;=14)*(元データ!$E$2:$E$2001="30 申請受付"))</f>
        <v/>
      </c>
      <c r="U46" s="198">
        <f>IFERROR(_xlfn.TEXTJOIN(CHAR(10),TRUE,IF((元データ!$AL$2:$AL$2001=1)*(元データ!$AN$2:$AN$2001=1)*(元データ!$AE$2:$AE$2001=$C$45)*(元データ!$AO$2:$AO$2001=0)*(元データ!$AM$2:$AM$2001&gt;=8)*(元データ!$AM$2:$AM$2001&lt;=14)*(元データ!$E$2:$E$2001="30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46" s="197">
        <f>SUMPRODUCT((元データ!$AL$2:$AL$2001=1)*(元データ!$AN$2:$AN$2001=1)*(元データ!$AE$2:$AE$2001=$C$45)*(元データ!$AO$2:$AO$2001=0)*(元データ!$AM$2:$AM$2001&gt;=8)*(元データ!$AM$2:$AM$2001&lt;=14)*(元データ!$E$2:$E$2001="31 ＯＰ確認中"))</f>
        <v/>
      </c>
      <c r="W46" s="198">
        <f>IFERROR(_xlfn.TEXTJOIN(CHAR(10),TRUE,IF((元データ!$AL$2:$AL$2001=1)*(元データ!$AN$2:$AN$2001=1)*(元データ!$AE$2:$AE$2001=$C$45)*(元データ!$AO$2:$AO$2001=0)*(元データ!$AM$2:$AM$2001&gt;=8)*(元データ!$AM$2:$AM$2001&lt;=14)*(元データ!$E$2:$E$2001="31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46" s="197">
        <f>SUMPRODUCT((元データ!$AL$2:$AL$2001=1)*(元データ!$AN$2:$AN$2001=1)*(元データ!$AE$2:$AE$2001=$C$45)*(元データ!$AO$2:$AO$2001=0)*(元データ!$AM$2:$AM$2001&gt;=8)*(元データ!$AM$2:$AM$2001&lt;=14)*(元データ!$E$2:$E$2001="32 ＳＶ確認中"))</f>
        <v/>
      </c>
      <c r="Y46" s="198">
        <f>IFERROR(_xlfn.TEXTJOIN(CHAR(10),TRUE,IF((元データ!$AL$2:$AL$2001=1)*(元データ!$AN$2:$AN$2001=1)*(元データ!$AE$2:$AE$2001=$C$45)*(元データ!$AO$2:$AO$2001=0)*(元データ!$AM$2:$AM$2001&gt;=8)*(元データ!$AM$2:$AM$2001&lt;=14)*(元データ!$E$2:$E$2001="32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46" s="197">
        <f>SUMPRODUCT((元データ!$AL$2:$AL$2001=1)*(元データ!$AN$2:$AN$2001=1)*(元データ!$AE$2:$AE$2001=$C$45)*(元データ!$AO$2:$AO$2001=0)*(元データ!$AM$2:$AM$2001&gt;=8)*(元データ!$AM$2:$AM$2001&lt;=14)*(元データ!$E$2:$E$2001="40 差戻し"))</f>
        <v/>
      </c>
      <c r="AA46" s="198">
        <f>IFERROR(_xlfn.TEXTJOIN(CHAR(10),TRUE,IF((元データ!$AL$2:$AL$2001=1)*(元データ!$AN$2:$AN$2001=1)*(元データ!$AE$2:$AE$2001=$C$45)*(元データ!$AO$2:$AO$2001=0)*(元データ!$AM$2:$AM$2001&gt;=8)*(元データ!$AM$2:$AM$2001&lt;=14)*(元データ!$E$2:$E$2001="40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46" s="187">
        <f>SUMPRODUCT((元データ!$AL$2:$AL$2001=1)*(元データ!$AN$2:$AN$2001=1)*(元データ!$AE$2:$AE$2001=$C$45)*(元データ!$AO$2:$AO$2001=0)*(元データ!$AM$2:$AM$2001&gt;=15)*(元データ!$AM$2:$AM$2001&lt;=21))</f>
        <v/>
      </c>
      <c r="AC46" s="188">
        <f>SUMPRODUCT((元データ!$AL$2:$AL$2001=1)*(元データ!$AN$2:$AN$2001=1)*(元データ!$AE$2:$AE$2001=$C$45)*(元データ!$AO$2:$AO$2001=0)*(元データ!$AM$2:$AM$2001&gt;=15)*(元データ!$AM$2:$AM$2001&lt;=21)*(元データ!$E$2:$E$2001="20 確認待ち"))</f>
        <v/>
      </c>
      <c r="AD46" s="189">
        <f>IFERROR(_xlfn.TEXTJOIN(CHAR(10),TRUE,IF((元データ!$AL$2:$AL$2001=1)*(元データ!$AN$2:$AN$2001=1)*(元データ!$AE$2:$AE$2001=$C$45)*(元データ!$AO$2:$AO$2001=0)*(元データ!$AM$2:$AM$2001&gt;=15)*(元データ!$AM$2:$AM$2001&lt;=21)*(元データ!$E$2:$E$2001="20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46" s="188">
        <f>SUMPRODUCT((元データ!$AL$2:$AL$2001=1)*(元データ!$AN$2:$AN$2001=1)*(元データ!$AE$2:$AE$2001=$C$45)*(元データ!$AO$2:$AO$2001=0)*(元データ!$AM$2:$AM$2001&gt;=15)*(元データ!$AM$2:$AM$2001&lt;=21)*(元データ!$E$2:$E$2001="30 申請受付"))</f>
        <v/>
      </c>
      <c r="AF46" s="189">
        <f>IFERROR(_xlfn.TEXTJOIN(CHAR(10),TRUE,IF((元データ!$AL$2:$AL$2001=1)*(元データ!$AN$2:$AN$2001=1)*(元データ!$AE$2:$AE$2001=$C$45)*(元データ!$AO$2:$AO$2001=0)*(元データ!$AM$2:$AM$2001&gt;=15)*(元データ!$AM$2:$AM$2001&lt;=21)*(元データ!$E$2:$E$2001="30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46" s="188">
        <f>SUMPRODUCT((元データ!$AL$2:$AL$2001=1)*(元データ!$AN$2:$AN$2001=1)*(元データ!$AE$2:$AE$2001=$C$45)*(元データ!$AO$2:$AO$2001=0)*(元データ!$AM$2:$AM$2001&gt;=15)*(元データ!$AM$2:$AM$2001&lt;=21)*(元データ!$E$2:$E$2001="31 ＯＰ確認中"))</f>
        <v/>
      </c>
      <c r="AH46" s="189">
        <f>IFERROR(_xlfn.TEXTJOIN(CHAR(10),TRUE,IF((元データ!$AL$2:$AL$2001=1)*(元データ!$AN$2:$AN$2001=1)*(元データ!$AE$2:$AE$2001=$C$45)*(元データ!$AO$2:$AO$2001=0)*(元データ!$AM$2:$AM$2001&gt;=15)*(元データ!$AM$2:$AM$2001&lt;=21)*(元データ!$E$2:$E$2001="31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46" s="188">
        <f>SUMPRODUCT((元データ!$AL$2:$AL$2001=1)*(元データ!$AN$2:$AN$2001=1)*(元データ!$AE$2:$AE$2001=$C$45)*(元データ!$AO$2:$AO$2001=0)*(元データ!$AM$2:$AM$2001&gt;=15)*(元データ!$AM$2:$AM$2001&lt;=21)*(元データ!$E$2:$E$2001="32 ＳＶ確認中"))</f>
        <v/>
      </c>
      <c r="AJ46" s="189">
        <f>IFERROR(_xlfn.TEXTJOIN(CHAR(10),TRUE,IF((元データ!$AL$2:$AL$2001=1)*(元データ!$AN$2:$AN$2001=1)*(元データ!$AE$2:$AE$2001=$C$45)*(元データ!$AO$2:$AO$2001=0)*(元データ!$AM$2:$AM$2001&gt;=15)*(元データ!$AM$2:$AM$2001&lt;=21)*(元データ!$E$2:$E$2001="32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46" s="188">
        <f>SUMPRODUCT((元データ!$AL$2:$AL$2001=1)*(元データ!$AN$2:$AN$2001=1)*(元データ!$AE$2:$AE$2001=$C$45)*(元データ!$AO$2:$AO$2001=0)*(元データ!$AM$2:$AM$2001&gt;=15)*(元データ!$AM$2:$AM$2001&lt;=21)*(元データ!$E$2:$E$2001="40 差戻し"))</f>
        <v/>
      </c>
      <c r="AL46" s="189">
        <f>IFERROR(_xlfn.TEXTJOIN(CHAR(10),TRUE,IF((元データ!$AL$2:$AL$2001=1)*(元データ!$AN$2:$AN$2001=1)*(元データ!$AE$2:$AE$2001=$C$45)*(元データ!$AO$2:$AO$2001=0)*(元データ!$AM$2:$AM$2001&gt;=15)*(元データ!$AM$2:$AM$2001&lt;=21)*(元データ!$E$2:$E$2001="40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46" s="190">
        <f>SUMPRODUCT((元データ!$AL$2:$AL$2001=1)*(元データ!$AN$2:$AN$2001=1)*(元データ!$AE$2:$AE$2001=$C$45)*(元データ!$AO$2:$AO$2001=0)*(元データ!$AM$2:$AM$2001&gt;=22)*(元データ!$AM$2:$AM$2001&lt;=30))</f>
        <v/>
      </c>
      <c r="AN46" s="191">
        <f>SUMPRODUCT((元データ!$AL$2:$AL$2001=1)*(元データ!$AN$2:$AN$2001=1)*(元データ!$AE$2:$AE$2001=$C$45)*(元データ!$AO$2:$AO$2001=0)*(元データ!$AM$2:$AM$2001&gt;=22)*(元データ!$AM$2:$AM$2001&lt;=30)*(元データ!$E$2:$E$2001="20 確認待ち"))</f>
        <v/>
      </c>
      <c r="AO46" s="192">
        <f>IFERROR(_xlfn.TEXTJOIN(CHAR(10),TRUE,IF((元データ!$AL$2:$AL$2001=1)*(元データ!$AN$2:$AN$2001=1)*(元データ!$AE$2:$AE$2001=$C$45)*(元データ!$AO$2:$AO$2001=0)*(元データ!$AM$2:$AM$2001&gt;=22)*(元データ!$AM$2:$AM$2001&lt;=30)*(元データ!$E$2:$E$2001="20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46" s="191">
        <f>SUMPRODUCT((元データ!$AL$2:$AL$2001=1)*(元データ!$AN$2:$AN$2001=1)*(元データ!$AE$2:$AE$2001=$C$45)*(元データ!$AO$2:$AO$2001=0)*(元データ!$AM$2:$AM$2001&gt;=22)*(元データ!$AM$2:$AM$2001&lt;=30)*(元データ!$E$2:$E$2001="30 申請受付"))</f>
        <v/>
      </c>
      <c r="AQ46" s="192">
        <f>IFERROR(_xlfn.TEXTJOIN(CHAR(10),TRUE,IF((元データ!$AL$2:$AL$2001=1)*(元データ!$AN$2:$AN$2001=1)*(元データ!$AE$2:$AE$2001=$C$45)*(元データ!$AO$2:$AO$2001=0)*(元データ!$AM$2:$AM$2001&gt;=22)*(元データ!$AM$2:$AM$2001&lt;=30)*(元データ!$E$2:$E$2001="30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46" s="191">
        <f>SUMPRODUCT((元データ!$AL$2:$AL$2001=1)*(元データ!$AN$2:$AN$2001=1)*(元データ!$AE$2:$AE$2001=$C$45)*(元データ!$AO$2:$AO$2001=0)*(元データ!$AM$2:$AM$2001&gt;=22)*(元データ!$AM$2:$AM$2001&lt;=30)*(元データ!$E$2:$E$2001="31 ＯＰ確認中"))</f>
        <v/>
      </c>
      <c r="AS46" s="192">
        <f>IFERROR(_xlfn.TEXTJOIN(CHAR(10),TRUE,IF((元データ!$AL$2:$AL$2001=1)*(元データ!$AN$2:$AN$2001=1)*(元データ!$AE$2:$AE$2001=$C$45)*(元データ!$AO$2:$AO$2001=0)*(元データ!$AM$2:$AM$2001&gt;=22)*(元データ!$AM$2:$AM$2001&lt;=30)*(元データ!$E$2:$E$2001="31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46" s="191">
        <f>SUMPRODUCT((元データ!$AL$2:$AL$2001=1)*(元データ!$AN$2:$AN$2001=1)*(元データ!$AE$2:$AE$2001=$C$45)*(元データ!$AO$2:$AO$2001=0)*(元データ!$AM$2:$AM$2001&gt;=22)*(元データ!$AM$2:$AM$2001&lt;=30)*(元データ!$E$2:$E$2001="32 ＳＶ確認中"))</f>
        <v/>
      </c>
      <c r="AU46" s="192">
        <f>IFERROR(_xlfn.TEXTJOIN(CHAR(10),TRUE,IF((元データ!$AL$2:$AL$2001=1)*(元データ!$AN$2:$AN$2001=1)*(元データ!$AE$2:$AE$2001=$C$45)*(元データ!$AO$2:$AO$2001=0)*(元データ!$AM$2:$AM$2001&gt;=22)*(元データ!$AM$2:$AM$2001&lt;=30)*(元データ!$E$2:$E$2001="32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46" s="191">
        <f>SUMPRODUCT((元データ!$AL$2:$AL$2001=1)*(元データ!$AN$2:$AN$2001=1)*(元データ!$AE$2:$AE$2001=$C$45)*(元データ!$AO$2:$AO$2001=0)*(元データ!$AM$2:$AM$2001&gt;=22)*(元データ!$AM$2:$AM$2001&lt;=30)*(元データ!$E$2:$E$2001="40 差戻し"))</f>
        <v/>
      </c>
      <c r="AW46" s="192">
        <f>IFERROR(_xlfn.TEXTJOIN(CHAR(10),TRUE,IF((元データ!$AL$2:$AL$2001=1)*(元データ!$AN$2:$AN$2001=1)*(元データ!$AE$2:$AE$2001=$C$45)*(元データ!$AO$2:$AO$2001=0)*(元データ!$AM$2:$AM$2001&gt;=22)*(元データ!$AM$2:$AM$2001&lt;=30)*(元データ!$E$2:$E$2001="40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46" s="193">
        <f>SUMPRODUCT((元データ!$AL$2:$AL$2001=1)*(元データ!$AN$2:$AN$2001=1)*(元データ!$AE$2:$AE$2001=$C$45)*(元データ!$AO$2:$AO$2001=0)*(元データ!$AM$2:$AM$2001&gt;=31))</f>
        <v/>
      </c>
      <c r="AY46" s="194">
        <f>SUMPRODUCT((元データ!$AL$2:$AL$2001=1)*(元データ!$AN$2:$AN$2001=1)*(元データ!$AE$2:$AE$2001=$C$45)*(元データ!$AO$2:$AO$2001=0)*(元データ!$AM$2:$AM$2001&gt;=31)*(元データ!$E$2:$E$2001="20 確認待ち"))</f>
        <v/>
      </c>
      <c r="AZ46" s="195">
        <f>IFERROR(_xlfn.TEXTJOIN(CHAR(10),TRUE,IF((元データ!$AL$2:$AL$2001=1)*(元データ!$AN$2:$AN$2001=1)*(元データ!$AE$2:$AE$2001=$C$45)*(元データ!$AO$2:$AO$2001=0)*(元データ!$AM$2:$AM$2001&gt;=31)*(元データ!$E$2:$E$2001="20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46" s="194">
        <f>SUMPRODUCT((元データ!$AL$2:$AL$2001=1)*(元データ!$AN$2:$AN$2001=1)*(元データ!$AE$2:$AE$2001=$C$45)*(元データ!$AO$2:$AO$2001=0)*(元データ!$AM$2:$AM$2001&gt;=31)*(元データ!$E$2:$E$2001="30 申請受付"))</f>
        <v/>
      </c>
      <c r="BB46" s="195">
        <f>IFERROR(_xlfn.TEXTJOIN(CHAR(10),TRUE,IF((元データ!$AL$2:$AL$2001=1)*(元データ!$AN$2:$AN$2001=1)*(元データ!$AE$2:$AE$2001=$C$45)*(元データ!$AO$2:$AO$2001=0)*(元データ!$AM$2:$AM$2001&gt;=31)*(元データ!$E$2:$E$2001="30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46" s="194">
        <f>SUMPRODUCT((元データ!$AL$2:$AL$2001=1)*(元データ!$AN$2:$AN$2001=1)*(元データ!$AE$2:$AE$2001=$C$45)*(元データ!$AO$2:$AO$2001=0)*(元データ!$AM$2:$AM$2001&gt;=31)*(元データ!$E$2:$E$2001="31 ＯＰ確認中"))</f>
        <v/>
      </c>
      <c r="BD46" s="195">
        <f>IFERROR(_xlfn.TEXTJOIN(CHAR(10),TRUE,IF((元データ!$AL$2:$AL$2001=1)*(元データ!$AN$2:$AN$2001=1)*(元データ!$AE$2:$AE$2001=$C$45)*(元データ!$AO$2:$AO$2001=0)*(元データ!$AM$2:$AM$2001&gt;=31)*(元データ!$E$2:$E$2001="31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46" s="194">
        <f>SUMPRODUCT((元データ!$AL$2:$AL$2001=1)*(元データ!$AN$2:$AN$2001=1)*(元データ!$AE$2:$AE$2001=$C$45)*(元データ!$AO$2:$AO$2001=0)*(元データ!$AM$2:$AM$2001&gt;=31)*(元データ!$E$2:$E$2001="32 ＳＶ確認中"))</f>
        <v/>
      </c>
      <c r="BF46" s="195">
        <f>IFERROR(_xlfn.TEXTJOIN(CHAR(10),TRUE,IF((元データ!$AL$2:$AL$2001=1)*(元データ!$AN$2:$AN$2001=1)*(元データ!$AE$2:$AE$2001=$C$45)*(元データ!$AO$2:$AO$2001=0)*(元データ!$AM$2:$AM$2001&gt;=31)*(元データ!$E$2:$E$2001="32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46" s="194">
        <f>SUMPRODUCT((元データ!$AL$2:$AL$2001=1)*(元データ!$AN$2:$AN$2001=1)*(元データ!$AE$2:$AE$2001=$C$45)*(元データ!$AO$2:$AO$2001=0)*(元データ!$AM$2:$AM$2001&gt;=31)*(元データ!$E$2:$E$2001="40 差戻し"))</f>
        <v/>
      </c>
      <c r="BH46" s="195">
        <f>IFERROR(_xlfn.TEXTJOIN(CHAR(10),TRUE,IF((元データ!$AL$2:$AL$2001=1)*(元データ!$AN$2:$AN$2001=1)*(元データ!$AE$2:$AE$2001=$C$45)*(元データ!$AO$2:$AO$2001=0)*(元データ!$AM$2:$AM$2001&gt;=31)*(元データ!$E$2:$E$2001="40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47" ht="19.5" customHeight="1" s="87">
      <c r="B47" s="139" t="n"/>
      <c r="C47" s="140" t="inlineStr">
        <is>
          <t>27 収入限度額以下</t>
        </is>
      </c>
      <c r="D47" s="141" t="inlineStr">
        <is>
          <t>あり</t>
        </is>
      </c>
      <c r="E47" s="142">
        <f>SUMPRODUCT((元データ!$AL$2:$AL$2001=1)*(元データ!$AN$2:$AN$2001=1)*(元データ!$AE$2:$AE$2001=$C$47)*(元データ!$AO$2:$AO$2001=1))</f>
        <v/>
      </c>
      <c r="F47" s="184">
        <f>SUMPRODUCT((元データ!$AL$2:$AL$2001=1)*(元データ!$AN$2:$AN$2001=1)*(元データ!$AE$2:$AE$2001=$C$47)*(元データ!$AO$2:$AO$2001=1)*(元データ!$AM$2:$AM$2001&lt;=7))</f>
        <v/>
      </c>
      <c r="G47" s="185">
        <f>SUMPRODUCT((元データ!$AL$2:$AL$2001=1)*(元データ!$AN$2:$AN$2001=1)*(元データ!$AE$2:$AE$2001=$C$47)*(元データ!$AO$2:$AO$2001=1)*(元データ!$AM$2:$AM$2001&lt;=7)*(元データ!$E$2:$E$2001="20 確認待ち"))</f>
        <v/>
      </c>
      <c r="H47" s="186">
        <f>IFERROR(_xlfn.TEXTJOIN(CHAR(10),TRUE,IF((元データ!$AL$2:$AL$2001=1)*(元データ!$AN$2:$AN$2001=1)*(元データ!$AE$2:$AE$2001=$C$47)*(元データ!$AO$2:$AO$2001=1)*(元データ!$AM$2:$AM$2001&lt;=7)*(元データ!$E$2:$E$2001="20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47" s="185">
        <f>SUMPRODUCT((元データ!$AL$2:$AL$2001=1)*(元データ!$AN$2:$AN$2001=1)*(元データ!$AE$2:$AE$2001=$C$47)*(元データ!$AO$2:$AO$2001=1)*(元データ!$AM$2:$AM$2001&lt;=7)*(元データ!$E$2:$E$2001="30 申請受付"))</f>
        <v/>
      </c>
      <c r="J47" s="186">
        <f>IFERROR(_xlfn.TEXTJOIN(CHAR(10),TRUE,IF((元データ!$AL$2:$AL$2001=1)*(元データ!$AN$2:$AN$2001=1)*(元データ!$AE$2:$AE$2001=$C$47)*(元データ!$AO$2:$AO$2001=1)*(元データ!$AM$2:$AM$2001&lt;=7)*(元データ!$E$2:$E$2001="30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47" s="185">
        <f>SUMPRODUCT((元データ!$AL$2:$AL$2001=1)*(元データ!$AN$2:$AN$2001=1)*(元データ!$AE$2:$AE$2001=$C$47)*(元データ!$AO$2:$AO$2001=1)*(元データ!$AM$2:$AM$2001&lt;=7)*(元データ!$E$2:$E$2001="31 ＯＰ確認中"))</f>
        <v/>
      </c>
      <c r="L47" s="186">
        <f>IFERROR(_xlfn.TEXTJOIN(CHAR(10),TRUE,IF((元データ!$AL$2:$AL$2001=1)*(元データ!$AN$2:$AN$2001=1)*(元データ!$AE$2:$AE$2001=$C$47)*(元データ!$AO$2:$AO$2001=1)*(元データ!$AM$2:$AM$2001&lt;=7)*(元データ!$E$2:$E$2001="31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47" s="185">
        <f>SUMPRODUCT((元データ!$AL$2:$AL$2001=1)*(元データ!$AN$2:$AN$2001=1)*(元データ!$AE$2:$AE$2001=$C$47)*(元データ!$AO$2:$AO$2001=1)*(元データ!$AM$2:$AM$2001&lt;=7)*(元データ!$E$2:$E$2001="32 ＳＶ確認中"))</f>
        <v/>
      </c>
      <c r="N47" s="186">
        <f>IFERROR(_xlfn.TEXTJOIN(CHAR(10),TRUE,IF((元データ!$AL$2:$AL$2001=1)*(元データ!$AN$2:$AN$2001=1)*(元データ!$AE$2:$AE$2001=$C$47)*(元データ!$AO$2:$AO$2001=1)*(元データ!$AM$2:$AM$2001&lt;=7)*(元データ!$E$2:$E$2001="32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47" s="185">
        <f>SUMPRODUCT((元データ!$AL$2:$AL$2001=1)*(元データ!$AN$2:$AN$2001=1)*(元データ!$AE$2:$AE$2001=$C$47)*(元データ!$AO$2:$AO$2001=1)*(元データ!$AM$2:$AM$2001&lt;=7)*(元データ!$E$2:$E$2001="40 差戻し"))</f>
        <v/>
      </c>
      <c r="P47" s="186">
        <f>IFERROR(_xlfn.TEXTJOIN(CHAR(10),TRUE,IF((元データ!$AL$2:$AL$2001=1)*(元データ!$AN$2:$AN$2001=1)*(元データ!$AE$2:$AE$2001=$C$47)*(元データ!$AO$2:$AO$2001=1)*(元データ!$AM$2:$AM$2001&lt;=7)*(元データ!$E$2:$E$2001="40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47" s="184">
        <f>SUMPRODUCT((元データ!$AL$2:$AL$2001=1)*(元データ!$AN$2:$AN$2001=1)*(元データ!$AE$2:$AE$2001=$C$47)*(元データ!$AO$2:$AO$2001=1)*(元データ!$AM$2:$AM$2001&gt;=8)*(元データ!$AM$2:$AM$2001&lt;=14))</f>
        <v/>
      </c>
      <c r="R47" s="185">
        <f>SUMPRODUCT((元データ!$AL$2:$AL$2001=1)*(元データ!$AN$2:$AN$2001=1)*(元データ!$AE$2:$AE$2001=$C$47)*(元データ!$AO$2:$AO$2001=1)*(元データ!$AM$2:$AM$2001&gt;=8)*(元データ!$AM$2:$AM$2001&lt;=14)*(元データ!$E$2:$E$2001="20 確認待ち"))</f>
        <v/>
      </c>
      <c r="S47" s="186">
        <f>IFERROR(_xlfn.TEXTJOIN(CHAR(10),TRUE,IF((元データ!$AL$2:$AL$2001=1)*(元データ!$AN$2:$AN$2001=1)*(元データ!$AE$2:$AE$2001=$C$47)*(元データ!$AO$2:$AO$2001=1)*(元データ!$AM$2:$AM$2001&gt;=8)*(元データ!$AM$2:$AM$2001&lt;=14)*(元データ!$E$2:$E$2001="20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47" s="185">
        <f>SUMPRODUCT((元データ!$AL$2:$AL$2001=1)*(元データ!$AN$2:$AN$2001=1)*(元データ!$AE$2:$AE$2001=$C$47)*(元データ!$AO$2:$AO$2001=1)*(元データ!$AM$2:$AM$2001&gt;=8)*(元データ!$AM$2:$AM$2001&lt;=14)*(元データ!$E$2:$E$2001="30 申請受付"))</f>
        <v/>
      </c>
      <c r="U47" s="186">
        <f>IFERROR(_xlfn.TEXTJOIN(CHAR(10),TRUE,IF((元データ!$AL$2:$AL$2001=1)*(元データ!$AN$2:$AN$2001=1)*(元データ!$AE$2:$AE$2001=$C$47)*(元データ!$AO$2:$AO$2001=1)*(元データ!$AM$2:$AM$2001&gt;=8)*(元データ!$AM$2:$AM$2001&lt;=14)*(元データ!$E$2:$E$2001="30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47" s="185">
        <f>SUMPRODUCT((元データ!$AL$2:$AL$2001=1)*(元データ!$AN$2:$AN$2001=1)*(元データ!$AE$2:$AE$2001=$C$47)*(元データ!$AO$2:$AO$2001=1)*(元データ!$AM$2:$AM$2001&gt;=8)*(元データ!$AM$2:$AM$2001&lt;=14)*(元データ!$E$2:$E$2001="31 ＯＰ確認中"))</f>
        <v/>
      </c>
      <c r="W47" s="186">
        <f>IFERROR(_xlfn.TEXTJOIN(CHAR(10),TRUE,IF((元データ!$AL$2:$AL$2001=1)*(元データ!$AN$2:$AN$2001=1)*(元データ!$AE$2:$AE$2001=$C$47)*(元データ!$AO$2:$AO$2001=1)*(元データ!$AM$2:$AM$2001&gt;=8)*(元データ!$AM$2:$AM$2001&lt;=14)*(元データ!$E$2:$E$2001="31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47" s="185">
        <f>SUMPRODUCT((元データ!$AL$2:$AL$2001=1)*(元データ!$AN$2:$AN$2001=1)*(元データ!$AE$2:$AE$2001=$C$47)*(元データ!$AO$2:$AO$2001=1)*(元データ!$AM$2:$AM$2001&gt;=8)*(元データ!$AM$2:$AM$2001&lt;=14)*(元データ!$E$2:$E$2001="32 ＳＶ確認中"))</f>
        <v/>
      </c>
      <c r="Y47" s="186">
        <f>IFERROR(_xlfn.TEXTJOIN(CHAR(10),TRUE,IF((元データ!$AL$2:$AL$2001=1)*(元データ!$AN$2:$AN$2001=1)*(元データ!$AE$2:$AE$2001=$C$47)*(元データ!$AO$2:$AO$2001=1)*(元データ!$AM$2:$AM$2001&gt;=8)*(元データ!$AM$2:$AM$2001&lt;=14)*(元データ!$E$2:$E$2001="32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47" s="185">
        <f>SUMPRODUCT((元データ!$AL$2:$AL$2001=1)*(元データ!$AN$2:$AN$2001=1)*(元データ!$AE$2:$AE$2001=$C$47)*(元データ!$AO$2:$AO$2001=1)*(元データ!$AM$2:$AM$2001&gt;=8)*(元データ!$AM$2:$AM$2001&lt;=14)*(元データ!$E$2:$E$2001="40 差戻し"))</f>
        <v/>
      </c>
      <c r="AA47" s="186">
        <f>IFERROR(_xlfn.TEXTJOIN(CHAR(10),TRUE,IF((元データ!$AL$2:$AL$2001=1)*(元データ!$AN$2:$AN$2001=1)*(元データ!$AE$2:$AE$2001=$C$47)*(元データ!$AO$2:$AO$2001=1)*(元データ!$AM$2:$AM$2001&gt;=8)*(元データ!$AM$2:$AM$2001&lt;=14)*(元データ!$E$2:$E$2001="40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47" s="187">
        <f>SUMPRODUCT((元データ!$AL$2:$AL$2001=1)*(元データ!$AN$2:$AN$2001=1)*(元データ!$AE$2:$AE$2001=$C$47)*(元データ!$AO$2:$AO$2001=1)*(元データ!$AM$2:$AM$2001&gt;=15)*(元データ!$AM$2:$AM$2001&lt;=21))</f>
        <v/>
      </c>
      <c r="AC47" s="188">
        <f>SUMPRODUCT((元データ!$AL$2:$AL$2001=1)*(元データ!$AN$2:$AN$2001=1)*(元データ!$AE$2:$AE$2001=$C$47)*(元データ!$AO$2:$AO$2001=1)*(元データ!$AM$2:$AM$2001&gt;=15)*(元データ!$AM$2:$AM$2001&lt;=21)*(元データ!$E$2:$E$2001="20 確認待ち"))</f>
        <v/>
      </c>
      <c r="AD47" s="189">
        <f>IFERROR(_xlfn.TEXTJOIN(CHAR(10),TRUE,IF((元データ!$AL$2:$AL$2001=1)*(元データ!$AN$2:$AN$2001=1)*(元データ!$AE$2:$AE$2001=$C$47)*(元データ!$AO$2:$AO$2001=1)*(元データ!$AM$2:$AM$2001&gt;=15)*(元データ!$AM$2:$AM$2001&lt;=21)*(元データ!$E$2:$E$2001="20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47" s="188">
        <f>SUMPRODUCT((元データ!$AL$2:$AL$2001=1)*(元データ!$AN$2:$AN$2001=1)*(元データ!$AE$2:$AE$2001=$C$47)*(元データ!$AO$2:$AO$2001=1)*(元データ!$AM$2:$AM$2001&gt;=15)*(元データ!$AM$2:$AM$2001&lt;=21)*(元データ!$E$2:$E$2001="30 申請受付"))</f>
        <v/>
      </c>
      <c r="AF47" s="189">
        <f>IFERROR(_xlfn.TEXTJOIN(CHAR(10),TRUE,IF((元データ!$AL$2:$AL$2001=1)*(元データ!$AN$2:$AN$2001=1)*(元データ!$AE$2:$AE$2001=$C$47)*(元データ!$AO$2:$AO$2001=1)*(元データ!$AM$2:$AM$2001&gt;=15)*(元データ!$AM$2:$AM$2001&lt;=21)*(元データ!$E$2:$E$2001="30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47" s="188">
        <f>SUMPRODUCT((元データ!$AL$2:$AL$2001=1)*(元データ!$AN$2:$AN$2001=1)*(元データ!$AE$2:$AE$2001=$C$47)*(元データ!$AO$2:$AO$2001=1)*(元データ!$AM$2:$AM$2001&gt;=15)*(元データ!$AM$2:$AM$2001&lt;=21)*(元データ!$E$2:$E$2001="31 ＯＰ確認中"))</f>
        <v/>
      </c>
      <c r="AH47" s="189">
        <f>IFERROR(_xlfn.TEXTJOIN(CHAR(10),TRUE,IF((元データ!$AL$2:$AL$2001=1)*(元データ!$AN$2:$AN$2001=1)*(元データ!$AE$2:$AE$2001=$C$47)*(元データ!$AO$2:$AO$2001=1)*(元データ!$AM$2:$AM$2001&gt;=15)*(元データ!$AM$2:$AM$2001&lt;=21)*(元データ!$E$2:$E$2001="31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47" s="188">
        <f>SUMPRODUCT((元データ!$AL$2:$AL$2001=1)*(元データ!$AN$2:$AN$2001=1)*(元データ!$AE$2:$AE$2001=$C$47)*(元データ!$AO$2:$AO$2001=1)*(元データ!$AM$2:$AM$2001&gt;=15)*(元データ!$AM$2:$AM$2001&lt;=21)*(元データ!$E$2:$E$2001="32 ＳＶ確認中"))</f>
        <v/>
      </c>
      <c r="AJ47" s="189">
        <f>IFERROR(_xlfn.TEXTJOIN(CHAR(10),TRUE,IF((元データ!$AL$2:$AL$2001=1)*(元データ!$AN$2:$AN$2001=1)*(元データ!$AE$2:$AE$2001=$C$47)*(元データ!$AO$2:$AO$2001=1)*(元データ!$AM$2:$AM$2001&gt;=15)*(元データ!$AM$2:$AM$2001&lt;=21)*(元データ!$E$2:$E$2001="32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47" s="188">
        <f>SUMPRODUCT((元データ!$AL$2:$AL$2001=1)*(元データ!$AN$2:$AN$2001=1)*(元データ!$AE$2:$AE$2001=$C$47)*(元データ!$AO$2:$AO$2001=1)*(元データ!$AM$2:$AM$2001&gt;=15)*(元データ!$AM$2:$AM$2001&lt;=21)*(元データ!$E$2:$E$2001="40 差戻し"))</f>
        <v/>
      </c>
      <c r="AL47" s="189">
        <f>IFERROR(_xlfn.TEXTJOIN(CHAR(10),TRUE,IF((元データ!$AL$2:$AL$2001=1)*(元データ!$AN$2:$AN$2001=1)*(元データ!$AE$2:$AE$2001=$C$47)*(元データ!$AO$2:$AO$2001=1)*(元データ!$AM$2:$AM$2001&gt;=15)*(元データ!$AM$2:$AM$2001&lt;=21)*(元データ!$E$2:$E$2001="40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47" s="190">
        <f>SUMPRODUCT((元データ!$AL$2:$AL$2001=1)*(元データ!$AN$2:$AN$2001=1)*(元データ!$AE$2:$AE$2001=$C$47)*(元データ!$AO$2:$AO$2001=1)*(元データ!$AM$2:$AM$2001&gt;=22)*(元データ!$AM$2:$AM$2001&lt;=30))</f>
        <v/>
      </c>
      <c r="AN47" s="191">
        <f>SUMPRODUCT((元データ!$AL$2:$AL$2001=1)*(元データ!$AN$2:$AN$2001=1)*(元データ!$AE$2:$AE$2001=$C$47)*(元データ!$AO$2:$AO$2001=1)*(元データ!$AM$2:$AM$2001&gt;=22)*(元データ!$AM$2:$AM$2001&lt;=30)*(元データ!$E$2:$E$2001="20 確認待ち"))</f>
        <v/>
      </c>
      <c r="AO47" s="192">
        <f>IFERROR(_xlfn.TEXTJOIN(CHAR(10),TRUE,IF((元データ!$AL$2:$AL$2001=1)*(元データ!$AN$2:$AN$2001=1)*(元データ!$AE$2:$AE$2001=$C$47)*(元データ!$AO$2:$AO$2001=1)*(元データ!$AM$2:$AM$2001&gt;=22)*(元データ!$AM$2:$AM$2001&lt;=30)*(元データ!$E$2:$E$2001="20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47" s="191">
        <f>SUMPRODUCT((元データ!$AL$2:$AL$2001=1)*(元データ!$AN$2:$AN$2001=1)*(元データ!$AE$2:$AE$2001=$C$47)*(元データ!$AO$2:$AO$2001=1)*(元データ!$AM$2:$AM$2001&gt;=22)*(元データ!$AM$2:$AM$2001&lt;=30)*(元データ!$E$2:$E$2001="30 申請受付"))</f>
        <v/>
      </c>
      <c r="AQ47" s="192">
        <f>IFERROR(_xlfn.TEXTJOIN(CHAR(10),TRUE,IF((元データ!$AL$2:$AL$2001=1)*(元データ!$AN$2:$AN$2001=1)*(元データ!$AE$2:$AE$2001=$C$47)*(元データ!$AO$2:$AO$2001=1)*(元データ!$AM$2:$AM$2001&gt;=22)*(元データ!$AM$2:$AM$2001&lt;=30)*(元データ!$E$2:$E$2001="30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47" s="191">
        <f>SUMPRODUCT((元データ!$AL$2:$AL$2001=1)*(元データ!$AN$2:$AN$2001=1)*(元データ!$AE$2:$AE$2001=$C$47)*(元データ!$AO$2:$AO$2001=1)*(元データ!$AM$2:$AM$2001&gt;=22)*(元データ!$AM$2:$AM$2001&lt;=30)*(元データ!$E$2:$E$2001="31 ＯＰ確認中"))</f>
        <v/>
      </c>
      <c r="AS47" s="192">
        <f>IFERROR(_xlfn.TEXTJOIN(CHAR(10),TRUE,IF((元データ!$AL$2:$AL$2001=1)*(元データ!$AN$2:$AN$2001=1)*(元データ!$AE$2:$AE$2001=$C$47)*(元データ!$AO$2:$AO$2001=1)*(元データ!$AM$2:$AM$2001&gt;=22)*(元データ!$AM$2:$AM$2001&lt;=30)*(元データ!$E$2:$E$2001="31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47" s="191">
        <f>SUMPRODUCT((元データ!$AL$2:$AL$2001=1)*(元データ!$AN$2:$AN$2001=1)*(元データ!$AE$2:$AE$2001=$C$47)*(元データ!$AO$2:$AO$2001=1)*(元データ!$AM$2:$AM$2001&gt;=22)*(元データ!$AM$2:$AM$2001&lt;=30)*(元データ!$E$2:$E$2001="32 ＳＶ確認中"))</f>
        <v/>
      </c>
      <c r="AU47" s="192">
        <f>IFERROR(_xlfn.TEXTJOIN(CHAR(10),TRUE,IF((元データ!$AL$2:$AL$2001=1)*(元データ!$AN$2:$AN$2001=1)*(元データ!$AE$2:$AE$2001=$C$47)*(元データ!$AO$2:$AO$2001=1)*(元データ!$AM$2:$AM$2001&gt;=22)*(元データ!$AM$2:$AM$2001&lt;=30)*(元データ!$E$2:$E$2001="32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47" s="191">
        <f>SUMPRODUCT((元データ!$AL$2:$AL$2001=1)*(元データ!$AN$2:$AN$2001=1)*(元データ!$AE$2:$AE$2001=$C$47)*(元データ!$AO$2:$AO$2001=1)*(元データ!$AM$2:$AM$2001&gt;=22)*(元データ!$AM$2:$AM$2001&lt;=30)*(元データ!$E$2:$E$2001="40 差戻し"))</f>
        <v/>
      </c>
      <c r="AW47" s="192">
        <f>IFERROR(_xlfn.TEXTJOIN(CHAR(10),TRUE,IF((元データ!$AL$2:$AL$2001=1)*(元データ!$AN$2:$AN$2001=1)*(元データ!$AE$2:$AE$2001=$C$47)*(元データ!$AO$2:$AO$2001=1)*(元データ!$AM$2:$AM$2001&gt;=22)*(元データ!$AM$2:$AM$2001&lt;=30)*(元データ!$E$2:$E$2001="40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47" s="193">
        <f>SUMPRODUCT((元データ!$AL$2:$AL$2001=1)*(元データ!$AN$2:$AN$2001=1)*(元データ!$AE$2:$AE$2001=$C$47)*(元データ!$AO$2:$AO$2001=1)*(元データ!$AM$2:$AM$2001&gt;=31))</f>
        <v/>
      </c>
      <c r="AY47" s="194">
        <f>SUMPRODUCT((元データ!$AL$2:$AL$2001=1)*(元データ!$AN$2:$AN$2001=1)*(元データ!$AE$2:$AE$2001=$C$47)*(元データ!$AO$2:$AO$2001=1)*(元データ!$AM$2:$AM$2001&gt;=31)*(元データ!$E$2:$E$2001="20 確認待ち"))</f>
        <v/>
      </c>
      <c r="AZ47" s="195">
        <f>IFERROR(_xlfn.TEXTJOIN(CHAR(10),TRUE,IF((元データ!$AL$2:$AL$2001=1)*(元データ!$AN$2:$AN$2001=1)*(元データ!$AE$2:$AE$2001=$C$47)*(元データ!$AO$2:$AO$2001=1)*(元データ!$AM$2:$AM$2001&gt;=31)*(元データ!$E$2:$E$2001="20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47" s="194">
        <f>SUMPRODUCT((元データ!$AL$2:$AL$2001=1)*(元データ!$AN$2:$AN$2001=1)*(元データ!$AE$2:$AE$2001=$C$47)*(元データ!$AO$2:$AO$2001=1)*(元データ!$AM$2:$AM$2001&gt;=31)*(元データ!$E$2:$E$2001="30 申請受付"))</f>
        <v/>
      </c>
      <c r="BB47" s="195">
        <f>IFERROR(_xlfn.TEXTJOIN(CHAR(10),TRUE,IF((元データ!$AL$2:$AL$2001=1)*(元データ!$AN$2:$AN$2001=1)*(元データ!$AE$2:$AE$2001=$C$47)*(元データ!$AO$2:$AO$2001=1)*(元データ!$AM$2:$AM$2001&gt;=31)*(元データ!$E$2:$E$2001="30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47" s="194">
        <f>SUMPRODUCT((元データ!$AL$2:$AL$2001=1)*(元データ!$AN$2:$AN$2001=1)*(元データ!$AE$2:$AE$2001=$C$47)*(元データ!$AO$2:$AO$2001=1)*(元データ!$AM$2:$AM$2001&gt;=31)*(元データ!$E$2:$E$2001="31 ＯＰ確認中"))</f>
        <v/>
      </c>
      <c r="BD47" s="195">
        <f>IFERROR(_xlfn.TEXTJOIN(CHAR(10),TRUE,IF((元データ!$AL$2:$AL$2001=1)*(元データ!$AN$2:$AN$2001=1)*(元データ!$AE$2:$AE$2001=$C$47)*(元データ!$AO$2:$AO$2001=1)*(元データ!$AM$2:$AM$2001&gt;=31)*(元データ!$E$2:$E$2001="31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47" s="194">
        <f>SUMPRODUCT((元データ!$AL$2:$AL$2001=1)*(元データ!$AN$2:$AN$2001=1)*(元データ!$AE$2:$AE$2001=$C$47)*(元データ!$AO$2:$AO$2001=1)*(元データ!$AM$2:$AM$2001&gt;=31)*(元データ!$E$2:$E$2001="32 ＳＶ確認中"))</f>
        <v/>
      </c>
      <c r="BF47" s="195">
        <f>IFERROR(_xlfn.TEXTJOIN(CHAR(10),TRUE,IF((元データ!$AL$2:$AL$2001=1)*(元データ!$AN$2:$AN$2001=1)*(元データ!$AE$2:$AE$2001=$C$47)*(元データ!$AO$2:$AO$2001=1)*(元データ!$AM$2:$AM$2001&gt;=31)*(元データ!$E$2:$E$2001="32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47" s="194">
        <f>SUMPRODUCT((元データ!$AL$2:$AL$2001=1)*(元データ!$AN$2:$AN$2001=1)*(元データ!$AE$2:$AE$2001=$C$47)*(元データ!$AO$2:$AO$2001=1)*(元データ!$AM$2:$AM$2001&gt;=31)*(元データ!$E$2:$E$2001="40 差戻し"))</f>
        <v/>
      </c>
      <c r="BH47" s="195">
        <f>IFERROR(_xlfn.TEXTJOIN(CHAR(10),TRUE,IF((元データ!$AL$2:$AL$2001=1)*(元データ!$AN$2:$AN$2001=1)*(元データ!$AE$2:$AE$2001=$C$47)*(元データ!$AO$2:$AO$2001=1)*(元データ!$AM$2:$AM$2001&gt;=31)*(元データ!$E$2:$E$2001="40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48" ht="19.5" customHeight="1" s="87">
      <c r="B48" s="155" t="n"/>
      <c r="C48" s="156" t="n"/>
      <c r="D48" s="157" t="inlineStr">
        <is>
          <t>なし</t>
        </is>
      </c>
      <c r="E48" s="158">
        <f>SUMPRODUCT((元データ!$AL$2:$AL$2001=1)*(元データ!$AN$2:$AN$2001=1)*(元データ!$AE$2:$AE$2001=$C$47)*(元データ!$AO$2:$AO$2001=0))</f>
        <v/>
      </c>
      <c r="F48" s="196">
        <f>SUMPRODUCT((元データ!$AL$2:$AL$2001=1)*(元データ!$AN$2:$AN$2001=1)*(元データ!$AE$2:$AE$2001=$C$47)*(元データ!$AO$2:$AO$2001=0)*(元データ!$AM$2:$AM$2001&lt;=7))</f>
        <v/>
      </c>
      <c r="G48" s="197">
        <f>SUMPRODUCT((元データ!$AL$2:$AL$2001=1)*(元データ!$AN$2:$AN$2001=1)*(元データ!$AE$2:$AE$2001=$C$47)*(元データ!$AO$2:$AO$2001=0)*(元データ!$AM$2:$AM$2001&lt;=7)*(元データ!$E$2:$E$2001="20 確認待ち"))</f>
        <v/>
      </c>
      <c r="H48" s="198">
        <f>IFERROR(_xlfn.TEXTJOIN(CHAR(10),TRUE,IF((元データ!$AL$2:$AL$2001=1)*(元データ!$AN$2:$AN$2001=1)*(元データ!$AE$2:$AE$2001=$C$47)*(元データ!$AO$2:$AO$2001=0)*(元データ!$AM$2:$AM$2001&lt;=7)*(元データ!$E$2:$E$2001="20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48" s="197">
        <f>SUMPRODUCT((元データ!$AL$2:$AL$2001=1)*(元データ!$AN$2:$AN$2001=1)*(元データ!$AE$2:$AE$2001=$C$47)*(元データ!$AO$2:$AO$2001=0)*(元データ!$AM$2:$AM$2001&lt;=7)*(元データ!$E$2:$E$2001="30 申請受付"))</f>
        <v/>
      </c>
      <c r="J48" s="198">
        <f>IFERROR(_xlfn.TEXTJOIN(CHAR(10),TRUE,IF((元データ!$AL$2:$AL$2001=1)*(元データ!$AN$2:$AN$2001=1)*(元データ!$AE$2:$AE$2001=$C$47)*(元データ!$AO$2:$AO$2001=0)*(元データ!$AM$2:$AM$2001&lt;=7)*(元データ!$E$2:$E$2001="30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48" s="197">
        <f>SUMPRODUCT((元データ!$AL$2:$AL$2001=1)*(元データ!$AN$2:$AN$2001=1)*(元データ!$AE$2:$AE$2001=$C$47)*(元データ!$AO$2:$AO$2001=0)*(元データ!$AM$2:$AM$2001&lt;=7)*(元データ!$E$2:$E$2001="31 ＯＰ確認中"))</f>
        <v/>
      </c>
      <c r="L48" s="198">
        <f>IFERROR(_xlfn.TEXTJOIN(CHAR(10),TRUE,IF((元データ!$AL$2:$AL$2001=1)*(元データ!$AN$2:$AN$2001=1)*(元データ!$AE$2:$AE$2001=$C$47)*(元データ!$AO$2:$AO$2001=0)*(元データ!$AM$2:$AM$2001&lt;=7)*(元データ!$E$2:$E$2001="31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48" s="197">
        <f>SUMPRODUCT((元データ!$AL$2:$AL$2001=1)*(元データ!$AN$2:$AN$2001=1)*(元データ!$AE$2:$AE$2001=$C$47)*(元データ!$AO$2:$AO$2001=0)*(元データ!$AM$2:$AM$2001&lt;=7)*(元データ!$E$2:$E$2001="32 ＳＶ確認中"))</f>
        <v/>
      </c>
      <c r="N48" s="198">
        <f>IFERROR(_xlfn.TEXTJOIN(CHAR(10),TRUE,IF((元データ!$AL$2:$AL$2001=1)*(元データ!$AN$2:$AN$2001=1)*(元データ!$AE$2:$AE$2001=$C$47)*(元データ!$AO$2:$AO$2001=0)*(元データ!$AM$2:$AM$2001&lt;=7)*(元データ!$E$2:$E$2001="32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48" s="197">
        <f>SUMPRODUCT((元データ!$AL$2:$AL$2001=1)*(元データ!$AN$2:$AN$2001=1)*(元データ!$AE$2:$AE$2001=$C$47)*(元データ!$AO$2:$AO$2001=0)*(元データ!$AM$2:$AM$2001&lt;=7)*(元データ!$E$2:$E$2001="40 差戻し"))</f>
        <v/>
      </c>
      <c r="P48" s="198">
        <f>IFERROR(_xlfn.TEXTJOIN(CHAR(10),TRUE,IF((元データ!$AL$2:$AL$2001=1)*(元データ!$AN$2:$AN$2001=1)*(元データ!$AE$2:$AE$2001=$C$47)*(元データ!$AO$2:$AO$2001=0)*(元データ!$AM$2:$AM$2001&lt;=7)*(元データ!$E$2:$E$2001="40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48" s="196">
        <f>SUMPRODUCT((元データ!$AL$2:$AL$2001=1)*(元データ!$AN$2:$AN$2001=1)*(元データ!$AE$2:$AE$2001=$C$47)*(元データ!$AO$2:$AO$2001=0)*(元データ!$AM$2:$AM$2001&gt;=8)*(元データ!$AM$2:$AM$2001&lt;=14))</f>
        <v/>
      </c>
      <c r="R48" s="197">
        <f>SUMPRODUCT((元データ!$AL$2:$AL$2001=1)*(元データ!$AN$2:$AN$2001=1)*(元データ!$AE$2:$AE$2001=$C$47)*(元データ!$AO$2:$AO$2001=0)*(元データ!$AM$2:$AM$2001&gt;=8)*(元データ!$AM$2:$AM$2001&lt;=14)*(元データ!$E$2:$E$2001="20 確認待ち"))</f>
        <v/>
      </c>
      <c r="S48" s="198">
        <f>IFERROR(_xlfn.TEXTJOIN(CHAR(10),TRUE,IF((元データ!$AL$2:$AL$2001=1)*(元データ!$AN$2:$AN$2001=1)*(元データ!$AE$2:$AE$2001=$C$47)*(元データ!$AO$2:$AO$2001=0)*(元データ!$AM$2:$AM$2001&gt;=8)*(元データ!$AM$2:$AM$2001&lt;=14)*(元データ!$E$2:$E$2001="20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48" s="197">
        <f>SUMPRODUCT((元データ!$AL$2:$AL$2001=1)*(元データ!$AN$2:$AN$2001=1)*(元データ!$AE$2:$AE$2001=$C$47)*(元データ!$AO$2:$AO$2001=0)*(元データ!$AM$2:$AM$2001&gt;=8)*(元データ!$AM$2:$AM$2001&lt;=14)*(元データ!$E$2:$E$2001="30 申請受付"))</f>
        <v/>
      </c>
      <c r="U48" s="198">
        <f>IFERROR(_xlfn.TEXTJOIN(CHAR(10),TRUE,IF((元データ!$AL$2:$AL$2001=1)*(元データ!$AN$2:$AN$2001=1)*(元データ!$AE$2:$AE$2001=$C$47)*(元データ!$AO$2:$AO$2001=0)*(元データ!$AM$2:$AM$2001&gt;=8)*(元データ!$AM$2:$AM$2001&lt;=14)*(元データ!$E$2:$E$2001="30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48" s="197">
        <f>SUMPRODUCT((元データ!$AL$2:$AL$2001=1)*(元データ!$AN$2:$AN$2001=1)*(元データ!$AE$2:$AE$2001=$C$47)*(元データ!$AO$2:$AO$2001=0)*(元データ!$AM$2:$AM$2001&gt;=8)*(元データ!$AM$2:$AM$2001&lt;=14)*(元データ!$E$2:$E$2001="31 ＯＰ確認中"))</f>
        <v/>
      </c>
      <c r="W48" s="198">
        <f>IFERROR(_xlfn.TEXTJOIN(CHAR(10),TRUE,IF((元データ!$AL$2:$AL$2001=1)*(元データ!$AN$2:$AN$2001=1)*(元データ!$AE$2:$AE$2001=$C$47)*(元データ!$AO$2:$AO$2001=0)*(元データ!$AM$2:$AM$2001&gt;=8)*(元データ!$AM$2:$AM$2001&lt;=14)*(元データ!$E$2:$E$2001="31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48" s="197">
        <f>SUMPRODUCT((元データ!$AL$2:$AL$2001=1)*(元データ!$AN$2:$AN$2001=1)*(元データ!$AE$2:$AE$2001=$C$47)*(元データ!$AO$2:$AO$2001=0)*(元データ!$AM$2:$AM$2001&gt;=8)*(元データ!$AM$2:$AM$2001&lt;=14)*(元データ!$E$2:$E$2001="32 ＳＶ確認中"))</f>
        <v/>
      </c>
      <c r="Y48" s="198">
        <f>IFERROR(_xlfn.TEXTJOIN(CHAR(10),TRUE,IF((元データ!$AL$2:$AL$2001=1)*(元データ!$AN$2:$AN$2001=1)*(元データ!$AE$2:$AE$2001=$C$47)*(元データ!$AO$2:$AO$2001=0)*(元データ!$AM$2:$AM$2001&gt;=8)*(元データ!$AM$2:$AM$2001&lt;=14)*(元データ!$E$2:$E$2001="32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48" s="197">
        <f>SUMPRODUCT((元データ!$AL$2:$AL$2001=1)*(元データ!$AN$2:$AN$2001=1)*(元データ!$AE$2:$AE$2001=$C$47)*(元データ!$AO$2:$AO$2001=0)*(元データ!$AM$2:$AM$2001&gt;=8)*(元データ!$AM$2:$AM$2001&lt;=14)*(元データ!$E$2:$E$2001="40 差戻し"))</f>
        <v/>
      </c>
      <c r="AA48" s="198">
        <f>IFERROR(_xlfn.TEXTJOIN(CHAR(10),TRUE,IF((元データ!$AL$2:$AL$2001=1)*(元データ!$AN$2:$AN$2001=1)*(元データ!$AE$2:$AE$2001=$C$47)*(元データ!$AO$2:$AO$2001=0)*(元データ!$AM$2:$AM$2001&gt;=8)*(元データ!$AM$2:$AM$2001&lt;=14)*(元データ!$E$2:$E$2001="40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48" s="187">
        <f>SUMPRODUCT((元データ!$AL$2:$AL$2001=1)*(元データ!$AN$2:$AN$2001=1)*(元データ!$AE$2:$AE$2001=$C$47)*(元データ!$AO$2:$AO$2001=0)*(元データ!$AM$2:$AM$2001&gt;=15)*(元データ!$AM$2:$AM$2001&lt;=21))</f>
        <v/>
      </c>
      <c r="AC48" s="188">
        <f>SUMPRODUCT((元データ!$AL$2:$AL$2001=1)*(元データ!$AN$2:$AN$2001=1)*(元データ!$AE$2:$AE$2001=$C$47)*(元データ!$AO$2:$AO$2001=0)*(元データ!$AM$2:$AM$2001&gt;=15)*(元データ!$AM$2:$AM$2001&lt;=21)*(元データ!$E$2:$E$2001="20 確認待ち"))</f>
        <v/>
      </c>
      <c r="AD48" s="189">
        <f>IFERROR(_xlfn.TEXTJOIN(CHAR(10),TRUE,IF((元データ!$AL$2:$AL$2001=1)*(元データ!$AN$2:$AN$2001=1)*(元データ!$AE$2:$AE$2001=$C$47)*(元データ!$AO$2:$AO$2001=0)*(元データ!$AM$2:$AM$2001&gt;=15)*(元データ!$AM$2:$AM$2001&lt;=21)*(元データ!$E$2:$E$2001="20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48" s="188">
        <f>SUMPRODUCT((元データ!$AL$2:$AL$2001=1)*(元データ!$AN$2:$AN$2001=1)*(元データ!$AE$2:$AE$2001=$C$47)*(元データ!$AO$2:$AO$2001=0)*(元データ!$AM$2:$AM$2001&gt;=15)*(元データ!$AM$2:$AM$2001&lt;=21)*(元データ!$E$2:$E$2001="30 申請受付"))</f>
        <v/>
      </c>
      <c r="AF48" s="189">
        <f>IFERROR(_xlfn.TEXTJOIN(CHAR(10),TRUE,IF((元データ!$AL$2:$AL$2001=1)*(元データ!$AN$2:$AN$2001=1)*(元データ!$AE$2:$AE$2001=$C$47)*(元データ!$AO$2:$AO$2001=0)*(元データ!$AM$2:$AM$2001&gt;=15)*(元データ!$AM$2:$AM$2001&lt;=21)*(元データ!$E$2:$E$2001="30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48" s="188">
        <f>SUMPRODUCT((元データ!$AL$2:$AL$2001=1)*(元データ!$AN$2:$AN$2001=1)*(元データ!$AE$2:$AE$2001=$C$47)*(元データ!$AO$2:$AO$2001=0)*(元データ!$AM$2:$AM$2001&gt;=15)*(元データ!$AM$2:$AM$2001&lt;=21)*(元データ!$E$2:$E$2001="31 ＯＰ確認中"))</f>
        <v/>
      </c>
      <c r="AH48" s="189">
        <f>IFERROR(_xlfn.TEXTJOIN(CHAR(10),TRUE,IF((元データ!$AL$2:$AL$2001=1)*(元データ!$AN$2:$AN$2001=1)*(元データ!$AE$2:$AE$2001=$C$47)*(元データ!$AO$2:$AO$2001=0)*(元データ!$AM$2:$AM$2001&gt;=15)*(元データ!$AM$2:$AM$2001&lt;=21)*(元データ!$E$2:$E$2001="31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48" s="188">
        <f>SUMPRODUCT((元データ!$AL$2:$AL$2001=1)*(元データ!$AN$2:$AN$2001=1)*(元データ!$AE$2:$AE$2001=$C$47)*(元データ!$AO$2:$AO$2001=0)*(元データ!$AM$2:$AM$2001&gt;=15)*(元データ!$AM$2:$AM$2001&lt;=21)*(元データ!$E$2:$E$2001="32 ＳＶ確認中"))</f>
        <v/>
      </c>
      <c r="AJ48" s="189">
        <f>IFERROR(_xlfn.TEXTJOIN(CHAR(10),TRUE,IF((元データ!$AL$2:$AL$2001=1)*(元データ!$AN$2:$AN$2001=1)*(元データ!$AE$2:$AE$2001=$C$47)*(元データ!$AO$2:$AO$2001=0)*(元データ!$AM$2:$AM$2001&gt;=15)*(元データ!$AM$2:$AM$2001&lt;=21)*(元データ!$E$2:$E$2001="32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48" s="188">
        <f>SUMPRODUCT((元データ!$AL$2:$AL$2001=1)*(元データ!$AN$2:$AN$2001=1)*(元データ!$AE$2:$AE$2001=$C$47)*(元データ!$AO$2:$AO$2001=0)*(元データ!$AM$2:$AM$2001&gt;=15)*(元データ!$AM$2:$AM$2001&lt;=21)*(元データ!$E$2:$E$2001="40 差戻し"))</f>
        <v/>
      </c>
      <c r="AL48" s="189">
        <f>IFERROR(_xlfn.TEXTJOIN(CHAR(10),TRUE,IF((元データ!$AL$2:$AL$2001=1)*(元データ!$AN$2:$AN$2001=1)*(元データ!$AE$2:$AE$2001=$C$47)*(元データ!$AO$2:$AO$2001=0)*(元データ!$AM$2:$AM$2001&gt;=15)*(元データ!$AM$2:$AM$2001&lt;=21)*(元データ!$E$2:$E$2001="40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48" s="190">
        <f>SUMPRODUCT((元データ!$AL$2:$AL$2001=1)*(元データ!$AN$2:$AN$2001=1)*(元データ!$AE$2:$AE$2001=$C$47)*(元データ!$AO$2:$AO$2001=0)*(元データ!$AM$2:$AM$2001&gt;=22)*(元データ!$AM$2:$AM$2001&lt;=30))</f>
        <v/>
      </c>
      <c r="AN48" s="191">
        <f>SUMPRODUCT((元データ!$AL$2:$AL$2001=1)*(元データ!$AN$2:$AN$2001=1)*(元データ!$AE$2:$AE$2001=$C$47)*(元データ!$AO$2:$AO$2001=0)*(元データ!$AM$2:$AM$2001&gt;=22)*(元データ!$AM$2:$AM$2001&lt;=30)*(元データ!$E$2:$E$2001="20 確認待ち"))</f>
        <v/>
      </c>
      <c r="AO48" s="192">
        <f>IFERROR(_xlfn.TEXTJOIN(CHAR(10),TRUE,IF((元データ!$AL$2:$AL$2001=1)*(元データ!$AN$2:$AN$2001=1)*(元データ!$AE$2:$AE$2001=$C$47)*(元データ!$AO$2:$AO$2001=0)*(元データ!$AM$2:$AM$2001&gt;=22)*(元データ!$AM$2:$AM$2001&lt;=30)*(元データ!$E$2:$E$2001="20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48" s="191">
        <f>SUMPRODUCT((元データ!$AL$2:$AL$2001=1)*(元データ!$AN$2:$AN$2001=1)*(元データ!$AE$2:$AE$2001=$C$47)*(元データ!$AO$2:$AO$2001=0)*(元データ!$AM$2:$AM$2001&gt;=22)*(元データ!$AM$2:$AM$2001&lt;=30)*(元データ!$E$2:$E$2001="30 申請受付"))</f>
        <v/>
      </c>
      <c r="AQ48" s="192">
        <f>IFERROR(_xlfn.TEXTJOIN(CHAR(10),TRUE,IF((元データ!$AL$2:$AL$2001=1)*(元データ!$AN$2:$AN$2001=1)*(元データ!$AE$2:$AE$2001=$C$47)*(元データ!$AO$2:$AO$2001=0)*(元データ!$AM$2:$AM$2001&gt;=22)*(元データ!$AM$2:$AM$2001&lt;=30)*(元データ!$E$2:$E$2001="30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48" s="191">
        <f>SUMPRODUCT((元データ!$AL$2:$AL$2001=1)*(元データ!$AN$2:$AN$2001=1)*(元データ!$AE$2:$AE$2001=$C$47)*(元データ!$AO$2:$AO$2001=0)*(元データ!$AM$2:$AM$2001&gt;=22)*(元データ!$AM$2:$AM$2001&lt;=30)*(元データ!$E$2:$E$2001="31 ＯＰ確認中"))</f>
        <v/>
      </c>
      <c r="AS48" s="192">
        <f>IFERROR(_xlfn.TEXTJOIN(CHAR(10),TRUE,IF((元データ!$AL$2:$AL$2001=1)*(元データ!$AN$2:$AN$2001=1)*(元データ!$AE$2:$AE$2001=$C$47)*(元データ!$AO$2:$AO$2001=0)*(元データ!$AM$2:$AM$2001&gt;=22)*(元データ!$AM$2:$AM$2001&lt;=30)*(元データ!$E$2:$E$2001="31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48" s="191">
        <f>SUMPRODUCT((元データ!$AL$2:$AL$2001=1)*(元データ!$AN$2:$AN$2001=1)*(元データ!$AE$2:$AE$2001=$C$47)*(元データ!$AO$2:$AO$2001=0)*(元データ!$AM$2:$AM$2001&gt;=22)*(元データ!$AM$2:$AM$2001&lt;=30)*(元データ!$E$2:$E$2001="32 ＳＶ確認中"))</f>
        <v/>
      </c>
      <c r="AU48" s="192">
        <f>IFERROR(_xlfn.TEXTJOIN(CHAR(10),TRUE,IF((元データ!$AL$2:$AL$2001=1)*(元データ!$AN$2:$AN$2001=1)*(元データ!$AE$2:$AE$2001=$C$47)*(元データ!$AO$2:$AO$2001=0)*(元データ!$AM$2:$AM$2001&gt;=22)*(元データ!$AM$2:$AM$2001&lt;=30)*(元データ!$E$2:$E$2001="32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48" s="191">
        <f>SUMPRODUCT((元データ!$AL$2:$AL$2001=1)*(元データ!$AN$2:$AN$2001=1)*(元データ!$AE$2:$AE$2001=$C$47)*(元データ!$AO$2:$AO$2001=0)*(元データ!$AM$2:$AM$2001&gt;=22)*(元データ!$AM$2:$AM$2001&lt;=30)*(元データ!$E$2:$E$2001="40 差戻し"))</f>
        <v/>
      </c>
      <c r="AW48" s="192">
        <f>IFERROR(_xlfn.TEXTJOIN(CHAR(10),TRUE,IF((元データ!$AL$2:$AL$2001=1)*(元データ!$AN$2:$AN$2001=1)*(元データ!$AE$2:$AE$2001=$C$47)*(元データ!$AO$2:$AO$2001=0)*(元データ!$AM$2:$AM$2001&gt;=22)*(元データ!$AM$2:$AM$2001&lt;=30)*(元データ!$E$2:$E$2001="40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48" s="193">
        <f>SUMPRODUCT((元データ!$AL$2:$AL$2001=1)*(元データ!$AN$2:$AN$2001=1)*(元データ!$AE$2:$AE$2001=$C$47)*(元データ!$AO$2:$AO$2001=0)*(元データ!$AM$2:$AM$2001&gt;=31))</f>
        <v/>
      </c>
      <c r="AY48" s="194">
        <f>SUMPRODUCT((元データ!$AL$2:$AL$2001=1)*(元データ!$AN$2:$AN$2001=1)*(元データ!$AE$2:$AE$2001=$C$47)*(元データ!$AO$2:$AO$2001=0)*(元データ!$AM$2:$AM$2001&gt;=31)*(元データ!$E$2:$E$2001="20 確認待ち"))</f>
        <v/>
      </c>
      <c r="AZ48" s="195">
        <f>IFERROR(_xlfn.TEXTJOIN(CHAR(10),TRUE,IF((元データ!$AL$2:$AL$2001=1)*(元データ!$AN$2:$AN$2001=1)*(元データ!$AE$2:$AE$2001=$C$47)*(元データ!$AO$2:$AO$2001=0)*(元データ!$AM$2:$AM$2001&gt;=31)*(元データ!$E$2:$E$2001="20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48" s="194">
        <f>SUMPRODUCT((元データ!$AL$2:$AL$2001=1)*(元データ!$AN$2:$AN$2001=1)*(元データ!$AE$2:$AE$2001=$C$47)*(元データ!$AO$2:$AO$2001=0)*(元データ!$AM$2:$AM$2001&gt;=31)*(元データ!$E$2:$E$2001="30 申請受付"))</f>
        <v/>
      </c>
      <c r="BB48" s="195">
        <f>IFERROR(_xlfn.TEXTJOIN(CHAR(10),TRUE,IF((元データ!$AL$2:$AL$2001=1)*(元データ!$AN$2:$AN$2001=1)*(元データ!$AE$2:$AE$2001=$C$47)*(元データ!$AO$2:$AO$2001=0)*(元データ!$AM$2:$AM$2001&gt;=31)*(元データ!$E$2:$E$2001="30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48" s="194">
        <f>SUMPRODUCT((元データ!$AL$2:$AL$2001=1)*(元データ!$AN$2:$AN$2001=1)*(元データ!$AE$2:$AE$2001=$C$47)*(元データ!$AO$2:$AO$2001=0)*(元データ!$AM$2:$AM$2001&gt;=31)*(元データ!$E$2:$E$2001="31 ＯＰ確認中"))</f>
        <v/>
      </c>
      <c r="BD48" s="195">
        <f>IFERROR(_xlfn.TEXTJOIN(CHAR(10),TRUE,IF((元データ!$AL$2:$AL$2001=1)*(元データ!$AN$2:$AN$2001=1)*(元データ!$AE$2:$AE$2001=$C$47)*(元データ!$AO$2:$AO$2001=0)*(元データ!$AM$2:$AM$2001&gt;=31)*(元データ!$E$2:$E$2001="31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48" s="194">
        <f>SUMPRODUCT((元データ!$AL$2:$AL$2001=1)*(元データ!$AN$2:$AN$2001=1)*(元データ!$AE$2:$AE$2001=$C$47)*(元データ!$AO$2:$AO$2001=0)*(元データ!$AM$2:$AM$2001&gt;=31)*(元データ!$E$2:$E$2001="32 ＳＶ確認中"))</f>
        <v/>
      </c>
      <c r="BF48" s="195">
        <f>IFERROR(_xlfn.TEXTJOIN(CHAR(10),TRUE,IF((元データ!$AL$2:$AL$2001=1)*(元データ!$AN$2:$AN$2001=1)*(元データ!$AE$2:$AE$2001=$C$47)*(元データ!$AO$2:$AO$2001=0)*(元データ!$AM$2:$AM$2001&gt;=31)*(元データ!$E$2:$E$2001="32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48" s="194">
        <f>SUMPRODUCT((元データ!$AL$2:$AL$2001=1)*(元データ!$AN$2:$AN$2001=1)*(元データ!$AE$2:$AE$2001=$C$47)*(元データ!$AO$2:$AO$2001=0)*(元データ!$AM$2:$AM$2001&gt;=31)*(元データ!$E$2:$E$2001="40 差戻し"))</f>
        <v/>
      </c>
      <c r="BH48" s="195">
        <f>IFERROR(_xlfn.TEXTJOIN(CHAR(10),TRUE,IF((元データ!$AL$2:$AL$2001=1)*(元データ!$AN$2:$AN$2001=1)*(元データ!$AE$2:$AE$2001=$C$47)*(元データ!$AO$2:$AO$2001=0)*(元データ!$AM$2:$AM$2001&gt;=31)*(元データ!$E$2:$E$2001="40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49" ht="19.5" customHeight="1" s="87">
      <c r="B49" s="139" t="n"/>
      <c r="C49" s="140" t="inlineStr">
        <is>
          <t>25 育休</t>
        </is>
      </c>
      <c r="D49" s="141" t="inlineStr">
        <is>
          <t>あり</t>
        </is>
      </c>
      <c r="E49" s="142">
        <f>SUMPRODUCT((元データ!$AL$2:$AL$2001=1)*(元データ!$AN$2:$AN$2001=1)*(元データ!$AE$2:$AE$2001=$C$49)*(元データ!$AO$2:$AO$2001=1))</f>
        <v/>
      </c>
      <c r="F49" s="184">
        <f>SUMPRODUCT((元データ!$AL$2:$AL$2001=1)*(元データ!$AN$2:$AN$2001=1)*(元データ!$AE$2:$AE$2001=$C$49)*(元データ!$AO$2:$AO$2001=1)*(元データ!$AM$2:$AM$2001&lt;=7))</f>
        <v/>
      </c>
      <c r="G49" s="185">
        <f>SUMPRODUCT((元データ!$AL$2:$AL$2001=1)*(元データ!$AN$2:$AN$2001=1)*(元データ!$AE$2:$AE$2001=$C$49)*(元データ!$AO$2:$AO$2001=1)*(元データ!$AM$2:$AM$2001&lt;=7)*(元データ!$E$2:$E$2001="20 確認待ち"))</f>
        <v/>
      </c>
      <c r="H49" s="186">
        <f>IFERROR(_xlfn.TEXTJOIN(CHAR(10),TRUE,IF((元データ!$AL$2:$AL$2001=1)*(元データ!$AN$2:$AN$2001=1)*(元データ!$AE$2:$AE$2001=$C$49)*(元データ!$AO$2:$AO$2001=1)*(元データ!$AM$2:$AM$2001&lt;=7)*(元データ!$E$2:$E$2001="20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49" s="185">
        <f>SUMPRODUCT((元データ!$AL$2:$AL$2001=1)*(元データ!$AN$2:$AN$2001=1)*(元データ!$AE$2:$AE$2001=$C$49)*(元データ!$AO$2:$AO$2001=1)*(元データ!$AM$2:$AM$2001&lt;=7)*(元データ!$E$2:$E$2001="30 申請受付"))</f>
        <v/>
      </c>
      <c r="J49" s="186">
        <f>IFERROR(_xlfn.TEXTJOIN(CHAR(10),TRUE,IF((元データ!$AL$2:$AL$2001=1)*(元データ!$AN$2:$AN$2001=1)*(元データ!$AE$2:$AE$2001=$C$49)*(元データ!$AO$2:$AO$2001=1)*(元データ!$AM$2:$AM$2001&lt;=7)*(元データ!$E$2:$E$2001="30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49" s="185">
        <f>SUMPRODUCT((元データ!$AL$2:$AL$2001=1)*(元データ!$AN$2:$AN$2001=1)*(元データ!$AE$2:$AE$2001=$C$49)*(元データ!$AO$2:$AO$2001=1)*(元データ!$AM$2:$AM$2001&lt;=7)*(元データ!$E$2:$E$2001="31 ＯＰ確認中"))</f>
        <v/>
      </c>
      <c r="L49" s="186">
        <f>IFERROR(_xlfn.TEXTJOIN(CHAR(10),TRUE,IF((元データ!$AL$2:$AL$2001=1)*(元データ!$AN$2:$AN$2001=1)*(元データ!$AE$2:$AE$2001=$C$49)*(元データ!$AO$2:$AO$2001=1)*(元データ!$AM$2:$AM$2001&lt;=7)*(元データ!$E$2:$E$2001="31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49" s="185">
        <f>SUMPRODUCT((元データ!$AL$2:$AL$2001=1)*(元データ!$AN$2:$AN$2001=1)*(元データ!$AE$2:$AE$2001=$C$49)*(元データ!$AO$2:$AO$2001=1)*(元データ!$AM$2:$AM$2001&lt;=7)*(元データ!$E$2:$E$2001="32 ＳＶ確認中"))</f>
        <v/>
      </c>
      <c r="N49" s="186">
        <f>IFERROR(_xlfn.TEXTJOIN(CHAR(10),TRUE,IF((元データ!$AL$2:$AL$2001=1)*(元データ!$AN$2:$AN$2001=1)*(元データ!$AE$2:$AE$2001=$C$49)*(元データ!$AO$2:$AO$2001=1)*(元データ!$AM$2:$AM$2001&lt;=7)*(元データ!$E$2:$E$2001="32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49" s="185">
        <f>SUMPRODUCT((元データ!$AL$2:$AL$2001=1)*(元データ!$AN$2:$AN$2001=1)*(元データ!$AE$2:$AE$2001=$C$49)*(元データ!$AO$2:$AO$2001=1)*(元データ!$AM$2:$AM$2001&lt;=7)*(元データ!$E$2:$E$2001="40 差戻し"))</f>
        <v/>
      </c>
      <c r="P49" s="186">
        <f>IFERROR(_xlfn.TEXTJOIN(CHAR(10),TRUE,IF((元データ!$AL$2:$AL$2001=1)*(元データ!$AN$2:$AN$2001=1)*(元データ!$AE$2:$AE$2001=$C$49)*(元データ!$AO$2:$AO$2001=1)*(元データ!$AM$2:$AM$2001&lt;=7)*(元データ!$E$2:$E$2001="40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49" s="184">
        <f>SUMPRODUCT((元データ!$AL$2:$AL$2001=1)*(元データ!$AN$2:$AN$2001=1)*(元データ!$AE$2:$AE$2001=$C$49)*(元データ!$AO$2:$AO$2001=1)*(元データ!$AM$2:$AM$2001&gt;=8)*(元データ!$AM$2:$AM$2001&lt;=14))</f>
        <v/>
      </c>
      <c r="R49" s="185">
        <f>SUMPRODUCT((元データ!$AL$2:$AL$2001=1)*(元データ!$AN$2:$AN$2001=1)*(元データ!$AE$2:$AE$2001=$C$49)*(元データ!$AO$2:$AO$2001=1)*(元データ!$AM$2:$AM$2001&gt;=8)*(元データ!$AM$2:$AM$2001&lt;=14)*(元データ!$E$2:$E$2001="20 確認待ち"))</f>
        <v/>
      </c>
      <c r="S49" s="186">
        <f>IFERROR(_xlfn.TEXTJOIN(CHAR(10),TRUE,IF((元データ!$AL$2:$AL$2001=1)*(元データ!$AN$2:$AN$2001=1)*(元データ!$AE$2:$AE$2001=$C$49)*(元データ!$AO$2:$AO$2001=1)*(元データ!$AM$2:$AM$2001&gt;=8)*(元データ!$AM$2:$AM$2001&lt;=14)*(元データ!$E$2:$E$2001="20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49" s="185">
        <f>SUMPRODUCT((元データ!$AL$2:$AL$2001=1)*(元データ!$AN$2:$AN$2001=1)*(元データ!$AE$2:$AE$2001=$C$49)*(元データ!$AO$2:$AO$2001=1)*(元データ!$AM$2:$AM$2001&gt;=8)*(元データ!$AM$2:$AM$2001&lt;=14)*(元データ!$E$2:$E$2001="30 申請受付"))</f>
        <v/>
      </c>
      <c r="U49" s="186">
        <f>IFERROR(_xlfn.TEXTJOIN(CHAR(10),TRUE,IF((元データ!$AL$2:$AL$2001=1)*(元データ!$AN$2:$AN$2001=1)*(元データ!$AE$2:$AE$2001=$C$49)*(元データ!$AO$2:$AO$2001=1)*(元データ!$AM$2:$AM$2001&gt;=8)*(元データ!$AM$2:$AM$2001&lt;=14)*(元データ!$E$2:$E$2001="30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49" s="185">
        <f>SUMPRODUCT((元データ!$AL$2:$AL$2001=1)*(元データ!$AN$2:$AN$2001=1)*(元データ!$AE$2:$AE$2001=$C$49)*(元データ!$AO$2:$AO$2001=1)*(元データ!$AM$2:$AM$2001&gt;=8)*(元データ!$AM$2:$AM$2001&lt;=14)*(元データ!$E$2:$E$2001="31 ＯＰ確認中"))</f>
        <v/>
      </c>
      <c r="W49" s="186">
        <f>IFERROR(_xlfn.TEXTJOIN(CHAR(10),TRUE,IF((元データ!$AL$2:$AL$2001=1)*(元データ!$AN$2:$AN$2001=1)*(元データ!$AE$2:$AE$2001=$C$49)*(元データ!$AO$2:$AO$2001=1)*(元データ!$AM$2:$AM$2001&gt;=8)*(元データ!$AM$2:$AM$2001&lt;=14)*(元データ!$E$2:$E$2001="31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49" s="185">
        <f>SUMPRODUCT((元データ!$AL$2:$AL$2001=1)*(元データ!$AN$2:$AN$2001=1)*(元データ!$AE$2:$AE$2001=$C$49)*(元データ!$AO$2:$AO$2001=1)*(元データ!$AM$2:$AM$2001&gt;=8)*(元データ!$AM$2:$AM$2001&lt;=14)*(元データ!$E$2:$E$2001="32 ＳＶ確認中"))</f>
        <v/>
      </c>
      <c r="Y49" s="186">
        <f>IFERROR(_xlfn.TEXTJOIN(CHAR(10),TRUE,IF((元データ!$AL$2:$AL$2001=1)*(元データ!$AN$2:$AN$2001=1)*(元データ!$AE$2:$AE$2001=$C$49)*(元データ!$AO$2:$AO$2001=1)*(元データ!$AM$2:$AM$2001&gt;=8)*(元データ!$AM$2:$AM$2001&lt;=14)*(元データ!$E$2:$E$2001="32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49" s="185">
        <f>SUMPRODUCT((元データ!$AL$2:$AL$2001=1)*(元データ!$AN$2:$AN$2001=1)*(元データ!$AE$2:$AE$2001=$C$49)*(元データ!$AO$2:$AO$2001=1)*(元データ!$AM$2:$AM$2001&gt;=8)*(元データ!$AM$2:$AM$2001&lt;=14)*(元データ!$E$2:$E$2001="40 差戻し"))</f>
        <v/>
      </c>
      <c r="AA49" s="186">
        <f>IFERROR(_xlfn.TEXTJOIN(CHAR(10),TRUE,IF((元データ!$AL$2:$AL$2001=1)*(元データ!$AN$2:$AN$2001=1)*(元データ!$AE$2:$AE$2001=$C$49)*(元データ!$AO$2:$AO$2001=1)*(元データ!$AM$2:$AM$2001&gt;=8)*(元データ!$AM$2:$AM$2001&lt;=14)*(元データ!$E$2:$E$2001="40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49" s="187">
        <f>SUMPRODUCT((元データ!$AL$2:$AL$2001=1)*(元データ!$AN$2:$AN$2001=1)*(元データ!$AE$2:$AE$2001=$C$49)*(元データ!$AO$2:$AO$2001=1)*(元データ!$AM$2:$AM$2001&gt;=15)*(元データ!$AM$2:$AM$2001&lt;=21))</f>
        <v/>
      </c>
      <c r="AC49" s="188">
        <f>SUMPRODUCT((元データ!$AL$2:$AL$2001=1)*(元データ!$AN$2:$AN$2001=1)*(元データ!$AE$2:$AE$2001=$C$49)*(元データ!$AO$2:$AO$2001=1)*(元データ!$AM$2:$AM$2001&gt;=15)*(元データ!$AM$2:$AM$2001&lt;=21)*(元データ!$E$2:$E$2001="20 確認待ち"))</f>
        <v/>
      </c>
      <c r="AD49" s="189">
        <f>IFERROR(_xlfn.TEXTJOIN(CHAR(10),TRUE,IF((元データ!$AL$2:$AL$2001=1)*(元データ!$AN$2:$AN$2001=1)*(元データ!$AE$2:$AE$2001=$C$49)*(元データ!$AO$2:$AO$2001=1)*(元データ!$AM$2:$AM$2001&gt;=15)*(元データ!$AM$2:$AM$2001&lt;=21)*(元データ!$E$2:$E$2001="20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49" s="188">
        <f>SUMPRODUCT((元データ!$AL$2:$AL$2001=1)*(元データ!$AN$2:$AN$2001=1)*(元データ!$AE$2:$AE$2001=$C$49)*(元データ!$AO$2:$AO$2001=1)*(元データ!$AM$2:$AM$2001&gt;=15)*(元データ!$AM$2:$AM$2001&lt;=21)*(元データ!$E$2:$E$2001="30 申請受付"))</f>
        <v/>
      </c>
      <c r="AF49" s="189">
        <f>IFERROR(_xlfn.TEXTJOIN(CHAR(10),TRUE,IF((元データ!$AL$2:$AL$2001=1)*(元データ!$AN$2:$AN$2001=1)*(元データ!$AE$2:$AE$2001=$C$49)*(元データ!$AO$2:$AO$2001=1)*(元データ!$AM$2:$AM$2001&gt;=15)*(元データ!$AM$2:$AM$2001&lt;=21)*(元データ!$E$2:$E$2001="30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49" s="188">
        <f>SUMPRODUCT((元データ!$AL$2:$AL$2001=1)*(元データ!$AN$2:$AN$2001=1)*(元データ!$AE$2:$AE$2001=$C$49)*(元データ!$AO$2:$AO$2001=1)*(元データ!$AM$2:$AM$2001&gt;=15)*(元データ!$AM$2:$AM$2001&lt;=21)*(元データ!$E$2:$E$2001="31 ＯＰ確認中"))</f>
        <v/>
      </c>
      <c r="AH49" s="189">
        <f>IFERROR(_xlfn.TEXTJOIN(CHAR(10),TRUE,IF((元データ!$AL$2:$AL$2001=1)*(元データ!$AN$2:$AN$2001=1)*(元データ!$AE$2:$AE$2001=$C$49)*(元データ!$AO$2:$AO$2001=1)*(元データ!$AM$2:$AM$2001&gt;=15)*(元データ!$AM$2:$AM$2001&lt;=21)*(元データ!$E$2:$E$2001="31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49" s="188">
        <f>SUMPRODUCT((元データ!$AL$2:$AL$2001=1)*(元データ!$AN$2:$AN$2001=1)*(元データ!$AE$2:$AE$2001=$C$49)*(元データ!$AO$2:$AO$2001=1)*(元データ!$AM$2:$AM$2001&gt;=15)*(元データ!$AM$2:$AM$2001&lt;=21)*(元データ!$E$2:$E$2001="32 ＳＶ確認中"))</f>
        <v/>
      </c>
      <c r="AJ49" s="189">
        <f>IFERROR(_xlfn.TEXTJOIN(CHAR(10),TRUE,IF((元データ!$AL$2:$AL$2001=1)*(元データ!$AN$2:$AN$2001=1)*(元データ!$AE$2:$AE$2001=$C$49)*(元データ!$AO$2:$AO$2001=1)*(元データ!$AM$2:$AM$2001&gt;=15)*(元データ!$AM$2:$AM$2001&lt;=21)*(元データ!$E$2:$E$2001="32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49" s="188">
        <f>SUMPRODUCT((元データ!$AL$2:$AL$2001=1)*(元データ!$AN$2:$AN$2001=1)*(元データ!$AE$2:$AE$2001=$C$49)*(元データ!$AO$2:$AO$2001=1)*(元データ!$AM$2:$AM$2001&gt;=15)*(元データ!$AM$2:$AM$2001&lt;=21)*(元データ!$E$2:$E$2001="40 差戻し"))</f>
        <v/>
      </c>
      <c r="AL49" s="189">
        <f>IFERROR(_xlfn.TEXTJOIN(CHAR(10),TRUE,IF((元データ!$AL$2:$AL$2001=1)*(元データ!$AN$2:$AN$2001=1)*(元データ!$AE$2:$AE$2001=$C$49)*(元データ!$AO$2:$AO$2001=1)*(元データ!$AM$2:$AM$2001&gt;=15)*(元データ!$AM$2:$AM$2001&lt;=21)*(元データ!$E$2:$E$2001="40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49" s="190">
        <f>SUMPRODUCT((元データ!$AL$2:$AL$2001=1)*(元データ!$AN$2:$AN$2001=1)*(元データ!$AE$2:$AE$2001=$C$49)*(元データ!$AO$2:$AO$2001=1)*(元データ!$AM$2:$AM$2001&gt;=22)*(元データ!$AM$2:$AM$2001&lt;=30))</f>
        <v/>
      </c>
      <c r="AN49" s="191">
        <f>SUMPRODUCT((元データ!$AL$2:$AL$2001=1)*(元データ!$AN$2:$AN$2001=1)*(元データ!$AE$2:$AE$2001=$C$49)*(元データ!$AO$2:$AO$2001=1)*(元データ!$AM$2:$AM$2001&gt;=22)*(元データ!$AM$2:$AM$2001&lt;=30)*(元データ!$E$2:$E$2001="20 確認待ち"))</f>
        <v/>
      </c>
      <c r="AO49" s="192">
        <f>IFERROR(_xlfn.TEXTJOIN(CHAR(10),TRUE,IF((元データ!$AL$2:$AL$2001=1)*(元データ!$AN$2:$AN$2001=1)*(元データ!$AE$2:$AE$2001=$C$49)*(元データ!$AO$2:$AO$2001=1)*(元データ!$AM$2:$AM$2001&gt;=22)*(元データ!$AM$2:$AM$2001&lt;=30)*(元データ!$E$2:$E$2001="20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49" s="191">
        <f>SUMPRODUCT((元データ!$AL$2:$AL$2001=1)*(元データ!$AN$2:$AN$2001=1)*(元データ!$AE$2:$AE$2001=$C$49)*(元データ!$AO$2:$AO$2001=1)*(元データ!$AM$2:$AM$2001&gt;=22)*(元データ!$AM$2:$AM$2001&lt;=30)*(元データ!$E$2:$E$2001="30 申請受付"))</f>
        <v/>
      </c>
      <c r="AQ49" s="192">
        <f>IFERROR(_xlfn.TEXTJOIN(CHAR(10),TRUE,IF((元データ!$AL$2:$AL$2001=1)*(元データ!$AN$2:$AN$2001=1)*(元データ!$AE$2:$AE$2001=$C$49)*(元データ!$AO$2:$AO$2001=1)*(元データ!$AM$2:$AM$2001&gt;=22)*(元データ!$AM$2:$AM$2001&lt;=30)*(元データ!$E$2:$E$2001="30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49" s="191">
        <f>SUMPRODUCT((元データ!$AL$2:$AL$2001=1)*(元データ!$AN$2:$AN$2001=1)*(元データ!$AE$2:$AE$2001=$C$49)*(元データ!$AO$2:$AO$2001=1)*(元データ!$AM$2:$AM$2001&gt;=22)*(元データ!$AM$2:$AM$2001&lt;=30)*(元データ!$E$2:$E$2001="31 ＯＰ確認中"))</f>
        <v/>
      </c>
      <c r="AS49" s="192">
        <f>IFERROR(_xlfn.TEXTJOIN(CHAR(10),TRUE,IF((元データ!$AL$2:$AL$2001=1)*(元データ!$AN$2:$AN$2001=1)*(元データ!$AE$2:$AE$2001=$C$49)*(元データ!$AO$2:$AO$2001=1)*(元データ!$AM$2:$AM$2001&gt;=22)*(元データ!$AM$2:$AM$2001&lt;=30)*(元データ!$E$2:$E$2001="31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49" s="191">
        <f>SUMPRODUCT((元データ!$AL$2:$AL$2001=1)*(元データ!$AN$2:$AN$2001=1)*(元データ!$AE$2:$AE$2001=$C$49)*(元データ!$AO$2:$AO$2001=1)*(元データ!$AM$2:$AM$2001&gt;=22)*(元データ!$AM$2:$AM$2001&lt;=30)*(元データ!$E$2:$E$2001="32 ＳＶ確認中"))</f>
        <v/>
      </c>
      <c r="AU49" s="192">
        <f>IFERROR(_xlfn.TEXTJOIN(CHAR(10),TRUE,IF((元データ!$AL$2:$AL$2001=1)*(元データ!$AN$2:$AN$2001=1)*(元データ!$AE$2:$AE$2001=$C$49)*(元データ!$AO$2:$AO$2001=1)*(元データ!$AM$2:$AM$2001&gt;=22)*(元データ!$AM$2:$AM$2001&lt;=30)*(元データ!$E$2:$E$2001="32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49" s="191">
        <f>SUMPRODUCT((元データ!$AL$2:$AL$2001=1)*(元データ!$AN$2:$AN$2001=1)*(元データ!$AE$2:$AE$2001=$C$49)*(元データ!$AO$2:$AO$2001=1)*(元データ!$AM$2:$AM$2001&gt;=22)*(元データ!$AM$2:$AM$2001&lt;=30)*(元データ!$E$2:$E$2001="40 差戻し"))</f>
        <v/>
      </c>
      <c r="AW49" s="192">
        <f>IFERROR(_xlfn.TEXTJOIN(CHAR(10),TRUE,IF((元データ!$AL$2:$AL$2001=1)*(元データ!$AN$2:$AN$2001=1)*(元データ!$AE$2:$AE$2001=$C$49)*(元データ!$AO$2:$AO$2001=1)*(元データ!$AM$2:$AM$2001&gt;=22)*(元データ!$AM$2:$AM$2001&lt;=30)*(元データ!$E$2:$E$2001="40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49" s="193">
        <f>SUMPRODUCT((元データ!$AL$2:$AL$2001=1)*(元データ!$AN$2:$AN$2001=1)*(元データ!$AE$2:$AE$2001=$C$49)*(元データ!$AO$2:$AO$2001=1)*(元データ!$AM$2:$AM$2001&gt;=31))</f>
        <v/>
      </c>
      <c r="AY49" s="194">
        <f>SUMPRODUCT((元データ!$AL$2:$AL$2001=1)*(元データ!$AN$2:$AN$2001=1)*(元データ!$AE$2:$AE$2001=$C$49)*(元データ!$AO$2:$AO$2001=1)*(元データ!$AM$2:$AM$2001&gt;=31)*(元データ!$E$2:$E$2001="20 確認待ち"))</f>
        <v/>
      </c>
      <c r="AZ49" s="195">
        <f>IFERROR(_xlfn.TEXTJOIN(CHAR(10),TRUE,IF((元データ!$AL$2:$AL$2001=1)*(元データ!$AN$2:$AN$2001=1)*(元データ!$AE$2:$AE$2001=$C$49)*(元データ!$AO$2:$AO$2001=1)*(元データ!$AM$2:$AM$2001&gt;=31)*(元データ!$E$2:$E$2001="20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49" s="194">
        <f>SUMPRODUCT((元データ!$AL$2:$AL$2001=1)*(元データ!$AN$2:$AN$2001=1)*(元データ!$AE$2:$AE$2001=$C$49)*(元データ!$AO$2:$AO$2001=1)*(元データ!$AM$2:$AM$2001&gt;=31)*(元データ!$E$2:$E$2001="30 申請受付"))</f>
        <v/>
      </c>
      <c r="BB49" s="195">
        <f>IFERROR(_xlfn.TEXTJOIN(CHAR(10),TRUE,IF((元データ!$AL$2:$AL$2001=1)*(元データ!$AN$2:$AN$2001=1)*(元データ!$AE$2:$AE$2001=$C$49)*(元データ!$AO$2:$AO$2001=1)*(元データ!$AM$2:$AM$2001&gt;=31)*(元データ!$E$2:$E$2001="30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49" s="194">
        <f>SUMPRODUCT((元データ!$AL$2:$AL$2001=1)*(元データ!$AN$2:$AN$2001=1)*(元データ!$AE$2:$AE$2001=$C$49)*(元データ!$AO$2:$AO$2001=1)*(元データ!$AM$2:$AM$2001&gt;=31)*(元データ!$E$2:$E$2001="31 ＯＰ確認中"))</f>
        <v/>
      </c>
      <c r="BD49" s="195">
        <f>IFERROR(_xlfn.TEXTJOIN(CHAR(10),TRUE,IF((元データ!$AL$2:$AL$2001=1)*(元データ!$AN$2:$AN$2001=1)*(元データ!$AE$2:$AE$2001=$C$49)*(元データ!$AO$2:$AO$2001=1)*(元データ!$AM$2:$AM$2001&gt;=31)*(元データ!$E$2:$E$2001="31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49" s="194">
        <f>SUMPRODUCT((元データ!$AL$2:$AL$2001=1)*(元データ!$AN$2:$AN$2001=1)*(元データ!$AE$2:$AE$2001=$C$49)*(元データ!$AO$2:$AO$2001=1)*(元データ!$AM$2:$AM$2001&gt;=31)*(元データ!$E$2:$E$2001="32 ＳＶ確認中"))</f>
        <v/>
      </c>
      <c r="BF49" s="195">
        <f>IFERROR(_xlfn.TEXTJOIN(CHAR(10),TRUE,IF((元データ!$AL$2:$AL$2001=1)*(元データ!$AN$2:$AN$2001=1)*(元データ!$AE$2:$AE$2001=$C$49)*(元データ!$AO$2:$AO$2001=1)*(元データ!$AM$2:$AM$2001&gt;=31)*(元データ!$E$2:$E$2001="32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49" s="194">
        <f>SUMPRODUCT((元データ!$AL$2:$AL$2001=1)*(元データ!$AN$2:$AN$2001=1)*(元データ!$AE$2:$AE$2001=$C$49)*(元データ!$AO$2:$AO$2001=1)*(元データ!$AM$2:$AM$2001&gt;=31)*(元データ!$E$2:$E$2001="40 差戻し"))</f>
        <v/>
      </c>
      <c r="BH49" s="195">
        <f>IFERROR(_xlfn.TEXTJOIN(CHAR(10),TRUE,IF((元データ!$AL$2:$AL$2001=1)*(元データ!$AN$2:$AN$2001=1)*(元データ!$AE$2:$AE$2001=$C$49)*(元データ!$AO$2:$AO$2001=1)*(元データ!$AM$2:$AM$2001&gt;=31)*(元データ!$E$2:$E$2001="40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50" ht="19.5" customHeight="1" s="87">
      <c r="B50" s="155" t="n"/>
      <c r="C50" s="156" t="n"/>
      <c r="D50" s="157" t="inlineStr">
        <is>
          <t>なし</t>
        </is>
      </c>
      <c r="E50" s="158">
        <f>SUMPRODUCT((元データ!$AL$2:$AL$2001=1)*(元データ!$AN$2:$AN$2001=1)*(元データ!$AE$2:$AE$2001=$C$49)*(元データ!$AO$2:$AO$2001=0))</f>
        <v/>
      </c>
      <c r="F50" s="196">
        <f>SUMPRODUCT((元データ!$AL$2:$AL$2001=1)*(元データ!$AN$2:$AN$2001=1)*(元データ!$AE$2:$AE$2001=$C$49)*(元データ!$AO$2:$AO$2001=0)*(元データ!$AM$2:$AM$2001&lt;=7))</f>
        <v/>
      </c>
      <c r="G50" s="197">
        <f>SUMPRODUCT((元データ!$AL$2:$AL$2001=1)*(元データ!$AN$2:$AN$2001=1)*(元データ!$AE$2:$AE$2001=$C$49)*(元データ!$AO$2:$AO$2001=0)*(元データ!$AM$2:$AM$2001&lt;=7)*(元データ!$E$2:$E$2001="20 確認待ち"))</f>
        <v/>
      </c>
      <c r="H50" s="198">
        <f>IFERROR(_xlfn.TEXTJOIN(CHAR(10),TRUE,IF((元データ!$AL$2:$AL$2001=1)*(元データ!$AN$2:$AN$2001=1)*(元データ!$AE$2:$AE$2001=$C$49)*(元データ!$AO$2:$AO$2001=0)*(元データ!$AM$2:$AM$2001&lt;=7)*(元データ!$E$2:$E$2001="20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50" s="197">
        <f>SUMPRODUCT((元データ!$AL$2:$AL$2001=1)*(元データ!$AN$2:$AN$2001=1)*(元データ!$AE$2:$AE$2001=$C$49)*(元データ!$AO$2:$AO$2001=0)*(元データ!$AM$2:$AM$2001&lt;=7)*(元データ!$E$2:$E$2001="30 申請受付"))</f>
        <v/>
      </c>
      <c r="J50" s="198">
        <f>IFERROR(_xlfn.TEXTJOIN(CHAR(10),TRUE,IF((元データ!$AL$2:$AL$2001=1)*(元データ!$AN$2:$AN$2001=1)*(元データ!$AE$2:$AE$2001=$C$49)*(元データ!$AO$2:$AO$2001=0)*(元データ!$AM$2:$AM$2001&lt;=7)*(元データ!$E$2:$E$2001="30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50" s="197">
        <f>SUMPRODUCT((元データ!$AL$2:$AL$2001=1)*(元データ!$AN$2:$AN$2001=1)*(元データ!$AE$2:$AE$2001=$C$49)*(元データ!$AO$2:$AO$2001=0)*(元データ!$AM$2:$AM$2001&lt;=7)*(元データ!$E$2:$E$2001="31 ＯＰ確認中"))</f>
        <v/>
      </c>
      <c r="L50" s="198">
        <f>IFERROR(_xlfn.TEXTJOIN(CHAR(10),TRUE,IF((元データ!$AL$2:$AL$2001=1)*(元データ!$AN$2:$AN$2001=1)*(元データ!$AE$2:$AE$2001=$C$49)*(元データ!$AO$2:$AO$2001=0)*(元データ!$AM$2:$AM$2001&lt;=7)*(元データ!$E$2:$E$2001="31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50" s="197">
        <f>SUMPRODUCT((元データ!$AL$2:$AL$2001=1)*(元データ!$AN$2:$AN$2001=1)*(元データ!$AE$2:$AE$2001=$C$49)*(元データ!$AO$2:$AO$2001=0)*(元データ!$AM$2:$AM$2001&lt;=7)*(元データ!$E$2:$E$2001="32 ＳＶ確認中"))</f>
        <v/>
      </c>
      <c r="N50" s="198">
        <f>IFERROR(_xlfn.TEXTJOIN(CHAR(10),TRUE,IF((元データ!$AL$2:$AL$2001=1)*(元データ!$AN$2:$AN$2001=1)*(元データ!$AE$2:$AE$2001=$C$49)*(元データ!$AO$2:$AO$2001=0)*(元データ!$AM$2:$AM$2001&lt;=7)*(元データ!$E$2:$E$2001="32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50" s="197">
        <f>SUMPRODUCT((元データ!$AL$2:$AL$2001=1)*(元データ!$AN$2:$AN$2001=1)*(元データ!$AE$2:$AE$2001=$C$49)*(元データ!$AO$2:$AO$2001=0)*(元データ!$AM$2:$AM$2001&lt;=7)*(元データ!$E$2:$E$2001="40 差戻し"))</f>
        <v/>
      </c>
      <c r="P50" s="198">
        <f>IFERROR(_xlfn.TEXTJOIN(CHAR(10),TRUE,IF((元データ!$AL$2:$AL$2001=1)*(元データ!$AN$2:$AN$2001=1)*(元データ!$AE$2:$AE$2001=$C$49)*(元データ!$AO$2:$AO$2001=0)*(元データ!$AM$2:$AM$2001&lt;=7)*(元データ!$E$2:$E$2001="40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50" s="196">
        <f>SUMPRODUCT((元データ!$AL$2:$AL$2001=1)*(元データ!$AN$2:$AN$2001=1)*(元データ!$AE$2:$AE$2001=$C$49)*(元データ!$AO$2:$AO$2001=0)*(元データ!$AM$2:$AM$2001&gt;=8)*(元データ!$AM$2:$AM$2001&lt;=14))</f>
        <v/>
      </c>
      <c r="R50" s="197">
        <f>SUMPRODUCT((元データ!$AL$2:$AL$2001=1)*(元データ!$AN$2:$AN$2001=1)*(元データ!$AE$2:$AE$2001=$C$49)*(元データ!$AO$2:$AO$2001=0)*(元データ!$AM$2:$AM$2001&gt;=8)*(元データ!$AM$2:$AM$2001&lt;=14)*(元データ!$E$2:$E$2001="20 確認待ち"))</f>
        <v/>
      </c>
      <c r="S50" s="198">
        <f>IFERROR(_xlfn.TEXTJOIN(CHAR(10),TRUE,IF((元データ!$AL$2:$AL$2001=1)*(元データ!$AN$2:$AN$2001=1)*(元データ!$AE$2:$AE$2001=$C$49)*(元データ!$AO$2:$AO$2001=0)*(元データ!$AM$2:$AM$2001&gt;=8)*(元データ!$AM$2:$AM$2001&lt;=14)*(元データ!$E$2:$E$2001="20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50" s="197">
        <f>SUMPRODUCT((元データ!$AL$2:$AL$2001=1)*(元データ!$AN$2:$AN$2001=1)*(元データ!$AE$2:$AE$2001=$C$49)*(元データ!$AO$2:$AO$2001=0)*(元データ!$AM$2:$AM$2001&gt;=8)*(元データ!$AM$2:$AM$2001&lt;=14)*(元データ!$E$2:$E$2001="30 申請受付"))</f>
        <v/>
      </c>
      <c r="U50" s="198">
        <f>IFERROR(_xlfn.TEXTJOIN(CHAR(10),TRUE,IF((元データ!$AL$2:$AL$2001=1)*(元データ!$AN$2:$AN$2001=1)*(元データ!$AE$2:$AE$2001=$C$49)*(元データ!$AO$2:$AO$2001=0)*(元データ!$AM$2:$AM$2001&gt;=8)*(元データ!$AM$2:$AM$2001&lt;=14)*(元データ!$E$2:$E$2001="30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50" s="197">
        <f>SUMPRODUCT((元データ!$AL$2:$AL$2001=1)*(元データ!$AN$2:$AN$2001=1)*(元データ!$AE$2:$AE$2001=$C$49)*(元データ!$AO$2:$AO$2001=0)*(元データ!$AM$2:$AM$2001&gt;=8)*(元データ!$AM$2:$AM$2001&lt;=14)*(元データ!$E$2:$E$2001="31 ＯＰ確認中"))</f>
        <v/>
      </c>
      <c r="W50" s="198">
        <f>IFERROR(_xlfn.TEXTJOIN(CHAR(10),TRUE,IF((元データ!$AL$2:$AL$2001=1)*(元データ!$AN$2:$AN$2001=1)*(元データ!$AE$2:$AE$2001=$C$49)*(元データ!$AO$2:$AO$2001=0)*(元データ!$AM$2:$AM$2001&gt;=8)*(元データ!$AM$2:$AM$2001&lt;=14)*(元データ!$E$2:$E$2001="31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50" s="197">
        <f>SUMPRODUCT((元データ!$AL$2:$AL$2001=1)*(元データ!$AN$2:$AN$2001=1)*(元データ!$AE$2:$AE$2001=$C$49)*(元データ!$AO$2:$AO$2001=0)*(元データ!$AM$2:$AM$2001&gt;=8)*(元データ!$AM$2:$AM$2001&lt;=14)*(元データ!$E$2:$E$2001="32 ＳＶ確認中"))</f>
        <v/>
      </c>
      <c r="Y50" s="198">
        <f>IFERROR(_xlfn.TEXTJOIN(CHAR(10),TRUE,IF((元データ!$AL$2:$AL$2001=1)*(元データ!$AN$2:$AN$2001=1)*(元データ!$AE$2:$AE$2001=$C$49)*(元データ!$AO$2:$AO$2001=0)*(元データ!$AM$2:$AM$2001&gt;=8)*(元データ!$AM$2:$AM$2001&lt;=14)*(元データ!$E$2:$E$2001="32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50" s="197">
        <f>SUMPRODUCT((元データ!$AL$2:$AL$2001=1)*(元データ!$AN$2:$AN$2001=1)*(元データ!$AE$2:$AE$2001=$C$49)*(元データ!$AO$2:$AO$2001=0)*(元データ!$AM$2:$AM$2001&gt;=8)*(元データ!$AM$2:$AM$2001&lt;=14)*(元データ!$E$2:$E$2001="40 差戻し"))</f>
        <v/>
      </c>
      <c r="AA50" s="198">
        <f>IFERROR(_xlfn.TEXTJOIN(CHAR(10),TRUE,IF((元データ!$AL$2:$AL$2001=1)*(元データ!$AN$2:$AN$2001=1)*(元データ!$AE$2:$AE$2001=$C$49)*(元データ!$AO$2:$AO$2001=0)*(元データ!$AM$2:$AM$2001&gt;=8)*(元データ!$AM$2:$AM$2001&lt;=14)*(元データ!$E$2:$E$2001="40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50" s="187">
        <f>SUMPRODUCT((元データ!$AL$2:$AL$2001=1)*(元データ!$AN$2:$AN$2001=1)*(元データ!$AE$2:$AE$2001=$C$49)*(元データ!$AO$2:$AO$2001=0)*(元データ!$AM$2:$AM$2001&gt;=15)*(元データ!$AM$2:$AM$2001&lt;=21))</f>
        <v/>
      </c>
      <c r="AC50" s="188">
        <f>SUMPRODUCT((元データ!$AL$2:$AL$2001=1)*(元データ!$AN$2:$AN$2001=1)*(元データ!$AE$2:$AE$2001=$C$49)*(元データ!$AO$2:$AO$2001=0)*(元データ!$AM$2:$AM$2001&gt;=15)*(元データ!$AM$2:$AM$2001&lt;=21)*(元データ!$E$2:$E$2001="20 確認待ち"))</f>
        <v/>
      </c>
      <c r="AD50" s="189">
        <f>IFERROR(_xlfn.TEXTJOIN(CHAR(10),TRUE,IF((元データ!$AL$2:$AL$2001=1)*(元データ!$AN$2:$AN$2001=1)*(元データ!$AE$2:$AE$2001=$C$49)*(元データ!$AO$2:$AO$2001=0)*(元データ!$AM$2:$AM$2001&gt;=15)*(元データ!$AM$2:$AM$2001&lt;=21)*(元データ!$E$2:$E$2001="20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50" s="188">
        <f>SUMPRODUCT((元データ!$AL$2:$AL$2001=1)*(元データ!$AN$2:$AN$2001=1)*(元データ!$AE$2:$AE$2001=$C$49)*(元データ!$AO$2:$AO$2001=0)*(元データ!$AM$2:$AM$2001&gt;=15)*(元データ!$AM$2:$AM$2001&lt;=21)*(元データ!$E$2:$E$2001="30 申請受付"))</f>
        <v/>
      </c>
      <c r="AF50" s="189">
        <f>IFERROR(_xlfn.TEXTJOIN(CHAR(10),TRUE,IF((元データ!$AL$2:$AL$2001=1)*(元データ!$AN$2:$AN$2001=1)*(元データ!$AE$2:$AE$2001=$C$49)*(元データ!$AO$2:$AO$2001=0)*(元データ!$AM$2:$AM$2001&gt;=15)*(元データ!$AM$2:$AM$2001&lt;=21)*(元データ!$E$2:$E$2001="30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50" s="188">
        <f>SUMPRODUCT((元データ!$AL$2:$AL$2001=1)*(元データ!$AN$2:$AN$2001=1)*(元データ!$AE$2:$AE$2001=$C$49)*(元データ!$AO$2:$AO$2001=0)*(元データ!$AM$2:$AM$2001&gt;=15)*(元データ!$AM$2:$AM$2001&lt;=21)*(元データ!$E$2:$E$2001="31 ＯＰ確認中"))</f>
        <v/>
      </c>
      <c r="AH50" s="189">
        <f>IFERROR(_xlfn.TEXTJOIN(CHAR(10),TRUE,IF((元データ!$AL$2:$AL$2001=1)*(元データ!$AN$2:$AN$2001=1)*(元データ!$AE$2:$AE$2001=$C$49)*(元データ!$AO$2:$AO$2001=0)*(元データ!$AM$2:$AM$2001&gt;=15)*(元データ!$AM$2:$AM$2001&lt;=21)*(元データ!$E$2:$E$2001="31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50" s="188">
        <f>SUMPRODUCT((元データ!$AL$2:$AL$2001=1)*(元データ!$AN$2:$AN$2001=1)*(元データ!$AE$2:$AE$2001=$C$49)*(元データ!$AO$2:$AO$2001=0)*(元データ!$AM$2:$AM$2001&gt;=15)*(元データ!$AM$2:$AM$2001&lt;=21)*(元データ!$E$2:$E$2001="32 ＳＶ確認中"))</f>
        <v/>
      </c>
      <c r="AJ50" s="189">
        <f>IFERROR(_xlfn.TEXTJOIN(CHAR(10),TRUE,IF((元データ!$AL$2:$AL$2001=1)*(元データ!$AN$2:$AN$2001=1)*(元データ!$AE$2:$AE$2001=$C$49)*(元データ!$AO$2:$AO$2001=0)*(元データ!$AM$2:$AM$2001&gt;=15)*(元データ!$AM$2:$AM$2001&lt;=21)*(元データ!$E$2:$E$2001="32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50" s="188">
        <f>SUMPRODUCT((元データ!$AL$2:$AL$2001=1)*(元データ!$AN$2:$AN$2001=1)*(元データ!$AE$2:$AE$2001=$C$49)*(元データ!$AO$2:$AO$2001=0)*(元データ!$AM$2:$AM$2001&gt;=15)*(元データ!$AM$2:$AM$2001&lt;=21)*(元データ!$E$2:$E$2001="40 差戻し"))</f>
        <v/>
      </c>
      <c r="AL50" s="189">
        <f>IFERROR(_xlfn.TEXTJOIN(CHAR(10),TRUE,IF((元データ!$AL$2:$AL$2001=1)*(元データ!$AN$2:$AN$2001=1)*(元データ!$AE$2:$AE$2001=$C$49)*(元データ!$AO$2:$AO$2001=0)*(元データ!$AM$2:$AM$2001&gt;=15)*(元データ!$AM$2:$AM$2001&lt;=21)*(元データ!$E$2:$E$2001="40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50" s="190">
        <f>SUMPRODUCT((元データ!$AL$2:$AL$2001=1)*(元データ!$AN$2:$AN$2001=1)*(元データ!$AE$2:$AE$2001=$C$49)*(元データ!$AO$2:$AO$2001=0)*(元データ!$AM$2:$AM$2001&gt;=22)*(元データ!$AM$2:$AM$2001&lt;=30))</f>
        <v/>
      </c>
      <c r="AN50" s="191">
        <f>SUMPRODUCT((元データ!$AL$2:$AL$2001=1)*(元データ!$AN$2:$AN$2001=1)*(元データ!$AE$2:$AE$2001=$C$49)*(元データ!$AO$2:$AO$2001=0)*(元データ!$AM$2:$AM$2001&gt;=22)*(元データ!$AM$2:$AM$2001&lt;=30)*(元データ!$E$2:$E$2001="20 確認待ち"))</f>
        <v/>
      </c>
      <c r="AO50" s="192">
        <f>IFERROR(_xlfn.TEXTJOIN(CHAR(10),TRUE,IF((元データ!$AL$2:$AL$2001=1)*(元データ!$AN$2:$AN$2001=1)*(元データ!$AE$2:$AE$2001=$C$49)*(元データ!$AO$2:$AO$2001=0)*(元データ!$AM$2:$AM$2001&gt;=22)*(元データ!$AM$2:$AM$2001&lt;=30)*(元データ!$E$2:$E$2001="20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50" s="191">
        <f>SUMPRODUCT((元データ!$AL$2:$AL$2001=1)*(元データ!$AN$2:$AN$2001=1)*(元データ!$AE$2:$AE$2001=$C$49)*(元データ!$AO$2:$AO$2001=0)*(元データ!$AM$2:$AM$2001&gt;=22)*(元データ!$AM$2:$AM$2001&lt;=30)*(元データ!$E$2:$E$2001="30 申請受付"))</f>
        <v/>
      </c>
      <c r="AQ50" s="192">
        <f>IFERROR(_xlfn.TEXTJOIN(CHAR(10),TRUE,IF((元データ!$AL$2:$AL$2001=1)*(元データ!$AN$2:$AN$2001=1)*(元データ!$AE$2:$AE$2001=$C$49)*(元データ!$AO$2:$AO$2001=0)*(元データ!$AM$2:$AM$2001&gt;=22)*(元データ!$AM$2:$AM$2001&lt;=30)*(元データ!$E$2:$E$2001="30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50" s="191">
        <f>SUMPRODUCT((元データ!$AL$2:$AL$2001=1)*(元データ!$AN$2:$AN$2001=1)*(元データ!$AE$2:$AE$2001=$C$49)*(元データ!$AO$2:$AO$2001=0)*(元データ!$AM$2:$AM$2001&gt;=22)*(元データ!$AM$2:$AM$2001&lt;=30)*(元データ!$E$2:$E$2001="31 ＯＰ確認中"))</f>
        <v/>
      </c>
      <c r="AS50" s="192">
        <f>IFERROR(_xlfn.TEXTJOIN(CHAR(10),TRUE,IF((元データ!$AL$2:$AL$2001=1)*(元データ!$AN$2:$AN$2001=1)*(元データ!$AE$2:$AE$2001=$C$49)*(元データ!$AO$2:$AO$2001=0)*(元データ!$AM$2:$AM$2001&gt;=22)*(元データ!$AM$2:$AM$2001&lt;=30)*(元データ!$E$2:$E$2001="31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50" s="191">
        <f>SUMPRODUCT((元データ!$AL$2:$AL$2001=1)*(元データ!$AN$2:$AN$2001=1)*(元データ!$AE$2:$AE$2001=$C$49)*(元データ!$AO$2:$AO$2001=0)*(元データ!$AM$2:$AM$2001&gt;=22)*(元データ!$AM$2:$AM$2001&lt;=30)*(元データ!$E$2:$E$2001="32 ＳＶ確認中"))</f>
        <v/>
      </c>
      <c r="AU50" s="192">
        <f>IFERROR(_xlfn.TEXTJOIN(CHAR(10),TRUE,IF((元データ!$AL$2:$AL$2001=1)*(元データ!$AN$2:$AN$2001=1)*(元データ!$AE$2:$AE$2001=$C$49)*(元データ!$AO$2:$AO$2001=0)*(元データ!$AM$2:$AM$2001&gt;=22)*(元データ!$AM$2:$AM$2001&lt;=30)*(元データ!$E$2:$E$2001="32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50" s="191">
        <f>SUMPRODUCT((元データ!$AL$2:$AL$2001=1)*(元データ!$AN$2:$AN$2001=1)*(元データ!$AE$2:$AE$2001=$C$49)*(元データ!$AO$2:$AO$2001=0)*(元データ!$AM$2:$AM$2001&gt;=22)*(元データ!$AM$2:$AM$2001&lt;=30)*(元データ!$E$2:$E$2001="40 差戻し"))</f>
        <v/>
      </c>
      <c r="AW50" s="192">
        <f>IFERROR(_xlfn.TEXTJOIN(CHAR(10),TRUE,IF((元データ!$AL$2:$AL$2001=1)*(元データ!$AN$2:$AN$2001=1)*(元データ!$AE$2:$AE$2001=$C$49)*(元データ!$AO$2:$AO$2001=0)*(元データ!$AM$2:$AM$2001&gt;=22)*(元データ!$AM$2:$AM$2001&lt;=30)*(元データ!$E$2:$E$2001="40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50" s="193">
        <f>SUMPRODUCT((元データ!$AL$2:$AL$2001=1)*(元データ!$AN$2:$AN$2001=1)*(元データ!$AE$2:$AE$2001=$C$49)*(元データ!$AO$2:$AO$2001=0)*(元データ!$AM$2:$AM$2001&gt;=31))</f>
        <v/>
      </c>
      <c r="AY50" s="194">
        <f>SUMPRODUCT((元データ!$AL$2:$AL$2001=1)*(元データ!$AN$2:$AN$2001=1)*(元データ!$AE$2:$AE$2001=$C$49)*(元データ!$AO$2:$AO$2001=0)*(元データ!$AM$2:$AM$2001&gt;=31)*(元データ!$E$2:$E$2001="20 確認待ち"))</f>
        <v/>
      </c>
      <c r="AZ50" s="195">
        <f>IFERROR(_xlfn.TEXTJOIN(CHAR(10),TRUE,IF((元データ!$AL$2:$AL$2001=1)*(元データ!$AN$2:$AN$2001=1)*(元データ!$AE$2:$AE$2001=$C$49)*(元データ!$AO$2:$AO$2001=0)*(元データ!$AM$2:$AM$2001&gt;=31)*(元データ!$E$2:$E$2001="20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50" s="194">
        <f>SUMPRODUCT((元データ!$AL$2:$AL$2001=1)*(元データ!$AN$2:$AN$2001=1)*(元データ!$AE$2:$AE$2001=$C$49)*(元データ!$AO$2:$AO$2001=0)*(元データ!$AM$2:$AM$2001&gt;=31)*(元データ!$E$2:$E$2001="30 申請受付"))</f>
        <v/>
      </c>
      <c r="BB50" s="195">
        <f>IFERROR(_xlfn.TEXTJOIN(CHAR(10),TRUE,IF((元データ!$AL$2:$AL$2001=1)*(元データ!$AN$2:$AN$2001=1)*(元データ!$AE$2:$AE$2001=$C$49)*(元データ!$AO$2:$AO$2001=0)*(元データ!$AM$2:$AM$2001&gt;=31)*(元データ!$E$2:$E$2001="30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50" s="194">
        <f>SUMPRODUCT((元データ!$AL$2:$AL$2001=1)*(元データ!$AN$2:$AN$2001=1)*(元データ!$AE$2:$AE$2001=$C$49)*(元データ!$AO$2:$AO$2001=0)*(元データ!$AM$2:$AM$2001&gt;=31)*(元データ!$E$2:$E$2001="31 ＯＰ確認中"))</f>
        <v/>
      </c>
      <c r="BD50" s="195">
        <f>IFERROR(_xlfn.TEXTJOIN(CHAR(10),TRUE,IF((元データ!$AL$2:$AL$2001=1)*(元データ!$AN$2:$AN$2001=1)*(元データ!$AE$2:$AE$2001=$C$49)*(元データ!$AO$2:$AO$2001=0)*(元データ!$AM$2:$AM$2001&gt;=31)*(元データ!$E$2:$E$2001="31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50" s="194">
        <f>SUMPRODUCT((元データ!$AL$2:$AL$2001=1)*(元データ!$AN$2:$AN$2001=1)*(元データ!$AE$2:$AE$2001=$C$49)*(元データ!$AO$2:$AO$2001=0)*(元データ!$AM$2:$AM$2001&gt;=31)*(元データ!$E$2:$E$2001="32 ＳＶ確認中"))</f>
        <v/>
      </c>
      <c r="BF50" s="195">
        <f>IFERROR(_xlfn.TEXTJOIN(CHAR(10),TRUE,IF((元データ!$AL$2:$AL$2001=1)*(元データ!$AN$2:$AN$2001=1)*(元データ!$AE$2:$AE$2001=$C$49)*(元データ!$AO$2:$AO$2001=0)*(元データ!$AM$2:$AM$2001&gt;=31)*(元データ!$E$2:$E$2001="32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50" s="194">
        <f>SUMPRODUCT((元データ!$AL$2:$AL$2001=1)*(元データ!$AN$2:$AN$2001=1)*(元データ!$AE$2:$AE$2001=$C$49)*(元データ!$AO$2:$AO$2001=0)*(元データ!$AM$2:$AM$2001&gt;=31)*(元データ!$E$2:$E$2001="40 差戻し"))</f>
        <v/>
      </c>
      <c r="BH50" s="195">
        <f>IFERROR(_xlfn.TEXTJOIN(CHAR(10),TRUE,IF((元データ!$AL$2:$AL$2001=1)*(元データ!$AN$2:$AN$2001=1)*(元データ!$AE$2:$AE$2001=$C$49)*(元データ!$AO$2:$AO$2001=0)*(元データ!$AM$2:$AM$2001&gt;=31)*(元データ!$E$2:$E$2001="40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51" ht="19.5" customHeight="1" s="87">
      <c r="B51" s="139" t="n"/>
      <c r="C51" s="140" t="inlineStr">
        <is>
          <t>26 扶養者の変更</t>
        </is>
      </c>
      <c r="D51" s="141" t="inlineStr">
        <is>
          <t>あり</t>
        </is>
      </c>
      <c r="E51" s="142">
        <f>SUMPRODUCT((元データ!$AL$2:$AL$2001=1)*(元データ!$AN$2:$AN$2001=1)*(元データ!$AE$2:$AE$2001=$C$51)*(元データ!$AO$2:$AO$2001=1))</f>
        <v/>
      </c>
      <c r="F51" s="184">
        <f>SUMPRODUCT((元データ!$AL$2:$AL$2001=1)*(元データ!$AN$2:$AN$2001=1)*(元データ!$AE$2:$AE$2001=$C$51)*(元データ!$AO$2:$AO$2001=1)*(元データ!$AM$2:$AM$2001&lt;=7))</f>
        <v/>
      </c>
      <c r="G51" s="185">
        <f>SUMPRODUCT((元データ!$AL$2:$AL$2001=1)*(元データ!$AN$2:$AN$2001=1)*(元データ!$AE$2:$AE$2001=$C$51)*(元データ!$AO$2:$AO$2001=1)*(元データ!$AM$2:$AM$2001&lt;=7)*(元データ!$E$2:$E$2001="20 確認待ち"))</f>
        <v/>
      </c>
      <c r="H51" s="186">
        <f>IFERROR(_xlfn.TEXTJOIN(CHAR(10),TRUE,IF((元データ!$AL$2:$AL$2001=1)*(元データ!$AN$2:$AN$2001=1)*(元データ!$AE$2:$AE$2001=$C$51)*(元データ!$AO$2:$AO$2001=1)*(元データ!$AM$2:$AM$2001&lt;=7)*(元データ!$E$2:$E$2001="20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51" s="185">
        <f>SUMPRODUCT((元データ!$AL$2:$AL$2001=1)*(元データ!$AN$2:$AN$2001=1)*(元データ!$AE$2:$AE$2001=$C$51)*(元データ!$AO$2:$AO$2001=1)*(元データ!$AM$2:$AM$2001&lt;=7)*(元データ!$E$2:$E$2001="30 申請受付"))</f>
        <v/>
      </c>
      <c r="J51" s="186">
        <f>IFERROR(_xlfn.TEXTJOIN(CHAR(10),TRUE,IF((元データ!$AL$2:$AL$2001=1)*(元データ!$AN$2:$AN$2001=1)*(元データ!$AE$2:$AE$2001=$C$51)*(元データ!$AO$2:$AO$2001=1)*(元データ!$AM$2:$AM$2001&lt;=7)*(元データ!$E$2:$E$2001="30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51" s="185">
        <f>SUMPRODUCT((元データ!$AL$2:$AL$2001=1)*(元データ!$AN$2:$AN$2001=1)*(元データ!$AE$2:$AE$2001=$C$51)*(元データ!$AO$2:$AO$2001=1)*(元データ!$AM$2:$AM$2001&lt;=7)*(元データ!$E$2:$E$2001="31 ＯＰ確認中"))</f>
        <v/>
      </c>
      <c r="L51" s="186">
        <f>IFERROR(_xlfn.TEXTJOIN(CHAR(10),TRUE,IF((元データ!$AL$2:$AL$2001=1)*(元データ!$AN$2:$AN$2001=1)*(元データ!$AE$2:$AE$2001=$C$51)*(元データ!$AO$2:$AO$2001=1)*(元データ!$AM$2:$AM$2001&lt;=7)*(元データ!$E$2:$E$2001="31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51" s="185">
        <f>SUMPRODUCT((元データ!$AL$2:$AL$2001=1)*(元データ!$AN$2:$AN$2001=1)*(元データ!$AE$2:$AE$2001=$C$51)*(元データ!$AO$2:$AO$2001=1)*(元データ!$AM$2:$AM$2001&lt;=7)*(元データ!$E$2:$E$2001="32 ＳＶ確認中"))</f>
        <v/>
      </c>
      <c r="N51" s="186">
        <f>IFERROR(_xlfn.TEXTJOIN(CHAR(10),TRUE,IF((元データ!$AL$2:$AL$2001=1)*(元データ!$AN$2:$AN$2001=1)*(元データ!$AE$2:$AE$2001=$C$51)*(元データ!$AO$2:$AO$2001=1)*(元データ!$AM$2:$AM$2001&lt;=7)*(元データ!$E$2:$E$2001="32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51" s="185">
        <f>SUMPRODUCT((元データ!$AL$2:$AL$2001=1)*(元データ!$AN$2:$AN$2001=1)*(元データ!$AE$2:$AE$2001=$C$51)*(元データ!$AO$2:$AO$2001=1)*(元データ!$AM$2:$AM$2001&lt;=7)*(元データ!$E$2:$E$2001="40 差戻し"))</f>
        <v/>
      </c>
      <c r="P51" s="186">
        <f>IFERROR(_xlfn.TEXTJOIN(CHAR(10),TRUE,IF((元データ!$AL$2:$AL$2001=1)*(元データ!$AN$2:$AN$2001=1)*(元データ!$AE$2:$AE$2001=$C$51)*(元データ!$AO$2:$AO$2001=1)*(元データ!$AM$2:$AM$2001&lt;=7)*(元データ!$E$2:$E$2001="40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51" s="184">
        <f>SUMPRODUCT((元データ!$AL$2:$AL$2001=1)*(元データ!$AN$2:$AN$2001=1)*(元データ!$AE$2:$AE$2001=$C$51)*(元データ!$AO$2:$AO$2001=1)*(元データ!$AM$2:$AM$2001&gt;=8)*(元データ!$AM$2:$AM$2001&lt;=14))</f>
        <v/>
      </c>
      <c r="R51" s="185">
        <f>SUMPRODUCT((元データ!$AL$2:$AL$2001=1)*(元データ!$AN$2:$AN$2001=1)*(元データ!$AE$2:$AE$2001=$C$51)*(元データ!$AO$2:$AO$2001=1)*(元データ!$AM$2:$AM$2001&gt;=8)*(元データ!$AM$2:$AM$2001&lt;=14)*(元データ!$E$2:$E$2001="20 確認待ち"))</f>
        <v/>
      </c>
      <c r="S51" s="186">
        <f>IFERROR(_xlfn.TEXTJOIN(CHAR(10),TRUE,IF((元データ!$AL$2:$AL$2001=1)*(元データ!$AN$2:$AN$2001=1)*(元データ!$AE$2:$AE$2001=$C$51)*(元データ!$AO$2:$AO$2001=1)*(元データ!$AM$2:$AM$2001&gt;=8)*(元データ!$AM$2:$AM$2001&lt;=14)*(元データ!$E$2:$E$2001="20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51" s="185">
        <f>SUMPRODUCT((元データ!$AL$2:$AL$2001=1)*(元データ!$AN$2:$AN$2001=1)*(元データ!$AE$2:$AE$2001=$C$51)*(元データ!$AO$2:$AO$2001=1)*(元データ!$AM$2:$AM$2001&gt;=8)*(元データ!$AM$2:$AM$2001&lt;=14)*(元データ!$E$2:$E$2001="30 申請受付"))</f>
        <v/>
      </c>
      <c r="U51" s="186">
        <f>IFERROR(_xlfn.TEXTJOIN(CHAR(10),TRUE,IF((元データ!$AL$2:$AL$2001=1)*(元データ!$AN$2:$AN$2001=1)*(元データ!$AE$2:$AE$2001=$C$51)*(元データ!$AO$2:$AO$2001=1)*(元データ!$AM$2:$AM$2001&gt;=8)*(元データ!$AM$2:$AM$2001&lt;=14)*(元データ!$E$2:$E$2001="30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51" s="185">
        <f>SUMPRODUCT((元データ!$AL$2:$AL$2001=1)*(元データ!$AN$2:$AN$2001=1)*(元データ!$AE$2:$AE$2001=$C$51)*(元データ!$AO$2:$AO$2001=1)*(元データ!$AM$2:$AM$2001&gt;=8)*(元データ!$AM$2:$AM$2001&lt;=14)*(元データ!$E$2:$E$2001="31 ＯＰ確認中"))</f>
        <v/>
      </c>
      <c r="W51" s="186">
        <f>IFERROR(_xlfn.TEXTJOIN(CHAR(10),TRUE,IF((元データ!$AL$2:$AL$2001=1)*(元データ!$AN$2:$AN$2001=1)*(元データ!$AE$2:$AE$2001=$C$51)*(元データ!$AO$2:$AO$2001=1)*(元データ!$AM$2:$AM$2001&gt;=8)*(元データ!$AM$2:$AM$2001&lt;=14)*(元データ!$E$2:$E$2001="31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51" s="185">
        <f>SUMPRODUCT((元データ!$AL$2:$AL$2001=1)*(元データ!$AN$2:$AN$2001=1)*(元データ!$AE$2:$AE$2001=$C$51)*(元データ!$AO$2:$AO$2001=1)*(元データ!$AM$2:$AM$2001&gt;=8)*(元データ!$AM$2:$AM$2001&lt;=14)*(元データ!$E$2:$E$2001="32 ＳＶ確認中"))</f>
        <v/>
      </c>
      <c r="Y51" s="186">
        <f>IFERROR(_xlfn.TEXTJOIN(CHAR(10),TRUE,IF((元データ!$AL$2:$AL$2001=1)*(元データ!$AN$2:$AN$2001=1)*(元データ!$AE$2:$AE$2001=$C$51)*(元データ!$AO$2:$AO$2001=1)*(元データ!$AM$2:$AM$2001&gt;=8)*(元データ!$AM$2:$AM$2001&lt;=14)*(元データ!$E$2:$E$2001="32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51" s="185">
        <f>SUMPRODUCT((元データ!$AL$2:$AL$2001=1)*(元データ!$AN$2:$AN$2001=1)*(元データ!$AE$2:$AE$2001=$C$51)*(元データ!$AO$2:$AO$2001=1)*(元データ!$AM$2:$AM$2001&gt;=8)*(元データ!$AM$2:$AM$2001&lt;=14)*(元データ!$E$2:$E$2001="40 差戻し"))</f>
        <v/>
      </c>
      <c r="AA51" s="186">
        <f>IFERROR(_xlfn.TEXTJOIN(CHAR(10),TRUE,IF((元データ!$AL$2:$AL$2001=1)*(元データ!$AN$2:$AN$2001=1)*(元データ!$AE$2:$AE$2001=$C$51)*(元データ!$AO$2:$AO$2001=1)*(元データ!$AM$2:$AM$2001&gt;=8)*(元データ!$AM$2:$AM$2001&lt;=14)*(元データ!$E$2:$E$2001="40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51" s="187">
        <f>SUMPRODUCT((元データ!$AL$2:$AL$2001=1)*(元データ!$AN$2:$AN$2001=1)*(元データ!$AE$2:$AE$2001=$C$51)*(元データ!$AO$2:$AO$2001=1)*(元データ!$AM$2:$AM$2001&gt;=15)*(元データ!$AM$2:$AM$2001&lt;=21))</f>
        <v/>
      </c>
      <c r="AC51" s="188">
        <f>SUMPRODUCT((元データ!$AL$2:$AL$2001=1)*(元データ!$AN$2:$AN$2001=1)*(元データ!$AE$2:$AE$2001=$C$51)*(元データ!$AO$2:$AO$2001=1)*(元データ!$AM$2:$AM$2001&gt;=15)*(元データ!$AM$2:$AM$2001&lt;=21)*(元データ!$E$2:$E$2001="20 確認待ち"))</f>
        <v/>
      </c>
      <c r="AD51" s="189">
        <f>IFERROR(_xlfn.TEXTJOIN(CHAR(10),TRUE,IF((元データ!$AL$2:$AL$2001=1)*(元データ!$AN$2:$AN$2001=1)*(元データ!$AE$2:$AE$2001=$C$51)*(元データ!$AO$2:$AO$2001=1)*(元データ!$AM$2:$AM$2001&gt;=15)*(元データ!$AM$2:$AM$2001&lt;=21)*(元データ!$E$2:$E$2001="20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51" s="188">
        <f>SUMPRODUCT((元データ!$AL$2:$AL$2001=1)*(元データ!$AN$2:$AN$2001=1)*(元データ!$AE$2:$AE$2001=$C$51)*(元データ!$AO$2:$AO$2001=1)*(元データ!$AM$2:$AM$2001&gt;=15)*(元データ!$AM$2:$AM$2001&lt;=21)*(元データ!$E$2:$E$2001="30 申請受付"))</f>
        <v/>
      </c>
      <c r="AF51" s="189">
        <f>IFERROR(_xlfn.TEXTJOIN(CHAR(10),TRUE,IF((元データ!$AL$2:$AL$2001=1)*(元データ!$AN$2:$AN$2001=1)*(元データ!$AE$2:$AE$2001=$C$51)*(元データ!$AO$2:$AO$2001=1)*(元データ!$AM$2:$AM$2001&gt;=15)*(元データ!$AM$2:$AM$2001&lt;=21)*(元データ!$E$2:$E$2001="30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51" s="188">
        <f>SUMPRODUCT((元データ!$AL$2:$AL$2001=1)*(元データ!$AN$2:$AN$2001=1)*(元データ!$AE$2:$AE$2001=$C$51)*(元データ!$AO$2:$AO$2001=1)*(元データ!$AM$2:$AM$2001&gt;=15)*(元データ!$AM$2:$AM$2001&lt;=21)*(元データ!$E$2:$E$2001="31 ＯＰ確認中"))</f>
        <v/>
      </c>
      <c r="AH51" s="189">
        <f>IFERROR(_xlfn.TEXTJOIN(CHAR(10),TRUE,IF((元データ!$AL$2:$AL$2001=1)*(元データ!$AN$2:$AN$2001=1)*(元データ!$AE$2:$AE$2001=$C$51)*(元データ!$AO$2:$AO$2001=1)*(元データ!$AM$2:$AM$2001&gt;=15)*(元データ!$AM$2:$AM$2001&lt;=21)*(元データ!$E$2:$E$2001="31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51" s="188">
        <f>SUMPRODUCT((元データ!$AL$2:$AL$2001=1)*(元データ!$AN$2:$AN$2001=1)*(元データ!$AE$2:$AE$2001=$C$51)*(元データ!$AO$2:$AO$2001=1)*(元データ!$AM$2:$AM$2001&gt;=15)*(元データ!$AM$2:$AM$2001&lt;=21)*(元データ!$E$2:$E$2001="32 ＳＶ確認中"))</f>
        <v/>
      </c>
      <c r="AJ51" s="189">
        <f>IFERROR(_xlfn.TEXTJOIN(CHAR(10),TRUE,IF((元データ!$AL$2:$AL$2001=1)*(元データ!$AN$2:$AN$2001=1)*(元データ!$AE$2:$AE$2001=$C$51)*(元データ!$AO$2:$AO$2001=1)*(元データ!$AM$2:$AM$2001&gt;=15)*(元データ!$AM$2:$AM$2001&lt;=21)*(元データ!$E$2:$E$2001="32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51" s="188">
        <f>SUMPRODUCT((元データ!$AL$2:$AL$2001=1)*(元データ!$AN$2:$AN$2001=1)*(元データ!$AE$2:$AE$2001=$C$51)*(元データ!$AO$2:$AO$2001=1)*(元データ!$AM$2:$AM$2001&gt;=15)*(元データ!$AM$2:$AM$2001&lt;=21)*(元データ!$E$2:$E$2001="40 差戻し"))</f>
        <v/>
      </c>
      <c r="AL51" s="189">
        <f>IFERROR(_xlfn.TEXTJOIN(CHAR(10),TRUE,IF((元データ!$AL$2:$AL$2001=1)*(元データ!$AN$2:$AN$2001=1)*(元データ!$AE$2:$AE$2001=$C$51)*(元データ!$AO$2:$AO$2001=1)*(元データ!$AM$2:$AM$2001&gt;=15)*(元データ!$AM$2:$AM$2001&lt;=21)*(元データ!$E$2:$E$2001="40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51" s="190">
        <f>SUMPRODUCT((元データ!$AL$2:$AL$2001=1)*(元データ!$AN$2:$AN$2001=1)*(元データ!$AE$2:$AE$2001=$C$51)*(元データ!$AO$2:$AO$2001=1)*(元データ!$AM$2:$AM$2001&gt;=22)*(元データ!$AM$2:$AM$2001&lt;=30))</f>
        <v/>
      </c>
      <c r="AN51" s="191">
        <f>SUMPRODUCT((元データ!$AL$2:$AL$2001=1)*(元データ!$AN$2:$AN$2001=1)*(元データ!$AE$2:$AE$2001=$C$51)*(元データ!$AO$2:$AO$2001=1)*(元データ!$AM$2:$AM$2001&gt;=22)*(元データ!$AM$2:$AM$2001&lt;=30)*(元データ!$E$2:$E$2001="20 確認待ち"))</f>
        <v/>
      </c>
      <c r="AO51" s="192">
        <f>IFERROR(_xlfn.TEXTJOIN(CHAR(10),TRUE,IF((元データ!$AL$2:$AL$2001=1)*(元データ!$AN$2:$AN$2001=1)*(元データ!$AE$2:$AE$2001=$C$51)*(元データ!$AO$2:$AO$2001=1)*(元データ!$AM$2:$AM$2001&gt;=22)*(元データ!$AM$2:$AM$2001&lt;=30)*(元データ!$E$2:$E$2001="20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51" s="191">
        <f>SUMPRODUCT((元データ!$AL$2:$AL$2001=1)*(元データ!$AN$2:$AN$2001=1)*(元データ!$AE$2:$AE$2001=$C$51)*(元データ!$AO$2:$AO$2001=1)*(元データ!$AM$2:$AM$2001&gt;=22)*(元データ!$AM$2:$AM$2001&lt;=30)*(元データ!$E$2:$E$2001="30 申請受付"))</f>
        <v/>
      </c>
      <c r="AQ51" s="192">
        <f>IFERROR(_xlfn.TEXTJOIN(CHAR(10),TRUE,IF((元データ!$AL$2:$AL$2001=1)*(元データ!$AN$2:$AN$2001=1)*(元データ!$AE$2:$AE$2001=$C$51)*(元データ!$AO$2:$AO$2001=1)*(元データ!$AM$2:$AM$2001&gt;=22)*(元データ!$AM$2:$AM$2001&lt;=30)*(元データ!$E$2:$E$2001="30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51" s="191">
        <f>SUMPRODUCT((元データ!$AL$2:$AL$2001=1)*(元データ!$AN$2:$AN$2001=1)*(元データ!$AE$2:$AE$2001=$C$51)*(元データ!$AO$2:$AO$2001=1)*(元データ!$AM$2:$AM$2001&gt;=22)*(元データ!$AM$2:$AM$2001&lt;=30)*(元データ!$E$2:$E$2001="31 ＯＰ確認中"))</f>
        <v/>
      </c>
      <c r="AS51" s="192">
        <f>IFERROR(_xlfn.TEXTJOIN(CHAR(10),TRUE,IF((元データ!$AL$2:$AL$2001=1)*(元データ!$AN$2:$AN$2001=1)*(元データ!$AE$2:$AE$2001=$C$51)*(元データ!$AO$2:$AO$2001=1)*(元データ!$AM$2:$AM$2001&gt;=22)*(元データ!$AM$2:$AM$2001&lt;=30)*(元データ!$E$2:$E$2001="31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51" s="191">
        <f>SUMPRODUCT((元データ!$AL$2:$AL$2001=1)*(元データ!$AN$2:$AN$2001=1)*(元データ!$AE$2:$AE$2001=$C$51)*(元データ!$AO$2:$AO$2001=1)*(元データ!$AM$2:$AM$2001&gt;=22)*(元データ!$AM$2:$AM$2001&lt;=30)*(元データ!$E$2:$E$2001="32 ＳＶ確認中"))</f>
        <v/>
      </c>
      <c r="AU51" s="192">
        <f>IFERROR(_xlfn.TEXTJOIN(CHAR(10),TRUE,IF((元データ!$AL$2:$AL$2001=1)*(元データ!$AN$2:$AN$2001=1)*(元データ!$AE$2:$AE$2001=$C$51)*(元データ!$AO$2:$AO$2001=1)*(元データ!$AM$2:$AM$2001&gt;=22)*(元データ!$AM$2:$AM$2001&lt;=30)*(元データ!$E$2:$E$2001="32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51" s="191">
        <f>SUMPRODUCT((元データ!$AL$2:$AL$2001=1)*(元データ!$AN$2:$AN$2001=1)*(元データ!$AE$2:$AE$2001=$C$51)*(元データ!$AO$2:$AO$2001=1)*(元データ!$AM$2:$AM$2001&gt;=22)*(元データ!$AM$2:$AM$2001&lt;=30)*(元データ!$E$2:$E$2001="40 差戻し"))</f>
        <v/>
      </c>
      <c r="AW51" s="192">
        <f>IFERROR(_xlfn.TEXTJOIN(CHAR(10),TRUE,IF((元データ!$AL$2:$AL$2001=1)*(元データ!$AN$2:$AN$2001=1)*(元データ!$AE$2:$AE$2001=$C$51)*(元データ!$AO$2:$AO$2001=1)*(元データ!$AM$2:$AM$2001&gt;=22)*(元データ!$AM$2:$AM$2001&lt;=30)*(元データ!$E$2:$E$2001="40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51" s="193">
        <f>SUMPRODUCT((元データ!$AL$2:$AL$2001=1)*(元データ!$AN$2:$AN$2001=1)*(元データ!$AE$2:$AE$2001=$C$51)*(元データ!$AO$2:$AO$2001=1)*(元データ!$AM$2:$AM$2001&gt;=31))</f>
        <v/>
      </c>
      <c r="AY51" s="194">
        <f>SUMPRODUCT((元データ!$AL$2:$AL$2001=1)*(元データ!$AN$2:$AN$2001=1)*(元データ!$AE$2:$AE$2001=$C$51)*(元データ!$AO$2:$AO$2001=1)*(元データ!$AM$2:$AM$2001&gt;=31)*(元データ!$E$2:$E$2001="20 確認待ち"))</f>
        <v/>
      </c>
      <c r="AZ51" s="195">
        <f>IFERROR(_xlfn.TEXTJOIN(CHAR(10),TRUE,IF((元データ!$AL$2:$AL$2001=1)*(元データ!$AN$2:$AN$2001=1)*(元データ!$AE$2:$AE$2001=$C$51)*(元データ!$AO$2:$AO$2001=1)*(元データ!$AM$2:$AM$2001&gt;=31)*(元データ!$E$2:$E$2001="20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51" s="194">
        <f>SUMPRODUCT((元データ!$AL$2:$AL$2001=1)*(元データ!$AN$2:$AN$2001=1)*(元データ!$AE$2:$AE$2001=$C$51)*(元データ!$AO$2:$AO$2001=1)*(元データ!$AM$2:$AM$2001&gt;=31)*(元データ!$E$2:$E$2001="30 申請受付"))</f>
        <v/>
      </c>
      <c r="BB51" s="195">
        <f>IFERROR(_xlfn.TEXTJOIN(CHAR(10),TRUE,IF((元データ!$AL$2:$AL$2001=1)*(元データ!$AN$2:$AN$2001=1)*(元データ!$AE$2:$AE$2001=$C$51)*(元データ!$AO$2:$AO$2001=1)*(元データ!$AM$2:$AM$2001&gt;=31)*(元データ!$E$2:$E$2001="30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51" s="194">
        <f>SUMPRODUCT((元データ!$AL$2:$AL$2001=1)*(元データ!$AN$2:$AN$2001=1)*(元データ!$AE$2:$AE$2001=$C$51)*(元データ!$AO$2:$AO$2001=1)*(元データ!$AM$2:$AM$2001&gt;=31)*(元データ!$E$2:$E$2001="31 ＯＰ確認中"))</f>
        <v/>
      </c>
      <c r="BD51" s="195">
        <f>IFERROR(_xlfn.TEXTJOIN(CHAR(10),TRUE,IF((元データ!$AL$2:$AL$2001=1)*(元データ!$AN$2:$AN$2001=1)*(元データ!$AE$2:$AE$2001=$C$51)*(元データ!$AO$2:$AO$2001=1)*(元データ!$AM$2:$AM$2001&gt;=31)*(元データ!$E$2:$E$2001="31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51" s="194">
        <f>SUMPRODUCT((元データ!$AL$2:$AL$2001=1)*(元データ!$AN$2:$AN$2001=1)*(元データ!$AE$2:$AE$2001=$C$51)*(元データ!$AO$2:$AO$2001=1)*(元データ!$AM$2:$AM$2001&gt;=31)*(元データ!$E$2:$E$2001="32 ＳＶ確認中"))</f>
        <v/>
      </c>
      <c r="BF51" s="195">
        <f>IFERROR(_xlfn.TEXTJOIN(CHAR(10),TRUE,IF((元データ!$AL$2:$AL$2001=1)*(元データ!$AN$2:$AN$2001=1)*(元データ!$AE$2:$AE$2001=$C$51)*(元データ!$AO$2:$AO$2001=1)*(元データ!$AM$2:$AM$2001&gt;=31)*(元データ!$E$2:$E$2001="32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51" s="194">
        <f>SUMPRODUCT((元データ!$AL$2:$AL$2001=1)*(元データ!$AN$2:$AN$2001=1)*(元データ!$AE$2:$AE$2001=$C$51)*(元データ!$AO$2:$AO$2001=1)*(元データ!$AM$2:$AM$2001&gt;=31)*(元データ!$E$2:$E$2001="40 差戻し"))</f>
        <v/>
      </c>
      <c r="BH51" s="195">
        <f>IFERROR(_xlfn.TEXTJOIN(CHAR(10),TRUE,IF((元データ!$AL$2:$AL$2001=1)*(元データ!$AN$2:$AN$2001=1)*(元データ!$AE$2:$AE$2001=$C$51)*(元データ!$AO$2:$AO$2001=1)*(元データ!$AM$2:$AM$2001&gt;=31)*(元データ!$E$2:$E$2001="40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52" ht="19.5" customHeight="1" s="87">
      <c r="B52" s="155" t="n"/>
      <c r="C52" s="156" t="n"/>
      <c r="D52" s="157" t="inlineStr">
        <is>
          <t>なし</t>
        </is>
      </c>
      <c r="E52" s="158">
        <f>SUMPRODUCT((元データ!$AL$2:$AL$2001=1)*(元データ!$AN$2:$AN$2001=1)*(元データ!$AE$2:$AE$2001=$C$51)*(元データ!$AO$2:$AO$2001=0))</f>
        <v/>
      </c>
      <c r="F52" s="196">
        <f>SUMPRODUCT((元データ!$AL$2:$AL$2001=1)*(元データ!$AN$2:$AN$2001=1)*(元データ!$AE$2:$AE$2001=$C$51)*(元データ!$AO$2:$AO$2001=0)*(元データ!$AM$2:$AM$2001&lt;=7))</f>
        <v/>
      </c>
      <c r="G52" s="197">
        <f>SUMPRODUCT((元データ!$AL$2:$AL$2001=1)*(元データ!$AN$2:$AN$2001=1)*(元データ!$AE$2:$AE$2001=$C$51)*(元データ!$AO$2:$AO$2001=0)*(元データ!$AM$2:$AM$2001&lt;=7)*(元データ!$E$2:$E$2001="20 確認待ち"))</f>
        <v/>
      </c>
      <c r="H52" s="198">
        <f>IFERROR(_xlfn.TEXTJOIN(CHAR(10),TRUE,IF((元データ!$AL$2:$AL$2001=1)*(元データ!$AN$2:$AN$2001=1)*(元データ!$AE$2:$AE$2001=$C$51)*(元データ!$AO$2:$AO$2001=0)*(元データ!$AM$2:$AM$2001&lt;=7)*(元データ!$E$2:$E$2001="20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52" s="197">
        <f>SUMPRODUCT((元データ!$AL$2:$AL$2001=1)*(元データ!$AN$2:$AN$2001=1)*(元データ!$AE$2:$AE$2001=$C$51)*(元データ!$AO$2:$AO$2001=0)*(元データ!$AM$2:$AM$2001&lt;=7)*(元データ!$E$2:$E$2001="30 申請受付"))</f>
        <v/>
      </c>
      <c r="J52" s="198">
        <f>IFERROR(_xlfn.TEXTJOIN(CHAR(10),TRUE,IF((元データ!$AL$2:$AL$2001=1)*(元データ!$AN$2:$AN$2001=1)*(元データ!$AE$2:$AE$2001=$C$51)*(元データ!$AO$2:$AO$2001=0)*(元データ!$AM$2:$AM$2001&lt;=7)*(元データ!$E$2:$E$2001="30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52" s="197">
        <f>SUMPRODUCT((元データ!$AL$2:$AL$2001=1)*(元データ!$AN$2:$AN$2001=1)*(元データ!$AE$2:$AE$2001=$C$51)*(元データ!$AO$2:$AO$2001=0)*(元データ!$AM$2:$AM$2001&lt;=7)*(元データ!$E$2:$E$2001="31 ＯＰ確認中"))</f>
        <v/>
      </c>
      <c r="L52" s="198">
        <f>IFERROR(_xlfn.TEXTJOIN(CHAR(10),TRUE,IF((元データ!$AL$2:$AL$2001=1)*(元データ!$AN$2:$AN$2001=1)*(元データ!$AE$2:$AE$2001=$C$51)*(元データ!$AO$2:$AO$2001=0)*(元データ!$AM$2:$AM$2001&lt;=7)*(元データ!$E$2:$E$2001="31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52" s="197">
        <f>SUMPRODUCT((元データ!$AL$2:$AL$2001=1)*(元データ!$AN$2:$AN$2001=1)*(元データ!$AE$2:$AE$2001=$C$51)*(元データ!$AO$2:$AO$2001=0)*(元データ!$AM$2:$AM$2001&lt;=7)*(元データ!$E$2:$E$2001="32 ＳＶ確認中"))</f>
        <v/>
      </c>
      <c r="N52" s="198">
        <f>IFERROR(_xlfn.TEXTJOIN(CHAR(10),TRUE,IF((元データ!$AL$2:$AL$2001=1)*(元データ!$AN$2:$AN$2001=1)*(元データ!$AE$2:$AE$2001=$C$51)*(元データ!$AO$2:$AO$2001=0)*(元データ!$AM$2:$AM$2001&lt;=7)*(元データ!$E$2:$E$2001="32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52" s="197">
        <f>SUMPRODUCT((元データ!$AL$2:$AL$2001=1)*(元データ!$AN$2:$AN$2001=1)*(元データ!$AE$2:$AE$2001=$C$51)*(元データ!$AO$2:$AO$2001=0)*(元データ!$AM$2:$AM$2001&lt;=7)*(元データ!$E$2:$E$2001="40 差戻し"))</f>
        <v/>
      </c>
      <c r="P52" s="198">
        <f>IFERROR(_xlfn.TEXTJOIN(CHAR(10),TRUE,IF((元データ!$AL$2:$AL$2001=1)*(元データ!$AN$2:$AN$2001=1)*(元データ!$AE$2:$AE$2001=$C$51)*(元データ!$AO$2:$AO$2001=0)*(元データ!$AM$2:$AM$2001&lt;=7)*(元データ!$E$2:$E$2001="40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52" s="196">
        <f>SUMPRODUCT((元データ!$AL$2:$AL$2001=1)*(元データ!$AN$2:$AN$2001=1)*(元データ!$AE$2:$AE$2001=$C$51)*(元データ!$AO$2:$AO$2001=0)*(元データ!$AM$2:$AM$2001&gt;=8)*(元データ!$AM$2:$AM$2001&lt;=14))</f>
        <v/>
      </c>
      <c r="R52" s="197">
        <f>SUMPRODUCT((元データ!$AL$2:$AL$2001=1)*(元データ!$AN$2:$AN$2001=1)*(元データ!$AE$2:$AE$2001=$C$51)*(元データ!$AO$2:$AO$2001=0)*(元データ!$AM$2:$AM$2001&gt;=8)*(元データ!$AM$2:$AM$2001&lt;=14)*(元データ!$E$2:$E$2001="20 確認待ち"))</f>
        <v/>
      </c>
      <c r="S52" s="198">
        <f>IFERROR(_xlfn.TEXTJOIN(CHAR(10),TRUE,IF((元データ!$AL$2:$AL$2001=1)*(元データ!$AN$2:$AN$2001=1)*(元データ!$AE$2:$AE$2001=$C$51)*(元データ!$AO$2:$AO$2001=0)*(元データ!$AM$2:$AM$2001&gt;=8)*(元データ!$AM$2:$AM$2001&lt;=14)*(元データ!$E$2:$E$2001="20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52" s="197">
        <f>SUMPRODUCT((元データ!$AL$2:$AL$2001=1)*(元データ!$AN$2:$AN$2001=1)*(元データ!$AE$2:$AE$2001=$C$51)*(元データ!$AO$2:$AO$2001=0)*(元データ!$AM$2:$AM$2001&gt;=8)*(元データ!$AM$2:$AM$2001&lt;=14)*(元データ!$E$2:$E$2001="30 申請受付"))</f>
        <v/>
      </c>
      <c r="U52" s="198">
        <f>IFERROR(_xlfn.TEXTJOIN(CHAR(10),TRUE,IF((元データ!$AL$2:$AL$2001=1)*(元データ!$AN$2:$AN$2001=1)*(元データ!$AE$2:$AE$2001=$C$51)*(元データ!$AO$2:$AO$2001=0)*(元データ!$AM$2:$AM$2001&gt;=8)*(元データ!$AM$2:$AM$2001&lt;=14)*(元データ!$E$2:$E$2001="30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52" s="197">
        <f>SUMPRODUCT((元データ!$AL$2:$AL$2001=1)*(元データ!$AN$2:$AN$2001=1)*(元データ!$AE$2:$AE$2001=$C$51)*(元データ!$AO$2:$AO$2001=0)*(元データ!$AM$2:$AM$2001&gt;=8)*(元データ!$AM$2:$AM$2001&lt;=14)*(元データ!$E$2:$E$2001="31 ＯＰ確認中"))</f>
        <v/>
      </c>
      <c r="W52" s="198">
        <f>IFERROR(_xlfn.TEXTJOIN(CHAR(10),TRUE,IF((元データ!$AL$2:$AL$2001=1)*(元データ!$AN$2:$AN$2001=1)*(元データ!$AE$2:$AE$2001=$C$51)*(元データ!$AO$2:$AO$2001=0)*(元データ!$AM$2:$AM$2001&gt;=8)*(元データ!$AM$2:$AM$2001&lt;=14)*(元データ!$E$2:$E$2001="31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52" s="197">
        <f>SUMPRODUCT((元データ!$AL$2:$AL$2001=1)*(元データ!$AN$2:$AN$2001=1)*(元データ!$AE$2:$AE$2001=$C$51)*(元データ!$AO$2:$AO$2001=0)*(元データ!$AM$2:$AM$2001&gt;=8)*(元データ!$AM$2:$AM$2001&lt;=14)*(元データ!$E$2:$E$2001="32 ＳＶ確認中"))</f>
        <v/>
      </c>
      <c r="Y52" s="198">
        <f>IFERROR(_xlfn.TEXTJOIN(CHAR(10),TRUE,IF((元データ!$AL$2:$AL$2001=1)*(元データ!$AN$2:$AN$2001=1)*(元データ!$AE$2:$AE$2001=$C$51)*(元データ!$AO$2:$AO$2001=0)*(元データ!$AM$2:$AM$2001&gt;=8)*(元データ!$AM$2:$AM$2001&lt;=14)*(元データ!$E$2:$E$2001="32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52" s="197">
        <f>SUMPRODUCT((元データ!$AL$2:$AL$2001=1)*(元データ!$AN$2:$AN$2001=1)*(元データ!$AE$2:$AE$2001=$C$51)*(元データ!$AO$2:$AO$2001=0)*(元データ!$AM$2:$AM$2001&gt;=8)*(元データ!$AM$2:$AM$2001&lt;=14)*(元データ!$E$2:$E$2001="40 差戻し"))</f>
        <v/>
      </c>
      <c r="AA52" s="198">
        <f>IFERROR(_xlfn.TEXTJOIN(CHAR(10),TRUE,IF((元データ!$AL$2:$AL$2001=1)*(元データ!$AN$2:$AN$2001=1)*(元データ!$AE$2:$AE$2001=$C$51)*(元データ!$AO$2:$AO$2001=0)*(元データ!$AM$2:$AM$2001&gt;=8)*(元データ!$AM$2:$AM$2001&lt;=14)*(元データ!$E$2:$E$2001="40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52" s="187">
        <f>SUMPRODUCT((元データ!$AL$2:$AL$2001=1)*(元データ!$AN$2:$AN$2001=1)*(元データ!$AE$2:$AE$2001=$C$51)*(元データ!$AO$2:$AO$2001=0)*(元データ!$AM$2:$AM$2001&gt;=15)*(元データ!$AM$2:$AM$2001&lt;=21))</f>
        <v/>
      </c>
      <c r="AC52" s="188">
        <f>SUMPRODUCT((元データ!$AL$2:$AL$2001=1)*(元データ!$AN$2:$AN$2001=1)*(元データ!$AE$2:$AE$2001=$C$51)*(元データ!$AO$2:$AO$2001=0)*(元データ!$AM$2:$AM$2001&gt;=15)*(元データ!$AM$2:$AM$2001&lt;=21)*(元データ!$E$2:$E$2001="20 確認待ち"))</f>
        <v/>
      </c>
      <c r="AD52" s="189">
        <f>IFERROR(_xlfn.TEXTJOIN(CHAR(10),TRUE,IF((元データ!$AL$2:$AL$2001=1)*(元データ!$AN$2:$AN$2001=1)*(元データ!$AE$2:$AE$2001=$C$51)*(元データ!$AO$2:$AO$2001=0)*(元データ!$AM$2:$AM$2001&gt;=15)*(元データ!$AM$2:$AM$2001&lt;=21)*(元データ!$E$2:$E$2001="20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52" s="188">
        <f>SUMPRODUCT((元データ!$AL$2:$AL$2001=1)*(元データ!$AN$2:$AN$2001=1)*(元データ!$AE$2:$AE$2001=$C$51)*(元データ!$AO$2:$AO$2001=0)*(元データ!$AM$2:$AM$2001&gt;=15)*(元データ!$AM$2:$AM$2001&lt;=21)*(元データ!$E$2:$E$2001="30 申請受付"))</f>
        <v/>
      </c>
      <c r="AF52" s="189">
        <f>IFERROR(_xlfn.TEXTJOIN(CHAR(10),TRUE,IF((元データ!$AL$2:$AL$2001=1)*(元データ!$AN$2:$AN$2001=1)*(元データ!$AE$2:$AE$2001=$C$51)*(元データ!$AO$2:$AO$2001=0)*(元データ!$AM$2:$AM$2001&gt;=15)*(元データ!$AM$2:$AM$2001&lt;=21)*(元データ!$E$2:$E$2001="30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52" s="188">
        <f>SUMPRODUCT((元データ!$AL$2:$AL$2001=1)*(元データ!$AN$2:$AN$2001=1)*(元データ!$AE$2:$AE$2001=$C$51)*(元データ!$AO$2:$AO$2001=0)*(元データ!$AM$2:$AM$2001&gt;=15)*(元データ!$AM$2:$AM$2001&lt;=21)*(元データ!$E$2:$E$2001="31 ＯＰ確認中"))</f>
        <v/>
      </c>
      <c r="AH52" s="189">
        <f>IFERROR(_xlfn.TEXTJOIN(CHAR(10),TRUE,IF((元データ!$AL$2:$AL$2001=1)*(元データ!$AN$2:$AN$2001=1)*(元データ!$AE$2:$AE$2001=$C$51)*(元データ!$AO$2:$AO$2001=0)*(元データ!$AM$2:$AM$2001&gt;=15)*(元データ!$AM$2:$AM$2001&lt;=21)*(元データ!$E$2:$E$2001="31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52" s="188">
        <f>SUMPRODUCT((元データ!$AL$2:$AL$2001=1)*(元データ!$AN$2:$AN$2001=1)*(元データ!$AE$2:$AE$2001=$C$51)*(元データ!$AO$2:$AO$2001=0)*(元データ!$AM$2:$AM$2001&gt;=15)*(元データ!$AM$2:$AM$2001&lt;=21)*(元データ!$E$2:$E$2001="32 ＳＶ確認中"))</f>
        <v/>
      </c>
      <c r="AJ52" s="189">
        <f>IFERROR(_xlfn.TEXTJOIN(CHAR(10),TRUE,IF((元データ!$AL$2:$AL$2001=1)*(元データ!$AN$2:$AN$2001=1)*(元データ!$AE$2:$AE$2001=$C$51)*(元データ!$AO$2:$AO$2001=0)*(元データ!$AM$2:$AM$2001&gt;=15)*(元データ!$AM$2:$AM$2001&lt;=21)*(元データ!$E$2:$E$2001="32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52" s="188">
        <f>SUMPRODUCT((元データ!$AL$2:$AL$2001=1)*(元データ!$AN$2:$AN$2001=1)*(元データ!$AE$2:$AE$2001=$C$51)*(元データ!$AO$2:$AO$2001=0)*(元データ!$AM$2:$AM$2001&gt;=15)*(元データ!$AM$2:$AM$2001&lt;=21)*(元データ!$E$2:$E$2001="40 差戻し"))</f>
        <v/>
      </c>
      <c r="AL52" s="189">
        <f>IFERROR(_xlfn.TEXTJOIN(CHAR(10),TRUE,IF((元データ!$AL$2:$AL$2001=1)*(元データ!$AN$2:$AN$2001=1)*(元データ!$AE$2:$AE$2001=$C$51)*(元データ!$AO$2:$AO$2001=0)*(元データ!$AM$2:$AM$2001&gt;=15)*(元データ!$AM$2:$AM$2001&lt;=21)*(元データ!$E$2:$E$2001="40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52" s="190">
        <f>SUMPRODUCT((元データ!$AL$2:$AL$2001=1)*(元データ!$AN$2:$AN$2001=1)*(元データ!$AE$2:$AE$2001=$C$51)*(元データ!$AO$2:$AO$2001=0)*(元データ!$AM$2:$AM$2001&gt;=22)*(元データ!$AM$2:$AM$2001&lt;=30))</f>
        <v/>
      </c>
      <c r="AN52" s="191">
        <f>SUMPRODUCT((元データ!$AL$2:$AL$2001=1)*(元データ!$AN$2:$AN$2001=1)*(元データ!$AE$2:$AE$2001=$C$51)*(元データ!$AO$2:$AO$2001=0)*(元データ!$AM$2:$AM$2001&gt;=22)*(元データ!$AM$2:$AM$2001&lt;=30)*(元データ!$E$2:$E$2001="20 確認待ち"))</f>
        <v/>
      </c>
      <c r="AO52" s="192">
        <f>IFERROR(_xlfn.TEXTJOIN(CHAR(10),TRUE,IF((元データ!$AL$2:$AL$2001=1)*(元データ!$AN$2:$AN$2001=1)*(元データ!$AE$2:$AE$2001=$C$51)*(元データ!$AO$2:$AO$2001=0)*(元データ!$AM$2:$AM$2001&gt;=22)*(元データ!$AM$2:$AM$2001&lt;=30)*(元データ!$E$2:$E$2001="20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52" s="191">
        <f>SUMPRODUCT((元データ!$AL$2:$AL$2001=1)*(元データ!$AN$2:$AN$2001=1)*(元データ!$AE$2:$AE$2001=$C$51)*(元データ!$AO$2:$AO$2001=0)*(元データ!$AM$2:$AM$2001&gt;=22)*(元データ!$AM$2:$AM$2001&lt;=30)*(元データ!$E$2:$E$2001="30 申請受付"))</f>
        <v/>
      </c>
      <c r="AQ52" s="192">
        <f>IFERROR(_xlfn.TEXTJOIN(CHAR(10),TRUE,IF((元データ!$AL$2:$AL$2001=1)*(元データ!$AN$2:$AN$2001=1)*(元データ!$AE$2:$AE$2001=$C$51)*(元データ!$AO$2:$AO$2001=0)*(元データ!$AM$2:$AM$2001&gt;=22)*(元データ!$AM$2:$AM$2001&lt;=30)*(元データ!$E$2:$E$2001="30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52" s="191">
        <f>SUMPRODUCT((元データ!$AL$2:$AL$2001=1)*(元データ!$AN$2:$AN$2001=1)*(元データ!$AE$2:$AE$2001=$C$51)*(元データ!$AO$2:$AO$2001=0)*(元データ!$AM$2:$AM$2001&gt;=22)*(元データ!$AM$2:$AM$2001&lt;=30)*(元データ!$E$2:$E$2001="31 ＯＰ確認中"))</f>
        <v/>
      </c>
      <c r="AS52" s="192">
        <f>IFERROR(_xlfn.TEXTJOIN(CHAR(10),TRUE,IF((元データ!$AL$2:$AL$2001=1)*(元データ!$AN$2:$AN$2001=1)*(元データ!$AE$2:$AE$2001=$C$51)*(元データ!$AO$2:$AO$2001=0)*(元データ!$AM$2:$AM$2001&gt;=22)*(元データ!$AM$2:$AM$2001&lt;=30)*(元データ!$E$2:$E$2001="31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52" s="191">
        <f>SUMPRODUCT((元データ!$AL$2:$AL$2001=1)*(元データ!$AN$2:$AN$2001=1)*(元データ!$AE$2:$AE$2001=$C$51)*(元データ!$AO$2:$AO$2001=0)*(元データ!$AM$2:$AM$2001&gt;=22)*(元データ!$AM$2:$AM$2001&lt;=30)*(元データ!$E$2:$E$2001="32 ＳＶ確認中"))</f>
        <v/>
      </c>
      <c r="AU52" s="192">
        <f>IFERROR(_xlfn.TEXTJOIN(CHAR(10),TRUE,IF((元データ!$AL$2:$AL$2001=1)*(元データ!$AN$2:$AN$2001=1)*(元データ!$AE$2:$AE$2001=$C$51)*(元データ!$AO$2:$AO$2001=0)*(元データ!$AM$2:$AM$2001&gt;=22)*(元データ!$AM$2:$AM$2001&lt;=30)*(元データ!$E$2:$E$2001="32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52" s="191">
        <f>SUMPRODUCT((元データ!$AL$2:$AL$2001=1)*(元データ!$AN$2:$AN$2001=1)*(元データ!$AE$2:$AE$2001=$C$51)*(元データ!$AO$2:$AO$2001=0)*(元データ!$AM$2:$AM$2001&gt;=22)*(元データ!$AM$2:$AM$2001&lt;=30)*(元データ!$E$2:$E$2001="40 差戻し"))</f>
        <v/>
      </c>
      <c r="AW52" s="192">
        <f>IFERROR(_xlfn.TEXTJOIN(CHAR(10),TRUE,IF((元データ!$AL$2:$AL$2001=1)*(元データ!$AN$2:$AN$2001=1)*(元データ!$AE$2:$AE$2001=$C$51)*(元データ!$AO$2:$AO$2001=0)*(元データ!$AM$2:$AM$2001&gt;=22)*(元データ!$AM$2:$AM$2001&lt;=30)*(元データ!$E$2:$E$2001="40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52" s="193">
        <f>SUMPRODUCT((元データ!$AL$2:$AL$2001=1)*(元データ!$AN$2:$AN$2001=1)*(元データ!$AE$2:$AE$2001=$C$51)*(元データ!$AO$2:$AO$2001=0)*(元データ!$AM$2:$AM$2001&gt;=31))</f>
        <v/>
      </c>
      <c r="AY52" s="194">
        <f>SUMPRODUCT((元データ!$AL$2:$AL$2001=1)*(元データ!$AN$2:$AN$2001=1)*(元データ!$AE$2:$AE$2001=$C$51)*(元データ!$AO$2:$AO$2001=0)*(元データ!$AM$2:$AM$2001&gt;=31)*(元データ!$E$2:$E$2001="20 確認待ち"))</f>
        <v/>
      </c>
      <c r="AZ52" s="195">
        <f>IFERROR(_xlfn.TEXTJOIN(CHAR(10),TRUE,IF((元データ!$AL$2:$AL$2001=1)*(元データ!$AN$2:$AN$2001=1)*(元データ!$AE$2:$AE$2001=$C$51)*(元データ!$AO$2:$AO$2001=0)*(元データ!$AM$2:$AM$2001&gt;=31)*(元データ!$E$2:$E$2001="20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52" s="194">
        <f>SUMPRODUCT((元データ!$AL$2:$AL$2001=1)*(元データ!$AN$2:$AN$2001=1)*(元データ!$AE$2:$AE$2001=$C$51)*(元データ!$AO$2:$AO$2001=0)*(元データ!$AM$2:$AM$2001&gt;=31)*(元データ!$E$2:$E$2001="30 申請受付"))</f>
        <v/>
      </c>
      <c r="BB52" s="195">
        <f>IFERROR(_xlfn.TEXTJOIN(CHAR(10),TRUE,IF((元データ!$AL$2:$AL$2001=1)*(元データ!$AN$2:$AN$2001=1)*(元データ!$AE$2:$AE$2001=$C$51)*(元データ!$AO$2:$AO$2001=0)*(元データ!$AM$2:$AM$2001&gt;=31)*(元データ!$E$2:$E$2001="30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52" s="194">
        <f>SUMPRODUCT((元データ!$AL$2:$AL$2001=1)*(元データ!$AN$2:$AN$2001=1)*(元データ!$AE$2:$AE$2001=$C$51)*(元データ!$AO$2:$AO$2001=0)*(元データ!$AM$2:$AM$2001&gt;=31)*(元データ!$E$2:$E$2001="31 ＯＰ確認中"))</f>
        <v/>
      </c>
      <c r="BD52" s="195">
        <f>IFERROR(_xlfn.TEXTJOIN(CHAR(10),TRUE,IF((元データ!$AL$2:$AL$2001=1)*(元データ!$AN$2:$AN$2001=1)*(元データ!$AE$2:$AE$2001=$C$51)*(元データ!$AO$2:$AO$2001=0)*(元データ!$AM$2:$AM$2001&gt;=31)*(元データ!$E$2:$E$2001="31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52" s="194">
        <f>SUMPRODUCT((元データ!$AL$2:$AL$2001=1)*(元データ!$AN$2:$AN$2001=1)*(元データ!$AE$2:$AE$2001=$C$51)*(元データ!$AO$2:$AO$2001=0)*(元データ!$AM$2:$AM$2001&gt;=31)*(元データ!$E$2:$E$2001="32 ＳＶ確認中"))</f>
        <v/>
      </c>
      <c r="BF52" s="195">
        <f>IFERROR(_xlfn.TEXTJOIN(CHAR(10),TRUE,IF((元データ!$AL$2:$AL$2001=1)*(元データ!$AN$2:$AN$2001=1)*(元データ!$AE$2:$AE$2001=$C$51)*(元データ!$AO$2:$AO$2001=0)*(元データ!$AM$2:$AM$2001&gt;=31)*(元データ!$E$2:$E$2001="32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52" s="194">
        <f>SUMPRODUCT((元データ!$AL$2:$AL$2001=1)*(元データ!$AN$2:$AN$2001=1)*(元データ!$AE$2:$AE$2001=$C$51)*(元データ!$AO$2:$AO$2001=0)*(元データ!$AM$2:$AM$2001&gt;=31)*(元データ!$E$2:$E$2001="40 差戻し"))</f>
        <v/>
      </c>
      <c r="BH52" s="195">
        <f>IFERROR(_xlfn.TEXTJOIN(CHAR(10),TRUE,IF((元データ!$AL$2:$AL$2001=1)*(元データ!$AN$2:$AN$2001=1)*(元データ!$AE$2:$AE$2001=$C$51)*(元データ!$AO$2:$AO$2001=0)*(元データ!$AM$2:$AM$2001&gt;=31)*(元データ!$E$2:$E$2001="40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53" ht="19.5" customHeight="1" s="87">
      <c r="B53" s="139" t="n"/>
      <c r="C53" s="140" t="inlineStr">
        <is>
          <t>28 障害程度の変更</t>
        </is>
      </c>
      <c r="D53" s="141" t="inlineStr">
        <is>
          <t>あり</t>
        </is>
      </c>
      <c r="E53" s="142">
        <f>SUMPRODUCT((元データ!$AL$2:$AL$2001=1)*(元データ!$AN$2:$AN$2001=1)*(元データ!$AE$2:$AE$2001=$C$53)*(元データ!$AO$2:$AO$2001=1))</f>
        <v/>
      </c>
      <c r="F53" s="184">
        <f>SUMPRODUCT((元データ!$AL$2:$AL$2001=1)*(元データ!$AN$2:$AN$2001=1)*(元データ!$AE$2:$AE$2001=$C$53)*(元データ!$AO$2:$AO$2001=1)*(元データ!$AM$2:$AM$2001&lt;=7))</f>
        <v/>
      </c>
      <c r="G53" s="185">
        <f>SUMPRODUCT((元データ!$AL$2:$AL$2001=1)*(元データ!$AN$2:$AN$2001=1)*(元データ!$AE$2:$AE$2001=$C$53)*(元データ!$AO$2:$AO$2001=1)*(元データ!$AM$2:$AM$2001&lt;=7)*(元データ!$E$2:$E$2001="20 確認待ち"))</f>
        <v/>
      </c>
      <c r="H53" s="186">
        <f>IFERROR(_xlfn.TEXTJOIN(CHAR(10),TRUE,IF((元データ!$AL$2:$AL$2001=1)*(元データ!$AN$2:$AN$2001=1)*(元データ!$AE$2:$AE$2001=$C$53)*(元データ!$AO$2:$AO$2001=1)*(元データ!$AM$2:$AM$2001&lt;=7)*(元データ!$E$2:$E$2001="20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53" s="185">
        <f>SUMPRODUCT((元データ!$AL$2:$AL$2001=1)*(元データ!$AN$2:$AN$2001=1)*(元データ!$AE$2:$AE$2001=$C$53)*(元データ!$AO$2:$AO$2001=1)*(元データ!$AM$2:$AM$2001&lt;=7)*(元データ!$E$2:$E$2001="30 申請受付"))</f>
        <v/>
      </c>
      <c r="J53" s="186">
        <f>IFERROR(_xlfn.TEXTJOIN(CHAR(10),TRUE,IF((元データ!$AL$2:$AL$2001=1)*(元データ!$AN$2:$AN$2001=1)*(元データ!$AE$2:$AE$2001=$C$53)*(元データ!$AO$2:$AO$2001=1)*(元データ!$AM$2:$AM$2001&lt;=7)*(元データ!$E$2:$E$2001="30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53" s="185">
        <f>SUMPRODUCT((元データ!$AL$2:$AL$2001=1)*(元データ!$AN$2:$AN$2001=1)*(元データ!$AE$2:$AE$2001=$C$53)*(元データ!$AO$2:$AO$2001=1)*(元データ!$AM$2:$AM$2001&lt;=7)*(元データ!$E$2:$E$2001="31 ＯＰ確認中"))</f>
        <v/>
      </c>
      <c r="L53" s="186">
        <f>IFERROR(_xlfn.TEXTJOIN(CHAR(10),TRUE,IF((元データ!$AL$2:$AL$2001=1)*(元データ!$AN$2:$AN$2001=1)*(元データ!$AE$2:$AE$2001=$C$53)*(元データ!$AO$2:$AO$2001=1)*(元データ!$AM$2:$AM$2001&lt;=7)*(元データ!$E$2:$E$2001="31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53" s="185">
        <f>SUMPRODUCT((元データ!$AL$2:$AL$2001=1)*(元データ!$AN$2:$AN$2001=1)*(元データ!$AE$2:$AE$2001=$C$53)*(元データ!$AO$2:$AO$2001=1)*(元データ!$AM$2:$AM$2001&lt;=7)*(元データ!$E$2:$E$2001="32 ＳＶ確認中"))</f>
        <v/>
      </c>
      <c r="N53" s="186">
        <f>IFERROR(_xlfn.TEXTJOIN(CHAR(10),TRUE,IF((元データ!$AL$2:$AL$2001=1)*(元データ!$AN$2:$AN$2001=1)*(元データ!$AE$2:$AE$2001=$C$53)*(元データ!$AO$2:$AO$2001=1)*(元データ!$AM$2:$AM$2001&lt;=7)*(元データ!$E$2:$E$2001="32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53" s="185">
        <f>SUMPRODUCT((元データ!$AL$2:$AL$2001=1)*(元データ!$AN$2:$AN$2001=1)*(元データ!$AE$2:$AE$2001=$C$53)*(元データ!$AO$2:$AO$2001=1)*(元データ!$AM$2:$AM$2001&lt;=7)*(元データ!$E$2:$E$2001="40 差戻し"))</f>
        <v/>
      </c>
      <c r="P53" s="186">
        <f>IFERROR(_xlfn.TEXTJOIN(CHAR(10),TRUE,IF((元データ!$AL$2:$AL$2001=1)*(元データ!$AN$2:$AN$2001=1)*(元データ!$AE$2:$AE$2001=$C$53)*(元データ!$AO$2:$AO$2001=1)*(元データ!$AM$2:$AM$2001&lt;=7)*(元データ!$E$2:$E$2001="40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53" s="184">
        <f>SUMPRODUCT((元データ!$AL$2:$AL$2001=1)*(元データ!$AN$2:$AN$2001=1)*(元データ!$AE$2:$AE$2001=$C$53)*(元データ!$AO$2:$AO$2001=1)*(元データ!$AM$2:$AM$2001&gt;=8)*(元データ!$AM$2:$AM$2001&lt;=14))</f>
        <v/>
      </c>
      <c r="R53" s="185">
        <f>SUMPRODUCT((元データ!$AL$2:$AL$2001=1)*(元データ!$AN$2:$AN$2001=1)*(元データ!$AE$2:$AE$2001=$C$53)*(元データ!$AO$2:$AO$2001=1)*(元データ!$AM$2:$AM$2001&gt;=8)*(元データ!$AM$2:$AM$2001&lt;=14)*(元データ!$E$2:$E$2001="20 確認待ち"))</f>
        <v/>
      </c>
      <c r="S53" s="186">
        <f>IFERROR(_xlfn.TEXTJOIN(CHAR(10),TRUE,IF((元データ!$AL$2:$AL$2001=1)*(元データ!$AN$2:$AN$2001=1)*(元データ!$AE$2:$AE$2001=$C$53)*(元データ!$AO$2:$AO$2001=1)*(元データ!$AM$2:$AM$2001&gt;=8)*(元データ!$AM$2:$AM$2001&lt;=14)*(元データ!$E$2:$E$2001="20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53" s="185">
        <f>SUMPRODUCT((元データ!$AL$2:$AL$2001=1)*(元データ!$AN$2:$AN$2001=1)*(元データ!$AE$2:$AE$2001=$C$53)*(元データ!$AO$2:$AO$2001=1)*(元データ!$AM$2:$AM$2001&gt;=8)*(元データ!$AM$2:$AM$2001&lt;=14)*(元データ!$E$2:$E$2001="30 申請受付"))</f>
        <v/>
      </c>
      <c r="U53" s="186">
        <f>IFERROR(_xlfn.TEXTJOIN(CHAR(10),TRUE,IF((元データ!$AL$2:$AL$2001=1)*(元データ!$AN$2:$AN$2001=1)*(元データ!$AE$2:$AE$2001=$C$53)*(元データ!$AO$2:$AO$2001=1)*(元データ!$AM$2:$AM$2001&gt;=8)*(元データ!$AM$2:$AM$2001&lt;=14)*(元データ!$E$2:$E$2001="30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53" s="185">
        <f>SUMPRODUCT((元データ!$AL$2:$AL$2001=1)*(元データ!$AN$2:$AN$2001=1)*(元データ!$AE$2:$AE$2001=$C$53)*(元データ!$AO$2:$AO$2001=1)*(元データ!$AM$2:$AM$2001&gt;=8)*(元データ!$AM$2:$AM$2001&lt;=14)*(元データ!$E$2:$E$2001="31 ＯＰ確認中"))</f>
        <v/>
      </c>
      <c r="W53" s="186">
        <f>IFERROR(_xlfn.TEXTJOIN(CHAR(10),TRUE,IF((元データ!$AL$2:$AL$2001=1)*(元データ!$AN$2:$AN$2001=1)*(元データ!$AE$2:$AE$2001=$C$53)*(元データ!$AO$2:$AO$2001=1)*(元データ!$AM$2:$AM$2001&gt;=8)*(元データ!$AM$2:$AM$2001&lt;=14)*(元データ!$E$2:$E$2001="31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53" s="185">
        <f>SUMPRODUCT((元データ!$AL$2:$AL$2001=1)*(元データ!$AN$2:$AN$2001=1)*(元データ!$AE$2:$AE$2001=$C$53)*(元データ!$AO$2:$AO$2001=1)*(元データ!$AM$2:$AM$2001&gt;=8)*(元データ!$AM$2:$AM$2001&lt;=14)*(元データ!$E$2:$E$2001="32 ＳＶ確認中"))</f>
        <v/>
      </c>
      <c r="Y53" s="186">
        <f>IFERROR(_xlfn.TEXTJOIN(CHAR(10),TRUE,IF((元データ!$AL$2:$AL$2001=1)*(元データ!$AN$2:$AN$2001=1)*(元データ!$AE$2:$AE$2001=$C$53)*(元データ!$AO$2:$AO$2001=1)*(元データ!$AM$2:$AM$2001&gt;=8)*(元データ!$AM$2:$AM$2001&lt;=14)*(元データ!$E$2:$E$2001="32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53" s="185">
        <f>SUMPRODUCT((元データ!$AL$2:$AL$2001=1)*(元データ!$AN$2:$AN$2001=1)*(元データ!$AE$2:$AE$2001=$C$53)*(元データ!$AO$2:$AO$2001=1)*(元データ!$AM$2:$AM$2001&gt;=8)*(元データ!$AM$2:$AM$2001&lt;=14)*(元データ!$E$2:$E$2001="40 差戻し"))</f>
        <v/>
      </c>
      <c r="AA53" s="186">
        <f>IFERROR(_xlfn.TEXTJOIN(CHAR(10),TRUE,IF((元データ!$AL$2:$AL$2001=1)*(元データ!$AN$2:$AN$2001=1)*(元データ!$AE$2:$AE$2001=$C$53)*(元データ!$AO$2:$AO$2001=1)*(元データ!$AM$2:$AM$2001&gt;=8)*(元データ!$AM$2:$AM$2001&lt;=14)*(元データ!$E$2:$E$2001="40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53" s="187">
        <f>SUMPRODUCT((元データ!$AL$2:$AL$2001=1)*(元データ!$AN$2:$AN$2001=1)*(元データ!$AE$2:$AE$2001=$C$53)*(元データ!$AO$2:$AO$2001=1)*(元データ!$AM$2:$AM$2001&gt;=15)*(元データ!$AM$2:$AM$2001&lt;=21))</f>
        <v/>
      </c>
      <c r="AC53" s="188">
        <f>SUMPRODUCT((元データ!$AL$2:$AL$2001=1)*(元データ!$AN$2:$AN$2001=1)*(元データ!$AE$2:$AE$2001=$C$53)*(元データ!$AO$2:$AO$2001=1)*(元データ!$AM$2:$AM$2001&gt;=15)*(元データ!$AM$2:$AM$2001&lt;=21)*(元データ!$E$2:$E$2001="20 確認待ち"))</f>
        <v/>
      </c>
      <c r="AD53" s="189">
        <f>IFERROR(_xlfn.TEXTJOIN(CHAR(10),TRUE,IF((元データ!$AL$2:$AL$2001=1)*(元データ!$AN$2:$AN$2001=1)*(元データ!$AE$2:$AE$2001=$C$53)*(元データ!$AO$2:$AO$2001=1)*(元データ!$AM$2:$AM$2001&gt;=15)*(元データ!$AM$2:$AM$2001&lt;=21)*(元データ!$E$2:$E$2001="20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53" s="188">
        <f>SUMPRODUCT((元データ!$AL$2:$AL$2001=1)*(元データ!$AN$2:$AN$2001=1)*(元データ!$AE$2:$AE$2001=$C$53)*(元データ!$AO$2:$AO$2001=1)*(元データ!$AM$2:$AM$2001&gt;=15)*(元データ!$AM$2:$AM$2001&lt;=21)*(元データ!$E$2:$E$2001="30 申請受付"))</f>
        <v/>
      </c>
      <c r="AF53" s="189">
        <f>IFERROR(_xlfn.TEXTJOIN(CHAR(10),TRUE,IF((元データ!$AL$2:$AL$2001=1)*(元データ!$AN$2:$AN$2001=1)*(元データ!$AE$2:$AE$2001=$C$53)*(元データ!$AO$2:$AO$2001=1)*(元データ!$AM$2:$AM$2001&gt;=15)*(元データ!$AM$2:$AM$2001&lt;=21)*(元データ!$E$2:$E$2001="30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53" s="188">
        <f>SUMPRODUCT((元データ!$AL$2:$AL$2001=1)*(元データ!$AN$2:$AN$2001=1)*(元データ!$AE$2:$AE$2001=$C$53)*(元データ!$AO$2:$AO$2001=1)*(元データ!$AM$2:$AM$2001&gt;=15)*(元データ!$AM$2:$AM$2001&lt;=21)*(元データ!$E$2:$E$2001="31 ＯＰ確認中"))</f>
        <v/>
      </c>
      <c r="AH53" s="189">
        <f>IFERROR(_xlfn.TEXTJOIN(CHAR(10),TRUE,IF((元データ!$AL$2:$AL$2001=1)*(元データ!$AN$2:$AN$2001=1)*(元データ!$AE$2:$AE$2001=$C$53)*(元データ!$AO$2:$AO$2001=1)*(元データ!$AM$2:$AM$2001&gt;=15)*(元データ!$AM$2:$AM$2001&lt;=21)*(元データ!$E$2:$E$2001="31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53" s="188">
        <f>SUMPRODUCT((元データ!$AL$2:$AL$2001=1)*(元データ!$AN$2:$AN$2001=1)*(元データ!$AE$2:$AE$2001=$C$53)*(元データ!$AO$2:$AO$2001=1)*(元データ!$AM$2:$AM$2001&gt;=15)*(元データ!$AM$2:$AM$2001&lt;=21)*(元データ!$E$2:$E$2001="32 ＳＶ確認中"))</f>
        <v/>
      </c>
      <c r="AJ53" s="189">
        <f>IFERROR(_xlfn.TEXTJOIN(CHAR(10),TRUE,IF((元データ!$AL$2:$AL$2001=1)*(元データ!$AN$2:$AN$2001=1)*(元データ!$AE$2:$AE$2001=$C$53)*(元データ!$AO$2:$AO$2001=1)*(元データ!$AM$2:$AM$2001&gt;=15)*(元データ!$AM$2:$AM$2001&lt;=21)*(元データ!$E$2:$E$2001="32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53" s="188">
        <f>SUMPRODUCT((元データ!$AL$2:$AL$2001=1)*(元データ!$AN$2:$AN$2001=1)*(元データ!$AE$2:$AE$2001=$C$53)*(元データ!$AO$2:$AO$2001=1)*(元データ!$AM$2:$AM$2001&gt;=15)*(元データ!$AM$2:$AM$2001&lt;=21)*(元データ!$E$2:$E$2001="40 差戻し"))</f>
        <v/>
      </c>
      <c r="AL53" s="189">
        <f>IFERROR(_xlfn.TEXTJOIN(CHAR(10),TRUE,IF((元データ!$AL$2:$AL$2001=1)*(元データ!$AN$2:$AN$2001=1)*(元データ!$AE$2:$AE$2001=$C$53)*(元データ!$AO$2:$AO$2001=1)*(元データ!$AM$2:$AM$2001&gt;=15)*(元データ!$AM$2:$AM$2001&lt;=21)*(元データ!$E$2:$E$2001="40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53" s="190">
        <f>SUMPRODUCT((元データ!$AL$2:$AL$2001=1)*(元データ!$AN$2:$AN$2001=1)*(元データ!$AE$2:$AE$2001=$C$53)*(元データ!$AO$2:$AO$2001=1)*(元データ!$AM$2:$AM$2001&gt;=22)*(元データ!$AM$2:$AM$2001&lt;=30))</f>
        <v/>
      </c>
      <c r="AN53" s="191">
        <f>SUMPRODUCT((元データ!$AL$2:$AL$2001=1)*(元データ!$AN$2:$AN$2001=1)*(元データ!$AE$2:$AE$2001=$C$53)*(元データ!$AO$2:$AO$2001=1)*(元データ!$AM$2:$AM$2001&gt;=22)*(元データ!$AM$2:$AM$2001&lt;=30)*(元データ!$E$2:$E$2001="20 確認待ち"))</f>
        <v/>
      </c>
      <c r="AO53" s="192">
        <f>IFERROR(_xlfn.TEXTJOIN(CHAR(10),TRUE,IF((元データ!$AL$2:$AL$2001=1)*(元データ!$AN$2:$AN$2001=1)*(元データ!$AE$2:$AE$2001=$C$53)*(元データ!$AO$2:$AO$2001=1)*(元データ!$AM$2:$AM$2001&gt;=22)*(元データ!$AM$2:$AM$2001&lt;=30)*(元データ!$E$2:$E$2001="20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53" s="191">
        <f>SUMPRODUCT((元データ!$AL$2:$AL$2001=1)*(元データ!$AN$2:$AN$2001=1)*(元データ!$AE$2:$AE$2001=$C$53)*(元データ!$AO$2:$AO$2001=1)*(元データ!$AM$2:$AM$2001&gt;=22)*(元データ!$AM$2:$AM$2001&lt;=30)*(元データ!$E$2:$E$2001="30 申請受付"))</f>
        <v/>
      </c>
      <c r="AQ53" s="192">
        <f>IFERROR(_xlfn.TEXTJOIN(CHAR(10),TRUE,IF((元データ!$AL$2:$AL$2001=1)*(元データ!$AN$2:$AN$2001=1)*(元データ!$AE$2:$AE$2001=$C$53)*(元データ!$AO$2:$AO$2001=1)*(元データ!$AM$2:$AM$2001&gt;=22)*(元データ!$AM$2:$AM$2001&lt;=30)*(元データ!$E$2:$E$2001="30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53" s="191">
        <f>SUMPRODUCT((元データ!$AL$2:$AL$2001=1)*(元データ!$AN$2:$AN$2001=1)*(元データ!$AE$2:$AE$2001=$C$53)*(元データ!$AO$2:$AO$2001=1)*(元データ!$AM$2:$AM$2001&gt;=22)*(元データ!$AM$2:$AM$2001&lt;=30)*(元データ!$E$2:$E$2001="31 ＯＰ確認中"))</f>
        <v/>
      </c>
      <c r="AS53" s="192">
        <f>IFERROR(_xlfn.TEXTJOIN(CHAR(10),TRUE,IF((元データ!$AL$2:$AL$2001=1)*(元データ!$AN$2:$AN$2001=1)*(元データ!$AE$2:$AE$2001=$C$53)*(元データ!$AO$2:$AO$2001=1)*(元データ!$AM$2:$AM$2001&gt;=22)*(元データ!$AM$2:$AM$2001&lt;=30)*(元データ!$E$2:$E$2001="31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53" s="191">
        <f>SUMPRODUCT((元データ!$AL$2:$AL$2001=1)*(元データ!$AN$2:$AN$2001=1)*(元データ!$AE$2:$AE$2001=$C$53)*(元データ!$AO$2:$AO$2001=1)*(元データ!$AM$2:$AM$2001&gt;=22)*(元データ!$AM$2:$AM$2001&lt;=30)*(元データ!$E$2:$E$2001="32 ＳＶ確認中"))</f>
        <v/>
      </c>
      <c r="AU53" s="192">
        <f>IFERROR(_xlfn.TEXTJOIN(CHAR(10),TRUE,IF((元データ!$AL$2:$AL$2001=1)*(元データ!$AN$2:$AN$2001=1)*(元データ!$AE$2:$AE$2001=$C$53)*(元データ!$AO$2:$AO$2001=1)*(元データ!$AM$2:$AM$2001&gt;=22)*(元データ!$AM$2:$AM$2001&lt;=30)*(元データ!$E$2:$E$2001="32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53" s="191">
        <f>SUMPRODUCT((元データ!$AL$2:$AL$2001=1)*(元データ!$AN$2:$AN$2001=1)*(元データ!$AE$2:$AE$2001=$C$53)*(元データ!$AO$2:$AO$2001=1)*(元データ!$AM$2:$AM$2001&gt;=22)*(元データ!$AM$2:$AM$2001&lt;=30)*(元データ!$E$2:$E$2001="40 差戻し"))</f>
        <v/>
      </c>
      <c r="AW53" s="192">
        <f>IFERROR(_xlfn.TEXTJOIN(CHAR(10),TRUE,IF((元データ!$AL$2:$AL$2001=1)*(元データ!$AN$2:$AN$2001=1)*(元データ!$AE$2:$AE$2001=$C$53)*(元データ!$AO$2:$AO$2001=1)*(元データ!$AM$2:$AM$2001&gt;=22)*(元データ!$AM$2:$AM$2001&lt;=30)*(元データ!$E$2:$E$2001="40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53" s="193">
        <f>SUMPRODUCT((元データ!$AL$2:$AL$2001=1)*(元データ!$AN$2:$AN$2001=1)*(元データ!$AE$2:$AE$2001=$C$53)*(元データ!$AO$2:$AO$2001=1)*(元データ!$AM$2:$AM$2001&gt;=31))</f>
        <v/>
      </c>
      <c r="AY53" s="194">
        <f>SUMPRODUCT((元データ!$AL$2:$AL$2001=1)*(元データ!$AN$2:$AN$2001=1)*(元データ!$AE$2:$AE$2001=$C$53)*(元データ!$AO$2:$AO$2001=1)*(元データ!$AM$2:$AM$2001&gt;=31)*(元データ!$E$2:$E$2001="20 確認待ち"))</f>
        <v/>
      </c>
      <c r="AZ53" s="195">
        <f>IFERROR(_xlfn.TEXTJOIN(CHAR(10),TRUE,IF((元データ!$AL$2:$AL$2001=1)*(元データ!$AN$2:$AN$2001=1)*(元データ!$AE$2:$AE$2001=$C$53)*(元データ!$AO$2:$AO$2001=1)*(元データ!$AM$2:$AM$2001&gt;=31)*(元データ!$E$2:$E$2001="20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53" s="194">
        <f>SUMPRODUCT((元データ!$AL$2:$AL$2001=1)*(元データ!$AN$2:$AN$2001=1)*(元データ!$AE$2:$AE$2001=$C$53)*(元データ!$AO$2:$AO$2001=1)*(元データ!$AM$2:$AM$2001&gt;=31)*(元データ!$E$2:$E$2001="30 申請受付"))</f>
        <v/>
      </c>
      <c r="BB53" s="195">
        <f>IFERROR(_xlfn.TEXTJOIN(CHAR(10),TRUE,IF((元データ!$AL$2:$AL$2001=1)*(元データ!$AN$2:$AN$2001=1)*(元データ!$AE$2:$AE$2001=$C$53)*(元データ!$AO$2:$AO$2001=1)*(元データ!$AM$2:$AM$2001&gt;=31)*(元データ!$E$2:$E$2001="30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53" s="194">
        <f>SUMPRODUCT((元データ!$AL$2:$AL$2001=1)*(元データ!$AN$2:$AN$2001=1)*(元データ!$AE$2:$AE$2001=$C$53)*(元データ!$AO$2:$AO$2001=1)*(元データ!$AM$2:$AM$2001&gt;=31)*(元データ!$E$2:$E$2001="31 ＯＰ確認中"))</f>
        <v/>
      </c>
      <c r="BD53" s="195">
        <f>IFERROR(_xlfn.TEXTJOIN(CHAR(10),TRUE,IF((元データ!$AL$2:$AL$2001=1)*(元データ!$AN$2:$AN$2001=1)*(元データ!$AE$2:$AE$2001=$C$53)*(元データ!$AO$2:$AO$2001=1)*(元データ!$AM$2:$AM$2001&gt;=31)*(元データ!$E$2:$E$2001="31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53" s="194">
        <f>SUMPRODUCT((元データ!$AL$2:$AL$2001=1)*(元データ!$AN$2:$AN$2001=1)*(元データ!$AE$2:$AE$2001=$C$53)*(元データ!$AO$2:$AO$2001=1)*(元データ!$AM$2:$AM$2001&gt;=31)*(元データ!$E$2:$E$2001="32 ＳＶ確認中"))</f>
        <v/>
      </c>
      <c r="BF53" s="195">
        <f>IFERROR(_xlfn.TEXTJOIN(CHAR(10),TRUE,IF((元データ!$AL$2:$AL$2001=1)*(元データ!$AN$2:$AN$2001=1)*(元データ!$AE$2:$AE$2001=$C$53)*(元データ!$AO$2:$AO$2001=1)*(元データ!$AM$2:$AM$2001&gt;=31)*(元データ!$E$2:$E$2001="32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53" s="194">
        <f>SUMPRODUCT((元データ!$AL$2:$AL$2001=1)*(元データ!$AN$2:$AN$2001=1)*(元データ!$AE$2:$AE$2001=$C$53)*(元データ!$AO$2:$AO$2001=1)*(元データ!$AM$2:$AM$2001&gt;=31)*(元データ!$E$2:$E$2001="40 差戻し"))</f>
        <v/>
      </c>
      <c r="BH53" s="195">
        <f>IFERROR(_xlfn.TEXTJOIN(CHAR(10),TRUE,IF((元データ!$AL$2:$AL$2001=1)*(元データ!$AN$2:$AN$2001=1)*(元データ!$AE$2:$AE$2001=$C$53)*(元データ!$AO$2:$AO$2001=1)*(元データ!$AM$2:$AM$2001&gt;=31)*(元データ!$E$2:$E$2001="40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54" ht="19.5" customHeight="1" s="87">
      <c r="B54" s="155" t="n"/>
      <c r="C54" s="156" t="n"/>
      <c r="D54" s="157" t="inlineStr">
        <is>
          <t>なし</t>
        </is>
      </c>
      <c r="E54" s="158">
        <f>SUMPRODUCT((元データ!$AL$2:$AL$2001=1)*(元データ!$AN$2:$AN$2001=1)*(元データ!$AE$2:$AE$2001=$C$53)*(元データ!$AO$2:$AO$2001=0))</f>
        <v/>
      </c>
      <c r="F54" s="196">
        <f>SUMPRODUCT((元データ!$AL$2:$AL$2001=1)*(元データ!$AN$2:$AN$2001=1)*(元データ!$AE$2:$AE$2001=$C$53)*(元データ!$AO$2:$AO$2001=0)*(元データ!$AM$2:$AM$2001&lt;=7))</f>
        <v/>
      </c>
      <c r="G54" s="197">
        <f>SUMPRODUCT((元データ!$AL$2:$AL$2001=1)*(元データ!$AN$2:$AN$2001=1)*(元データ!$AE$2:$AE$2001=$C$53)*(元データ!$AO$2:$AO$2001=0)*(元データ!$AM$2:$AM$2001&lt;=7)*(元データ!$E$2:$E$2001="20 確認待ち"))</f>
        <v/>
      </c>
      <c r="H54" s="198">
        <f>IFERROR(_xlfn.TEXTJOIN(CHAR(10),TRUE,IF((元データ!$AL$2:$AL$2001=1)*(元データ!$AN$2:$AN$2001=1)*(元データ!$AE$2:$AE$2001=$C$53)*(元データ!$AO$2:$AO$2001=0)*(元データ!$AM$2:$AM$2001&lt;=7)*(元データ!$E$2:$E$2001="20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54" s="197">
        <f>SUMPRODUCT((元データ!$AL$2:$AL$2001=1)*(元データ!$AN$2:$AN$2001=1)*(元データ!$AE$2:$AE$2001=$C$53)*(元データ!$AO$2:$AO$2001=0)*(元データ!$AM$2:$AM$2001&lt;=7)*(元データ!$E$2:$E$2001="30 申請受付"))</f>
        <v/>
      </c>
      <c r="J54" s="198">
        <f>IFERROR(_xlfn.TEXTJOIN(CHAR(10),TRUE,IF((元データ!$AL$2:$AL$2001=1)*(元データ!$AN$2:$AN$2001=1)*(元データ!$AE$2:$AE$2001=$C$53)*(元データ!$AO$2:$AO$2001=0)*(元データ!$AM$2:$AM$2001&lt;=7)*(元データ!$E$2:$E$2001="30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54" s="197">
        <f>SUMPRODUCT((元データ!$AL$2:$AL$2001=1)*(元データ!$AN$2:$AN$2001=1)*(元データ!$AE$2:$AE$2001=$C$53)*(元データ!$AO$2:$AO$2001=0)*(元データ!$AM$2:$AM$2001&lt;=7)*(元データ!$E$2:$E$2001="31 ＯＰ確認中"))</f>
        <v/>
      </c>
      <c r="L54" s="198">
        <f>IFERROR(_xlfn.TEXTJOIN(CHAR(10),TRUE,IF((元データ!$AL$2:$AL$2001=1)*(元データ!$AN$2:$AN$2001=1)*(元データ!$AE$2:$AE$2001=$C$53)*(元データ!$AO$2:$AO$2001=0)*(元データ!$AM$2:$AM$2001&lt;=7)*(元データ!$E$2:$E$2001="31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54" s="197">
        <f>SUMPRODUCT((元データ!$AL$2:$AL$2001=1)*(元データ!$AN$2:$AN$2001=1)*(元データ!$AE$2:$AE$2001=$C$53)*(元データ!$AO$2:$AO$2001=0)*(元データ!$AM$2:$AM$2001&lt;=7)*(元データ!$E$2:$E$2001="32 ＳＶ確認中"))</f>
        <v/>
      </c>
      <c r="N54" s="198">
        <f>IFERROR(_xlfn.TEXTJOIN(CHAR(10),TRUE,IF((元データ!$AL$2:$AL$2001=1)*(元データ!$AN$2:$AN$2001=1)*(元データ!$AE$2:$AE$2001=$C$53)*(元データ!$AO$2:$AO$2001=0)*(元データ!$AM$2:$AM$2001&lt;=7)*(元データ!$E$2:$E$2001="32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54" s="197">
        <f>SUMPRODUCT((元データ!$AL$2:$AL$2001=1)*(元データ!$AN$2:$AN$2001=1)*(元データ!$AE$2:$AE$2001=$C$53)*(元データ!$AO$2:$AO$2001=0)*(元データ!$AM$2:$AM$2001&lt;=7)*(元データ!$E$2:$E$2001="40 差戻し"))</f>
        <v/>
      </c>
      <c r="P54" s="198">
        <f>IFERROR(_xlfn.TEXTJOIN(CHAR(10),TRUE,IF((元データ!$AL$2:$AL$2001=1)*(元データ!$AN$2:$AN$2001=1)*(元データ!$AE$2:$AE$2001=$C$53)*(元データ!$AO$2:$AO$2001=0)*(元データ!$AM$2:$AM$2001&lt;=7)*(元データ!$E$2:$E$2001="40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54" s="196">
        <f>SUMPRODUCT((元データ!$AL$2:$AL$2001=1)*(元データ!$AN$2:$AN$2001=1)*(元データ!$AE$2:$AE$2001=$C$53)*(元データ!$AO$2:$AO$2001=0)*(元データ!$AM$2:$AM$2001&gt;=8)*(元データ!$AM$2:$AM$2001&lt;=14))</f>
        <v/>
      </c>
      <c r="R54" s="197">
        <f>SUMPRODUCT((元データ!$AL$2:$AL$2001=1)*(元データ!$AN$2:$AN$2001=1)*(元データ!$AE$2:$AE$2001=$C$53)*(元データ!$AO$2:$AO$2001=0)*(元データ!$AM$2:$AM$2001&gt;=8)*(元データ!$AM$2:$AM$2001&lt;=14)*(元データ!$E$2:$E$2001="20 確認待ち"))</f>
        <v/>
      </c>
      <c r="S54" s="198">
        <f>IFERROR(_xlfn.TEXTJOIN(CHAR(10),TRUE,IF((元データ!$AL$2:$AL$2001=1)*(元データ!$AN$2:$AN$2001=1)*(元データ!$AE$2:$AE$2001=$C$53)*(元データ!$AO$2:$AO$2001=0)*(元データ!$AM$2:$AM$2001&gt;=8)*(元データ!$AM$2:$AM$2001&lt;=14)*(元データ!$E$2:$E$2001="20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54" s="197">
        <f>SUMPRODUCT((元データ!$AL$2:$AL$2001=1)*(元データ!$AN$2:$AN$2001=1)*(元データ!$AE$2:$AE$2001=$C$53)*(元データ!$AO$2:$AO$2001=0)*(元データ!$AM$2:$AM$2001&gt;=8)*(元データ!$AM$2:$AM$2001&lt;=14)*(元データ!$E$2:$E$2001="30 申請受付"))</f>
        <v/>
      </c>
      <c r="U54" s="198">
        <f>IFERROR(_xlfn.TEXTJOIN(CHAR(10),TRUE,IF((元データ!$AL$2:$AL$2001=1)*(元データ!$AN$2:$AN$2001=1)*(元データ!$AE$2:$AE$2001=$C$53)*(元データ!$AO$2:$AO$2001=0)*(元データ!$AM$2:$AM$2001&gt;=8)*(元データ!$AM$2:$AM$2001&lt;=14)*(元データ!$E$2:$E$2001="30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54" s="197">
        <f>SUMPRODUCT((元データ!$AL$2:$AL$2001=1)*(元データ!$AN$2:$AN$2001=1)*(元データ!$AE$2:$AE$2001=$C$53)*(元データ!$AO$2:$AO$2001=0)*(元データ!$AM$2:$AM$2001&gt;=8)*(元データ!$AM$2:$AM$2001&lt;=14)*(元データ!$E$2:$E$2001="31 ＯＰ確認中"))</f>
        <v/>
      </c>
      <c r="W54" s="198">
        <f>IFERROR(_xlfn.TEXTJOIN(CHAR(10),TRUE,IF((元データ!$AL$2:$AL$2001=1)*(元データ!$AN$2:$AN$2001=1)*(元データ!$AE$2:$AE$2001=$C$53)*(元データ!$AO$2:$AO$2001=0)*(元データ!$AM$2:$AM$2001&gt;=8)*(元データ!$AM$2:$AM$2001&lt;=14)*(元データ!$E$2:$E$2001="31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54" s="197">
        <f>SUMPRODUCT((元データ!$AL$2:$AL$2001=1)*(元データ!$AN$2:$AN$2001=1)*(元データ!$AE$2:$AE$2001=$C$53)*(元データ!$AO$2:$AO$2001=0)*(元データ!$AM$2:$AM$2001&gt;=8)*(元データ!$AM$2:$AM$2001&lt;=14)*(元データ!$E$2:$E$2001="32 ＳＶ確認中"))</f>
        <v/>
      </c>
      <c r="Y54" s="198">
        <f>IFERROR(_xlfn.TEXTJOIN(CHAR(10),TRUE,IF((元データ!$AL$2:$AL$2001=1)*(元データ!$AN$2:$AN$2001=1)*(元データ!$AE$2:$AE$2001=$C$53)*(元データ!$AO$2:$AO$2001=0)*(元データ!$AM$2:$AM$2001&gt;=8)*(元データ!$AM$2:$AM$2001&lt;=14)*(元データ!$E$2:$E$2001="32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54" s="197">
        <f>SUMPRODUCT((元データ!$AL$2:$AL$2001=1)*(元データ!$AN$2:$AN$2001=1)*(元データ!$AE$2:$AE$2001=$C$53)*(元データ!$AO$2:$AO$2001=0)*(元データ!$AM$2:$AM$2001&gt;=8)*(元データ!$AM$2:$AM$2001&lt;=14)*(元データ!$E$2:$E$2001="40 差戻し"))</f>
        <v/>
      </c>
      <c r="AA54" s="198">
        <f>IFERROR(_xlfn.TEXTJOIN(CHAR(10),TRUE,IF((元データ!$AL$2:$AL$2001=1)*(元データ!$AN$2:$AN$2001=1)*(元データ!$AE$2:$AE$2001=$C$53)*(元データ!$AO$2:$AO$2001=0)*(元データ!$AM$2:$AM$2001&gt;=8)*(元データ!$AM$2:$AM$2001&lt;=14)*(元データ!$E$2:$E$2001="40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54" s="187">
        <f>SUMPRODUCT((元データ!$AL$2:$AL$2001=1)*(元データ!$AN$2:$AN$2001=1)*(元データ!$AE$2:$AE$2001=$C$53)*(元データ!$AO$2:$AO$2001=0)*(元データ!$AM$2:$AM$2001&gt;=15)*(元データ!$AM$2:$AM$2001&lt;=21))</f>
        <v/>
      </c>
      <c r="AC54" s="188">
        <f>SUMPRODUCT((元データ!$AL$2:$AL$2001=1)*(元データ!$AN$2:$AN$2001=1)*(元データ!$AE$2:$AE$2001=$C$53)*(元データ!$AO$2:$AO$2001=0)*(元データ!$AM$2:$AM$2001&gt;=15)*(元データ!$AM$2:$AM$2001&lt;=21)*(元データ!$E$2:$E$2001="20 確認待ち"))</f>
        <v/>
      </c>
      <c r="AD54" s="189">
        <f>IFERROR(_xlfn.TEXTJOIN(CHAR(10),TRUE,IF((元データ!$AL$2:$AL$2001=1)*(元データ!$AN$2:$AN$2001=1)*(元データ!$AE$2:$AE$2001=$C$53)*(元データ!$AO$2:$AO$2001=0)*(元データ!$AM$2:$AM$2001&gt;=15)*(元データ!$AM$2:$AM$2001&lt;=21)*(元データ!$E$2:$E$2001="20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54" s="188">
        <f>SUMPRODUCT((元データ!$AL$2:$AL$2001=1)*(元データ!$AN$2:$AN$2001=1)*(元データ!$AE$2:$AE$2001=$C$53)*(元データ!$AO$2:$AO$2001=0)*(元データ!$AM$2:$AM$2001&gt;=15)*(元データ!$AM$2:$AM$2001&lt;=21)*(元データ!$E$2:$E$2001="30 申請受付"))</f>
        <v/>
      </c>
      <c r="AF54" s="189">
        <f>IFERROR(_xlfn.TEXTJOIN(CHAR(10),TRUE,IF((元データ!$AL$2:$AL$2001=1)*(元データ!$AN$2:$AN$2001=1)*(元データ!$AE$2:$AE$2001=$C$53)*(元データ!$AO$2:$AO$2001=0)*(元データ!$AM$2:$AM$2001&gt;=15)*(元データ!$AM$2:$AM$2001&lt;=21)*(元データ!$E$2:$E$2001="30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54" s="188">
        <f>SUMPRODUCT((元データ!$AL$2:$AL$2001=1)*(元データ!$AN$2:$AN$2001=1)*(元データ!$AE$2:$AE$2001=$C$53)*(元データ!$AO$2:$AO$2001=0)*(元データ!$AM$2:$AM$2001&gt;=15)*(元データ!$AM$2:$AM$2001&lt;=21)*(元データ!$E$2:$E$2001="31 ＯＰ確認中"))</f>
        <v/>
      </c>
      <c r="AH54" s="189">
        <f>IFERROR(_xlfn.TEXTJOIN(CHAR(10),TRUE,IF((元データ!$AL$2:$AL$2001=1)*(元データ!$AN$2:$AN$2001=1)*(元データ!$AE$2:$AE$2001=$C$53)*(元データ!$AO$2:$AO$2001=0)*(元データ!$AM$2:$AM$2001&gt;=15)*(元データ!$AM$2:$AM$2001&lt;=21)*(元データ!$E$2:$E$2001="31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54" s="188">
        <f>SUMPRODUCT((元データ!$AL$2:$AL$2001=1)*(元データ!$AN$2:$AN$2001=1)*(元データ!$AE$2:$AE$2001=$C$53)*(元データ!$AO$2:$AO$2001=0)*(元データ!$AM$2:$AM$2001&gt;=15)*(元データ!$AM$2:$AM$2001&lt;=21)*(元データ!$E$2:$E$2001="32 ＳＶ確認中"))</f>
        <v/>
      </c>
      <c r="AJ54" s="189">
        <f>IFERROR(_xlfn.TEXTJOIN(CHAR(10),TRUE,IF((元データ!$AL$2:$AL$2001=1)*(元データ!$AN$2:$AN$2001=1)*(元データ!$AE$2:$AE$2001=$C$53)*(元データ!$AO$2:$AO$2001=0)*(元データ!$AM$2:$AM$2001&gt;=15)*(元データ!$AM$2:$AM$2001&lt;=21)*(元データ!$E$2:$E$2001="32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54" s="188">
        <f>SUMPRODUCT((元データ!$AL$2:$AL$2001=1)*(元データ!$AN$2:$AN$2001=1)*(元データ!$AE$2:$AE$2001=$C$53)*(元データ!$AO$2:$AO$2001=0)*(元データ!$AM$2:$AM$2001&gt;=15)*(元データ!$AM$2:$AM$2001&lt;=21)*(元データ!$E$2:$E$2001="40 差戻し"))</f>
        <v/>
      </c>
      <c r="AL54" s="189">
        <f>IFERROR(_xlfn.TEXTJOIN(CHAR(10),TRUE,IF((元データ!$AL$2:$AL$2001=1)*(元データ!$AN$2:$AN$2001=1)*(元データ!$AE$2:$AE$2001=$C$53)*(元データ!$AO$2:$AO$2001=0)*(元データ!$AM$2:$AM$2001&gt;=15)*(元データ!$AM$2:$AM$2001&lt;=21)*(元データ!$E$2:$E$2001="40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54" s="190">
        <f>SUMPRODUCT((元データ!$AL$2:$AL$2001=1)*(元データ!$AN$2:$AN$2001=1)*(元データ!$AE$2:$AE$2001=$C$53)*(元データ!$AO$2:$AO$2001=0)*(元データ!$AM$2:$AM$2001&gt;=22)*(元データ!$AM$2:$AM$2001&lt;=30))</f>
        <v/>
      </c>
      <c r="AN54" s="191">
        <f>SUMPRODUCT((元データ!$AL$2:$AL$2001=1)*(元データ!$AN$2:$AN$2001=1)*(元データ!$AE$2:$AE$2001=$C$53)*(元データ!$AO$2:$AO$2001=0)*(元データ!$AM$2:$AM$2001&gt;=22)*(元データ!$AM$2:$AM$2001&lt;=30)*(元データ!$E$2:$E$2001="20 確認待ち"))</f>
        <v/>
      </c>
      <c r="AO54" s="192">
        <f>IFERROR(_xlfn.TEXTJOIN(CHAR(10),TRUE,IF((元データ!$AL$2:$AL$2001=1)*(元データ!$AN$2:$AN$2001=1)*(元データ!$AE$2:$AE$2001=$C$53)*(元データ!$AO$2:$AO$2001=0)*(元データ!$AM$2:$AM$2001&gt;=22)*(元データ!$AM$2:$AM$2001&lt;=30)*(元データ!$E$2:$E$2001="20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54" s="191">
        <f>SUMPRODUCT((元データ!$AL$2:$AL$2001=1)*(元データ!$AN$2:$AN$2001=1)*(元データ!$AE$2:$AE$2001=$C$53)*(元データ!$AO$2:$AO$2001=0)*(元データ!$AM$2:$AM$2001&gt;=22)*(元データ!$AM$2:$AM$2001&lt;=30)*(元データ!$E$2:$E$2001="30 申請受付"))</f>
        <v/>
      </c>
      <c r="AQ54" s="192">
        <f>IFERROR(_xlfn.TEXTJOIN(CHAR(10),TRUE,IF((元データ!$AL$2:$AL$2001=1)*(元データ!$AN$2:$AN$2001=1)*(元データ!$AE$2:$AE$2001=$C$53)*(元データ!$AO$2:$AO$2001=0)*(元データ!$AM$2:$AM$2001&gt;=22)*(元データ!$AM$2:$AM$2001&lt;=30)*(元データ!$E$2:$E$2001="30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54" s="191">
        <f>SUMPRODUCT((元データ!$AL$2:$AL$2001=1)*(元データ!$AN$2:$AN$2001=1)*(元データ!$AE$2:$AE$2001=$C$53)*(元データ!$AO$2:$AO$2001=0)*(元データ!$AM$2:$AM$2001&gt;=22)*(元データ!$AM$2:$AM$2001&lt;=30)*(元データ!$E$2:$E$2001="31 ＯＰ確認中"))</f>
        <v/>
      </c>
      <c r="AS54" s="192">
        <f>IFERROR(_xlfn.TEXTJOIN(CHAR(10),TRUE,IF((元データ!$AL$2:$AL$2001=1)*(元データ!$AN$2:$AN$2001=1)*(元データ!$AE$2:$AE$2001=$C$53)*(元データ!$AO$2:$AO$2001=0)*(元データ!$AM$2:$AM$2001&gt;=22)*(元データ!$AM$2:$AM$2001&lt;=30)*(元データ!$E$2:$E$2001="31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54" s="191">
        <f>SUMPRODUCT((元データ!$AL$2:$AL$2001=1)*(元データ!$AN$2:$AN$2001=1)*(元データ!$AE$2:$AE$2001=$C$53)*(元データ!$AO$2:$AO$2001=0)*(元データ!$AM$2:$AM$2001&gt;=22)*(元データ!$AM$2:$AM$2001&lt;=30)*(元データ!$E$2:$E$2001="32 ＳＶ確認中"))</f>
        <v/>
      </c>
      <c r="AU54" s="192">
        <f>IFERROR(_xlfn.TEXTJOIN(CHAR(10),TRUE,IF((元データ!$AL$2:$AL$2001=1)*(元データ!$AN$2:$AN$2001=1)*(元データ!$AE$2:$AE$2001=$C$53)*(元データ!$AO$2:$AO$2001=0)*(元データ!$AM$2:$AM$2001&gt;=22)*(元データ!$AM$2:$AM$2001&lt;=30)*(元データ!$E$2:$E$2001="32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54" s="191">
        <f>SUMPRODUCT((元データ!$AL$2:$AL$2001=1)*(元データ!$AN$2:$AN$2001=1)*(元データ!$AE$2:$AE$2001=$C$53)*(元データ!$AO$2:$AO$2001=0)*(元データ!$AM$2:$AM$2001&gt;=22)*(元データ!$AM$2:$AM$2001&lt;=30)*(元データ!$E$2:$E$2001="40 差戻し"))</f>
        <v/>
      </c>
      <c r="AW54" s="192">
        <f>IFERROR(_xlfn.TEXTJOIN(CHAR(10),TRUE,IF((元データ!$AL$2:$AL$2001=1)*(元データ!$AN$2:$AN$2001=1)*(元データ!$AE$2:$AE$2001=$C$53)*(元データ!$AO$2:$AO$2001=0)*(元データ!$AM$2:$AM$2001&gt;=22)*(元データ!$AM$2:$AM$2001&lt;=30)*(元データ!$E$2:$E$2001="40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54" s="193">
        <f>SUMPRODUCT((元データ!$AL$2:$AL$2001=1)*(元データ!$AN$2:$AN$2001=1)*(元データ!$AE$2:$AE$2001=$C$53)*(元データ!$AO$2:$AO$2001=0)*(元データ!$AM$2:$AM$2001&gt;=31))</f>
        <v/>
      </c>
      <c r="AY54" s="194">
        <f>SUMPRODUCT((元データ!$AL$2:$AL$2001=1)*(元データ!$AN$2:$AN$2001=1)*(元データ!$AE$2:$AE$2001=$C$53)*(元データ!$AO$2:$AO$2001=0)*(元データ!$AM$2:$AM$2001&gt;=31)*(元データ!$E$2:$E$2001="20 確認待ち"))</f>
        <v/>
      </c>
      <c r="AZ54" s="195">
        <f>IFERROR(_xlfn.TEXTJOIN(CHAR(10),TRUE,IF((元データ!$AL$2:$AL$2001=1)*(元データ!$AN$2:$AN$2001=1)*(元データ!$AE$2:$AE$2001=$C$53)*(元データ!$AO$2:$AO$2001=0)*(元データ!$AM$2:$AM$2001&gt;=31)*(元データ!$E$2:$E$2001="20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54" s="194">
        <f>SUMPRODUCT((元データ!$AL$2:$AL$2001=1)*(元データ!$AN$2:$AN$2001=1)*(元データ!$AE$2:$AE$2001=$C$53)*(元データ!$AO$2:$AO$2001=0)*(元データ!$AM$2:$AM$2001&gt;=31)*(元データ!$E$2:$E$2001="30 申請受付"))</f>
        <v/>
      </c>
      <c r="BB54" s="195">
        <f>IFERROR(_xlfn.TEXTJOIN(CHAR(10),TRUE,IF((元データ!$AL$2:$AL$2001=1)*(元データ!$AN$2:$AN$2001=1)*(元データ!$AE$2:$AE$2001=$C$53)*(元データ!$AO$2:$AO$2001=0)*(元データ!$AM$2:$AM$2001&gt;=31)*(元データ!$E$2:$E$2001="30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54" s="194">
        <f>SUMPRODUCT((元データ!$AL$2:$AL$2001=1)*(元データ!$AN$2:$AN$2001=1)*(元データ!$AE$2:$AE$2001=$C$53)*(元データ!$AO$2:$AO$2001=0)*(元データ!$AM$2:$AM$2001&gt;=31)*(元データ!$E$2:$E$2001="31 ＯＰ確認中"))</f>
        <v/>
      </c>
      <c r="BD54" s="195">
        <f>IFERROR(_xlfn.TEXTJOIN(CHAR(10),TRUE,IF((元データ!$AL$2:$AL$2001=1)*(元データ!$AN$2:$AN$2001=1)*(元データ!$AE$2:$AE$2001=$C$53)*(元データ!$AO$2:$AO$2001=0)*(元データ!$AM$2:$AM$2001&gt;=31)*(元データ!$E$2:$E$2001="31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54" s="194">
        <f>SUMPRODUCT((元データ!$AL$2:$AL$2001=1)*(元データ!$AN$2:$AN$2001=1)*(元データ!$AE$2:$AE$2001=$C$53)*(元データ!$AO$2:$AO$2001=0)*(元データ!$AM$2:$AM$2001&gt;=31)*(元データ!$E$2:$E$2001="32 ＳＶ確認中"))</f>
        <v/>
      </c>
      <c r="BF54" s="195">
        <f>IFERROR(_xlfn.TEXTJOIN(CHAR(10),TRUE,IF((元データ!$AL$2:$AL$2001=1)*(元データ!$AN$2:$AN$2001=1)*(元データ!$AE$2:$AE$2001=$C$53)*(元データ!$AO$2:$AO$2001=0)*(元データ!$AM$2:$AM$2001&gt;=31)*(元データ!$E$2:$E$2001="32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54" s="194">
        <f>SUMPRODUCT((元データ!$AL$2:$AL$2001=1)*(元データ!$AN$2:$AN$2001=1)*(元データ!$AE$2:$AE$2001=$C$53)*(元データ!$AO$2:$AO$2001=0)*(元データ!$AM$2:$AM$2001&gt;=31)*(元データ!$E$2:$E$2001="40 差戻し"))</f>
        <v/>
      </c>
      <c r="BH54" s="195">
        <f>IFERROR(_xlfn.TEXTJOIN(CHAR(10),TRUE,IF((元データ!$AL$2:$AL$2001=1)*(元データ!$AN$2:$AN$2001=1)*(元データ!$AE$2:$AE$2001=$C$53)*(元データ!$AO$2:$AO$2001=0)*(元データ!$AM$2:$AM$2001&gt;=31)*(元データ!$E$2:$E$2001="40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55" ht="19.5" customHeight="1" s="87">
      <c r="B55" s="139" t="n"/>
      <c r="C55" s="140" t="inlineStr">
        <is>
          <t>34 廃業</t>
        </is>
      </c>
      <c r="D55" s="141" t="inlineStr">
        <is>
          <t>あり</t>
        </is>
      </c>
      <c r="E55" s="142">
        <f>SUMPRODUCT((元データ!$AL$2:$AL$2001=1)*(元データ!$AN$2:$AN$2001=1)*(元データ!$AE$2:$AE$2001=$C$55)*(元データ!$AO$2:$AO$2001=1))</f>
        <v/>
      </c>
      <c r="F55" s="184">
        <f>SUMPRODUCT((元データ!$AL$2:$AL$2001=1)*(元データ!$AN$2:$AN$2001=1)*(元データ!$AE$2:$AE$2001=$C$55)*(元データ!$AO$2:$AO$2001=1)*(元データ!$AM$2:$AM$2001&lt;=7))</f>
        <v/>
      </c>
      <c r="G55" s="185">
        <f>SUMPRODUCT((元データ!$AL$2:$AL$2001=1)*(元データ!$AN$2:$AN$2001=1)*(元データ!$AE$2:$AE$2001=$C$55)*(元データ!$AO$2:$AO$2001=1)*(元データ!$AM$2:$AM$2001&lt;=7)*(元データ!$E$2:$E$2001="20 確認待ち"))</f>
        <v/>
      </c>
      <c r="H55" s="186">
        <f>IFERROR(_xlfn.TEXTJOIN(CHAR(10),TRUE,IF((元データ!$AL$2:$AL$2001=1)*(元データ!$AN$2:$AN$2001=1)*(元データ!$AE$2:$AE$2001=$C$55)*(元データ!$AO$2:$AO$2001=1)*(元データ!$AM$2:$AM$2001&lt;=7)*(元データ!$E$2:$E$2001="20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55" s="185">
        <f>SUMPRODUCT((元データ!$AL$2:$AL$2001=1)*(元データ!$AN$2:$AN$2001=1)*(元データ!$AE$2:$AE$2001=$C$55)*(元データ!$AO$2:$AO$2001=1)*(元データ!$AM$2:$AM$2001&lt;=7)*(元データ!$E$2:$E$2001="30 申請受付"))</f>
        <v/>
      </c>
      <c r="J55" s="186">
        <f>IFERROR(_xlfn.TEXTJOIN(CHAR(10),TRUE,IF((元データ!$AL$2:$AL$2001=1)*(元データ!$AN$2:$AN$2001=1)*(元データ!$AE$2:$AE$2001=$C$55)*(元データ!$AO$2:$AO$2001=1)*(元データ!$AM$2:$AM$2001&lt;=7)*(元データ!$E$2:$E$2001="30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55" s="185">
        <f>SUMPRODUCT((元データ!$AL$2:$AL$2001=1)*(元データ!$AN$2:$AN$2001=1)*(元データ!$AE$2:$AE$2001=$C$55)*(元データ!$AO$2:$AO$2001=1)*(元データ!$AM$2:$AM$2001&lt;=7)*(元データ!$E$2:$E$2001="31 ＯＰ確認中"))</f>
        <v/>
      </c>
      <c r="L55" s="186">
        <f>IFERROR(_xlfn.TEXTJOIN(CHAR(10),TRUE,IF((元データ!$AL$2:$AL$2001=1)*(元データ!$AN$2:$AN$2001=1)*(元データ!$AE$2:$AE$2001=$C$55)*(元データ!$AO$2:$AO$2001=1)*(元データ!$AM$2:$AM$2001&lt;=7)*(元データ!$E$2:$E$2001="31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55" s="185">
        <f>SUMPRODUCT((元データ!$AL$2:$AL$2001=1)*(元データ!$AN$2:$AN$2001=1)*(元データ!$AE$2:$AE$2001=$C$55)*(元データ!$AO$2:$AO$2001=1)*(元データ!$AM$2:$AM$2001&lt;=7)*(元データ!$E$2:$E$2001="32 ＳＶ確認中"))</f>
        <v/>
      </c>
      <c r="N55" s="186">
        <f>IFERROR(_xlfn.TEXTJOIN(CHAR(10),TRUE,IF((元データ!$AL$2:$AL$2001=1)*(元データ!$AN$2:$AN$2001=1)*(元データ!$AE$2:$AE$2001=$C$55)*(元データ!$AO$2:$AO$2001=1)*(元データ!$AM$2:$AM$2001&lt;=7)*(元データ!$E$2:$E$2001="32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55" s="185">
        <f>SUMPRODUCT((元データ!$AL$2:$AL$2001=1)*(元データ!$AN$2:$AN$2001=1)*(元データ!$AE$2:$AE$2001=$C$55)*(元データ!$AO$2:$AO$2001=1)*(元データ!$AM$2:$AM$2001&lt;=7)*(元データ!$E$2:$E$2001="40 差戻し"))</f>
        <v/>
      </c>
      <c r="P55" s="186">
        <f>IFERROR(_xlfn.TEXTJOIN(CHAR(10),TRUE,IF((元データ!$AL$2:$AL$2001=1)*(元データ!$AN$2:$AN$2001=1)*(元データ!$AE$2:$AE$2001=$C$55)*(元データ!$AO$2:$AO$2001=1)*(元データ!$AM$2:$AM$2001&lt;=7)*(元データ!$E$2:$E$2001="40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55" s="184">
        <f>SUMPRODUCT((元データ!$AL$2:$AL$2001=1)*(元データ!$AN$2:$AN$2001=1)*(元データ!$AE$2:$AE$2001=$C$55)*(元データ!$AO$2:$AO$2001=1)*(元データ!$AM$2:$AM$2001&gt;=8)*(元データ!$AM$2:$AM$2001&lt;=14))</f>
        <v/>
      </c>
      <c r="R55" s="185">
        <f>SUMPRODUCT((元データ!$AL$2:$AL$2001=1)*(元データ!$AN$2:$AN$2001=1)*(元データ!$AE$2:$AE$2001=$C$55)*(元データ!$AO$2:$AO$2001=1)*(元データ!$AM$2:$AM$2001&gt;=8)*(元データ!$AM$2:$AM$2001&lt;=14)*(元データ!$E$2:$E$2001="20 確認待ち"))</f>
        <v/>
      </c>
      <c r="S55" s="186">
        <f>IFERROR(_xlfn.TEXTJOIN(CHAR(10),TRUE,IF((元データ!$AL$2:$AL$2001=1)*(元データ!$AN$2:$AN$2001=1)*(元データ!$AE$2:$AE$2001=$C$55)*(元データ!$AO$2:$AO$2001=1)*(元データ!$AM$2:$AM$2001&gt;=8)*(元データ!$AM$2:$AM$2001&lt;=14)*(元データ!$E$2:$E$2001="20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55" s="185">
        <f>SUMPRODUCT((元データ!$AL$2:$AL$2001=1)*(元データ!$AN$2:$AN$2001=1)*(元データ!$AE$2:$AE$2001=$C$55)*(元データ!$AO$2:$AO$2001=1)*(元データ!$AM$2:$AM$2001&gt;=8)*(元データ!$AM$2:$AM$2001&lt;=14)*(元データ!$E$2:$E$2001="30 申請受付"))</f>
        <v/>
      </c>
      <c r="U55" s="186">
        <f>IFERROR(_xlfn.TEXTJOIN(CHAR(10),TRUE,IF((元データ!$AL$2:$AL$2001=1)*(元データ!$AN$2:$AN$2001=1)*(元データ!$AE$2:$AE$2001=$C$55)*(元データ!$AO$2:$AO$2001=1)*(元データ!$AM$2:$AM$2001&gt;=8)*(元データ!$AM$2:$AM$2001&lt;=14)*(元データ!$E$2:$E$2001="30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55" s="185">
        <f>SUMPRODUCT((元データ!$AL$2:$AL$2001=1)*(元データ!$AN$2:$AN$2001=1)*(元データ!$AE$2:$AE$2001=$C$55)*(元データ!$AO$2:$AO$2001=1)*(元データ!$AM$2:$AM$2001&gt;=8)*(元データ!$AM$2:$AM$2001&lt;=14)*(元データ!$E$2:$E$2001="31 ＯＰ確認中"))</f>
        <v/>
      </c>
      <c r="W55" s="186">
        <f>IFERROR(_xlfn.TEXTJOIN(CHAR(10),TRUE,IF((元データ!$AL$2:$AL$2001=1)*(元データ!$AN$2:$AN$2001=1)*(元データ!$AE$2:$AE$2001=$C$55)*(元データ!$AO$2:$AO$2001=1)*(元データ!$AM$2:$AM$2001&gt;=8)*(元データ!$AM$2:$AM$2001&lt;=14)*(元データ!$E$2:$E$2001="31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55" s="185">
        <f>SUMPRODUCT((元データ!$AL$2:$AL$2001=1)*(元データ!$AN$2:$AN$2001=1)*(元データ!$AE$2:$AE$2001=$C$55)*(元データ!$AO$2:$AO$2001=1)*(元データ!$AM$2:$AM$2001&gt;=8)*(元データ!$AM$2:$AM$2001&lt;=14)*(元データ!$E$2:$E$2001="32 ＳＶ確認中"))</f>
        <v/>
      </c>
      <c r="Y55" s="186">
        <f>IFERROR(_xlfn.TEXTJOIN(CHAR(10),TRUE,IF((元データ!$AL$2:$AL$2001=1)*(元データ!$AN$2:$AN$2001=1)*(元データ!$AE$2:$AE$2001=$C$55)*(元データ!$AO$2:$AO$2001=1)*(元データ!$AM$2:$AM$2001&gt;=8)*(元データ!$AM$2:$AM$2001&lt;=14)*(元データ!$E$2:$E$2001="32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55" s="185">
        <f>SUMPRODUCT((元データ!$AL$2:$AL$2001=1)*(元データ!$AN$2:$AN$2001=1)*(元データ!$AE$2:$AE$2001=$C$55)*(元データ!$AO$2:$AO$2001=1)*(元データ!$AM$2:$AM$2001&gt;=8)*(元データ!$AM$2:$AM$2001&lt;=14)*(元データ!$E$2:$E$2001="40 差戻し"))</f>
        <v/>
      </c>
      <c r="AA55" s="186">
        <f>IFERROR(_xlfn.TEXTJOIN(CHAR(10),TRUE,IF((元データ!$AL$2:$AL$2001=1)*(元データ!$AN$2:$AN$2001=1)*(元データ!$AE$2:$AE$2001=$C$55)*(元データ!$AO$2:$AO$2001=1)*(元データ!$AM$2:$AM$2001&gt;=8)*(元データ!$AM$2:$AM$2001&lt;=14)*(元データ!$E$2:$E$2001="40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55" s="187">
        <f>SUMPRODUCT((元データ!$AL$2:$AL$2001=1)*(元データ!$AN$2:$AN$2001=1)*(元データ!$AE$2:$AE$2001=$C$55)*(元データ!$AO$2:$AO$2001=1)*(元データ!$AM$2:$AM$2001&gt;=15)*(元データ!$AM$2:$AM$2001&lt;=21))</f>
        <v/>
      </c>
      <c r="AC55" s="188">
        <f>SUMPRODUCT((元データ!$AL$2:$AL$2001=1)*(元データ!$AN$2:$AN$2001=1)*(元データ!$AE$2:$AE$2001=$C$55)*(元データ!$AO$2:$AO$2001=1)*(元データ!$AM$2:$AM$2001&gt;=15)*(元データ!$AM$2:$AM$2001&lt;=21)*(元データ!$E$2:$E$2001="20 確認待ち"))</f>
        <v/>
      </c>
      <c r="AD55" s="189">
        <f>IFERROR(_xlfn.TEXTJOIN(CHAR(10),TRUE,IF((元データ!$AL$2:$AL$2001=1)*(元データ!$AN$2:$AN$2001=1)*(元データ!$AE$2:$AE$2001=$C$55)*(元データ!$AO$2:$AO$2001=1)*(元データ!$AM$2:$AM$2001&gt;=15)*(元データ!$AM$2:$AM$2001&lt;=21)*(元データ!$E$2:$E$2001="20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55" s="188">
        <f>SUMPRODUCT((元データ!$AL$2:$AL$2001=1)*(元データ!$AN$2:$AN$2001=1)*(元データ!$AE$2:$AE$2001=$C$55)*(元データ!$AO$2:$AO$2001=1)*(元データ!$AM$2:$AM$2001&gt;=15)*(元データ!$AM$2:$AM$2001&lt;=21)*(元データ!$E$2:$E$2001="30 申請受付"))</f>
        <v/>
      </c>
      <c r="AF55" s="189">
        <f>IFERROR(_xlfn.TEXTJOIN(CHAR(10),TRUE,IF((元データ!$AL$2:$AL$2001=1)*(元データ!$AN$2:$AN$2001=1)*(元データ!$AE$2:$AE$2001=$C$55)*(元データ!$AO$2:$AO$2001=1)*(元データ!$AM$2:$AM$2001&gt;=15)*(元データ!$AM$2:$AM$2001&lt;=21)*(元データ!$E$2:$E$2001="30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55" s="188">
        <f>SUMPRODUCT((元データ!$AL$2:$AL$2001=1)*(元データ!$AN$2:$AN$2001=1)*(元データ!$AE$2:$AE$2001=$C$55)*(元データ!$AO$2:$AO$2001=1)*(元データ!$AM$2:$AM$2001&gt;=15)*(元データ!$AM$2:$AM$2001&lt;=21)*(元データ!$E$2:$E$2001="31 ＯＰ確認中"))</f>
        <v/>
      </c>
      <c r="AH55" s="189">
        <f>IFERROR(_xlfn.TEXTJOIN(CHAR(10),TRUE,IF((元データ!$AL$2:$AL$2001=1)*(元データ!$AN$2:$AN$2001=1)*(元データ!$AE$2:$AE$2001=$C$55)*(元データ!$AO$2:$AO$2001=1)*(元データ!$AM$2:$AM$2001&gt;=15)*(元データ!$AM$2:$AM$2001&lt;=21)*(元データ!$E$2:$E$2001="31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55" s="188">
        <f>SUMPRODUCT((元データ!$AL$2:$AL$2001=1)*(元データ!$AN$2:$AN$2001=1)*(元データ!$AE$2:$AE$2001=$C$55)*(元データ!$AO$2:$AO$2001=1)*(元データ!$AM$2:$AM$2001&gt;=15)*(元データ!$AM$2:$AM$2001&lt;=21)*(元データ!$E$2:$E$2001="32 ＳＶ確認中"))</f>
        <v/>
      </c>
      <c r="AJ55" s="189">
        <f>IFERROR(_xlfn.TEXTJOIN(CHAR(10),TRUE,IF((元データ!$AL$2:$AL$2001=1)*(元データ!$AN$2:$AN$2001=1)*(元データ!$AE$2:$AE$2001=$C$55)*(元データ!$AO$2:$AO$2001=1)*(元データ!$AM$2:$AM$2001&gt;=15)*(元データ!$AM$2:$AM$2001&lt;=21)*(元データ!$E$2:$E$2001="32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55" s="188">
        <f>SUMPRODUCT((元データ!$AL$2:$AL$2001=1)*(元データ!$AN$2:$AN$2001=1)*(元データ!$AE$2:$AE$2001=$C$55)*(元データ!$AO$2:$AO$2001=1)*(元データ!$AM$2:$AM$2001&gt;=15)*(元データ!$AM$2:$AM$2001&lt;=21)*(元データ!$E$2:$E$2001="40 差戻し"))</f>
        <v/>
      </c>
      <c r="AL55" s="189">
        <f>IFERROR(_xlfn.TEXTJOIN(CHAR(10),TRUE,IF((元データ!$AL$2:$AL$2001=1)*(元データ!$AN$2:$AN$2001=1)*(元データ!$AE$2:$AE$2001=$C$55)*(元データ!$AO$2:$AO$2001=1)*(元データ!$AM$2:$AM$2001&gt;=15)*(元データ!$AM$2:$AM$2001&lt;=21)*(元データ!$E$2:$E$2001="40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55" s="190">
        <f>SUMPRODUCT((元データ!$AL$2:$AL$2001=1)*(元データ!$AN$2:$AN$2001=1)*(元データ!$AE$2:$AE$2001=$C$55)*(元データ!$AO$2:$AO$2001=1)*(元データ!$AM$2:$AM$2001&gt;=22)*(元データ!$AM$2:$AM$2001&lt;=30))</f>
        <v/>
      </c>
      <c r="AN55" s="191">
        <f>SUMPRODUCT((元データ!$AL$2:$AL$2001=1)*(元データ!$AN$2:$AN$2001=1)*(元データ!$AE$2:$AE$2001=$C$55)*(元データ!$AO$2:$AO$2001=1)*(元データ!$AM$2:$AM$2001&gt;=22)*(元データ!$AM$2:$AM$2001&lt;=30)*(元データ!$E$2:$E$2001="20 確認待ち"))</f>
        <v/>
      </c>
      <c r="AO55" s="192">
        <f>IFERROR(_xlfn.TEXTJOIN(CHAR(10),TRUE,IF((元データ!$AL$2:$AL$2001=1)*(元データ!$AN$2:$AN$2001=1)*(元データ!$AE$2:$AE$2001=$C$55)*(元データ!$AO$2:$AO$2001=1)*(元データ!$AM$2:$AM$2001&gt;=22)*(元データ!$AM$2:$AM$2001&lt;=30)*(元データ!$E$2:$E$2001="20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55" s="191">
        <f>SUMPRODUCT((元データ!$AL$2:$AL$2001=1)*(元データ!$AN$2:$AN$2001=1)*(元データ!$AE$2:$AE$2001=$C$55)*(元データ!$AO$2:$AO$2001=1)*(元データ!$AM$2:$AM$2001&gt;=22)*(元データ!$AM$2:$AM$2001&lt;=30)*(元データ!$E$2:$E$2001="30 申請受付"))</f>
        <v/>
      </c>
      <c r="AQ55" s="192">
        <f>IFERROR(_xlfn.TEXTJOIN(CHAR(10),TRUE,IF((元データ!$AL$2:$AL$2001=1)*(元データ!$AN$2:$AN$2001=1)*(元データ!$AE$2:$AE$2001=$C$55)*(元データ!$AO$2:$AO$2001=1)*(元データ!$AM$2:$AM$2001&gt;=22)*(元データ!$AM$2:$AM$2001&lt;=30)*(元データ!$E$2:$E$2001="30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55" s="191">
        <f>SUMPRODUCT((元データ!$AL$2:$AL$2001=1)*(元データ!$AN$2:$AN$2001=1)*(元データ!$AE$2:$AE$2001=$C$55)*(元データ!$AO$2:$AO$2001=1)*(元データ!$AM$2:$AM$2001&gt;=22)*(元データ!$AM$2:$AM$2001&lt;=30)*(元データ!$E$2:$E$2001="31 ＯＰ確認中"))</f>
        <v/>
      </c>
      <c r="AS55" s="192">
        <f>IFERROR(_xlfn.TEXTJOIN(CHAR(10),TRUE,IF((元データ!$AL$2:$AL$2001=1)*(元データ!$AN$2:$AN$2001=1)*(元データ!$AE$2:$AE$2001=$C$55)*(元データ!$AO$2:$AO$2001=1)*(元データ!$AM$2:$AM$2001&gt;=22)*(元データ!$AM$2:$AM$2001&lt;=30)*(元データ!$E$2:$E$2001="31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55" s="191">
        <f>SUMPRODUCT((元データ!$AL$2:$AL$2001=1)*(元データ!$AN$2:$AN$2001=1)*(元データ!$AE$2:$AE$2001=$C$55)*(元データ!$AO$2:$AO$2001=1)*(元データ!$AM$2:$AM$2001&gt;=22)*(元データ!$AM$2:$AM$2001&lt;=30)*(元データ!$E$2:$E$2001="32 ＳＶ確認中"))</f>
        <v/>
      </c>
      <c r="AU55" s="192">
        <f>IFERROR(_xlfn.TEXTJOIN(CHAR(10),TRUE,IF((元データ!$AL$2:$AL$2001=1)*(元データ!$AN$2:$AN$2001=1)*(元データ!$AE$2:$AE$2001=$C$55)*(元データ!$AO$2:$AO$2001=1)*(元データ!$AM$2:$AM$2001&gt;=22)*(元データ!$AM$2:$AM$2001&lt;=30)*(元データ!$E$2:$E$2001="32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55" s="191">
        <f>SUMPRODUCT((元データ!$AL$2:$AL$2001=1)*(元データ!$AN$2:$AN$2001=1)*(元データ!$AE$2:$AE$2001=$C$55)*(元データ!$AO$2:$AO$2001=1)*(元データ!$AM$2:$AM$2001&gt;=22)*(元データ!$AM$2:$AM$2001&lt;=30)*(元データ!$E$2:$E$2001="40 差戻し"))</f>
        <v/>
      </c>
      <c r="AW55" s="192">
        <f>IFERROR(_xlfn.TEXTJOIN(CHAR(10),TRUE,IF((元データ!$AL$2:$AL$2001=1)*(元データ!$AN$2:$AN$2001=1)*(元データ!$AE$2:$AE$2001=$C$55)*(元データ!$AO$2:$AO$2001=1)*(元データ!$AM$2:$AM$2001&gt;=22)*(元データ!$AM$2:$AM$2001&lt;=30)*(元データ!$E$2:$E$2001="40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55" s="193">
        <f>SUMPRODUCT((元データ!$AL$2:$AL$2001=1)*(元データ!$AN$2:$AN$2001=1)*(元データ!$AE$2:$AE$2001=$C$55)*(元データ!$AO$2:$AO$2001=1)*(元データ!$AM$2:$AM$2001&gt;=31))</f>
        <v/>
      </c>
      <c r="AY55" s="194">
        <f>SUMPRODUCT((元データ!$AL$2:$AL$2001=1)*(元データ!$AN$2:$AN$2001=1)*(元データ!$AE$2:$AE$2001=$C$55)*(元データ!$AO$2:$AO$2001=1)*(元データ!$AM$2:$AM$2001&gt;=31)*(元データ!$E$2:$E$2001="20 確認待ち"))</f>
        <v/>
      </c>
      <c r="AZ55" s="195">
        <f>IFERROR(_xlfn.TEXTJOIN(CHAR(10),TRUE,IF((元データ!$AL$2:$AL$2001=1)*(元データ!$AN$2:$AN$2001=1)*(元データ!$AE$2:$AE$2001=$C$55)*(元データ!$AO$2:$AO$2001=1)*(元データ!$AM$2:$AM$2001&gt;=31)*(元データ!$E$2:$E$2001="20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55" s="194">
        <f>SUMPRODUCT((元データ!$AL$2:$AL$2001=1)*(元データ!$AN$2:$AN$2001=1)*(元データ!$AE$2:$AE$2001=$C$55)*(元データ!$AO$2:$AO$2001=1)*(元データ!$AM$2:$AM$2001&gt;=31)*(元データ!$E$2:$E$2001="30 申請受付"))</f>
        <v/>
      </c>
      <c r="BB55" s="195">
        <f>IFERROR(_xlfn.TEXTJOIN(CHAR(10),TRUE,IF((元データ!$AL$2:$AL$2001=1)*(元データ!$AN$2:$AN$2001=1)*(元データ!$AE$2:$AE$2001=$C$55)*(元データ!$AO$2:$AO$2001=1)*(元データ!$AM$2:$AM$2001&gt;=31)*(元データ!$E$2:$E$2001="30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55" s="194">
        <f>SUMPRODUCT((元データ!$AL$2:$AL$2001=1)*(元データ!$AN$2:$AN$2001=1)*(元データ!$AE$2:$AE$2001=$C$55)*(元データ!$AO$2:$AO$2001=1)*(元データ!$AM$2:$AM$2001&gt;=31)*(元データ!$E$2:$E$2001="31 ＯＰ確認中"))</f>
        <v/>
      </c>
      <c r="BD55" s="195">
        <f>IFERROR(_xlfn.TEXTJOIN(CHAR(10),TRUE,IF((元データ!$AL$2:$AL$2001=1)*(元データ!$AN$2:$AN$2001=1)*(元データ!$AE$2:$AE$2001=$C$55)*(元データ!$AO$2:$AO$2001=1)*(元データ!$AM$2:$AM$2001&gt;=31)*(元データ!$E$2:$E$2001="31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55" s="194">
        <f>SUMPRODUCT((元データ!$AL$2:$AL$2001=1)*(元データ!$AN$2:$AN$2001=1)*(元データ!$AE$2:$AE$2001=$C$55)*(元データ!$AO$2:$AO$2001=1)*(元データ!$AM$2:$AM$2001&gt;=31)*(元データ!$E$2:$E$2001="32 ＳＶ確認中"))</f>
        <v/>
      </c>
      <c r="BF55" s="195">
        <f>IFERROR(_xlfn.TEXTJOIN(CHAR(10),TRUE,IF((元データ!$AL$2:$AL$2001=1)*(元データ!$AN$2:$AN$2001=1)*(元データ!$AE$2:$AE$2001=$C$55)*(元データ!$AO$2:$AO$2001=1)*(元データ!$AM$2:$AM$2001&gt;=31)*(元データ!$E$2:$E$2001="32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55" s="194">
        <f>SUMPRODUCT((元データ!$AL$2:$AL$2001=1)*(元データ!$AN$2:$AN$2001=1)*(元データ!$AE$2:$AE$2001=$C$55)*(元データ!$AO$2:$AO$2001=1)*(元データ!$AM$2:$AM$2001&gt;=31)*(元データ!$E$2:$E$2001="40 差戻し"))</f>
        <v/>
      </c>
      <c r="BH55" s="195">
        <f>IFERROR(_xlfn.TEXTJOIN(CHAR(10),TRUE,IF((元データ!$AL$2:$AL$2001=1)*(元データ!$AN$2:$AN$2001=1)*(元データ!$AE$2:$AE$2001=$C$55)*(元データ!$AO$2:$AO$2001=1)*(元データ!$AM$2:$AM$2001&gt;=31)*(元データ!$E$2:$E$2001="40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56" ht="19.5" customHeight="1" s="87">
      <c r="B56" s="155" t="n"/>
      <c r="C56" s="156" t="n"/>
      <c r="D56" s="157" t="inlineStr">
        <is>
          <t>なし</t>
        </is>
      </c>
      <c r="E56" s="158">
        <f>SUMPRODUCT((元データ!$AL$2:$AL$2001=1)*(元データ!$AN$2:$AN$2001=1)*(元データ!$AE$2:$AE$2001=$C$55)*(元データ!$AO$2:$AO$2001=0))</f>
        <v/>
      </c>
      <c r="F56" s="196">
        <f>SUMPRODUCT((元データ!$AL$2:$AL$2001=1)*(元データ!$AN$2:$AN$2001=1)*(元データ!$AE$2:$AE$2001=$C$55)*(元データ!$AO$2:$AO$2001=0)*(元データ!$AM$2:$AM$2001&lt;=7))</f>
        <v/>
      </c>
      <c r="G56" s="197">
        <f>SUMPRODUCT((元データ!$AL$2:$AL$2001=1)*(元データ!$AN$2:$AN$2001=1)*(元データ!$AE$2:$AE$2001=$C$55)*(元データ!$AO$2:$AO$2001=0)*(元データ!$AM$2:$AM$2001&lt;=7)*(元データ!$E$2:$E$2001="20 確認待ち"))</f>
        <v/>
      </c>
      <c r="H56" s="198">
        <f>IFERROR(_xlfn.TEXTJOIN(CHAR(10),TRUE,IF((元データ!$AL$2:$AL$2001=1)*(元データ!$AN$2:$AN$2001=1)*(元データ!$AE$2:$AE$2001=$C$55)*(元データ!$AO$2:$AO$2001=0)*(元データ!$AM$2:$AM$2001&lt;=7)*(元データ!$E$2:$E$2001="20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56" s="197">
        <f>SUMPRODUCT((元データ!$AL$2:$AL$2001=1)*(元データ!$AN$2:$AN$2001=1)*(元データ!$AE$2:$AE$2001=$C$55)*(元データ!$AO$2:$AO$2001=0)*(元データ!$AM$2:$AM$2001&lt;=7)*(元データ!$E$2:$E$2001="30 申請受付"))</f>
        <v/>
      </c>
      <c r="J56" s="198">
        <f>IFERROR(_xlfn.TEXTJOIN(CHAR(10),TRUE,IF((元データ!$AL$2:$AL$2001=1)*(元データ!$AN$2:$AN$2001=1)*(元データ!$AE$2:$AE$2001=$C$55)*(元データ!$AO$2:$AO$2001=0)*(元データ!$AM$2:$AM$2001&lt;=7)*(元データ!$E$2:$E$2001="30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56" s="197">
        <f>SUMPRODUCT((元データ!$AL$2:$AL$2001=1)*(元データ!$AN$2:$AN$2001=1)*(元データ!$AE$2:$AE$2001=$C$55)*(元データ!$AO$2:$AO$2001=0)*(元データ!$AM$2:$AM$2001&lt;=7)*(元データ!$E$2:$E$2001="31 ＯＰ確認中"))</f>
        <v/>
      </c>
      <c r="L56" s="198">
        <f>IFERROR(_xlfn.TEXTJOIN(CHAR(10),TRUE,IF((元データ!$AL$2:$AL$2001=1)*(元データ!$AN$2:$AN$2001=1)*(元データ!$AE$2:$AE$2001=$C$55)*(元データ!$AO$2:$AO$2001=0)*(元データ!$AM$2:$AM$2001&lt;=7)*(元データ!$E$2:$E$2001="31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56" s="197">
        <f>SUMPRODUCT((元データ!$AL$2:$AL$2001=1)*(元データ!$AN$2:$AN$2001=1)*(元データ!$AE$2:$AE$2001=$C$55)*(元データ!$AO$2:$AO$2001=0)*(元データ!$AM$2:$AM$2001&lt;=7)*(元データ!$E$2:$E$2001="32 ＳＶ確認中"))</f>
        <v/>
      </c>
      <c r="N56" s="198">
        <f>IFERROR(_xlfn.TEXTJOIN(CHAR(10),TRUE,IF((元データ!$AL$2:$AL$2001=1)*(元データ!$AN$2:$AN$2001=1)*(元データ!$AE$2:$AE$2001=$C$55)*(元データ!$AO$2:$AO$2001=0)*(元データ!$AM$2:$AM$2001&lt;=7)*(元データ!$E$2:$E$2001="32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56" s="197">
        <f>SUMPRODUCT((元データ!$AL$2:$AL$2001=1)*(元データ!$AN$2:$AN$2001=1)*(元データ!$AE$2:$AE$2001=$C$55)*(元データ!$AO$2:$AO$2001=0)*(元データ!$AM$2:$AM$2001&lt;=7)*(元データ!$E$2:$E$2001="40 差戻し"))</f>
        <v/>
      </c>
      <c r="P56" s="198">
        <f>IFERROR(_xlfn.TEXTJOIN(CHAR(10),TRUE,IF((元データ!$AL$2:$AL$2001=1)*(元データ!$AN$2:$AN$2001=1)*(元データ!$AE$2:$AE$2001=$C$55)*(元データ!$AO$2:$AO$2001=0)*(元データ!$AM$2:$AM$2001&lt;=7)*(元データ!$E$2:$E$2001="40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56" s="196">
        <f>SUMPRODUCT((元データ!$AL$2:$AL$2001=1)*(元データ!$AN$2:$AN$2001=1)*(元データ!$AE$2:$AE$2001=$C$55)*(元データ!$AO$2:$AO$2001=0)*(元データ!$AM$2:$AM$2001&gt;=8)*(元データ!$AM$2:$AM$2001&lt;=14))</f>
        <v/>
      </c>
      <c r="R56" s="197">
        <f>SUMPRODUCT((元データ!$AL$2:$AL$2001=1)*(元データ!$AN$2:$AN$2001=1)*(元データ!$AE$2:$AE$2001=$C$55)*(元データ!$AO$2:$AO$2001=0)*(元データ!$AM$2:$AM$2001&gt;=8)*(元データ!$AM$2:$AM$2001&lt;=14)*(元データ!$E$2:$E$2001="20 確認待ち"))</f>
        <v/>
      </c>
      <c r="S56" s="198">
        <f>IFERROR(_xlfn.TEXTJOIN(CHAR(10),TRUE,IF((元データ!$AL$2:$AL$2001=1)*(元データ!$AN$2:$AN$2001=1)*(元データ!$AE$2:$AE$2001=$C$55)*(元データ!$AO$2:$AO$2001=0)*(元データ!$AM$2:$AM$2001&gt;=8)*(元データ!$AM$2:$AM$2001&lt;=14)*(元データ!$E$2:$E$2001="20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56" s="197">
        <f>SUMPRODUCT((元データ!$AL$2:$AL$2001=1)*(元データ!$AN$2:$AN$2001=1)*(元データ!$AE$2:$AE$2001=$C$55)*(元データ!$AO$2:$AO$2001=0)*(元データ!$AM$2:$AM$2001&gt;=8)*(元データ!$AM$2:$AM$2001&lt;=14)*(元データ!$E$2:$E$2001="30 申請受付"))</f>
        <v/>
      </c>
      <c r="U56" s="198">
        <f>IFERROR(_xlfn.TEXTJOIN(CHAR(10),TRUE,IF((元データ!$AL$2:$AL$2001=1)*(元データ!$AN$2:$AN$2001=1)*(元データ!$AE$2:$AE$2001=$C$55)*(元データ!$AO$2:$AO$2001=0)*(元データ!$AM$2:$AM$2001&gt;=8)*(元データ!$AM$2:$AM$2001&lt;=14)*(元データ!$E$2:$E$2001="30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56" s="197">
        <f>SUMPRODUCT((元データ!$AL$2:$AL$2001=1)*(元データ!$AN$2:$AN$2001=1)*(元データ!$AE$2:$AE$2001=$C$55)*(元データ!$AO$2:$AO$2001=0)*(元データ!$AM$2:$AM$2001&gt;=8)*(元データ!$AM$2:$AM$2001&lt;=14)*(元データ!$E$2:$E$2001="31 ＯＰ確認中"))</f>
        <v/>
      </c>
      <c r="W56" s="198">
        <f>IFERROR(_xlfn.TEXTJOIN(CHAR(10),TRUE,IF((元データ!$AL$2:$AL$2001=1)*(元データ!$AN$2:$AN$2001=1)*(元データ!$AE$2:$AE$2001=$C$55)*(元データ!$AO$2:$AO$2001=0)*(元データ!$AM$2:$AM$2001&gt;=8)*(元データ!$AM$2:$AM$2001&lt;=14)*(元データ!$E$2:$E$2001="31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56" s="197">
        <f>SUMPRODUCT((元データ!$AL$2:$AL$2001=1)*(元データ!$AN$2:$AN$2001=1)*(元データ!$AE$2:$AE$2001=$C$55)*(元データ!$AO$2:$AO$2001=0)*(元データ!$AM$2:$AM$2001&gt;=8)*(元データ!$AM$2:$AM$2001&lt;=14)*(元データ!$E$2:$E$2001="32 ＳＶ確認中"))</f>
        <v/>
      </c>
      <c r="Y56" s="198">
        <f>IFERROR(_xlfn.TEXTJOIN(CHAR(10),TRUE,IF((元データ!$AL$2:$AL$2001=1)*(元データ!$AN$2:$AN$2001=1)*(元データ!$AE$2:$AE$2001=$C$55)*(元データ!$AO$2:$AO$2001=0)*(元データ!$AM$2:$AM$2001&gt;=8)*(元データ!$AM$2:$AM$2001&lt;=14)*(元データ!$E$2:$E$2001="32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56" s="197">
        <f>SUMPRODUCT((元データ!$AL$2:$AL$2001=1)*(元データ!$AN$2:$AN$2001=1)*(元データ!$AE$2:$AE$2001=$C$55)*(元データ!$AO$2:$AO$2001=0)*(元データ!$AM$2:$AM$2001&gt;=8)*(元データ!$AM$2:$AM$2001&lt;=14)*(元データ!$E$2:$E$2001="40 差戻し"))</f>
        <v/>
      </c>
      <c r="AA56" s="198">
        <f>IFERROR(_xlfn.TEXTJOIN(CHAR(10),TRUE,IF((元データ!$AL$2:$AL$2001=1)*(元データ!$AN$2:$AN$2001=1)*(元データ!$AE$2:$AE$2001=$C$55)*(元データ!$AO$2:$AO$2001=0)*(元データ!$AM$2:$AM$2001&gt;=8)*(元データ!$AM$2:$AM$2001&lt;=14)*(元データ!$E$2:$E$2001="40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56" s="187">
        <f>SUMPRODUCT((元データ!$AL$2:$AL$2001=1)*(元データ!$AN$2:$AN$2001=1)*(元データ!$AE$2:$AE$2001=$C$55)*(元データ!$AO$2:$AO$2001=0)*(元データ!$AM$2:$AM$2001&gt;=15)*(元データ!$AM$2:$AM$2001&lt;=21))</f>
        <v/>
      </c>
      <c r="AC56" s="188">
        <f>SUMPRODUCT((元データ!$AL$2:$AL$2001=1)*(元データ!$AN$2:$AN$2001=1)*(元データ!$AE$2:$AE$2001=$C$55)*(元データ!$AO$2:$AO$2001=0)*(元データ!$AM$2:$AM$2001&gt;=15)*(元データ!$AM$2:$AM$2001&lt;=21)*(元データ!$E$2:$E$2001="20 確認待ち"))</f>
        <v/>
      </c>
      <c r="AD56" s="189">
        <f>IFERROR(_xlfn.TEXTJOIN(CHAR(10),TRUE,IF((元データ!$AL$2:$AL$2001=1)*(元データ!$AN$2:$AN$2001=1)*(元データ!$AE$2:$AE$2001=$C$55)*(元データ!$AO$2:$AO$2001=0)*(元データ!$AM$2:$AM$2001&gt;=15)*(元データ!$AM$2:$AM$2001&lt;=21)*(元データ!$E$2:$E$2001="20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56" s="188">
        <f>SUMPRODUCT((元データ!$AL$2:$AL$2001=1)*(元データ!$AN$2:$AN$2001=1)*(元データ!$AE$2:$AE$2001=$C$55)*(元データ!$AO$2:$AO$2001=0)*(元データ!$AM$2:$AM$2001&gt;=15)*(元データ!$AM$2:$AM$2001&lt;=21)*(元データ!$E$2:$E$2001="30 申請受付"))</f>
        <v/>
      </c>
      <c r="AF56" s="189">
        <f>IFERROR(_xlfn.TEXTJOIN(CHAR(10),TRUE,IF((元データ!$AL$2:$AL$2001=1)*(元データ!$AN$2:$AN$2001=1)*(元データ!$AE$2:$AE$2001=$C$55)*(元データ!$AO$2:$AO$2001=0)*(元データ!$AM$2:$AM$2001&gt;=15)*(元データ!$AM$2:$AM$2001&lt;=21)*(元データ!$E$2:$E$2001="30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56" s="188">
        <f>SUMPRODUCT((元データ!$AL$2:$AL$2001=1)*(元データ!$AN$2:$AN$2001=1)*(元データ!$AE$2:$AE$2001=$C$55)*(元データ!$AO$2:$AO$2001=0)*(元データ!$AM$2:$AM$2001&gt;=15)*(元データ!$AM$2:$AM$2001&lt;=21)*(元データ!$E$2:$E$2001="31 ＯＰ確認中"))</f>
        <v/>
      </c>
      <c r="AH56" s="189">
        <f>IFERROR(_xlfn.TEXTJOIN(CHAR(10),TRUE,IF((元データ!$AL$2:$AL$2001=1)*(元データ!$AN$2:$AN$2001=1)*(元データ!$AE$2:$AE$2001=$C$55)*(元データ!$AO$2:$AO$2001=0)*(元データ!$AM$2:$AM$2001&gt;=15)*(元データ!$AM$2:$AM$2001&lt;=21)*(元データ!$E$2:$E$2001="31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56" s="188">
        <f>SUMPRODUCT((元データ!$AL$2:$AL$2001=1)*(元データ!$AN$2:$AN$2001=1)*(元データ!$AE$2:$AE$2001=$C$55)*(元データ!$AO$2:$AO$2001=0)*(元データ!$AM$2:$AM$2001&gt;=15)*(元データ!$AM$2:$AM$2001&lt;=21)*(元データ!$E$2:$E$2001="32 ＳＶ確認中"))</f>
        <v/>
      </c>
      <c r="AJ56" s="189">
        <f>IFERROR(_xlfn.TEXTJOIN(CHAR(10),TRUE,IF((元データ!$AL$2:$AL$2001=1)*(元データ!$AN$2:$AN$2001=1)*(元データ!$AE$2:$AE$2001=$C$55)*(元データ!$AO$2:$AO$2001=0)*(元データ!$AM$2:$AM$2001&gt;=15)*(元データ!$AM$2:$AM$2001&lt;=21)*(元データ!$E$2:$E$2001="32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56" s="188">
        <f>SUMPRODUCT((元データ!$AL$2:$AL$2001=1)*(元データ!$AN$2:$AN$2001=1)*(元データ!$AE$2:$AE$2001=$C$55)*(元データ!$AO$2:$AO$2001=0)*(元データ!$AM$2:$AM$2001&gt;=15)*(元データ!$AM$2:$AM$2001&lt;=21)*(元データ!$E$2:$E$2001="40 差戻し"))</f>
        <v/>
      </c>
      <c r="AL56" s="189">
        <f>IFERROR(_xlfn.TEXTJOIN(CHAR(10),TRUE,IF((元データ!$AL$2:$AL$2001=1)*(元データ!$AN$2:$AN$2001=1)*(元データ!$AE$2:$AE$2001=$C$55)*(元データ!$AO$2:$AO$2001=0)*(元データ!$AM$2:$AM$2001&gt;=15)*(元データ!$AM$2:$AM$2001&lt;=21)*(元データ!$E$2:$E$2001="40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56" s="190">
        <f>SUMPRODUCT((元データ!$AL$2:$AL$2001=1)*(元データ!$AN$2:$AN$2001=1)*(元データ!$AE$2:$AE$2001=$C$55)*(元データ!$AO$2:$AO$2001=0)*(元データ!$AM$2:$AM$2001&gt;=22)*(元データ!$AM$2:$AM$2001&lt;=30))</f>
        <v/>
      </c>
      <c r="AN56" s="191">
        <f>SUMPRODUCT((元データ!$AL$2:$AL$2001=1)*(元データ!$AN$2:$AN$2001=1)*(元データ!$AE$2:$AE$2001=$C$55)*(元データ!$AO$2:$AO$2001=0)*(元データ!$AM$2:$AM$2001&gt;=22)*(元データ!$AM$2:$AM$2001&lt;=30)*(元データ!$E$2:$E$2001="20 確認待ち"))</f>
        <v/>
      </c>
      <c r="AO56" s="192">
        <f>IFERROR(_xlfn.TEXTJOIN(CHAR(10),TRUE,IF((元データ!$AL$2:$AL$2001=1)*(元データ!$AN$2:$AN$2001=1)*(元データ!$AE$2:$AE$2001=$C$55)*(元データ!$AO$2:$AO$2001=0)*(元データ!$AM$2:$AM$2001&gt;=22)*(元データ!$AM$2:$AM$2001&lt;=30)*(元データ!$E$2:$E$2001="20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56" s="191">
        <f>SUMPRODUCT((元データ!$AL$2:$AL$2001=1)*(元データ!$AN$2:$AN$2001=1)*(元データ!$AE$2:$AE$2001=$C$55)*(元データ!$AO$2:$AO$2001=0)*(元データ!$AM$2:$AM$2001&gt;=22)*(元データ!$AM$2:$AM$2001&lt;=30)*(元データ!$E$2:$E$2001="30 申請受付"))</f>
        <v/>
      </c>
      <c r="AQ56" s="192">
        <f>IFERROR(_xlfn.TEXTJOIN(CHAR(10),TRUE,IF((元データ!$AL$2:$AL$2001=1)*(元データ!$AN$2:$AN$2001=1)*(元データ!$AE$2:$AE$2001=$C$55)*(元データ!$AO$2:$AO$2001=0)*(元データ!$AM$2:$AM$2001&gt;=22)*(元データ!$AM$2:$AM$2001&lt;=30)*(元データ!$E$2:$E$2001="30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56" s="191">
        <f>SUMPRODUCT((元データ!$AL$2:$AL$2001=1)*(元データ!$AN$2:$AN$2001=1)*(元データ!$AE$2:$AE$2001=$C$55)*(元データ!$AO$2:$AO$2001=0)*(元データ!$AM$2:$AM$2001&gt;=22)*(元データ!$AM$2:$AM$2001&lt;=30)*(元データ!$E$2:$E$2001="31 ＯＰ確認中"))</f>
        <v/>
      </c>
      <c r="AS56" s="192">
        <f>IFERROR(_xlfn.TEXTJOIN(CHAR(10),TRUE,IF((元データ!$AL$2:$AL$2001=1)*(元データ!$AN$2:$AN$2001=1)*(元データ!$AE$2:$AE$2001=$C$55)*(元データ!$AO$2:$AO$2001=0)*(元データ!$AM$2:$AM$2001&gt;=22)*(元データ!$AM$2:$AM$2001&lt;=30)*(元データ!$E$2:$E$2001="31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56" s="191">
        <f>SUMPRODUCT((元データ!$AL$2:$AL$2001=1)*(元データ!$AN$2:$AN$2001=1)*(元データ!$AE$2:$AE$2001=$C$55)*(元データ!$AO$2:$AO$2001=0)*(元データ!$AM$2:$AM$2001&gt;=22)*(元データ!$AM$2:$AM$2001&lt;=30)*(元データ!$E$2:$E$2001="32 ＳＶ確認中"))</f>
        <v/>
      </c>
      <c r="AU56" s="192">
        <f>IFERROR(_xlfn.TEXTJOIN(CHAR(10),TRUE,IF((元データ!$AL$2:$AL$2001=1)*(元データ!$AN$2:$AN$2001=1)*(元データ!$AE$2:$AE$2001=$C$55)*(元データ!$AO$2:$AO$2001=0)*(元データ!$AM$2:$AM$2001&gt;=22)*(元データ!$AM$2:$AM$2001&lt;=30)*(元データ!$E$2:$E$2001="32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56" s="191">
        <f>SUMPRODUCT((元データ!$AL$2:$AL$2001=1)*(元データ!$AN$2:$AN$2001=1)*(元データ!$AE$2:$AE$2001=$C$55)*(元データ!$AO$2:$AO$2001=0)*(元データ!$AM$2:$AM$2001&gt;=22)*(元データ!$AM$2:$AM$2001&lt;=30)*(元データ!$E$2:$E$2001="40 差戻し"))</f>
        <v/>
      </c>
      <c r="AW56" s="192">
        <f>IFERROR(_xlfn.TEXTJOIN(CHAR(10),TRUE,IF((元データ!$AL$2:$AL$2001=1)*(元データ!$AN$2:$AN$2001=1)*(元データ!$AE$2:$AE$2001=$C$55)*(元データ!$AO$2:$AO$2001=0)*(元データ!$AM$2:$AM$2001&gt;=22)*(元データ!$AM$2:$AM$2001&lt;=30)*(元データ!$E$2:$E$2001="40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56" s="193">
        <f>SUMPRODUCT((元データ!$AL$2:$AL$2001=1)*(元データ!$AN$2:$AN$2001=1)*(元データ!$AE$2:$AE$2001=$C$55)*(元データ!$AO$2:$AO$2001=0)*(元データ!$AM$2:$AM$2001&gt;=31))</f>
        <v/>
      </c>
      <c r="AY56" s="194">
        <f>SUMPRODUCT((元データ!$AL$2:$AL$2001=1)*(元データ!$AN$2:$AN$2001=1)*(元データ!$AE$2:$AE$2001=$C$55)*(元データ!$AO$2:$AO$2001=0)*(元データ!$AM$2:$AM$2001&gt;=31)*(元データ!$E$2:$E$2001="20 確認待ち"))</f>
        <v/>
      </c>
      <c r="AZ56" s="195">
        <f>IFERROR(_xlfn.TEXTJOIN(CHAR(10),TRUE,IF((元データ!$AL$2:$AL$2001=1)*(元データ!$AN$2:$AN$2001=1)*(元データ!$AE$2:$AE$2001=$C$55)*(元データ!$AO$2:$AO$2001=0)*(元データ!$AM$2:$AM$2001&gt;=31)*(元データ!$E$2:$E$2001="20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56" s="194">
        <f>SUMPRODUCT((元データ!$AL$2:$AL$2001=1)*(元データ!$AN$2:$AN$2001=1)*(元データ!$AE$2:$AE$2001=$C$55)*(元データ!$AO$2:$AO$2001=0)*(元データ!$AM$2:$AM$2001&gt;=31)*(元データ!$E$2:$E$2001="30 申請受付"))</f>
        <v/>
      </c>
      <c r="BB56" s="195">
        <f>IFERROR(_xlfn.TEXTJOIN(CHAR(10),TRUE,IF((元データ!$AL$2:$AL$2001=1)*(元データ!$AN$2:$AN$2001=1)*(元データ!$AE$2:$AE$2001=$C$55)*(元データ!$AO$2:$AO$2001=0)*(元データ!$AM$2:$AM$2001&gt;=31)*(元データ!$E$2:$E$2001="30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56" s="194">
        <f>SUMPRODUCT((元データ!$AL$2:$AL$2001=1)*(元データ!$AN$2:$AN$2001=1)*(元データ!$AE$2:$AE$2001=$C$55)*(元データ!$AO$2:$AO$2001=0)*(元データ!$AM$2:$AM$2001&gt;=31)*(元データ!$E$2:$E$2001="31 ＯＰ確認中"))</f>
        <v/>
      </c>
      <c r="BD56" s="195">
        <f>IFERROR(_xlfn.TEXTJOIN(CHAR(10),TRUE,IF((元データ!$AL$2:$AL$2001=1)*(元データ!$AN$2:$AN$2001=1)*(元データ!$AE$2:$AE$2001=$C$55)*(元データ!$AO$2:$AO$2001=0)*(元データ!$AM$2:$AM$2001&gt;=31)*(元データ!$E$2:$E$2001="31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56" s="194">
        <f>SUMPRODUCT((元データ!$AL$2:$AL$2001=1)*(元データ!$AN$2:$AN$2001=1)*(元データ!$AE$2:$AE$2001=$C$55)*(元データ!$AO$2:$AO$2001=0)*(元データ!$AM$2:$AM$2001&gt;=31)*(元データ!$E$2:$E$2001="32 ＳＶ確認中"))</f>
        <v/>
      </c>
      <c r="BF56" s="195">
        <f>IFERROR(_xlfn.TEXTJOIN(CHAR(10),TRUE,IF((元データ!$AL$2:$AL$2001=1)*(元データ!$AN$2:$AN$2001=1)*(元データ!$AE$2:$AE$2001=$C$55)*(元データ!$AO$2:$AO$2001=0)*(元データ!$AM$2:$AM$2001&gt;=31)*(元データ!$E$2:$E$2001="32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56" s="194">
        <f>SUMPRODUCT((元データ!$AL$2:$AL$2001=1)*(元データ!$AN$2:$AN$2001=1)*(元データ!$AE$2:$AE$2001=$C$55)*(元データ!$AO$2:$AO$2001=0)*(元データ!$AM$2:$AM$2001&gt;=31)*(元データ!$E$2:$E$2001="40 差戻し"))</f>
        <v/>
      </c>
      <c r="BH56" s="195">
        <f>IFERROR(_xlfn.TEXTJOIN(CHAR(10),TRUE,IF((元データ!$AL$2:$AL$2001=1)*(元データ!$AN$2:$AN$2001=1)*(元データ!$AE$2:$AE$2001=$C$55)*(元データ!$AO$2:$AO$2001=0)*(元データ!$AM$2:$AM$2001&gt;=31)*(元データ!$E$2:$E$2001="40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57" ht="19.5" customHeight="1" s="87">
      <c r="B57" s="139" t="n"/>
      <c r="C57" s="140" t="inlineStr">
        <is>
          <t>48 雇用保険受給開始</t>
        </is>
      </c>
      <c r="D57" s="141" t="inlineStr">
        <is>
          <t>あり</t>
        </is>
      </c>
      <c r="E57" s="142">
        <f>SUMPRODUCT((元データ!$AL$2:$AL$2001=1)*(元データ!$AN$2:$AN$2001=1)*(元データ!$AE$2:$AE$2001=$C$57)*(元データ!$AO$2:$AO$2001=1))</f>
        <v/>
      </c>
      <c r="F57" s="184">
        <f>SUMPRODUCT((元データ!$AL$2:$AL$2001=1)*(元データ!$AN$2:$AN$2001=1)*(元データ!$AE$2:$AE$2001=$C$57)*(元データ!$AO$2:$AO$2001=1)*(元データ!$AM$2:$AM$2001&lt;=7))</f>
        <v/>
      </c>
      <c r="G57" s="185">
        <f>SUMPRODUCT((元データ!$AL$2:$AL$2001=1)*(元データ!$AN$2:$AN$2001=1)*(元データ!$AE$2:$AE$2001=$C$57)*(元データ!$AO$2:$AO$2001=1)*(元データ!$AM$2:$AM$2001&lt;=7)*(元データ!$E$2:$E$2001="20 確認待ち"))</f>
        <v/>
      </c>
      <c r="H57" s="186">
        <f>IFERROR(_xlfn.TEXTJOIN(CHAR(10),TRUE,IF((元データ!$AL$2:$AL$2001=1)*(元データ!$AN$2:$AN$2001=1)*(元データ!$AE$2:$AE$2001=$C$57)*(元データ!$AO$2:$AO$2001=1)*(元データ!$AM$2:$AM$2001&lt;=7)*(元データ!$E$2:$E$2001="20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57" s="185">
        <f>SUMPRODUCT((元データ!$AL$2:$AL$2001=1)*(元データ!$AN$2:$AN$2001=1)*(元データ!$AE$2:$AE$2001=$C$57)*(元データ!$AO$2:$AO$2001=1)*(元データ!$AM$2:$AM$2001&lt;=7)*(元データ!$E$2:$E$2001="30 申請受付"))</f>
        <v/>
      </c>
      <c r="J57" s="186">
        <f>IFERROR(_xlfn.TEXTJOIN(CHAR(10),TRUE,IF((元データ!$AL$2:$AL$2001=1)*(元データ!$AN$2:$AN$2001=1)*(元データ!$AE$2:$AE$2001=$C$57)*(元データ!$AO$2:$AO$2001=1)*(元データ!$AM$2:$AM$2001&lt;=7)*(元データ!$E$2:$E$2001="30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57" s="185">
        <f>SUMPRODUCT((元データ!$AL$2:$AL$2001=1)*(元データ!$AN$2:$AN$2001=1)*(元データ!$AE$2:$AE$2001=$C$57)*(元データ!$AO$2:$AO$2001=1)*(元データ!$AM$2:$AM$2001&lt;=7)*(元データ!$E$2:$E$2001="31 ＯＰ確認中"))</f>
        <v/>
      </c>
      <c r="L57" s="186">
        <f>IFERROR(_xlfn.TEXTJOIN(CHAR(10),TRUE,IF((元データ!$AL$2:$AL$2001=1)*(元データ!$AN$2:$AN$2001=1)*(元データ!$AE$2:$AE$2001=$C$57)*(元データ!$AO$2:$AO$2001=1)*(元データ!$AM$2:$AM$2001&lt;=7)*(元データ!$E$2:$E$2001="31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57" s="185">
        <f>SUMPRODUCT((元データ!$AL$2:$AL$2001=1)*(元データ!$AN$2:$AN$2001=1)*(元データ!$AE$2:$AE$2001=$C$57)*(元データ!$AO$2:$AO$2001=1)*(元データ!$AM$2:$AM$2001&lt;=7)*(元データ!$E$2:$E$2001="32 ＳＶ確認中"))</f>
        <v/>
      </c>
      <c r="N57" s="186">
        <f>IFERROR(_xlfn.TEXTJOIN(CHAR(10),TRUE,IF((元データ!$AL$2:$AL$2001=1)*(元データ!$AN$2:$AN$2001=1)*(元データ!$AE$2:$AE$2001=$C$57)*(元データ!$AO$2:$AO$2001=1)*(元データ!$AM$2:$AM$2001&lt;=7)*(元データ!$E$2:$E$2001="32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57" s="185">
        <f>SUMPRODUCT((元データ!$AL$2:$AL$2001=1)*(元データ!$AN$2:$AN$2001=1)*(元データ!$AE$2:$AE$2001=$C$57)*(元データ!$AO$2:$AO$2001=1)*(元データ!$AM$2:$AM$2001&lt;=7)*(元データ!$E$2:$E$2001="40 差戻し"))</f>
        <v/>
      </c>
      <c r="P57" s="186">
        <f>IFERROR(_xlfn.TEXTJOIN(CHAR(10),TRUE,IF((元データ!$AL$2:$AL$2001=1)*(元データ!$AN$2:$AN$2001=1)*(元データ!$AE$2:$AE$2001=$C$57)*(元データ!$AO$2:$AO$2001=1)*(元データ!$AM$2:$AM$2001&lt;=7)*(元データ!$E$2:$E$2001="40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57" s="184">
        <f>SUMPRODUCT((元データ!$AL$2:$AL$2001=1)*(元データ!$AN$2:$AN$2001=1)*(元データ!$AE$2:$AE$2001=$C$57)*(元データ!$AO$2:$AO$2001=1)*(元データ!$AM$2:$AM$2001&gt;=8)*(元データ!$AM$2:$AM$2001&lt;=14))</f>
        <v/>
      </c>
      <c r="R57" s="185">
        <f>SUMPRODUCT((元データ!$AL$2:$AL$2001=1)*(元データ!$AN$2:$AN$2001=1)*(元データ!$AE$2:$AE$2001=$C$57)*(元データ!$AO$2:$AO$2001=1)*(元データ!$AM$2:$AM$2001&gt;=8)*(元データ!$AM$2:$AM$2001&lt;=14)*(元データ!$E$2:$E$2001="20 確認待ち"))</f>
        <v/>
      </c>
      <c r="S57" s="186">
        <f>IFERROR(_xlfn.TEXTJOIN(CHAR(10),TRUE,IF((元データ!$AL$2:$AL$2001=1)*(元データ!$AN$2:$AN$2001=1)*(元データ!$AE$2:$AE$2001=$C$57)*(元データ!$AO$2:$AO$2001=1)*(元データ!$AM$2:$AM$2001&gt;=8)*(元データ!$AM$2:$AM$2001&lt;=14)*(元データ!$E$2:$E$2001="20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57" s="185">
        <f>SUMPRODUCT((元データ!$AL$2:$AL$2001=1)*(元データ!$AN$2:$AN$2001=1)*(元データ!$AE$2:$AE$2001=$C$57)*(元データ!$AO$2:$AO$2001=1)*(元データ!$AM$2:$AM$2001&gt;=8)*(元データ!$AM$2:$AM$2001&lt;=14)*(元データ!$E$2:$E$2001="30 申請受付"))</f>
        <v/>
      </c>
      <c r="U57" s="186">
        <f>IFERROR(_xlfn.TEXTJOIN(CHAR(10),TRUE,IF((元データ!$AL$2:$AL$2001=1)*(元データ!$AN$2:$AN$2001=1)*(元データ!$AE$2:$AE$2001=$C$57)*(元データ!$AO$2:$AO$2001=1)*(元データ!$AM$2:$AM$2001&gt;=8)*(元データ!$AM$2:$AM$2001&lt;=14)*(元データ!$E$2:$E$2001="30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57" s="185">
        <f>SUMPRODUCT((元データ!$AL$2:$AL$2001=1)*(元データ!$AN$2:$AN$2001=1)*(元データ!$AE$2:$AE$2001=$C$57)*(元データ!$AO$2:$AO$2001=1)*(元データ!$AM$2:$AM$2001&gt;=8)*(元データ!$AM$2:$AM$2001&lt;=14)*(元データ!$E$2:$E$2001="31 ＯＰ確認中"))</f>
        <v/>
      </c>
      <c r="W57" s="186">
        <f>IFERROR(_xlfn.TEXTJOIN(CHAR(10),TRUE,IF((元データ!$AL$2:$AL$2001=1)*(元データ!$AN$2:$AN$2001=1)*(元データ!$AE$2:$AE$2001=$C$57)*(元データ!$AO$2:$AO$2001=1)*(元データ!$AM$2:$AM$2001&gt;=8)*(元データ!$AM$2:$AM$2001&lt;=14)*(元データ!$E$2:$E$2001="31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57" s="185">
        <f>SUMPRODUCT((元データ!$AL$2:$AL$2001=1)*(元データ!$AN$2:$AN$2001=1)*(元データ!$AE$2:$AE$2001=$C$57)*(元データ!$AO$2:$AO$2001=1)*(元データ!$AM$2:$AM$2001&gt;=8)*(元データ!$AM$2:$AM$2001&lt;=14)*(元データ!$E$2:$E$2001="32 ＳＶ確認中"))</f>
        <v/>
      </c>
      <c r="Y57" s="186">
        <f>IFERROR(_xlfn.TEXTJOIN(CHAR(10),TRUE,IF((元データ!$AL$2:$AL$2001=1)*(元データ!$AN$2:$AN$2001=1)*(元データ!$AE$2:$AE$2001=$C$57)*(元データ!$AO$2:$AO$2001=1)*(元データ!$AM$2:$AM$2001&gt;=8)*(元データ!$AM$2:$AM$2001&lt;=14)*(元データ!$E$2:$E$2001="32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57" s="185">
        <f>SUMPRODUCT((元データ!$AL$2:$AL$2001=1)*(元データ!$AN$2:$AN$2001=1)*(元データ!$AE$2:$AE$2001=$C$57)*(元データ!$AO$2:$AO$2001=1)*(元データ!$AM$2:$AM$2001&gt;=8)*(元データ!$AM$2:$AM$2001&lt;=14)*(元データ!$E$2:$E$2001="40 差戻し"))</f>
        <v/>
      </c>
      <c r="AA57" s="186">
        <f>IFERROR(_xlfn.TEXTJOIN(CHAR(10),TRUE,IF((元データ!$AL$2:$AL$2001=1)*(元データ!$AN$2:$AN$2001=1)*(元データ!$AE$2:$AE$2001=$C$57)*(元データ!$AO$2:$AO$2001=1)*(元データ!$AM$2:$AM$2001&gt;=8)*(元データ!$AM$2:$AM$2001&lt;=14)*(元データ!$E$2:$E$2001="40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57" s="187">
        <f>SUMPRODUCT((元データ!$AL$2:$AL$2001=1)*(元データ!$AN$2:$AN$2001=1)*(元データ!$AE$2:$AE$2001=$C$57)*(元データ!$AO$2:$AO$2001=1)*(元データ!$AM$2:$AM$2001&gt;=15)*(元データ!$AM$2:$AM$2001&lt;=21))</f>
        <v/>
      </c>
      <c r="AC57" s="188">
        <f>SUMPRODUCT((元データ!$AL$2:$AL$2001=1)*(元データ!$AN$2:$AN$2001=1)*(元データ!$AE$2:$AE$2001=$C$57)*(元データ!$AO$2:$AO$2001=1)*(元データ!$AM$2:$AM$2001&gt;=15)*(元データ!$AM$2:$AM$2001&lt;=21)*(元データ!$E$2:$E$2001="20 確認待ち"))</f>
        <v/>
      </c>
      <c r="AD57" s="189">
        <f>IFERROR(_xlfn.TEXTJOIN(CHAR(10),TRUE,IF((元データ!$AL$2:$AL$2001=1)*(元データ!$AN$2:$AN$2001=1)*(元データ!$AE$2:$AE$2001=$C$57)*(元データ!$AO$2:$AO$2001=1)*(元データ!$AM$2:$AM$2001&gt;=15)*(元データ!$AM$2:$AM$2001&lt;=21)*(元データ!$E$2:$E$2001="20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57" s="188">
        <f>SUMPRODUCT((元データ!$AL$2:$AL$2001=1)*(元データ!$AN$2:$AN$2001=1)*(元データ!$AE$2:$AE$2001=$C$57)*(元データ!$AO$2:$AO$2001=1)*(元データ!$AM$2:$AM$2001&gt;=15)*(元データ!$AM$2:$AM$2001&lt;=21)*(元データ!$E$2:$E$2001="30 申請受付"))</f>
        <v/>
      </c>
      <c r="AF57" s="189">
        <f>IFERROR(_xlfn.TEXTJOIN(CHAR(10),TRUE,IF((元データ!$AL$2:$AL$2001=1)*(元データ!$AN$2:$AN$2001=1)*(元データ!$AE$2:$AE$2001=$C$57)*(元データ!$AO$2:$AO$2001=1)*(元データ!$AM$2:$AM$2001&gt;=15)*(元データ!$AM$2:$AM$2001&lt;=21)*(元データ!$E$2:$E$2001="30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57" s="188">
        <f>SUMPRODUCT((元データ!$AL$2:$AL$2001=1)*(元データ!$AN$2:$AN$2001=1)*(元データ!$AE$2:$AE$2001=$C$57)*(元データ!$AO$2:$AO$2001=1)*(元データ!$AM$2:$AM$2001&gt;=15)*(元データ!$AM$2:$AM$2001&lt;=21)*(元データ!$E$2:$E$2001="31 ＯＰ確認中"))</f>
        <v/>
      </c>
      <c r="AH57" s="189">
        <f>IFERROR(_xlfn.TEXTJOIN(CHAR(10),TRUE,IF((元データ!$AL$2:$AL$2001=1)*(元データ!$AN$2:$AN$2001=1)*(元データ!$AE$2:$AE$2001=$C$57)*(元データ!$AO$2:$AO$2001=1)*(元データ!$AM$2:$AM$2001&gt;=15)*(元データ!$AM$2:$AM$2001&lt;=21)*(元データ!$E$2:$E$2001="31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57" s="188">
        <f>SUMPRODUCT((元データ!$AL$2:$AL$2001=1)*(元データ!$AN$2:$AN$2001=1)*(元データ!$AE$2:$AE$2001=$C$57)*(元データ!$AO$2:$AO$2001=1)*(元データ!$AM$2:$AM$2001&gt;=15)*(元データ!$AM$2:$AM$2001&lt;=21)*(元データ!$E$2:$E$2001="32 ＳＶ確認中"))</f>
        <v/>
      </c>
      <c r="AJ57" s="189">
        <f>IFERROR(_xlfn.TEXTJOIN(CHAR(10),TRUE,IF((元データ!$AL$2:$AL$2001=1)*(元データ!$AN$2:$AN$2001=1)*(元データ!$AE$2:$AE$2001=$C$57)*(元データ!$AO$2:$AO$2001=1)*(元データ!$AM$2:$AM$2001&gt;=15)*(元データ!$AM$2:$AM$2001&lt;=21)*(元データ!$E$2:$E$2001="32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57" s="188">
        <f>SUMPRODUCT((元データ!$AL$2:$AL$2001=1)*(元データ!$AN$2:$AN$2001=1)*(元データ!$AE$2:$AE$2001=$C$57)*(元データ!$AO$2:$AO$2001=1)*(元データ!$AM$2:$AM$2001&gt;=15)*(元データ!$AM$2:$AM$2001&lt;=21)*(元データ!$E$2:$E$2001="40 差戻し"))</f>
        <v/>
      </c>
      <c r="AL57" s="189">
        <f>IFERROR(_xlfn.TEXTJOIN(CHAR(10),TRUE,IF((元データ!$AL$2:$AL$2001=1)*(元データ!$AN$2:$AN$2001=1)*(元データ!$AE$2:$AE$2001=$C$57)*(元データ!$AO$2:$AO$2001=1)*(元データ!$AM$2:$AM$2001&gt;=15)*(元データ!$AM$2:$AM$2001&lt;=21)*(元データ!$E$2:$E$2001="40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57" s="190">
        <f>SUMPRODUCT((元データ!$AL$2:$AL$2001=1)*(元データ!$AN$2:$AN$2001=1)*(元データ!$AE$2:$AE$2001=$C$57)*(元データ!$AO$2:$AO$2001=1)*(元データ!$AM$2:$AM$2001&gt;=22)*(元データ!$AM$2:$AM$2001&lt;=30))</f>
        <v/>
      </c>
      <c r="AN57" s="191">
        <f>SUMPRODUCT((元データ!$AL$2:$AL$2001=1)*(元データ!$AN$2:$AN$2001=1)*(元データ!$AE$2:$AE$2001=$C$57)*(元データ!$AO$2:$AO$2001=1)*(元データ!$AM$2:$AM$2001&gt;=22)*(元データ!$AM$2:$AM$2001&lt;=30)*(元データ!$E$2:$E$2001="20 確認待ち"))</f>
        <v/>
      </c>
      <c r="AO57" s="192">
        <f>IFERROR(_xlfn.TEXTJOIN(CHAR(10),TRUE,IF((元データ!$AL$2:$AL$2001=1)*(元データ!$AN$2:$AN$2001=1)*(元データ!$AE$2:$AE$2001=$C$57)*(元データ!$AO$2:$AO$2001=1)*(元データ!$AM$2:$AM$2001&gt;=22)*(元データ!$AM$2:$AM$2001&lt;=30)*(元データ!$E$2:$E$2001="20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57" s="191">
        <f>SUMPRODUCT((元データ!$AL$2:$AL$2001=1)*(元データ!$AN$2:$AN$2001=1)*(元データ!$AE$2:$AE$2001=$C$57)*(元データ!$AO$2:$AO$2001=1)*(元データ!$AM$2:$AM$2001&gt;=22)*(元データ!$AM$2:$AM$2001&lt;=30)*(元データ!$E$2:$E$2001="30 申請受付"))</f>
        <v/>
      </c>
      <c r="AQ57" s="192">
        <f>IFERROR(_xlfn.TEXTJOIN(CHAR(10),TRUE,IF((元データ!$AL$2:$AL$2001=1)*(元データ!$AN$2:$AN$2001=1)*(元データ!$AE$2:$AE$2001=$C$57)*(元データ!$AO$2:$AO$2001=1)*(元データ!$AM$2:$AM$2001&gt;=22)*(元データ!$AM$2:$AM$2001&lt;=30)*(元データ!$E$2:$E$2001="30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57" s="191">
        <f>SUMPRODUCT((元データ!$AL$2:$AL$2001=1)*(元データ!$AN$2:$AN$2001=1)*(元データ!$AE$2:$AE$2001=$C$57)*(元データ!$AO$2:$AO$2001=1)*(元データ!$AM$2:$AM$2001&gt;=22)*(元データ!$AM$2:$AM$2001&lt;=30)*(元データ!$E$2:$E$2001="31 ＯＰ確認中"))</f>
        <v/>
      </c>
      <c r="AS57" s="192">
        <f>IFERROR(_xlfn.TEXTJOIN(CHAR(10),TRUE,IF((元データ!$AL$2:$AL$2001=1)*(元データ!$AN$2:$AN$2001=1)*(元データ!$AE$2:$AE$2001=$C$57)*(元データ!$AO$2:$AO$2001=1)*(元データ!$AM$2:$AM$2001&gt;=22)*(元データ!$AM$2:$AM$2001&lt;=30)*(元データ!$E$2:$E$2001="31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57" s="191">
        <f>SUMPRODUCT((元データ!$AL$2:$AL$2001=1)*(元データ!$AN$2:$AN$2001=1)*(元データ!$AE$2:$AE$2001=$C$57)*(元データ!$AO$2:$AO$2001=1)*(元データ!$AM$2:$AM$2001&gt;=22)*(元データ!$AM$2:$AM$2001&lt;=30)*(元データ!$E$2:$E$2001="32 ＳＶ確認中"))</f>
        <v/>
      </c>
      <c r="AU57" s="192">
        <f>IFERROR(_xlfn.TEXTJOIN(CHAR(10),TRUE,IF((元データ!$AL$2:$AL$2001=1)*(元データ!$AN$2:$AN$2001=1)*(元データ!$AE$2:$AE$2001=$C$57)*(元データ!$AO$2:$AO$2001=1)*(元データ!$AM$2:$AM$2001&gt;=22)*(元データ!$AM$2:$AM$2001&lt;=30)*(元データ!$E$2:$E$2001="32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57" s="191">
        <f>SUMPRODUCT((元データ!$AL$2:$AL$2001=1)*(元データ!$AN$2:$AN$2001=1)*(元データ!$AE$2:$AE$2001=$C$57)*(元データ!$AO$2:$AO$2001=1)*(元データ!$AM$2:$AM$2001&gt;=22)*(元データ!$AM$2:$AM$2001&lt;=30)*(元データ!$E$2:$E$2001="40 差戻し"))</f>
        <v/>
      </c>
      <c r="AW57" s="192">
        <f>IFERROR(_xlfn.TEXTJOIN(CHAR(10),TRUE,IF((元データ!$AL$2:$AL$2001=1)*(元データ!$AN$2:$AN$2001=1)*(元データ!$AE$2:$AE$2001=$C$57)*(元データ!$AO$2:$AO$2001=1)*(元データ!$AM$2:$AM$2001&gt;=22)*(元データ!$AM$2:$AM$2001&lt;=30)*(元データ!$E$2:$E$2001="40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57" s="193">
        <f>SUMPRODUCT((元データ!$AL$2:$AL$2001=1)*(元データ!$AN$2:$AN$2001=1)*(元データ!$AE$2:$AE$2001=$C$57)*(元データ!$AO$2:$AO$2001=1)*(元データ!$AM$2:$AM$2001&gt;=31))</f>
        <v/>
      </c>
      <c r="AY57" s="194">
        <f>SUMPRODUCT((元データ!$AL$2:$AL$2001=1)*(元データ!$AN$2:$AN$2001=1)*(元データ!$AE$2:$AE$2001=$C$57)*(元データ!$AO$2:$AO$2001=1)*(元データ!$AM$2:$AM$2001&gt;=31)*(元データ!$E$2:$E$2001="20 確認待ち"))</f>
        <v/>
      </c>
      <c r="AZ57" s="195">
        <f>IFERROR(_xlfn.TEXTJOIN(CHAR(10),TRUE,IF((元データ!$AL$2:$AL$2001=1)*(元データ!$AN$2:$AN$2001=1)*(元データ!$AE$2:$AE$2001=$C$57)*(元データ!$AO$2:$AO$2001=1)*(元データ!$AM$2:$AM$2001&gt;=31)*(元データ!$E$2:$E$2001="20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57" s="194">
        <f>SUMPRODUCT((元データ!$AL$2:$AL$2001=1)*(元データ!$AN$2:$AN$2001=1)*(元データ!$AE$2:$AE$2001=$C$57)*(元データ!$AO$2:$AO$2001=1)*(元データ!$AM$2:$AM$2001&gt;=31)*(元データ!$E$2:$E$2001="30 申請受付"))</f>
        <v/>
      </c>
      <c r="BB57" s="195">
        <f>IFERROR(_xlfn.TEXTJOIN(CHAR(10),TRUE,IF((元データ!$AL$2:$AL$2001=1)*(元データ!$AN$2:$AN$2001=1)*(元データ!$AE$2:$AE$2001=$C$57)*(元データ!$AO$2:$AO$2001=1)*(元データ!$AM$2:$AM$2001&gt;=31)*(元データ!$E$2:$E$2001="30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57" s="194">
        <f>SUMPRODUCT((元データ!$AL$2:$AL$2001=1)*(元データ!$AN$2:$AN$2001=1)*(元データ!$AE$2:$AE$2001=$C$57)*(元データ!$AO$2:$AO$2001=1)*(元データ!$AM$2:$AM$2001&gt;=31)*(元データ!$E$2:$E$2001="31 ＯＰ確認中"))</f>
        <v/>
      </c>
      <c r="BD57" s="195">
        <f>IFERROR(_xlfn.TEXTJOIN(CHAR(10),TRUE,IF((元データ!$AL$2:$AL$2001=1)*(元データ!$AN$2:$AN$2001=1)*(元データ!$AE$2:$AE$2001=$C$57)*(元データ!$AO$2:$AO$2001=1)*(元データ!$AM$2:$AM$2001&gt;=31)*(元データ!$E$2:$E$2001="31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57" s="194">
        <f>SUMPRODUCT((元データ!$AL$2:$AL$2001=1)*(元データ!$AN$2:$AN$2001=1)*(元データ!$AE$2:$AE$2001=$C$57)*(元データ!$AO$2:$AO$2001=1)*(元データ!$AM$2:$AM$2001&gt;=31)*(元データ!$E$2:$E$2001="32 ＳＶ確認中"))</f>
        <v/>
      </c>
      <c r="BF57" s="195">
        <f>IFERROR(_xlfn.TEXTJOIN(CHAR(10),TRUE,IF((元データ!$AL$2:$AL$2001=1)*(元データ!$AN$2:$AN$2001=1)*(元データ!$AE$2:$AE$2001=$C$57)*(元データ!$AO$2:$AO$2001=1)*(元データ!$AM$2:$AM$2001&gt;=31)*(元データ!$E$2:$E$2001="32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57" s="194">
        <f>SUMPRODUCT((元データ!$AL$2:$AL$2001=1)*(元データ!$AN$2:$AN$2001=1)*(元データ!$AE$2:$AE$2001=$C$57)*(元データ!$AO$2:$AO$2001=1)*(元データ!$AM$2:$AM$2001&gt;=31)*(元データ!$E$2:$E$2001="40 差戻し"))</f>
        <v/>
      </c>
      <c r="BH57" s="195">
        <f>IFERROR(_xlfn.TEXTJOIN(CHAR(10),TRUE,IF((元データ!$AL$2:$AL$2001=1)*(元データ!$AN$2:$AN$2001=1)*(元データ!$AE$2:$AE$2001=$C$57)*(元データ!$AO$2:$AO$2001=1)*(元データ!$AM$2:$AM$2001&gt;=31)*(元データ!$E$2:$E$2001="40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58" ht="19.5" customHeight="1" s="87">
      <c r="B58" s="155" t="n"/>
      <c r="C58" s="156" t="n"/>
      <c r="D58" s="157" t="inlineStr">
        <is>
          <t>なし</t>
        </is>
      </c>
      <c r="E58" s="158">
        <f>SUMPRODUCT((元データ!$AL$2:$AL$2001=1)*(元データ!$AN$2:$AN$2001=1)*(元データ!$AE$2:$AE$2001=$C$57)*(元データ!$AO$2:$AO$2001=0))</f>
        <v/>
      </c>
      <c r="F58" s="196">
        <f>SUMPRODUCT((元データ!$AL$2:$AL$2001=1)*(元データ!$AN$2:$AN$2001=1)*(元データ!$AE$2:$AE$2001=$C$57)*(元データ!$AO$2:$AO$2001=0)*(元データ!$AM$2:$AM$2001&lt;=7))</f>
        <v/>
      </c>
      <c r="G58" s="197">
        <f>SUMPRODUCT((元データ!$AL$2:$AL$2001=1)*(元データ!$AN$2:$AN$2001=1)*(元データ!$AE$2:$AE$2001=$C$57)*(元データ!$AO$2:$AO$2001=0)*(元データ!$AM$2:$AM$2001&lt;=7)*(元データ!$E$2:$E$2001="20 確認待ち"))</f>
        <v/>
      </c>
      <c r="H58" s="198">
        <f>IFERROR(_xlfn.TEXTJOIN(CHAR(10),TRUE,IF((元データ!$AL$2:$AL$2001=1)*(元データ!$AN$2:$AN$2001=1)*(元データ!$AE$2:$AE$2001=$C$57)*(元データ!$AO$2:$AO$2001=0)*(元データ!$AM$2:$AM$2001&lt;=7)*(元データ!$E$2:$E$2001="20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58" s="197">
        <f>SUMPRODUCT((元データ!$AL$2:$AL$2001=1)*(元データ!$AN$2:$AN$2001=1)*(元データ!$AE$2:$AE$2001=$C$57)*(元データ!$AO$2:$AO$2001=0)*(元データ!$AM$2:$AM$2001&lt;=7)*(元データ!$E$2:$E$2001="30 申請受付"))</f>
        <v/>
      </c>
      <c r="J58" s="198">
        <f>IFERROR(_xlfn.TEXTJOIN(CHAR(10),TRUE,IF((元データ!$AL$2:$AL$2001=1)*(元データ!$AN$2:$AN$2001=1)*(元データ!$AE$2:$AE$2001=$C$57)*(元データ!$AO$2:$AO$2001=0)*(元データ!$AM$2:$AM$2001&lt;=7)*(元データ!$E$2:$E$2001="30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58" s="197">
        <f>SUMPRODUCT((元データ!$AL$2:$AL$2001=1)*(元データ!$AN$2:$AN$2001=1)*(元データ!$AE$2:$AE$2001=$C$57)*(元データ!$AO$2:$AO$2001=0)*(元データ!$AM$2:$AM$2001&lt;=7)*(元データ!$E$2:$E$2001="31 ＯＰ確認中"))</f>
        <v/>
      </c>
      <c r="L58" s="198">
        <f>IFERROR(_xlfn.TEXTJOIN(CHAR(10),TRUE,IF((元データ!$AL$2:$AL$2001=1)*(元データ!$AN$2:$AN$2001=1)*(元データ!$AE$2:$AE$2001=$C$57)*(元データ!$AO$2:$AO$2001=0)*(元データ!$AM$2:$AM$2001&lt;=7)*(元データ!$E$2:$E$2001="31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58" s="197">
        <f>SUMPRODUCT((元データ!$AL$2:$AL$2001=1)*(元データ!$AN$2:$AN$2001=1)*(元データ!$AE$2:$AE$2001=$C$57)*(元データ!$AO$2:$AO$2001=0)*(元データ!$AM$2:$AM$2001&lt;=7)*(元データ!$E$2:$E$2001="32 ＳＶ確認中"))</f>
        <v/>
      </c>
      <c r="N58" s="198">
        <f>IFERROR(_xlfn.TEXTJOIN(CHAR(10),TRUE,IF((元データ!$AL$2:$AL$2001=1)*(元データ!$AN$2:$AN$2001=1)*(元データ!$AE$2:$AE$2001=$C$57)*(元データ!$AO$2:$AO$2001=0)*(元データ!$AM$2:$AM$2001&lt;=7)*(元データ!$E$2:$E$2001="32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58" s="197">
        <f>SUMPRODUCT((元データ!$AL$2:$AL$2001=1)*(元データ!$AN$2:$AN$2001=1)*(元データ!$AE$2:$AE$2001=$C$57)*(元データ!$AO$2:$AO$2001=0)*(元データ!$AM$2:$AM$2001&lt;=7)*(元データ!$E$2:$E$2001="40 差戻し"))</f>
        <v/>
      </c>
      <c r="P58" s="198">
        <f>IFERROR(_xlfn.TEXTJOIN(CHAR(10),TRUE,IF((元データ!$AL$2:$AL$2001=1)*(元データ!$AN$2:$AN$2001=1)*(元データ!$AE$2:$AE$2001=$C$57)*(元データ!$AO$2:$AO$2001=0)*(元データ!$AM$2:$AM$2001&lt;=7)*(元データ!$E$2:$E$2001="40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58" s="196">
        <f>SUMPRODUCT((元データ!$AL$2:$AL$2001=1)*(元データ!$AN$2:$AN$2001=1)*(元データ!$AE$2:$AE$2001=$C$57)*(元データ!$AO$2:$AO$2001=0)*(元データ!$AM$2:$AM$2001&gt;=8)*(元データ!$AM$2:$AM$2001&lt;=14))</f>
        <v/>
      </c>
      <c r="R58" s="197">
        <f>SUMPRODUCT((元データ!$AL$2:$AL$2001=1)*(元データ!$AN$2:$AN$2001=1)*(元データ!$AE$2:$AE$2001=$C$57)*(元データ!$AO$2:$AO$2001=0)*(元データ!$AM$2:$AM$2001&gt;=8)*(元データ!$AM$2:$AM$2001&lt;=14)*(元データ!$E$2:$E$2001="20 確認待ち"))</f>
        <v/>
      </c>
      <c r="S58" s="198">
        <f>IFERROR(_xlfn.TEXTJOIN(CHAR(10),TRUE,IF((元データ!$AL$2:$AL$2001=1)*(元データ!$AN$2:$AN$2001=1)*(元データ!$AE$2:$AE$2001=$C$57)*(元データ!$AO$2:$AO$2001=0)*(元データ!$AM$2:$AM$2001&gt;=8)*(元データ!$AM$2:$AM$2001&lt;=14)*(元データ!$E$2:$E$2001="20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58" s="197">
        <f>SUMPRODUCT((元データ!$AL$2:$AL$2001=1)*(元データ!$AN$2:$AN$2001=1)*(元データ!$AE$2:$AE$2001=$C$57)*(元データ!$AO$2:$AO$2001=0)*(元データ!$AM$2:$AM$2001&gt;=8)*(元データ!$AM$2:$AM$2001&lt;=14)*(元データ!$E$2:$E$2001="30 申請受付"))</f>
        <v/>
      </c>
      <c r="U58" s="198">
        <f>IFERROR(_xlfn.TEXTJOIN(CHAR(10),TRUE,IF((元データ!$AL$2:$AL$2001=1)*(元データ!$AN$2:$AN$2001=1)*(元データ!$AE$2:$AE$2001=$C$57)*(元データ!$AO$2:$AO$2001=0)*(元データ!$AM$2:$AM$2001&gt;=8)*(元データ!$AM$2:$AM$2001&lt;=14)*(元データ!$E$2:$E$2001="30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58" s="197">
        <f>SUMPRODUCT((元データ!$AL$2:$AL$2001=1)*(元データ!$AN$2:$AN$2001=1)*(元データ!$AE$2:$AE$2001=$C$57)*(元データ!$AO$2:$AO$2001=0)*(元データ!$AM$2:$AM$2001&gt;=8)*(元データ!$AM$2:$AM$2001&lt;=14)*(元データ!$E$2:$E$2001="31 ＯＰ確認中"))</f>
        <v/>
      </c>
      <c r="W58" s="198">
        <f>IFERROR(_xlfn.TEXTJOIN(CHAR(10),TRUE,IF((元データ!$AL$2:$AL$2001=1)*(元データ!$AN$2:$AN$2001=1)*(元データ!$AE$2:$AE$2001=$C$57)*(元データ!$AO$2:$AO$2001=0)*(元データ!$AM$2:$AM$2001&gt;=8)*(元データ!$AM$2:$AM$2001&lt;=14)*(元データ!$E$2:$E$2001="31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58" s="197">
        <f>SUMPRODUCT((元データ!$AL$2:$AL$2001=1)*(元データ!$AN$2:$AN$2001=1)*(元データ!$AE$2:$AE$2001=$C$57)*(元データ!$AO$2:$AO$2001=0)*(元データ!$AM$2:$AM$2001&gt;=8)*(元データ!$AM$2:$AM$2001&lt;=14)*(元データ!$E$2:$E$2001="32 ＳＶ確認中"))</f>
        <v/>
      </c>
      <c r="Y58" s="198">
        <f>IFERROR(_xlfn.TEXTJOIN(CHAR(10),TRUE,IF((元データ!$AL$2:$AL$2001=1)*(元データ!$AN$2:$AN$2001=1)*(元データ!$AE$2:$AE$2001=$C$57)*(元データ!$AO$2:$AO$2001=0)*(元データ!$AM$2:$AM$2001&gt;=8)*(元データ!$AM$2:$AM$2001&lt;=14)*(元データ!$E$2:$E$2001="32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58" s="197">
        <f>SUMPRODUCT((元データ!$AL$2:$AL$2001=1)*(元データ!$AN$2:$AN$2001=1)*(元データ!$AE$2:$AE$2001=$C$57)*(元データ!$AO$2:$AO$2001=0)*(元データ!$AM$2:$AM$2001&gt;=8)*(元データ!$AM$2:$AM$2001&lt;=14)*(元データ!$E$2:$E$2001="40 差戻し"))</f>
        <v/>
      </c>
      <c r="AA58" s="198">
        <f>IFERROR(_xlfn.TEXTJOIN(CHAR(10),TRUE,IF((元データ!$AL$2:$AL$2001=1)*(元データ!$AN$2:$AN$2001=1)*(元データ!$AE$2:$AE$2001=$C$57)*(元データ!$AO$2:$AO$2001=0)*(元データ!$AM$2:$AM$2001&gt;=8)*(元データ!$AM$2:$AM$2001&lt;=14)*(元データ!$E$2:$E$2001="40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58" s="187">
        <f>SUMPRODUCT((元データ!$AL$2:$AL$2001=1)*(元データ!$AN$2:$AN$2001=1)*(元データ!$AE$2:$AE$2001=$C$57)*(元データ!$AO$2:$AO$2001=0)*(元データ!$AM$2:$AM$2001&gt;=15)*(元データ!$AM$2:$AM$2001&lt;=21))</f>
        <v/>
      </c>
      <c r="AC58" s="188">
        <f>SUMPRODUCT((元データ!$AL$2:$AL$2001=1)*(元データ!$AN$2:$AN$2001=1)*(元データ!$AE$2:$AE$2001=$C$57)*(元データ!$AO$2:$AO$2001=0)*(元データ!$AM$2:$AM$2001&gt;=15)*(元データ!$AM$2:$AM$2001&lt;=21)*(元データ!$E$2:$E$2001="20 確認待ち"))</f>
        <v/>
      </c>
      <c r="AD58" s="189">
        <f>IFERROR(_xlfn.TEXTJOIN(CHAR(10),TRUE,IF((元データ!$AL$2:$AL$2001=1)*(元データ!$AN$2:$AN$2001=1)*(元データ!$AE$2:$AE$2001=$C$57)*(元データ!$AO$2:$AO$2001=0)*(元データ!$AM$2:$AM$2001&gt;=15)*(元データ!$AM$2:$AM$2001&lt;=21)*(元データ!$E$2:$E$2001="20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58" s="188">
        <f>SUMPRODUCT((元データ!$AL$2:$AL$2001=1)*(元データ!$AN$2:$AN$2001=1)*(元データ!$AE$2:$AE$2001=$C$57)*(元データ!$AO$2:$AO$2001=0)*(元データ!$AM$2:$AM$2001&gt;=15)*(元データ!$AM$2:$AM$2001&lt;=21)*(元データ!$E$2:$E$2001="30 申請受付"))</f>
        <v/>
      </c>
      <c r="AF58" s="189">
        <f>IFERROR(_xlfn.TEXTJOIN(CHAR(10),TRUE,IF((元データ!$AL$2:$AL$2001=1)*(元データ!$AN$2:$AN$2001=1)*(元データ!$AE$2:$AE$2001=$C$57)*(元データ!$AO$2:$AO$2001=0)*(元データ!$AM$2:$AM$2001&gt;=15)*(元データ!$AM$2:$AM$2001&lt;=21)*(元データ!$E$2:$E$2001="30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58" s="188">
        <f>SUMPRODUCT((元データ!$AL$2:$AL$2001=1)*(元データ!$AN$2:$AN$2001=1)*(元データ!$AE$2:$AE$2001=$C$57)*(元データ!$AO$2:$AO$2001=0)*(元データ!$AM$2:$AM$2001&gt;=15)*(元データ!$AM$2:$AM$2001&lt;=21)*(元データ!$E$2:$E$2001="31 ＯＰ確認中"))</f>
        <v/>
      </c>
      <c r="AH58" s="189">
        <f>IFERROR(_xlfn.TEXTJOIN(CHAR(10),TRUE,IF((元データ!$AL$2:$AL$2001=1)*(元データ!$AN$2:$AN$2001=1)*(元データ!$AE$2:$AE$2001=$C$57)*(元データ!$AO$2:$AO$2001=0)*(元データ!$AM$2:$AM$2001&gt;=15)*(元データ!$AM$2:$AM$2001&lt;=21)*(元データ!$E$2:$E$2001="31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58" s="188">
        <f>SUMPRODUCT((元データ!$AL$2:$AL$2001=1)*(元データ!$AN$2:$AN$2001=1)*(元データ!$AE$2:$AE$2001=$C$57)*(元データ!$AO$2:$AO$2001=0)*(元データ!$AM$2:$AM$2001&gt;=15)*(元データ!$AM$2:$AM$2001&lt;=21)*(元データ!$E$2:$E$2001="32 ＳＶ確認中"))</f>
        <v/>
      </c>
      <c r="AJ58" s="189">
        <f>IFERROR(_xlfn.TEXTJOIN(CHAR(10),TRUE,IF((元データ!$AL$2:$AL$2001=1)*(元データ!$AN$2:$AN$2001=1)*(元データ!$AE$2:$AE$2001=$C$57)*(元データ!$AO$2:$AO$2001=0)*(元データ!$AM$2:$AM$2001&gt;=15)*(元データ!$AM$2:$AM$2001&lt;=21)*(元データ!$E$2:$E$2001="32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58" s="188">
        <f>SUMPRODUCT((元データ!$AL$2:$AL$2001=1)*(元データ!$AN$2:$AN$2001=1)*(元データ!$AE$2:$AE$2001=$C$57)*(元データ!$AO$2:$AO$2001=0)*(元データ!$AM$2:$AM$2001&gt;=15)*(元データ!$AM$2:$AM$2001&lt;=21)*(元データ!$E$2:$E$2001="40 差戻し"))</f>
        <v/>
      </c>
      <c r="AL58" s="189">
        <f>IFERROR(_xlfn.TEXTJOIN(CHAR(10),TRUE,IF((元データ!$AL$2:$AL$2001=1)*(元データ!$AN$2:$AN$2001=1)*(元データ!$AE$2:$AE$2001=$C$57)*(元データ!$AO$2:$AO$2001=0)*(元データ!$AM$2:$AM$2001&gt;=15)*(元データ!$AM$2:$AM$2001&lt;=21)*(元データ!$E$2:$E$2001="40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58" s="190">
        <f>SUMPRODUCT((元データ!$AL$2:$AL$2001=1)*(元データ!$AN$2:$AN$2001=1)*(元データ!$AE$2:$AE$2001=$C$57)*(元データ!$AO$2:$AO$2001=0)*(元データ!$AM$2:$AM$2001&gt;=22)*(元データ!$AM$2:$AM$2001&lt;=30))</f>
        <v/>
      </c>
      <c r="AN58" s="191">
        <f>SUMPRODUCT((元データ!$AL$2:$AL$2001=1)*(元データ!$AN$2:$AN$2001=1)*(元データ!$AE$2:$AE$2001=$C$57)*(元データ!$AO$2:$AO$2001=0)*(元データ!$AM$2:$AM$2001&gt;=22)*(元データ!$AM$2:$AM$2001&lt;=30)*(元データ!$E$2:$E$2001="20 確認待ち"))</f>
        <v/>
      </c>
      <c r="AO58" s="192">
        <f>IFERROR(_xlfn.TEXTJOIN(CHAR(10),TRUE,IF((元データ!$AL$2:$AL$2001=1)*(元データ!$AN$2:$AN$2001=1)*(元データ!$AE$2:$AE$2001=$C$57)*(元データ!$AO$2:$AO$2001=0)*(元データ!$AM$2:$AM$2001&gt;=22)*(元データ!$AM$2:$AM$2001&lt;=30)*(元データ!$E$2:$E$2001="20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58" s="191">
        <f>SUMPRODUCT((元データ!$AL$2:$AL$2001=1)*(元データ!$AN$2:$AN$2001=1)*(元データ!$AE$2:$AE$2001=$C$57)*(元データ!$AO$2:$AO$2001=0)*(元データ!$AM$2:$AM$2001&gt;=22)*(元データ!$AM$2:$AM$2001&lt;=30)*(元データ!$E$2:$E$2001="30 申請受付"))</f>
        <v/>
      </c>
      <c r="AQ58" s="192">
        <f>IFERROR(_xlfn.TEXTJOIN(CHAR(10),TRUE,IF((元データ!$AL$2:$AL$2001=1)*(元データ!$AN$2:$AN$2001=1)*(元データ!$AE$2:$AE$2001=$C$57)*(元データ!$AO$2:$AO$2001=0)*(元データ!$AM$2:$AM$2001&gt;=22)*(元データ!$AM$2:$AM$2001&lt;=30)*(元データ!$E$2:$E$2001="30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58" s="191">
        <f>SUMPRODUCT((元データ!$AL$2:$AL$2001=1)*(元データ!$AN$2:$AN$2001=1)*(元データ!$AE$2:$AE$2001=$C$57)*(元データ!$AO$2:$AO$2001=0)*(元データ!$AM$2:$AM$2001&gt;=22)*(元データ!$AM$2:$AM$2001&lt;=30)*(元データ!$E$2:$E$2001="31 ＯＰ確認中"))</f>
        <v/>
      </c>
      <c r="AS58" s="192">
        <f>IFERROR(_xlfn.TEXTJOIN(CHAR(10),TRUE,IF((元データ!$AL$2:$AL$2001=1)*(元データ!$AN$2:$AN$2001=1)*(元データ!$AE$2:$AE$2001=$C$57)*(元データ!$AO$2:$AO$2001=0)*(元データ!$AM$2:$AM$2001&gt;=22)*(元データ!$AM$2:$AM$2001&lt;=30)*(元データ!$E$2:$E$2001="31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58" s="191">
        <f>SUMPRODUCT((元データ!$AL$2:$AL$2001=1)*(元データ!$AN$2:$AN$2001=1)*(元データ!$AE$2:$AE$2001=$C$57)*(元データ!$AO$2:$AO$2001=0)*(元データ!$AM$2:$AM$2001&gt;=22)*(元データ!$AM$2:$AM$2001&lt;=30)*(元データ!$E$2:$E$2001="32 ＳＶ確認中"))</f>
        <v/>
      </c>
      <c r="AU58" s="192">
        <f>IFERROR(_xlfn.TEXTJOIN(CHAR(10),TRUE,IF((元データ!$AL$2:$AL$2001=1)*(元データ!$AN$2:$AN$2001=1)*(元データ!$AE$2:$AE$2001=$C$57)*(元データ!$AO$2:$AO$2001=0)*(元データ!$AM$2:$AM$2001&gt;=22)*(元データ!$AM$2:$AM$2001&lt;=30)*(元データ!$E$2:$E$2001="32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58" s="191">
        <f>SUMPRODUCT((元データ!$AL$2:$AL$2001=1)*(元データ!$AN$2:$AN$2001=1)*(元データ!$AE$2:$AE$2001=$C$57)*(元データ!$AO$2:$AO$2001=0)*(元データ!$AM$2:$AM$2001&gt;=22)*(元データ!$AM$2:$AM$2001&lt;=30)*(元データ!$E$2:$E$2001="40 差戻し"))</f>
        <v/>
      </c>
      <c r="AW58" s="192">
        <f>IFERROR(_xlfn.TEXTJOIN(CHAR(10),TRUE,IF((元データ!$AL$2:$AL$2001=1)*(元データ!$AN$2:$AN$2001=1)*(元データ!$AE$2:$AE$2001=$C$57)*(元データ!$AO$2:$AO$2001=0)*(元データ!$AM$2:$AM$2001&gt;=22)*(元データ!$AM$2:$AM$2001&lt;=30)*(元データ!$E$2:$E$2001="40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58" s="193">
        <f>SUMPRODUCT((元データ!$AL$2:$AL$2001=1)*(元データ!$AN$2:$AN$2001=1)*(元データ!$AE$2:$AE$2001=$C$57)*(元データ!$AO$2:$AO$2001=0)*(元データ!$AM$2:$AM$2001&gt;=31))</f>
        <v/>
      </c>
      <c r="AY58" s="194">
        <f>SUMPRODUCT((元データ!$AL$2:$AL$2001=1)*(元データ!$AN$2:$AN$2001=1)*(元データ!$AE$2:$AE$2001=$C$57)*(元データ!$AO$2:$AO$2001=0)*(元データ!$AM$2:$AM$2001&gt;=31)*(元データ!$E$2:$E$2001="20 確認待ち"))</f>
        <v/>
      </c>
      <c r="AZ58" s="195">
        <f>IFERROR(_xlfn.TEXTJOIN(CHAR(10),TRUE,IF((元データ!$AL$2:$AL$2001=1)*(元データ!$AN$2:$AN$2001=1)*(元データ!$AE$2:$AE$2001=$C$57)*(元データ!$AO$2:$AO$2001=0)*(元データ!$AM$2:$AM$2001&gt;=31)*(元データ!$E$2:$E$2001="20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58" s="194">
        <f>SUMPRODUCT((元データ!$AL$2:$AL$2001=1)*(元データ!$AN$2:$AN$2001=1)*(元データ!$AE$2:$AE$2001=$C$57)*(元データ!$AO$2:$AO$2001=0)*(元データ!$AM$2:$AM$2001&gt;=31)*(元データ!$E$2:$E$2001="30 申請受付"))</f>
        <v/>
      </c>
      <c r="BB58" s="195">
        <f>IFERROR(_xlfn.TEXTJOIN(CHAR(10),TRUE,IF((元データ!$AL$2:$AL$2001=1)*(元データ!$AN$2:$AN$2001=1)*(元データ!$AE$2:$AE$2001=$C$57)*(元データ!$AO$2:$AO$2001=0)*(元データ!$AM$2:$AM$2001&gt;=31)*(元データ!$E$2:$E$2001="30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58" s="194">
        <f>SUMPRODUCT((元データ!$AL$2:$AL$2001=1)*(元データ!$AN$2:$AN$2001=1)*(元データ!$AE$2:$AE$2001=$C$57)*(元データ!$AO$2:$AO$2001=0)*(元データ!$AM$2:$AM$2001&gt;=31)*(元データ!$E$2:$E$2001="31 ＯＰ確認中"))</f>
        <v/>
      </c>
      <c r="BD58" s="195">
        <f>IFERROR(_xlfn.TEXTJOIN(CHAR(10),TRUE,IF((元データ!$AL$2:$AL$2001=1)*(元データ!$AN$2:$AN$2001=1)*(元データ!$AE$2:$AE$2001=$C$57)*(元データ!$AO$2:$AO$2001=0)*(元データ!$AM$2:$AM$2001&gt;=31)*(元データ!$E$2:$E$2001="31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58" s="194">
        <f>SUMPRODUCT((元データ!$AL$2:$AL$2001=1)*(元データ!$AN$2:$AN$2001=1)*(元データ!$AE$2:$AE$2001=$C$57)*(元データ!$AO$2:$AO$2001=0)*(元データ!$AM$2:$AM$2001&gt;=31)*(元データ!$E$2:$E$2001="32 ＳＶ確認中"))</f>
        <v/>
      </c>
      <c r="BF58" s="195">
        <f>IFERROR(_xlfn.TEXTJOIN(CHAR(10),TRUE,IF((元データ!$AL$2:$AL$2001=1)*(元データ!$AN$2:$AN$2001=1)*(元データ!$AE$2:$AE$2001=$C$57)*(元データ!$AO$2:$AO$2001=0)*(元データ!$AM$2:$AM$2001&gt;=31)*(元データ!$E$2:$E$2001="32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58" s="194">
        <f>SUMPRODUCT((元データ!$AL$2:$AL$2001=1)*(元データ!$AN$2:$AN$2001=1)*(元データ!$AE$2:$AE$2001=$C$57)*(元データ!$AO$2:$AO$2001=0)*(元データ!$AM$2:$AM$2001&gt;=31)*(元データ!$E$2:$E$2001="40 差戻し"))</f>
        <v/>
      </c>
      <c r="BH58" s="195">
        <f>IFERROR(_xlfn.TEXTJOIN(CHAR(10),TRUE,IF((元データ!$AL$2:$AL$2001=1)*(元データ!$AN$2:$AN$2001=1)*(元データ!$AE$2:$AE$2001=$C$57)*(元データ!$AO$2:$AO$2001=0)*(元データ!$AM$2:$AM$2001&gt;=31)*(元データ!$E$2:$E$2001="40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59" ht="19.5" customHeight="1" s="87">
      <c r="B59" s="139" t="n"/>
      <c r="C59" s="140" t="inlineStr">
        <is>
          <t>97 扶養親族の同別居変更</t>
        </is>
      </c>
      <c r="D59" s="141" t="inlineStr">
        <is>
          <t>あり</t>
        </is>
      </c>
      <c r="E59" s="142">
        <f>SUMPRODUCT((元データ!$AL$2:$AL$2001=1)*(元データ!$AN$2:$AN$2001=1)*(元データ!$AE$2:$AE$2001=$C$59)*(元データ!$AO$2:$AO$2001=1))</f>
        <v/>
      </c>
      <c r="F59" s="184">
        <f>SUMPRODUCT((元データ!$AL$2:$AL$2001=1)*(元データ!$AN$2:$AN$2001=1)*(元データ!$AE$2:$AE$2001=$C$59)*(元データ!$AO$2:$AO$2001=1)*(元データ!$AM$2:$AM$2001&lt;=7))</f>
        <v/>
      </c>
      <c r="G59" s="185">
        <f>SUMPRODUCT((元データ!$AL$2:$AL$2001=1)*(元データ!$AN$2:$AN$2001=1)*(元データ!$AE$2:$AE$2001=$C$59)*(元データ!$AO$2:$AO$2001=1)*(元データ!$AM$2:$AM$2001&lt;=7)*(元データ!$E$2:$E$2001="20 確認待ち"))</f>
        <v/>
      </c>
      <c r="H59" s="186">
        <f>IFERROR(_xlfn.TEXTJOIN(CHAR(10),TRUE,IF((元データ!$AL$2:$AL$2001=1)*(元データ!$AN$2:$AN$2001=1)*(元データ!$AE$2:$AE$2001=$C$59)*(元データ!$AO$2:$AO$2001=1)*(元データ!$AM$2:$AM$2001&lt;=7)*(元データ!$E$2:$E$2001="20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59" s="185">
        <f>SUMPRODUCT((元データ!$AL$2:$AL$2001=1)*(元データ!$AN$2:$AN$2001=1)*(元データ!$AE$2:$AE$2001=$C$59)*(元データ!$AO$2:$AO$2001=1)*(元データ!$AM$2:$AM$2001&lt;=7)*(元データ!$E$2:$E$2001="30 申請受付"))</f>
        <v/>
      </c>
      <c r="J59" s="186">
        <f>IFERROR(_xlfn.TEXTJOIN(CHAR(10),TRUE,IF((元データ!$AL$2:$AL$2001=1)*(元データ!$AN$2:$AN$2001=1)*(元データ!$AE$2:$AE$2001=$C$59)*(元データ!$AO$2:$AO$2001=1)*(元データ!$AM$2:$AM$2001&lt;=7)*(元データ!$E$2:$E$2001="30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59" s="185">
        <f>SUMPRODUCT((元データ!$AL$2:$AL$2001=1)*(元データ!$AN$2:$AN$2001=1)*(元データ!$AE$2:$AE$2001=$C$59)*(元データ!$AO$2:$AO$2001=1)*(元データ!$AM$2:$AM$2001&lt;=7)*(元データ!$E$2:$E$2001="31 ＯＰ確認中"))</f>
        <v/>
      </c>
      <c r="L59" s="186">
        <f>IFERROR(_xlfn.TEXTJOIN(CHAR(10),TRUE,IF((元データ!$AL$2:$AL$2001=1)*(元データ!$AN$2:$AN$2001=1)*(元データ!$AE$2:$AE$2001=$C$59)*(元データ!$AO$2:$AO$2001=1)*(元データ!$AM$2:$AM$2001&lt;=7)*(元データ!$E$2:$E$2001="31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59" s="185">
        <f>SUMPRODUCT((元データ!$AL$2:$AL$2001=1)*(元データ!$AN$2:$AN$2001=1)*(元データ!$AE$2:$AE$2001=$C$59)*(元データ!$AO$2:$AO$2001=1)*(元データ!$AM$2:$AM$2001&lt;=7)*(元データ!$E$2:$E$2001="32 ＳＶ確認中"))</f>
        <v/>
      </c>
      <c r="N59" s="186">
        <f>IFERROR(_xlfn.TEXTJOIN(CHAR(10),TRUE,IF((元データ!$AL$2:$AL$2001=1)*(元データ!$AN$2:$AN$2001=1)*(元データ!$AE$2:$AE$2001=$C$59)*(元データ!$AO$2:$AO$2001=1)*(元データ!$AM$2:$AM$2001&lt;=7)*(元データ!$E$2:$E$2001="32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59" s="185">
        <f>SUMPRODUCT((元データ!$AL$2:$AL$2001=1)*(元データ!$AN$2:$AN$2001=1)*(元データ!$AE$2:$AE$2001=$C$59)*(元データ!$AO$2:$AO$2001=1)*(元データ!$AM$2:$AM$2001&lt;=7)*(元データ!$E$2:$E$2001="40 差戻し"))</f>
        <v/>
      </c>
      <c r="P59" s="186">
        <f>IFERROR(_xlfn.TEXTJOIN(CHAR(10),TRUE,IF((元データ!$AL$2:$AL$2001=1)*(元データ!$AN$2:$AN$2001=1)*(元データ!$AE$2:$AE$2001=$C$59)*(元データ!$AO$2:$AO$2001=1)*(元データ!$AM$2:$AM$2001&lt;=7)*(元データ!$E$2:$E$2001="40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59" s="184">
        <f>SUMPRODUCT((元データ!$AL$2:$AL$2001=1)*(元データ!$AN$2:$AN$2001=1)*(元データ!$AE$2:$AE$2001=$C$59)*(元データ!$AO$2:$AO$2001=1)*(元データ!$AM$2:$AM$2001&gt;=8)*(元データ!$AM$2:$AM$2001&lt;=14))</f>
        <v/>
      </c>
      <c r="R59" s="185">
        <f>SUMPRODUCT((元データ!$AL$2:$AL$2001=1)*(元データ!$AN$2:$AN$2001=1)*(元データ!$AE$2:$AE$2001=$C$59)*(元データ!$AO$2:$AO$2001=1)*(元データ!$AM$2:$AM$2001&gt;=8)*(元データ!$AM$2:$AM$2001&lt;=14)*(元データ!$E$2:$E$2001="20 確認待ち"))</f>
        <v/>
      </c>
      <c r="S59" s="186">
        <f>IFERROR(_xlfn.TEXTJOIN(CHAR(10),TRUE,IF((元データ!$AL$2:$AL$2001=1)*(元データ!$AN$2:$AN$2001=1)*(元データ!$AE$2:$AE$2001=$C$59)*(元データ!$AO$2:$AO$2001=1)*(元データ!$AM$2:$AM$2001&gt;=8)*(元データ!$AM$2:$AM$2001&lt;=14)*(元データ!$E$2:$E$2001="20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59" s="185">
        <f>SUMPRODUCT((元データ!$AL$2:$AL$2001=1)*(元データ!$AN$2:$AN$2001=1)*(元データ!$AE$2:$AE$2001=$C$59)*(元データ!$AO$2:$AO$2001=1)*(元データ!$AM$2:$AM$2001&gt;=8)*(元データ!$AM$2:$AM$2001&lt;=14)*(元データ!$E$2:$E$2001="30 申請受付"))</f>
        <v/>
      </c>
      <c r="U59" s="186">
        <f>IFERROR(_xlfn.TEXTJOIN(CHAR(10),TRUE,IF((元データ!$AL$2:$AL$2001=1)*(元データ!$AN$2:$AN$2001=1)*(元データ!$AE$2:$AE$2001=$C$59)*(元データ!$AO$2:$AO$2001=1)*(元データ!$AM$2:$AM$2001&gt;=8)*(元データ!$AM$2:$AM$2001&lt;=14)*(元データ!$E$2:$E$2001="30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59" s="185">
        <f>SUMPRODUCT((元データ!$AL$2:$AL$2001=1)*(元データ!$AN$2:$AN$2001=1)*(元データ!$AE$2:$AE$2001=$C$59)*(元データ!$AO$2:$AO$2001=1)*(元データ!$AM$2:$AM$2001&gt;=8)*(元データ!$AM$2:$AM$2001&lt;=14)*(元データ!$E$2:$E$2001="31 ＯＰ確認中"))</f>
        <v/>
      </c>
      <c r="W59" s="186">
        <f>IFERROR(_xlfn.TEXTJOIN(CHAR(10),TRUE,IF((元データ!$AL$2:$AL$2001=1)*(元データ!$AN$2:$AN$2001=1)*(元データ!$AE$2:$AE$2001=$C$59)*(元データ!$AO$2:$AO$2001=1)*(元データ!$AM$2:$AM$2001&gt;=8)*(元データ!$AM$2:$AM$2001&lt;=14)*(元データ!$E$2:$E$2001="31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59" s="185">
        <f>SUMPRODUCT((元データ!$AL$2:$AL$2001=1)*(元データ!$AN$2:$AN$2001=1)*(元データ!$AE$2:$AE$2001=$C$59)*(元データ!$AO$2:$AO$2001=1)*(元データ!$AM$2:$AM$2001&gt;=8)*(元データ!$AM$2:$AM$2001&lt;=14)*(元データ!$E$2:$E$2001="32 ＳＶ確認中"))</f>
        <v/>
      </c>
      <c r="Y59" s="186">
        <f>IFERROR(_xlfn.TEXTJOIN(CHAR(10),TRUE,IF((元データ!$AL$2:$AL$2001=1)*(元データ!$AN$2:$AN$2001=1)*(元データ!$AE$2:$AE$2001=$C$59)*(元データ!$AO$2:$AO$2001=1)*(元データ!$AM$2:$AM$2001&gt;=8)*(元データ!$AM$2:$AM$2001&lt;=14)*(元データ!$E$2:$E$2001="32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59" s="185">
        <f>SUMPRODUCT((元データ!$AL$2:$AL$2001=1)*(元データ!$AN$2:$AN$2001=1)*(元データ!$AE$2:$AE$2001=$C$59)*(元データ!$AO$2:$AO$2001=1)*(元データ!$AM$2:$AM$2001&gt;=8)*(元データ!$AM$2:$AM$2001&lt;=14)*(元データ!$E$2:$E$2001="40 差戻し"))</f>
        <v/>
      </c>
      <c r="AA59" s="186">
        <f>IFERROR(_xlfn.TEXTJOIN(CHAR(10),TRUE,IF((元データ!$AL$2:$AL$2001=1)*(元データ!$AN$2:$AN$2001=1)*(元データ!$AE$2:$AE$2001=$C$59)*(元データ!$AO$2:$AO$2001=1)*(元データ!$AM$2:$AM$2001&gt;=8)*(元データ!$AM$2:$AM$2001&lt;=14)*(元データ!$E$2:$E$2001="40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59" s="187">
        <f>SUMPRODUCT((元データ!$AL$2:$AL$2001=1)*(元データ!$AN$2:$AN$2001=1)*(元データ!$AE$2:$AE$2001=$C$59)*(元データ!$AO$2:$AO$2001=1)*(元データ!$AM$2:$AM$2001&gt;=15)*(元データ!$AM$2:$AM$2001&lt;=21))</f>
        <v/>
      </c>
      <c r="AC59" s="188">
        <f>SUMPRODUCT((元データ!$AL$2:$AL$2001=1)*(元データ!$AN$2:$AN$2001=1)*(元データ!$AE$2:$AE$2001=$C$59)*(元データ!$AO$2:$AO$2001=1)*(元データ!$AM$2:$AM$2001&gt;=15)*(元データ!$AM$2:$AM$2001&lt;=21)*(元データ!$E$2:$E$2001="20 確認待ち"))</f>
        <v/>
      </c>
      <c r="AD59" s="189">
        <f>IFERROR(_xlfn.TEXTJOIN(CHAR(10),TRUE,IF((元データ!$AL$2:$AL$2001=1)*(元データ!$AN$2:$AN$2001=1)*(元データ!$AE$2:$AE$2001=$C$59)*(元データ!$AO$2:$AO$2001=1)*(元データ!$AM$2:$AM$2001&gt;=15)*(元データ!$AM$2:$AM$2001&lt;=21)*(元データ!$E$2:$E$2001="20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59" s="188">
        <f>SUMPRODUCT((元データ!$AL$2:$AL$2001=1)*(元データ!$AN$2:$AN$2001=1)*(元データ!$AE$2:$AE$2001=$C$59)*(元データ!$AO$2:$AO$2001=1)*(元データ!$AM$2:$AM$2001&gt;=15)*(元データ!$AM$2:$AM$2001&lt;=21)*(元データ!$E$2:$E$2001="30 申請受付"))</f>
        <v/>
      </c>
      <c r="AF59" s="189">
        <f>IFERROR(_xlfn.TEXTJOIN(CHAR(10),TRUE,IF((元データ!$AL$2:$AL$2001=1)*(元データ!$AN$2:$AN$2001=1)*(元データ!$AE$2:$AE$2001=$C$59)*(元データ!$AO$2:$AO$2001=1)*(元データ!$AM$2:$AM$2001&gt;=15)*(元データ!$AM$2:$AM$2001&lt;=21)*(元データ!$E$2:$E$2001="30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59" s="188">
        <f>SUMPRODUCT((元データ!$AL$2:$AL$2001=1)*(元データ!$AN$2:$AN$2001=1)*(元データ!$AE$2:$AE$2001=$C$59)*(元データ!$AO$2:$AO$2001=1)*(元データ!$AM$2:$AM$2001&gt;=15)*(元データ!$AM$2:$AM$2001&lt;=21)*(元データ!$E$2:$E$2001="31 ＯＰ確認中"))</f>
        <v/>
      </c>
      <c r="AH59" s="189">
        <f>IFERROR(_xlfn.TEXTJOIN(CHAR(10),TRUE,IF((元データ!$AL$2:$AL$2001=1)*(元データ!$AN$2:$AN$2001=1)*(元データ!$AE$2:$AE$2001=$C$59)*(元データ!$AO$2:$AO$2001=1)*(元データ!$AM$2:$AM$2001&gt;=15)*(元データ!$AM$2:$AM$2001&lt;=21)*(元データ!$E$2:$E$2001="31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59" s="188">
        <f>SUMPRODUCT((元データ!$AL$2:$AL$2001=1)*(元データ!$AN$2:$AN$2001=1)*(元データ!$AE$2:$AE$2001=$C$59)*(元データ!$AO$2:$AO$2001=1)*(元データ!$AM$2:$AM$2001&gt;=15)*(元データ!$AM$2:$AM$2001&lt;=21)*(元データ!$E$2:$E$2001="32 ＳＶ確認中"))</f>
        <v/>
      </c>
      <c r="AJ59" s="189">
        <f>IFERROR(_xlfn.TEXTJOIN(CHAR(10),TRUE,IF((元データ!$AL$2:$AL$2001=1)*(元データ!$AN$2:$AN$2001=1)*(元データ!$AE$2:$AE$2001=$C$59)*(元データ!$AO$2:$AO$2001=1)*(元データ!$AM$2:$AM$2001&gt;=15)*(元データ!$AM$2:$AM$2001&lt;=21)*(元データ!$E$2:$E$2001="32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59" s="188">
        <f>SUMPRODUCT((元データ!$AL$2:$AL$2001=1)*(元データ!$AN$2:$AN$2001=1)*(元データ!$AE$2:$AE$2001=$C$59)*(元データ!$AO$2:$AO$2001=1)*(元データ!$AM$2:$AM$2001&gt;=15)*(元データ!$AM$2:$AM$2001&lt;=21)*(元データ!$E$2:$E$2001="40 差戻し"))</f>
        <v/>
      </c>
      <c r="AL59" s="189">
        <f>IFERROR(_xlfn.TEXTJOIN(CHAR(10),TRUE,IF((元データ!$AL$2:$AL$2001=1)*(元データ!$AN$2:$AN$2001=1)*(元データ!$AE$2:$AE$2001=$C$59)*(元データ!$AO$2:$AO$2001=1)*(元データ!$AM$2:$AM$2001&gt;=15)*(元データ!$AM$2:$AM$2001&lt;=21)*(元データ!$E$2:$E$2001="40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59" s="190">
        <f>SUMPRODUCT((元データ!$AL$2:$AL$2001=1)*(元データ!$AN$2:$AN$2001=1)*(元データ!$AE$2:$AE$2001=$C$59)*(元データ!$AO$2:$AO$2001=1)*(元データ!$AM$2:$AM$2001&gt;=22)*(元データ!$AM$2:$AM$2001&lt;=30))</f>
        <v/>
      </c>
      <c r="AN59" s="191">
        <f>SUMPRODUCT((元データ!$AL$2:$AL$2001=1)*(元データ!$AN$2:$AN$2001=1)*(元データ!$AE$2:$AE$2001=$C$59)*(元データ!$AO$2:$AO$2001=1)*(元データ!$AM$2:$AM$2001&gt;=22)*(元データ!$AM$2:$AM$2001&lt;=30)*(元データ!$E$2:$E$2001="20 確認待ち"))</f>
        <v/>
      </c>
      <c r="AO59" s="192">
        <f>IFERROR(_xlfn.TEXTJOIN(CHAR(10),TRUE,IF((元データ!$AL$2:$AL$2001=1)*(元データ!$AN$2:$AN$2001=1)*(元データ!$AE$2:$AE$2001=$C$59)*(元データ!$AO$2:$AO$2001=1)*(元データ!$AM$2:$AM$2001&gt;=22)*(元データ!$AM$2:$AM$2001&lt;=30)*(元データ!$E$2:$E$2001="20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59" s="191">
        <f>SUMPRODUCT((元データ!$AL$2:$AL$2001=1)*(元データ!$AN$2:$AN$2001=1)*(元データ!$AE$2:$AE$2001=$C$59)*(元データ!$AO$2:$AO$2001=1)*(元データ!$AM$2:$AM$2001&gt;=22)*(元データ!$AM$2:$AM$2001&lt;=30)*(元データ!$E$2:$E$2001="30 申請受付"))</f>
        <v/>
      </c>
      <c r="AQ59" s="192">
        <f>IFERROR(_xlfn.TEXTJOIN(CHAR(10),TRUE,IF((元データ!$AL$2:$AL$2001=1)*(元データ!$AN$2:$AN$2001=1)*(元データ!$AE$2:$AE$2001=$C$59)*(元データ!$AO$2:$AO$2001=1)*(元データ!$AM$2:$AM$2001&gt;=22)*(元データ!$AM$2:$AM$2001&lt;=30)*(元データ!$E$2:$E$2001="30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59" s="191">
        <f>SUMPRODUCT((元データ!$AL$2:$AL$2001=1)*(元データ!$AN$2:$AN$2001=1)*(元データ!$AE$2:$AE$2001=$C$59)*(元データ!$AO$2:$AO$2001=1)*(元データ!$AM$2:$AM$2001&gt;=22)*(元データ!$AM$2:$AM$2001&lt;=30)*(元データ!$E$2:$E$2001="31 ＯＰ確認中"))</f>
        <v/>
      </c>
      <c r="AS59" s="192">
        <f>IFERROR(_xlfn.TEXTJOIN(CHAR(10),TRUE,IF((元データ!$AL$2:$AL$2001=1)*(元データ!$AN$2:$AN$2001=1)*(元データ!$AE$2:$AE$2001=$C$59)*(元データ!$AO$2:$AO$2001=1)*(元データ!$AM$2:$AM$2001&gt;=22)*(元データ!$AM$2:$AM$2001&lt;=30)*(元データ!$E$2:$E$2001="31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59" s="191">
        <f>SUMPRODUCT((元データ!$AL$2:$AL$2001=1)*(元データ!$AN$2:$AN$2001=1)*(元データ!$AE$2:$AE$2001=$C$59)*(元データ!$AO$2:$AO$2001=1)*(元データ!$AM$2:$AM$2001&gt;=22)*(元データ!$AM$2:$AM$2001&lt;=30)*(元データ!$E$2:$E$2001="32 ＳＶ確認中"))</f>
        <v/>
      </c>
      <c r="AU59" s="192">
        <f>IFERROR(_xlfn.TEXTJOIN(CHAR(10),TRUE,IF((元データ!$AL$2:$AL$2001=1)*(元データ!$AN$2:$AN$2001=1)*(元データ!$AE$2:$AE$2001=$C$59)*(元データ!$AO$2:$AO$2001=1)*(元データ!$AM$2:$AM$2001&gt;=22)*(元データ!$AM$2:$AM$2001&lt;=30)*(元データ!$E$2:$E$2001="32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59" s="191">
        <f>SUMPRODUCT((元データ!$AL$2:$AL$2001=1)*(元データ!$AN$2:$AN$2001=1)*(元データ!$AE$2:$AE$2001=$C$59)*(元データ!$AO$2:$AO$2001=1)*(元データ!$AM$2:$AM$2001&gt;=22)*(元データ!$AM$2:$AM$2001&lt;=30)*(元データ!$E$2:$E$2001="40 差戻し"))</f>
        <v/>
      </c>
      <c r="AW59" s="192">
        <f>IFERROR(_xlfn.TEXTJOIN(CHAR(10),TRUE,IF((元データ!$AL$2:$AL$2001=1)*(元データ!$AN$2:$AN$2001=1)*(元データ!$AE$2:$AE$2001=$C$59)*(元データ!$AO$2:$AO$2001=1)*(元データ!$AM$2:$AM$2001&gt;=22)*(元データ!$AM$2:$AM$2001&lt;=30)*(元データ!$E$2:$E$2001="40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59" s="193">
        <f>SUMPRODUCT((元データ!$AL$2:$AL$2001=1)*(元データ!$AN$2:$AN$2001=1)*(元データ!$AE$2:$AE$2001=$C$59)*(元データ!$AO$2:$AO$2001=1)*(元データ!$AM$2:$AM$2001&gt;=31))</f>
        <v/>
      </c>
      <c r="AY59" s="194">
        <f>SUMPRODUCT((元データ!$AL$2:$AL$2001=1)*(元データ!$AN$2:$AN$2001=1)*(元データ!$AE$2:$AE$2001=$C$59)*(元データ!$AO$2:$AO$2001=1)*(元データ!$AM$2:$AM$2001&gt;=31)*(元データ!$E$2:$E$2001="20 確認待ち"))</f>
        <v/>
      </c>
      <c r="AZ59" s="195">
        <f>IFERROR(_xlfn.TEXTJOIN(CHAR(10),TRUE,IF((元データ!$AL$2:$AL$2001=1)*(元データ!$AN$2:$AN$2001=1)*(元データ!$AE$2:$AE$2001=$C$59)*(元データ!$AO$2:$AO$2001=1)*(元データ!$AM$2:$AM$2001&gt;=31)*(元データ!$E$2:$E$2001="20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59" s="194">
        <f>SUMPRODUCT((元データ!$AL$2:$AL$2001=1)*(元データ!$AN$2:$AN$2001=1)*(元データ!$AE$2:$AE$2001=$C$59)*(元データ!$AO$2:$AO$2001=1)*(元データ!$AM$2:$AM$2001&gt;=31)*(元データ!$E$2:$E$2001="30 申請受付"))</f>
        <v/>
      </c>
      <c r="BB59" s="195">
        <f>IFERROR(_xlfn.TEXTJOIN(CHAR(10),TRUE,IF((元データ!$AL$2:$AL$2001=1)*(元データ!$AN$2:$AN$2001=1)*(元データ!$AE$2:$AE$2001=$C$59)*(元データ!$AO$2:$AO$2001=1)*(元データ!$AM$2:$AM$2001&gt;=31)*(元データ!$E$2:$E$2001="30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59" s="194">
        <f>SUMPRODUCT((元データ!$AL$2:$AL$2001=1)*(元データ!$AN$2:$AN$2001=1)*(元データ!$AE$2:$AE$2001=$C$59)*(元データ!$AO$2:$AO$2001=1)*(元データ!$AM$2:$AM$2001&gt;=31)*(元データ!$E$2:$E$2001="31 ＯＰ確認中"))</f>
        <v/>
      </c>
      <c r="BD59" s="195">
        <f>IFERROR(_xlfn.TEXTJOIN(CHAR(10),TRUE,IF((元データ!$AL$2:$AL$2001=1)*(元データ!$AN$2:$AN$2001=1)*(元データ!$AE$2:$AE$2001=$C$59)*(元データ!$AO$2:$AO$2001=1)*(元データ!$AM$2:$AM$2001&gt;=31)*(元データ!$E$2:$E$2001="31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59" s="194">
        <f>SUMPRODUCT((元データ!$AL$2:$AL$2001=1)*(元データ!$AN$2:$AN$2001=1)*(元データ!$AE$2:$AE$2001=$C$59)*(元データ!$AO$2:$AO$2001=1)*(元データ!$AM$2:$AM$2001&gt;=31)*(元データ!$E$2:$E$2001="32 ＳＶ確認中"))</f>
        <v/>
      </c>
      <c r="BF59" s="195">
        <f>IFERROR(_xlfn.TEXTJOIN(CHAR(10),TRUE,IF((元データ!$AL$2:$AL$2001=1)*(元データ!$AN$2:$AN$2001=1)*(元データ!$AE$2:$AE$2001=$C$59)*(元データ!$AO$2:$AO$2001=1)*(元データ!$AM$2:$AM$2001&gt;=31)*(元データ!$E$2:$E$2001="32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59" s="194">
        <f>SUMPRODUCT((元データ!$AL$2:$AL$2001=1)*(元データ!$AN$2:$AN$2001=1)*(元データ!$AE$2:$AE$2001=$C$59)*(元データ!$AO$2:$AO$2001=1)*(元データ!$AM$2:$AM$2001&gt;=31)*(元データ!$E$2:$E$2001="40 差戻し"))</f>
        <v/>
      </c>
      <c r="BH59" s="195">
        <f>IFERROR(_xlfn.TEXTJOIN(CHAR(10),TRUE,IF((元データ!$AL$2:$AL$2001=1)*(元データ!$AN$2:$AN$2001=1)*(元データ!$AE$2:$AE$2001=$C$59)*(元データ!$AO$2:$AO$2001=1)*(元データ!$AM$2:$AM$2001&gt;=31)*(元データ!$E$2:$E$2001="40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60" ht="19.5" customHeight="1" s="87">
      <c r="B60" s="155" t="n"/>
      <c r="C60" s="156" t="n"/>
      <c r="D60" s="157" t="inlineStr">
        <is>
          <t>なし</t>
        </is>
      </c>
      <c r="E60" s="158">
        <f>SUMPRODUCT((元データ!$AL$2:$AL$2001=1)*(元データ!$AN$2:$AN$2001=1)*(元データ!$AE$2:$AE$2001=$C$59)*(元データ!$AO$2:$AO$2001=0))</f>
        <v/>
      </c>
      <c r="F60" s="196">
        <f>SUMPRODUCT((元データ!$AL$2:$AL$2001=1)*(元データ!$AN$2:$AN$2001=1)*(元データ!$AE$2:$AE$2001=$C$59)*(元データ!$AO$2:$AO$2001=0)*(元データ!$AM$2:$AM$2001&lt;=7))</f>
        <v/>
      </c>
      <c r="G60" s="197">
        <f>SUMPRODUCT((元データ!$AL$2:$AL$2001=1)*(元データ!$AN$2:$AN$2001=1)*(元データ!$AE$2:$AE$2001=$C$59)*(元データ!$AO$2:$AO$2001=0)*(元データ!$AM$2:$AM$2001&lt;=7)*(元データ!$E$2:$E$2001="20 確認待ち"))</f>
        <v/>
      </c>
      <c r="H60" s="198">
        <f>IFERROR(_xlfn.TEXTJOIN(CHAR(10),TRUE,IF((元データ!$AL$2:$AL$2001=1)*(元データ!$AN$2:$AN$2001=1)*(元データ!$AE$2:$AE$2001=$C$59)*(元データ!$AO$2:$AO$2001=0)*(元データ!$AM$2:$AM$2001&lt;=7)*(元データ!$E$2:$E$2001="20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60" s="197">
        <f>SUMPRODUCT((元データ!$AL$2:$AL$2001=1)*(元データ!$AN$2:$AN$2001=1)*(元データ!$AE$2:$AE$2001=$C$59)*(元データ!$AO$2:$AO$2001=0)*(元データ!$AM$2:$AM$2001&lt;=7)*(元データ!$E$2:$E$2001="30 申請受付"))</f>
        <v/>
      </c>
      <c r="J60" s="198">
        <f>IFERROR(_xlfn.TEXTJOIN(CHAR(10),TRUE,IF((元データ!$AL$2:$AL$2001=1)*(元データ!$AN$2:$AN$2001=1)*(元データ!$AE$2:$AE$2001=$C$59)*(元データ!$AO$2:$AO$2001=0)*(元データ!$AM$2:$AM$2001&lt;=7)*(元データ!$E$2:$E$2001="30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60" s="197">
        <f>SUMPRODUCT((元データ!$AL$2:$AL$2001=1)*(元データ!$AN$2:$AN$2001=1)*(元データ!$AE$2:$AE$2001=$C$59)*(元データ!$AO$2:$AO$2001=0)*(元データ!$AM$2:$AM$2001&lt;=7)*(元データ!$E$2:$E$2001="31 ＯＰ確認中"))</f>
        <v/>
      </c>
      <c r="L60" s="198">
        <f>IFERROR(_xlfn.TEXTJOIN(CHAR(10),TRUE,IF((元データ!$AL$2:$AL$2001=1)*(元データ!$AN$2:$AN$2001=1)*(元データ!$AE$2:$AE$2001=$C$59)*(元データ!$AO$2:$AO$2001=0)*(元データ!$AM$2:$AM$2001&lt;=7)*(元データ!$E$2:$E$2001="31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60" s="197">
        <f>SUMPRODUCT((元データ!$AL$2:$AL$2001=1)*(元データ!$AN$2:$AN$2001=1)*(元データ!$AE$2:$AE$2001=$C$59)*(元データ!$AO$2:$AO$2001=0)*(元データ!$AM$2:$AM$2001&lt;=7)*(元データ!$E$2:$E$2001="32 ＳＶ確認中"))</f>
        <v/>
      </c>
      <c r="N60" s="198">
        <f>IFERROR(_xlfn.TEXTJOIN(CHAR(10),TRUE,IF((元データ!$AL$2:$AL$2001=1)*(元データ!$AN$2:$AN$2001=1)*(元データ!$AE$2:$AE$2001=$C$59)*(元データ!$AO$2:$AO$2001=0)*(元データ!$AM$2:$AM$2001&lt;=7)*(元データ!$E$2:$E$2001="32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60" s="197">
        <f>SUMPRODUCT((元データ!$AL$2:$AL$2001=1)*(元データ!$AN$2:$AN$2001=1)*(元データ!$AE$2:$AE$2001=$C$59)*(元データ!$AO$2:$AO$2001=0)*(元データ!$AM$2:$AM$2001&lt;=7)*(元データ!$E$2:$E$2001="40 差戻し"))</f>
        <v/>
      </c>
      <c r="P60" s="198">
        <f>IFERROR(_xlfn.TEXTJOIN(CHAR(10),TRUE,IF((元データ!$AL$2:$AL$2001=1)*(元データ!$AN$2:$AN$2001=1)*(元データ!$AE$2:$AE$2001=$C$59)*(元データ!$AO$2:$AO$2001=0)*(元データ!$AM$2:$AM$2001&lt;=7)*(元データ!$E$2:$E$2001="40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60" s="196">
        <f>SUMPRODUCT((元データ!$AL$2:$AL$2001=1)*(元データ!$AN$2:$AN$2001=1)*(元データ!$AE$2:$AE$2001=$C$59)*(元データ!$AO$2:$AO$2001=0)*(元データ!$AM$2:$AM$2001&gt;=8)*(元データ!$AM$2:$AM$2001&lt;=14))</f>
        <v/>
      </c>
      <c r="R60" s="197">
        <f>SUMPRODUCT((元データ!$AL$2:$AL$2001=1)*(元データ!$AN$2:$AN$2001=1)*(元データ!$AE$2:$AE$2001=$C$59)*(元データ!$AO$2:$AO$2001=0)*(元データ!$AM$2:$AM$2001&gt;=8)*(元データ!$AM$2:$AM$2001&lt;=14)*(元データ!$E$2:$E$2001="20 確認待ち"))</f>
        <v/>
      </c>
      <c r="S60" s="198">
        <f>IFERROR(_xlfn.TEXTJOIN(CHAR(10),TRUE,IF((元データ!$AL$2:$AL$2001=1)*(元データ!$AN$2:$AN$2001=1)*(元データ!$AE$2:$AE$2001=$C$59)*(元データ!$AO$2:$AO$2001=0)*(元データ!$AM$2:$AM$2001&gt;=8)*(元データ!$AM$2:$AM$2001&lt;=14)*(元データ!$E$2:$E$2001="20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60" s="197">
        <f>SUMPRODUCT((元データ!$AL$2:$AL$2001=1)*(元データ!$AN$2:$AN$2001=1)*(元データ!$AE$2:$AE$2001=$C$59)*(元データ!$AO$2:$AO$2001=0)*(元データ!$AM$2:$AM$2001&gt;=8)*(元データ!$AM$2:$AM$2001&lt;=14)*(元データ!$E$2:$E$2001="30 申請受付"))</f>
        <v/>
      </c>
      <c r="U60" s="198">
        <f>IFERROR(_xlfn.TEXTJOIN(CHAR(10),TRUE,IF((元データ!$AL$2:$AL$2001=1)*(元データ!$AN$2:$AN$2001=1)*(元データ!$AE$2:$AE$2001=$C$59)*(元データ!$AO$2:$AO$2001=0)*(元データ!$AM$2:$AM$2001&gt;=8)*(元データ!$AM$2:$AM$2001&lt;=14)*(元データ!$E$2:$E$2001="30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60" s="197">
        <f>SUMPRODUCT((元データ!$AL$2:$AL$2001=1)*(元データ!$AN$2:$AN$2001=1)*(元データ!$AE$2:$AE$2001=$C$59)*(元データ!$AO$2:$AO$2001=0)*(元データ!$AM$2:$AM$2001&gt;=8)*(元データ!$AM$2:$AM$2001&lt;=14)*(元データ!$E$2:$E$2001="31 ＯＰ確認中"))</f>
        <v/>
      </c>
      <c r="W60" s="198">
        <f>IFERROR(_xlfn.TEXTJOIN(CHAR(10),TRUE,IF((元データ!$AL$2:$AL$2001=1)*(元データ!$AN$2:$AN$2001=1)*(元データ!$AE$2:$AE$2001=$C$59)*(元データ!$AO$2:$AO$2001=0)*(元データ!$AM$2:$AM$2001&gt;=8)*(元データ!$AM$2:$AM$2001&lt;=14)*(元データ!$E$2:$E$2001="31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60" s="197">
        <f>SUMPRODUCT((元データ!$AL$2:$AL$2001=1)*(元データ!$AN$2:$AN$2001=1)*(元データ!$AE$2:$AE$2001=$C$59)*(元データ!$AO$2:$AO$2001=0)*(元データ!$AM$2:$AM$2001&gt;=8)*(元データ!$AM$2:$AM$2001&lt;=14)*(元データ!$E$2:$E$2001="32 ＳＶ確認中"))</f>
        <v/>
      </c>
      <c r="Y60" s="198">
        <f>IFERROR(_xlfn.TEXTJOIN(CHAR(10),TRUE,IF((元データ!$AL$2:$AL$2001=1)*(元データ!$AN$2:$AN$2001=1)*(元データ!$AE$2:$AE$2001=$C$59)*(元データ!$AO$2:$AO$2001=0)*(元データ!$AM$2:$AM$2001&gt;=8)*(元データ!$AM$2:$AM$2001&lt;=14)*(元データ!$E$2:$E$2001="32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60" s="197">
        <f>SUMPRODUCT((元データ!$AL$2:$AL$2001=1)*(元データ!$AN$2:$AN$2001=1)*(元データ!$AE$2:$AE$2001=$C$59)*(元データ!$AO$2:$AO$2001=0)*(元データ!$AM$2:$AM$2001&gt;=8)*(元データ!$AM$2:$AM$2001&lt;=14)*(元データ!$E$2:$E$2001="40 差戻し"))</f>
        <v/>
      </c>
      <c r="AA60" s="198">
        <f>IFERROR(_xlfn.TEXTJOIN(CHAR(10),TRUE,IF((元データ!$AL$2:$AL$2001=1)*(元データ!$AN$2:$AN$2001=1)*(元データ!$AE$2:$AE$2001=$C$59)*(元データ!$AO$2:$AO$2001=0)*(元データ!$AM$2:$AM$2001&gt;=8)*(元データ!$AM$2:$AM$2001&lt;=14)*(元データ!$E$2:$E$2001="40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60" s="187">
        <f>SUMPRODUCT((元データ!$AL$2:$AL$2001=1)*(元データ!$AN$2:$AN$2001=1)*(元データ!$AE$2:$AE$2001=$C$59)*(元データ!$AO$2:$AO$2001=0)*(元データ!$AM$2:$AM$2001&gt;=15)*(元データ!$AM$2:$AM$2001&lt;=21))</f>
        <v/>
      </c>
      <c r="AC60" s="188">
        <f>SUMPRODUCT((元データ!$AL$2:$AL$2001=1)*(元データ!$AN$2:$AN$2001=1)*(元データ!$AE$2:$AE$2001=$C$59)*(元データ!$AO$2:$AO$2001=0)*(元データ!$AM$2:$AM$2001&gt;=15)*(元データ!$AM$2:$AM$2001&lt;=21)*(元データ!$E$2:$E$2001="20 確認待ち"))</f>
        <v/>
      </c>
      <c r="AD60" s="189">
        <f>IFERROR(_xlfn.TEXTJOIN(CHAR(10),TRUE,IF((元データ!$AL$2:$AL$2001=1)*(元データ!$AN$2:$AN$2001=1)*(元データ!$AE$2:$AE$2001=$C$59)*(元データ!$AO$2:$AO$2001=0)*(元データ!$AM$2:$AM$2001&gt;=15)*(元データ!$AM$2:$AM$2001&lt;=21)*(元データ!$E$2:$E$2001="20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60" s="188">
        <f>SUMPRODUCT((元データ!$AL$2:$AL$2001=1)*(元データ!$AN$2:$AN$2001=1)*(元データ!$AE$2:$AE$2001=$C$59)*(元データ!$AO$2:$AO$2001=0)*(元データ!$AM$2:$AM$2001&gt;=15)*(元データ!$AM$2:$AM$2001&lt;=21)*(元データ!$E$2:$E$2001="30 申請受付"))</f>
        <v/>
      </c>
      <c r="AF60" s="189">
        <f>IFERROR(_xlfn.TEXTJOIN(CHAR(10),TRUE,IF((元データ!$AL$2:$AL$2001=1)*(元データ!$AN$2:$AN$2001=1)*(元データ!$AE$2:$AE$2001=$C$59)*(元データ!$AO$2:$AO$2001=0)*(元データ!$AM$2:$AM$2001&gt;=15)*(元データ!$AM$2:$AM$2001&lt;=21)*(元データ!$E$2:$E$2001="30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60" s="188">
        <f>SUMPRODUCT((元データ!$AL$2:$AL$2001=1)*(元データ!$AN$2:$AN$2001=1)*(元データ!$AE$2:$AE$2001=$C$59)*(元データ!$AO$2:$AO$2001=0)*(元データ!$AM$2:$AM$2001&gt;=15)*(元データ!$AM$2:$AM$2001&lt;=21)*(元データ!$E$2:$E$2001="31 ＯＰ確認中"))</f>
        <v/>
      </c>
      <c r="AH60" s="189">
        <f>IFERROR(_xlfn.TEXTJOIN(CHAR(10),TRUE,IF((元データ!$AL$2:$AL$2001=1)*(元データ!$AN$2:$AN$2001=1)*(元データ!$AE$2:$AE$2001=$C$59)*(元データ!$AO$2:$AO$2001=0)*(元データ!$AM$2:$AM$2001&gt;=15)*(元データ!$AM$2:$AM$2001&lt;=21)*(元データ!$E$2:$E$2001="31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60" s="188">
        <f>SUMPRODUCT((元データ!$AL$2:$AL$2001=1)*(元データ!$AN$2:$AN$2001=1)*(元データ!$AE$2:$AE$2001=$C$59)*(元データ!$AO$2:$AO$2001=0)*(元データ!$AM$2:$AM$2001&gt;=15)*(元データ!$AM$2:$AM$2001&lt;=21)*(元データ!$E$2:$E$2001="32 ＳＶ確認中"))</f>
        <v/>
      </c>
      <c r="AJ60" s="189">
        <f>IFERROR(_xlfn.TEXTJOIN(CHAR(10),TRUE,IF((元データ!$AL$2:$AL$2001=1)*(元データ!$AN$2:$AN$2001=1)*(元データ!$AE$2:$AE$2001=$C$59)*(元データ!$AO$2:$AO$2001=0)*(元データ!$AM$2:$AM$2001&gt;=15)*(元データ!$AM$2:$AM$2001&lt;=21)*(元データ!$E$2:$E$2001="32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60" s="188">
        <f>SUMPRODUCT((元データ!$AL$2:$AL$2001=1)*(元データ!$AN$2:$AN$2001=1)*(元データ!$AE$2:$AE$2001=$C$59)*(元データ!$AO$2:$AO$2001=0)*(元データ!$AM$2:$AM$2001&gt;=15)*(元データ!$AM$2:$AM$2001&lt;=21)*(元データ!$E$2:$E$2001="40 差戻し"))</f>
        <v/>
      </c>
      <c r="AL60" s="189">
        <f>IFERROR(_xlfn.TEXTJOIN(CHAR(10),TRUE,IF((元データ!$AL$2:$AL$2001=1)*(元データ!$AN$2:$AN$2001=1)*(元データ!$AE$2:$AE$2001=$C$59)*(元データ!$AO$2:$AO$2001=0)*(元データ!$AM$2:$AM$2001&gt;=15)*(元データ!$AM$2:$AM$2001&lt;=21)*(元データ!$E$2:$E$2001="40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60" s="190">
        <f>SUMPRODUCT((元データ!$AL$2:$AL$2001=1)*(元データ!$AN$2:$AN$2001=1)*(元データ!$AE$2:$AE$2001=$C$59)*(元データ!$AO$2:$AO$2001=0)*(元データ!$AM$2:$AM$2001&gt;=22)*(元データ!$AM$2:$AM$2001&lt;=30))</f>
        <v/>
      </c>
      <c r="AN60" s="191">
        <f>SUMPRODUCT((元データ!$AL$2:$AL$2001=1)*(元データ!$AN$2:$AN$2001=1)*(元データ!$AE$2:$AE$2001=$C$59)*(元データ!$AO$2:$AO$2001=0)*(元データ!$AM$2:$AM$2001&gt;=22)*(元データ!$AM$2:$AM$2001&lt;=30)*(元データ!$E$2:$E$2001="20 確認待ち"))</f>
        <v/>
      </c>
      <c r="AO60" s="192">
        <f>IFERROR(_xlfn.TEXTJOIN(CHAR(10),TRUE,IF((元データ!$AL$2:$AL$2001=1)*(元データ!$AN$2:$AN$2001=1)*(元データ!$AE$2:$AE$2001=$C$59)*(元データ!$AO$2:$AO$2001=0)*(元データ!$AM$2:$AM$2001&gt;=22)*(元データ!$AM$2:$AM$2001&lt;=30)*(元データ!$E$2:$E$2001="20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60" s="191">
        <f>SUMPRODUCT((元データ!$AL$2:$AL$2001=1)*(元データ!$AN$2:$AN$2001=1)*(元データ!$AE$2:$AE$2001=$C$59)*(元データ!$AO$2:$AO$2001=0)*(元データ!$AM$2:$AM$2001&gt;=22)*(元データ!$AM$2:$AM$2001&lt;=30)*(元データ!$E$2:$E$2001="30 申請受付"))</f>
        <v/>
      </c>
      <c r="AQ60" s="192">
        <f>IFERROR(_xlfn.TEXTJOIN(CHAR(10),TRUE,IF((元データ!$AL$2:$AL$2001=1)*(元データ!$AN$2:$AN$2001=1)*(元データ!$AE$2:$AE$2001=$C$59)*(元データ!$AO$2:$AO$2001=0)*(元データ!$AM$2:$AM$2001&gt;=22)*(元データ!$AM$2:$AM$2001&lt;=30)*(元データ!$E$2:$E$2001="30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60" s="191">
        <f>SUMPRODUCT((元データ!$AL$2:$AL$2001=1)*(元データ!$AN$2:$AN$2001=1)*(元データ!$AE$2:$AE$2001=$C$59)*(元データ!$AO$2:$AO$2001=0)*(元データ!$AM$2:$AM$2001&gt;=22)*(元データ!$AM$2:$AM$2001&lt;=30)*(元データ!$E$2:$E$2001="31 ＯＰ確認中"))</f>
        <v/>
      </c>
      <c r="AS60" s="192">
        <f>IFERROR(_xlfn.TEXTJOIN(CHAR(10),TRUE,IF((元データ!$AL$2:$AL$2001=1)*(元データ!$AN$2:$AN$2001=1)*(元データ!$AE$2:$AE$2001=$C$59)*(元データ!$AO$2:$AO$2001=0)*(元データ!$AM$2:$AM$2001&gt;=22)*(元データ!$AM$2:$AM$2001&lt;=30)*(元データ!$E$2:$E$2001="31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60" s="191">
        <f>SUMPRODUCT((元データ!$AL$2:$AL$2001=1)*(元データ!$AN$2:$AN$2001=1)*(元データ!$AE$2:$AE$2001=$C$59)*(元データ!$AO$2:$AO$2001=0)*(元データ!$AM$2:$AM$2001&gt;=22)*(元データ!$AM$2:$AM$2001&lt;=30)*(元データ!$E$2:$E$2001="32 ＳＶ確認中"))</f>
        <v/>
      </c>
      <c r="AU60" s="192">
        <f>IFERROR(_xlfn.TEXTJOIN(CHAR(10),TRUE,IF((元データ!$AL$2:$AL$2001=1)*(元データ!$AN$2:$AN$2001=1)*(元データ!$AE$2:$AE$2001=$C$59)*(元データ!$AO$2:$AO$2001=0)*(元データ!$AM$2:$AM$2001&gt;=22)*(元データ!$AM$2:$AM$2001&lt;=30)*(元データ!$E$2:$E$2001="32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60" s="191">
        <f>SUMPRODUCT((元データ!$AL$2:$AL$2001=1)*(元データ!$AN$2:$AN$2001=1)*(元データ!$AE$2:$AE$2001=$C$59)*(元データ!$AO$2:$AO$2001=0)*(元データ!$AM$2:$AM$2001&gt;=22)*(元データ!$AM$2:$AM$2001&lt;=30)*(元データ!$E$2:$E$2001="40 差戻し"))</f>
        <v/>
      </c>
      <c r="AW60" s="192">
        <f>IFERROR(_xlfn.TEXTJOIN(CHAR(10),TRUE,IF((元データ!$AL$2:$AL$2001=1)*(元データ!$AN$2:$AN$2001=1)*(元データ!$AE$2:$AE$2001=$C$59)*(元データ!$AO$2:$AO$2001=0)*(元データ!$AM$2:$AM$2001&gt;=22)*(元データ!$AM$2:$AM$2001&lt;=30)*(元データ!$E$2:$E$2001="40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60" s="193">
        <f>SUMPRODUCT((元データ!$AL$2:$AL$2001=1)*(元データ!$AN$2:$AN$2001=1)*(元データ!$AE$2:$AE$2001=$C$59)*(元データ!$AO$2:$AO$2001=0)*(元データ!$AM$2:$AM$2001&gt;=31))</f>
        <v/>
      </c>
      <c r="AY60" s="194">
        <f>SUMPRODUCT((元データ!$AL$2:$AL$2001=1)*(元データ!$AN$2:$AN$2001=1)*(元データ!$AE$2:$AE$2001=$C$59)*(元データ!$AO$2:$AO$2001=0)*(元データ!$AM$2:$AM$2001&gt;=31)*(元データ!$E$2:$E$2001="20 確認待ち"))</f>
        <v/>
      </c>
      <c r="AZ60" s="195">
        <f>IFERROR(_xlfn.TEXTJOIN(CHAR(10),TRUE,IF((元データ!$AL$2:$AL$2001=1)*(元データ!$AN$2:$AN$2001=1)*(元データ!$AE$2:$AE$2001=$C$59)*(元データ!$AO$2:$AO$2001=0)*(元データ!$AM$2:$AM$2001&gt;=31)*(元データ!$E$2:$E$2001="20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60" s="194">
        <f>SUMPRODUCT((元データ!$AL$2:$AL$2001=1)*(元データ!$AN$2:$AN$2001=1)*(元データ!$AE$2:$AE$2001=$C$59)*(元データ!$AO$2:$AO$2001=0)*(元データ!$AM$2:$AM$2001&gt;=31)*(元データ!$E$2:$E$2001="30 申請受付"))</f>
        <v/>
      </c>
      <c r="BB60" s="195">
        <f>IFERROR(_xlfn.TEXTJOIN(CHAR(10),TRUE,IF((元データ!$AL$2:$AL$2001=1)*(元データ!$AN$2:$AN$2001=1)*(元データ!$AE$2:$AE$2001=$C$59)*(元データ!$AO$2:$AO$2001=0)*(元データ!$AM$2:$AM$2001&gt;=31)*(元データ!$E$2:$E$2001="30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60" s="194">
        <f>SUMPRODUCT((元データ!$AL$2:$AL$2001=1)*(元データ!$AN$2:$AN$2001=1)*(元データ!$AE$2:$AE$2001=$C$59)*(元データ!$AO$2:$AO$2001=0)*(元データ!$AM$2:$AM$2001&gt;=31)*(元データ!$E$2:$E$2001="31 ＯＰ確認中"))</f>
        <v/>
      </c>
      <c r="BD60" s="195">
        <f>IFERROR(_xlfn.TEXTJOIN(CHAR(10),TRUE,IF((元データ!$AL$2:$AL$2001=1)*(元データ!$AN$2:$AN$2001=1)*(元データ!$AE$2:$AE$2001=$C$59)*(元データ!$AO$2:$AO$2001=0)*(元データ!$AM$2:$AM$2001&gt;=31)*(元データ!$E$2:$E$2001="31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60" s="194">
        <f>SUMPRODUCT((元データ!$AL$2:$AL$2001=1)*(元データ!$AN$2:$AN$2001=1)*(元データ!$AE$2:$AE$2001=$C$59)*(元データ!$AO$2:$AO$2001=0)*(元データ!$AM$2:$AM$2001&gt;=31)*(元データ!$E$2:$E$2001="32 ＳＶ確認中"))</f>
        <v/>
      </c>
      <c r="BF60" s="195">
        <f>IFERROR(_xlfn.TEXTJOIN(CHAR(10),TRUE,IF((元データ!$AL$2:$AL$2001=1)*(元データ!$AN$2:$AN$2001=1)*(元データ!$AE$2:$AE$2001=$C$59)*(元データ!$AO$2:$AO$2001=0)*(元データ!$AM$2:$AM$2001&gt;=31)*(元データ!$E$2:$E$2001="32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60" s="194">
        <f>SUMPRODUCT((元データ!$AL$2:$AL$2001=1)*(元データ!$AN$2:$AN$2001=1)*(元データ!$AE$2:$AE$2001=$C$59)*(元データ!$AO$2:$AO$2001=0)*(元データ!$AM$2:$AM$2001&gt;=31)*(元データ!$E$2:$E$2001="40 差戻し"))</f>
        <v/>
      </c>
      <c r="BH60" s="195">
        <f>IFERROR(_xlfn.TEXTJOIN(CHAR(10),TRUE,IF((元データ!$AL$2:$AL$2001=1)*(元データ!$AN$2:$AN$2001=1)*(元データ!$AE$2:$AE$2001=$C$59)*(元データ!$AO$2:$AO$2001=0)*(元データ!$AM$2:$AM$2001&gt;=31)*(元データ!$E$2:$E$2001="40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61" ht="19.5" customHeight="1" s="87">
      <c r="B61" s="139" t="n"/>
      <c r="C61" s="140" t="inlineStr">
        <is>
          <t>31 同居</t>
        </is>
      </c>
      <c r="D61" s="141" t="inlineStr">
        <is>
          <t>あり</t>
        </is>
      </c>
      <c r="E61" s="142">
        <f>SUMPRODUCT((元データ!$AL$2:$AL$2001=1)*(元データ!$AN$2:$AN$2001=1)*(元データ!$AE$2:$AE$2001=$C$61)*(元データ!$AO$2:$AO$2001=1))</f>
        <v/>
      </c>
      <c r="F61" s="184">
        <f>SUMPRODUCT((元データ!$AL$2:$AL$2001=1)*(元データ!$AN$2:$AN$2001=1)*(元データ!$AE$2:$AE$2001=$C$61)*(元データ!$AO$2:$AO$2001=1)*(元データ!$AM$2:$AM$2001&lt;=7))</f>
        <v/>
      </c>
      <c r="G61" s="185">
        <f>SUMPRODUCT((元データ!$AL$2:$AL$2001=1)*(元データ!$AN$2:$AN$2001=1)*(元データ!$AE$2:$AE$2001=$C$61)*(元データ!$AO$2:$AO$2001=1)*(元データ!$AM$2:$AM$2001&lt;=7)*(元データ!$E$2:$E$2001="20 確認待ち"))</f>
        <v/>
      </c>
      <c r="H61" s="186">
        <f>IFERROR(_xlfn.TEXTJOIN(CHAR(10),TRUE,IF((元データ!$AL$2:$AL$2001=1)*(元データ!$AN$2:$AN$2001=1)*(元データ!$AE$2:$AE$2001=$C$61)*(元データ!$AO$2:$AO$2001=1)*(元データ!$AM$2:$AM$2001&lt;=7)*(元データ!$E$2:$E$2001="20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61" s="185">
        <f>SUMPRODUCT((元データ!$AL$2:$AL$2001=1)*(元データ!$AN$2:$AN$2001=1)*(元データ!$AE$2:$AE$2001=$C$61)*(元データ!$AO$2:$AO$2001=1)*(元データ!$AM$2:$AM$2001&lt;=7)*(元データ!$E$2:$E$2001="30 申請受付"))</f>
        <v/>
      </c>
      <c r="J61" s="186">
        <f>IFERROR(_xlfn.TEXTJOIN(CHAR(10),TRUE,IF((元データ!$AL$2:$AL$2001=1)*(元データ!$AN$2:$AN$2001=1)*(元データ!$AE$2:$AE$2001=$C$61)*(元データ!$AO$2:$AO$2001=1)*(元データ!$AM$2:$AM$2001&lt;=7)*(元データ!$E$2:$E$2001="30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61" s="185">
        <f>SUMPRODUCT((元データ!$AL$2:$AL$2001=1)*(元データ!$AN$2:$AN$2001=1)*(元データ!$AE$2:$AE$2001=$C$61)*(元データ!$AO$2:$AO$2001=1)*(元データ!$AM$2:$AM$2001&lt;=7)*(元データ!$E$2:$E$2001="31 ＯＰ確認中"))</f>
        <v/>
      </c>
      <c r="L61" s="186">
        <f>IFERROR(_xlfn.TEXTJOIN(CHAR(10),TRUE,IF((元データ!$AL$2:$AL$2001=1)*(元データ!$AN$2:$AN$2001=1)*(元データ!$AE$2:$AE$2001=$C$61)*(元データ!$AO$2:$AO$2001=1)*(元データ!$AM$2:$AM$2001&lt;=7)*(元データ!$E$2:$E$2001="31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61" s="185">
        <f>SUMPRODUCT((元データ!$AL$2:$AL$2001=1)*(元データ!$AN$2:$AN$2001=1)*(元データ!$AE$2:$AE$2001=$C$61)*(元データ!$AO$2:$AO$2001=1)*(元データ!$AM$2:$AM$2001&lt;=7)*(元データ!$E$2:$E$2001="32 ＳＶ確認中"))</f>
        <v/>
      </c>
      <c r="N61" s="186">
        <f>IFERROR(_xlfn.TEXTJOIN(CHAR(10),TRUE,IF((元データ!$AL$2:$AL$2001=1)*(元データ!$AN$2:$AN$2001=1)*(元データ!$AE$2:$AE$2001=$C$61)*(元データ!$AO$2:$AO$2001=1)*(元データ!$AM$2:$AM$2001&lt;=7)*(元データ!$E$2:$E$2001="32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61" s="185">
        <f>SUMPRODUCT((元データ!$AL$2:$AL$2001=1)*(元データ!$AN$2:$AN$2001=1)*(元データ!$AE$2:$AE$2001=$C$61)*(元データ!$AO$2:$AO$2001=1)*(元データ!$AM$2:$AM$2001&lt;=7)*(元データ!$E$2:$E$2001="40 差戻し"))</f>
        <v/>
      </c>
      <c r="P61" s="186">
        <f>IFERROR(_xlfn.TEXTJOIN(CHAR(10),TRUE,IF((元データ!$AL$2:$AL$2001=1)*(元データ!$AN$2:$AN$2001=1)*(元データ!$AE$2:$AE$2001=$C$61)*(元データ!$AO$2:$AO$2001=1)*(元データ!$AM$2:$AM$2001&lt;=7)*(元データ!$E$2:$E$2001="40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61" s="184">
        <f>SUMPRODUCT((元データ!$AL$2:$AL$2001=1)*(元データ!$AN$2:$AN$2001=1)*(元データ!$AE$2:$AE$2001=$C$61)*(元データ!$AO$2:$AO$2001=1)*(元データ!$AM$2:$AM$2001&gt;=8)*(元データ!$AM$2:$AM$2001&lt;=14))</f>
        <v/>
      </c>
      <c r="R61" s="185">
        <f>SUMPRODUCT((元データ!$AL$2:$AL$2001=1)*(元データ!$AN$2:$AN$2001=1)*(元データ!$AE$2:$AE$2001=$C$61)*(元データ!$AO$2:$AO$2001=1)*(元データ!$AM$2:$AM$2001&gt;=8)*(元データ!$AM$2:$AM$2001&lt;=14)*(元データ!$E$2:$E$2001="20 確認待ち"))</f>
        <v/>
      </c>
      <c r="S61" s="186">
        <f>IFERROR(_xlfn.TEXTJOIN(CHAR(10),TRUE,IF((元データ!$AL$2:$AL$2001=1)*(元データ!$AN$2:$AN$2001=1)*(元データ!$AE$2:$AE$2001=$C$61)*(元データ!$AO$2:$AO$2001=1)*(元データ!$AM$2:$AM$2001&gt;=8)*(元データ!$AM$2:$AM$2001&lt;=14)*(元データ!$E$2:$E$2001="20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61" s="185">
        <f>SUMPRODUCT((元データ!$AL$2:$AL$2001=1)*(元データ!$AN$2:$AN$2001=1)*(元データ!$AE$2:$AE$2001=$C$61)*(元データ!$AO$2:$AO$2001=1)*(元データ!$AM$2:$AM$2001&gt;=8)*(元データ!$AM$2:$AM$2001&lt;=14)*(元データ!$E$2:$E$2001="30 申請受付"))</f>
        <v/>
      </c>
      <c r="U61" s="186">
        <f>IFERROR(_xlfn.TEXTJOIN(CHAR(10),TRUE,IF((元データ!$AL$2:$AL$2001=1)*(元データ!$AN$2:$AN$2001=1)*(元データ!$AE$2:$AE$2001=$C$61)*(元データ!$AO$2:$AO$2001=1)*(元データ!$AM$2:$AM$2001&gt;=8)*(元データ!$AM$2:$AM$2001&lt;=14)*(元データ!$E$2:$E$2001="30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61" s="185">
        <f>SUMPRODUCT((元データ!$AL$2:$AL$2001=1)*(元データ!$AN$2:$AN$2001=1)*(元データ!$AE$2:$AE$2001=$C$61)*(元データ!$AO$2:$AO$2001=1)*(元データ!$AM$2:$AM$2001&gt;=8)*(元データ!$AM$2:$AM$2001&lt;=14)*(元データ!$E$2:$E$2001="31 ＯＰ確認中"))</f>
        <v/>
      </c>
      <c r="W61" s="186">
        <f>IFERROR(_xlfn.TEXTJOIN(CHAR(10),TRUE,IF((元データ!$AL$2:$AL$2001=1)*(元データ!$AN$2:$AN$2001=1)*(元データ!$AE$2:$AE$2001=$C$61)*(元データ!$AO$2:$AO$2001=1)*(元データ!$AM$2:$AM$2001&gt;=8)*(元データ!$AM$2:$AM$2001&lt;=14)*(元データ!$E$2:$E$2001="31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61" s="185">
        <f>SUMPRODUCT((元データ!$AL$2:$AL$2001=1)*(元データ!$AN$2:$AN$2001=1)*(元データ!$AE$2:$AE$2001=$C$61)*(元データ!$AO$2:$AO$2001=1)*(元データ!$AM$2:$AM$2001&gt;=8)*(元データ!$AM$2:$AM$2001&lt;=14)*(元データ!$E$2:$E$2001="32 ＳＶ確認中"))</f>
        <v/>
      </c>
      <c r="Y61" s="186">
        <f>IFERROR(_xlfn.TEXTJOIN(CHAR(10),TRUE,IF((元データ!$AL$2:$AL$2001=1)*(元データ!$AN$2:$AN$2001=1)*(元データ!$AE$2:$AE$2001=$C$61)*(元データ!$AO$2:$AO$2001=1)*(元データ!$AM$2:$AM$2001&gt;=8)*(元データ!$AM$2:$AM$2001&lt;=14)*(元データ!$E$2:$E$2001="32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61" s="185">
        <f>SUMPRODUCT((元データ!$AL$2:$AL$2001=1)*(元データ!$AN$2:$AN$2001=1)*(元データ!$AE$2:$AE$2001=$C$61)*(元データ!$AO$2:$AO$2001=1)*(元データ!$AM$2:$AM$2001&gt;=8)*(元データ!$AM$2:$AM$2001&lt;=14)*(元データ!$E$2:$E$2001="40 差戻し"))</f>
        <v/>
      </c>
      <c r="AA61" s="186">
        <f>IFERROR(_xlfn.TEXTJOIN(CHAR(10),TRUE,IF((元データ!$AL$2:$AL$2001=1)*(元データ!$AN$2:$AN$2001=1)*(元データ!$AE$2:$AE$2001=$C$61)*(元データ!$AO$2:$AO$2001=1)*(元データ!$AM$2:$AM$2001&gt;=8)*(元データ!$AM$2:$AM$2001&lt;=14)*(元データ!$E$2:$E$2001="40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61" s="187">
        <f>SUMPRODUCT((元データ!$AL$2:$AL$2001=1)*(元データ!$AN$2:$AN$2001=1)*(元データ!$AE$2:$AE$2001=$C$61)*(元データ!$AO$2:$AO$2001=1)*(元データ!$AM$2:$AM$2001&gt;=15)*(元データ!$AM$2:$AM$2001&lt;=21))</f>
        <v/>
      </c>
      <c r="AC61" s="188">
        <f>SUMPRODUCT((元データ!$AL$2:$AL$2001=1)*(元データ!$AN$2:$AN$2001=1)*(元データ!$AE$2:$AE$2001=$C$61)*(元データ!$AO$2:$AO$2001=1)*(元データ!$AM$2:$AM$2001&gt;=15)*(元データ!$AM$2:$AM$2001&lt;=21)*(元データ!$E$2:$E$2001="20 確認待ち"))</f>
        <v/>
      </c>
      <c r="AD61" s="189">
        <f>IFERROR(_xlfn.TEXTJOIN(CHAR(10),TRUE,IF((元データ!$AL$2:$AL$2001=1)*(元データ!$AN$2:$AN$2001=1)*(元データ!$AE$2:$AE$2001=$C$61)*(元データ!$AO$2:$AO$2001=1)*(元データ!$AM$2:$AM$2001&gt;=15)*(元データ!$AM$2:$AM$2001&lt;=21)*(元データ!$E$2:$E$2001="20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61" s="188">
        <f>SUMPRODUCT((元データ!$AL$2:$AL$2001=1)*(元データ!$AN$2:$AN$2001=1)*(元データ!$AE$2:$AE$2001=$C$61)*(元データ!$AO$2:$AO$2001=1)*(元データ!$AM$2:$AM$2001&gt;=15)*(元データ!$AM$2:$AM$2001&lt;=21)*(元データ!$E$2:$E$2001="30 申請受付"))</f>
        <v/>
      </c>
      <c r="AF61" s="189">
        <f>IFERROR(_xlfn.TEXTJOIN(CHAR(10),TRUE,IF((元データ!$AL$2:$AL$2001=1)*(元データ!$AN$2:$AN$2001=1)*(元データ!$AE$2:$AE$2001=$C$61)*(元データ!$AO$2:$AO$2001=1)*(元データ!$AM$2:$AM$2001&gt;=15)*(元データ!$AM$2:$AM$2001&lt;=21)*(元データ!$E$2:$E$2001="30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61" s="188">
        <f>SUMPRODUCT((元データ!$AL$2:$AL$2001=1)*(元データ!$AN$2:$AN$2001=1)*(元データ!$AE$2:$AE$2001=$C$61)*(元データ!$AO$2:$AO$2001=1)*(元データ!$AM$2:$AM$2001&gt;=15)*(元データ!$AM$2:$AM$2001&lt;=21)*(元データ!$E$2:$E$2001="31 ＯＰ確認中"))</f>
        <v/>
      </c>
      <c r="AH61" s="189">
        <f>IFERROR(_xlfn.TEXTJOIN(CHAR(10),TRUE,IF((元データ!$AL$2:$AL$2001=1)*(元データ!$AN$2:$AN$2001=1)*(元データ!$AE$2:$AE$2001=$C$61)*(元データ!$AO$2:$AO$2001=1)*(元データ!$AM$2:$AM$2001&gt;=15)*(元データ!$AM$2:$AM$2001&lt;=21)*(元データ!$E$2:$E$2001="31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61" s="188">
        <f>SUMPRODUCT((元データ!$AL$2:$AL$2001=1)*(元データ!$AN$2:$AN$2001=1)*(元データ!$AE$2:$AE$2001=$C$61)*(元データ!$AO$2:$AO$2001=1)*(元データ!$AM$2:$AM$2001&gt;=15)*(元データ!$AM$2:$AM$2001&lt;=21)*(元データ!$E$2:$E$2001="32 ＳＶ確認中"))</f>
        <v/>
      </c>
      <c r="AJ61" s="189">
        <f>IFERROR(_xlfn.TEXTJOIN(CHAR(10),TRUE,IF((元データ!$AL$2:$AL$2001=1)*(元データ!$AN$2:$AN$2001=1)*(元データ!$AE$2:$AE$2001=$C$61)*(元データ!$AO$2:$AO$2001=1)*(元データ!$AM$2:$AM$2001&gt;=15)*(元データ!$AM$2:$AM$2001&lt;=21)*(元データ!$E$2:$E$2001="32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61" s="188">
        <f>SUMPRODUCT((元データ!$AL$2:$AL$2001=1)*(元データ!$AN$2:$AN$2001=1)*(元データ!$AE$2:$AE$2001=$C$61)*(元データ!$AO$2:$AO$2001=1)*(元データ!$AM$2:$AM$2001&gt;=15)*(元データ!$AM$2:$AM$2001&lt;=21)*(元データ!$E$2:$E$2001="40 差戻し"))</f>
        <v/>
      </c>
      <c r="AL61" s="189">
        <f>IFERROR(_xlfn.TEXTJOIN(CHAR(10),TRUE,IF((元データ!$AL$2:$AL$2001=1)*(元データ!$AN$2:$AN$2001=1)*(元データ!$AE$2:$AE$2001=$C$61)*(元データ!$AO$2:$AO$2001=1)*(元データ!$AM$2:$AM$2001&gt;=15)*(元データ!$AM$2:$AM$2001&lt;=21)*(元データ!$E$2:$E$2001="40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61" s="190">
        <f>SUMPRODUCT((元データ!$AL$2:$AL$2001=1)*(元データ!$AN$2:$AN$2001=1)*(元データ!$AE$2:$AE$2001=$C$61)*(元データ!$AO$2:$AO$2001=1)*(元データ!$AM$2:$AM$2001&gt;=22)*(元データ!$AM$2:$AM$2001&lt;=30))</f>
        <v/>
      </c>
      <c r="AN61" s="191">
        <f>SUMPRODUCT((元データ!$AL$2:$AL$2001=1)*(元データ!$AN$2:$AN$2001=1)*(元データ!$AE$2:$AE$2001=$C$61)*(元データ!$AO$2:$AO$2001=1)*(元データ!$AM$2:$AM$2001&gt;=22)*(元データ!$AM$2:$AM$2001&lt;=30)*(元データ!$E$2:$E$2001="20 確認待ち"))</f>
        <v/>
      </c>
      <c r="AO61" s="192">
        <f>IFERROR(_xlfn.TEXTJOIN(CHAR(10),TRUE,IF((元データ!$AL$2:$AL$2001=1)*(元データ!$AN$2:$AN$2001=1)*(元データ!$AE$2:$AE$2001=$C$61)*(元データ!$AO$2:$AO$2001=1)*(元データ!$AM$2:$AM$2001&gt;=22)*(元データ!$AM$2:$AM$2001&lt;=30)*(元データ!$E$2:$E$2001="20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61" s="191">
        <f>SUMPRODUCT((元データ!$AL$2:$AL$2001=1)*(元データ!$AN$2:$AN$2001=1)*(元データ!$AE$2:$AE$2001=$C$61)*(元データ!$AO$2:$AO$2001=1)*(元データ!$AM$2:$AM$2001&gt;=22)*(元データ!$AM$2:$AM$2001&lt;=30)*(元データ!$E$2:$E$2001="30 申請受付"))</f>
        <v/>
      </c>
      <c r="AQ61" s="192">
        <f>IFERROR(_xlfn.TEXTJOIN(CHAR(10),TRUE,IF((元データ!$AL$2:$AL$2001=1)*(元データ!$AN$2:$AN$2001=1)*(元データ!$AE$2:$AE$2001=$C$61)*(元データ!$AO$2:$AO$2001=1)*(元データ!$AM$2:$AM$2001&gt;=22)*(元データ!$AM$2:$AM$2001&lt;=30)*(元データ!$E$2:$E$2001="30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61" s="191">
        <f>SUMPRODUCT((元データ!$AL$2:$AL$2001=1)*(元データ!$AN$2:$AN$2001=1)*(元データ!$AE$2:$AE$2001=$C$61)*(元データ!$AO$2:$AO$2001=1)*(元データ!$AM$2:$AM$2001&gt;=22)*(元データ!$AM$2:$AM$2001&lt;=30)*(元データ!$E$2:$E$2001="31 ＯＰ確認中"))</f>
        <v/>
      </c>
      <c r="AS61" s="192">
        <f>IFERROR(_xlfn.TEXTJOIN(CHAR(10),TRUE,IF((元データ!$AL$2:$AL$2001=1)*(元データ!$AN$2:$AN$2001=1)*(元データ!$AE$2:$AE$2001=$C$61)*(元データ!$AO$2:$AO$2001=1)*(元データ!$AM$2:$AM$2001&gt;=22)*(元データ!$AM$2:$AM$2001&lt;=30)*(元データ!$E$2:$E$2001="31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61" s="191">
        <f>SUMPRODUCT((元データ!$AL$2:$AL$2001=1)*(元データ!$AN$2:$AN$2001=1)*(元データ!$AE$2:$AE$2001=$C$61)*(元データ!$AO$2:$AO$2001=1)*(元データ!$AM$2:$AM$2001&gt;=22)*(元データ!$AM$2:$AM$2001&lt;=30)*(元データ!$E$2:$E$2001="32 ＳＶ確認中"))</f>
        <v/>
      </c>
      <c r="AU61" s="192">
        <f>IFERROR(_xlfn.TEXTJOIN(CHAR(10),TRUE,IF((元データ!$AL$2:$AL$2001=1)*(元データ!$AN$2:$AN$2001=1)*(元データ!$AE$2:$AE$2001=$C$61)*(元データ!$AO$2:$AO$2001=1)*(元データ!$AM$2:$AM$2001&gt;=22)*(元データ!$AM$2:$AM$2001&lt;=30)*(元データ!$E$2:$E$2001="32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61" s="191">
        <f>SUMPRODUCT((元データ!$AL$2:$AL$2001=1)*(元データ!$AN$2:$AN$2001=1)*(元データ!$AE$2:$AE$2001=$C$61)*(元データ!$AO$2:$AO$2001=1)*(元データ!$AM$2:$AM$2001&gt;=22)*(元データ!$AM$2:$AM$2001&lt;=30)*(元データ!$E$2:$E$2001="40 差戻し"))</f>
        <v/>
      </c>
      <c r="AW61" s="192">
        <f>IFERROR(_xlfn.TEXTJOIN(CHAR(10),TRUE,IF((元データ!$AL$2:$AL$2001=1)*(元データ!$AN$2:$AN$2001=1)*(元データ!$AE$2:$AE$2001=$C$61)*(元データ!$AO$2:$AO$2001=1)*(元データ!$AM$2:$AM$2001&gt;=22)*(元データ!$AM$2:$AM$2001&lt;=30)*(元データ!$E$2:$E$2001="40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61" s="193">
        <f>SUMPRODUCT((元データ!$AL$2:$AL$2001=1)*(元データ!$AN$2:$AN$2001=1)*(元データ!$AE$2:$AE$2001=$C$61)*(元データ!$AO$2:$AO$2001=1)*(元データ!$AM$2:$AM$2001&gt;=31))</f>
        <v/>
      </c>
      <c r="AY61" s="194">
        <f>SUMPRODUCT((元データ!$AL$2:$AL$2001=1)*(元データ!$AN$2:$AN$2001=1)*(元データ!$AE$2:$AE$2001=$C$61)*(元データ!$AO$2:$AO$2001=1)*(元データ!$AM$2:$AM$2001&gt;=31)*(元データ!$E$2:$E$2001="20 確認待ち"))</f>
        <v/>
      </c>
      <c r="AZ61" s="195">
        <f>IFERROR(_xlfn.TEXTJOIN(CHAR(10),TRUE,IF((元データ!$AL$2:$AL$2001=1)*(元データ!$AN$2:$AN$2001=1)*(元データ!$AE$2:$AE$2001=$C$61)*(元データ!$AO$2:$AO$2001=1)*(元データ!$AM$2:$AM$2001&gt;=31)*(元データ!$E$2:$E$2001="20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61" s="194">
        <f>SUMPRODUCT((元データ!$AL$2:$AL$2001=1)*(元データ!$AN$2:$AN$2001=1)*(元データ!$AE$2:$AE$2001=$C$61)*(元データ!$AO$2:$AO$2001=1)*(元データ!$AM$2:$AM$2001&gt;=31)*(元データ!$E$2:$E$2001="30 申請受付"))</f>
        <v/>
      </c>
      <c r="BB61" s="195">
        <f>IFERROR(_xlfn.TEXTJOIN(CHAR(10),TRUE,IF((元データ!$AL$2:$AL$2001=1)*(元データ!$AN$2:$AN$2001=1)*(元データ!$AE$2:$AE$2001=$C$61)*(元データ!$AO$2:$AO$2001=1)*(元データ!$AM$2:$AM$2001&gt;=31)*(元データ!$E$2:$E$2001="30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61" s="194">
        <f>SUMPRODUCT((元データ!$AL$2:$AL$2001=1)*(元データ!$AN$2:$AN$2001=1)*(元データ!$AE$2:$AE$2001=$C$61)*(元データ!$AO$2:$AO$2001=1)*(元データ!$AM$2:$AM$2001&gt;=31)*(元データ!$E$2:$E$2001="31 ＯＰ確認中"))</f>
        <v/>
      </c>
      <c r="BD61" s="195">
        <f>IFERROR(_xlfn.TEXTJOIN(CHAR(10),TRUE,IF((元データ!$AL$2:$AL$2001=1)*(元データ!$AN$2:$AN$2001=1)*(元データ!$AE$2:$AE$2001=$C$61)*(元データ!$AO$2:$AO$2001=1)*(元データ!$AM$2:$AM$2001&gt;=31)*(元データ!$E$2:$E$2001="31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61" s="194">
        <f>SUMPRODUCT((元データ!$AL$2:$AL$2001=1)*(元データ!$AN$2:$AN$2001=1)*(元データ!$AE$2:$AE$2001=$C$61)*(元データ!$AO$2:$AO$2001=1)*(元データ!$AM$2:$AM$2001&gt;=31)*(元データ!$E$2:$E$2001="32 ＳＶ確認中"))</f>
        <v/>
      </c>
      <c r="BF61" s="195">
        <f>IFERROR(_xlfn.TEXTJOIN(CHAR(10),TRUE,IF((元データ!$AL$2:$AL$2001=1)*(元データ!$AN$2:$AN$2001=1)*(元データ!$AE$2:$AE$2001=$C$61)*(元データ!$AO$2:$AO$2001=1)*(元データ!$AM$2:$AM$2001&gt;=31)*(元データ!$E$2:$E$2001="32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61" s="194">
        <f>SUMPRODUCT((元データ!$AL$2:$AL$2001=1)*(元データ!$AN$2:$AN$2001=1)*(元データ!$AE$2:$AE$2001=$C$61)*(元データ!$AO$2:$AO$2001=1)*(元データ!$AM$2:$AM$2001&gt;=31)*(元データ!$E$2:$E$2001="40 差戻し"))</f>
        <v/>
      </c>
      <c r="BH61" s="195">
        <f>IFERROR(_xlfn.TEXTJOIN(CHAR(10),TRUE,IF((元データ!$AL$2:$AL$2001=1)*(元データ!$AN$2:$AN$2001=1)*(元データ!$AE$2:$AE$2001=$C$61)*(元データ!$AO$2:$AO$2001=1)*(元データ!$AM$2:$AM$2001&gt;=31)*(元データ!$E$2:$E$2001="40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62" ht="19.5" customHeight="1" s="87">
      <c r="B62" s="155" t="n"/>
      <c r="C62" s="156" t="n"/>
      <c r="D62" s="157" t="inlineStr">
        <is>
          <t>なし</t>
        </is>
      </c>
      <c r="E62" s="158">
        <f>SUMPRODUCT((元データ!$AL$2:$AL$2001=1)*(元データ!$AN$2:$AN$2001=1)*(元データ!$AE$2:$AE$2001=$C$61)*(元データ!$AO$2:$AO$2001=0))</f>
        <v/>
      </c>
      <c r="F62" s="196">
        <f>SUMPRODUCT((元データ!$AL$2:$AL$2001=1)*(元データ!$AN$2:$AN$2001=1)*(元データ!$AE$2:$AE$2001=$C$61)*(元データ!$AO$2:$AO$2001=0)*(元データ!$AM$2:$AM$2001&lt;=7))</f>
        <v/>
      </c>
      <c r="G62" s="197">
        <f>SUMPRODUCT((元データ!$AL$2:$AL$2001=1)*(元データ!$AN$2:$AN$2001=1)*(元データ!$AE$2:$AE$2001=$C$61)*(元データ!$AO$2:$AO$2001=0)*(元データ!$AM$2:$AM$2001&lt;=7)*(元データ!$E$2:$E$2001="20 確認待ち"))</f>
        <v/>
      </c>
      <c r="H62" s="198">
        <f>IFERROR(_xlfn.TEXTJOIN(CHAR(10),TRUE,IF((元データ!$AL$2:$AL$2001=1)*(元データ!$AN$2:$AN$2001=1)*(元データ!$AE$2:$AE$2001=$C$61)*(元データ!$AO$2:$AO$2001=0)*(元データ!$AM$2:$AM$2001&lt;=7)*(元データ!$E$2:$E$2001="20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62" s="197">
        <f>SUMPRODUCT((元データ!$AL$2:$AL$2001=1)*(元データ!$AN$2:$AN$2001=1)*(元データ!$AE$2:$AE$2001=$C$61)*(元データ!$AO$2:$AO$2001=0)*(元データ!$AM$2:$AM$2001&lt;=7)*(元データ!$E$2:$E$2001="30 申請受付"))</f>
        <v/>
      </c>
      <c r="J62" s="198">
        <f>IFERROR(_xlfn.TEXTJOIN(CHAR(10),TRUE,IF((元データ!$AL$2:$AL$2001=1)*(元データ!$AN$2:$AN$2001=1)*(元データ!$AE$2:$AE$2001=$C$61)*(元データ!$AO$2:$AO$2001=0)*(元データ!$AM$2:$AM$2001&lt;=7)*(元データ!$E$2:$E$2001="30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62" s="197">
        <f>SUMPRODUCT((元データ!$AL$2:$AL$2001=1)*(元データ!$AN$2:$AN$2001=1)*(元データ!$AE$2:$AE$2001=$C$61)*(元データ!$AO$2:$AO$2001=0)*(元データ!$AM$2:$AM$2001&lt;=7)*(元データ!$E$2:$E$2001="31 ＯＰ確認中"))</f>
        <v/>
      </c>
      <c r="L62" s="198">
        <f>IFERROR(_xlfn.TEXTJOIN(CHAR(10),TRUE,IF((元データ!$AL$2:$AL$2001=1)*(元データ!$AN$2:$AN$2001=1)*(元データ!$AE$2:$AE$2001=$C$61)*(元データ!$AO$2:$AO$2001=0)*(元データ!$AM$2:$AM$2001&lt;=7)*(元データ!$E$2:$E$2001="31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62" s="197">
        <f>SUMPRODUCT((元データ!$AL$2:$AL$2001=1)*(元データ!$AN$2:$AN$2001=1)*(元データ!$AE$2:$AE$2001=$C$61)*(元データ!$AO$2:$AO$2001=0)*(元データ!$AM$2:$AM$2001&lt;=7)*(元データ!$E$2:$E$2001="32 ＳＶ確認中"))</f>
        <v/>
      </c>
      <c r="N62" s="198">
        <f>IFERROR(_xlfn.TEXTJOIN(CHAR(10),TRUE,IF((元データ!$AL$2:$AL$2001=1)*(元データ!$AN$2:$AN$2001=1)*(元データ!$AE$2:$AE$2001=$C$61)*(元データ!$AO$2:$AO$2001=0)*(元データ!$AM$2:$AM$2001&lt;=7)*(元データ!$E$2:$E$2001="32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62" s="197">
        <f>SUMPRODUCT((元データ!$AL$2:$AL$2001=1)*(元データ!$AN$2:$AN$2001=1)*(元データ!$AE$2:$AE$2001=$C$61)*(元データ!$AO$2:$AO$2001=0)*(元データ!$AM$2:$AM$2001&lt;=7)*(元データ!$E$2:$E$2001="40 差戻し"))</f>
        <v/>
      </c>
      <c r="P62" s="198">
        <f>IFERROR(_xlfn.TEXTJOIN(CHAR(10),TRUE,IF((元データ!$AL$2:$AL$2001=1)*(元データ!$AN$2:$AN$2001=1)*(元データ!$AE$2:$AE$2001=$C$61)*(元データ!$AO$2:$AO$2001=0)*(元データ!$AM$2:$AM$2001&lt;=7)*(元データ!$E$2:$E$2001="40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62" s="196">
        <f>SUMPRODUCT((元データ!$AL$2:$AL$2001=1)*(元データ!$AN$2:$AN$2001=1)*(元データ!$AE$2:$AE$2001=$C$61)*(元データ!$AO$2:$AO$2001=0)*(元データ!$AM$2:$AM$2001&gt;=8)*(元データ!$AM$2:$AM$2001&lt;=14))</f>
        <v/>
      </c>
      <c r="R62" s="197">
        <f>SUMPRODUCT((元データ!$AL$2:$AL$2001=1)*(元データ!$AN$2:$AN$2001=1)*(元データ!$AE$2:$AE$2001=$C$61)*(元データ!$AO$2:$AO$2001=0)*(元データ!$AM$2:$AM$2001&gt;=8)*(元データ!$AM$2:$AM$2001&lt;=14)*(元データ!$E$2:$E$2001="20 確認待ち"))</f>
        <v/>
      </c>
      <c r="S62" s="198">
        <f>IFERROR(_xlfn.TEXTJOIN(CHAR(10),TRUE,IF((元データ!$AL$2:$AL$2001=1)*(元データ!$AN$2:$AN$2001=1)*(元データ!$AE$2:$AE$2001=$C$61)*(元データ!$AO$2:$AO$2001=0)*(元データ!$AM$2:$AM$2001&gt;=8)*(元データ!$AM$2:$AM$2001&lt;=14)*(元データ!$E$2:$E$2001="20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62" s="197">
        <f>SUMPRODUCT((元データ!$AL$2:$AL$2001=1)*(元データ!$AN$2:$AN$2001=1)*(元データ!$AE$2:$AE$2001=$C$61)*(元データ!$AO$2:$AO$2001=0)*(元データ!$AM$2:$AM$2001&gt;=8)*(元データ!$AM$2:$AM$2001&lt;=14)*(元データ!$E$2:$E$2001="30 申請受付"))</f>
        <v/>
      </c>
      <c r="U62" s="198">
        <f>IFERROR(_xlfn.TEXTJOIN(CHAR(10),TRUE,IF((元データ!$AL$2:$AL$2001=1)*(元データ!$AN$2:$AN$2001=1)*(元データ!$AE$2:$AE$2001=$C$61)*(元データ!$AO$2:$AO$2001=0)*(元データ!$AM$2:$AM$2001&gt;=8)*(元データ!$AM$2:$AM$2001&lt;=14)*(元データ!$E$2:$E$2001="30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62" s="197">
        <f>SUMPRODUCT((元データ!$AL$2:$AL$2001=1)*(元データ!$AN$2:$AN$2001=1)*(元データ!$AE$2:$AE$2001=$C$61)*(元データ!$AO$2:$AO$2001=0)*(元データ!$AM$2:$AM$2001&gt;=8)*(元データ!$AM$2:$AM$2001&lt;=14)*(元データ!$E$2:$E$2001="31 ＯＰ確認中"))</f>
        <v/>
      </c>
      <c r="W62" s="198">
        <f>IFERROR(_xlfn.TEXTJOIN(CHAR(10),TRUE,IF((元データ!$AL$2:$AL$2001=1)*(元データ!$AN$2:$AN$2001=1)*(元データ!$AE$2:$AE$2001=$C$61)*(元データ!$AO$2:$AO$2001=0)*(元データ!$AM$2:$AM$2001&gt;=8)*(元データ!$AM$2:$AM$2001&lt;=14)*(元データ!$E$2:$E$2001="31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62" s="197">
        <f>SUMPRODUCT((元データ!$AL$2:$AL$2001=1)*(元データ!$AN$2:$AN$2001=1)*(元データ!$AE$2:$AE$2001=$C$61)*(元データ!$AO$2:$AO$2001=0)*(元データ!$AM$2:$AM$2001&gt;=8)*(元データ!$AM$2:$AM$2001&lt;=14)*(元データ!$E$2:$E$2001="32 ＳＶ確認中"))</f>
        <v/>
      </c>
      <c r="Y62" s="198">
        <f>IFERROR(_xlfn.TEXTJOIN(CHAR(10),TRUE,IF((元データ!$AL$2:$AL$2001=1)*(元データ!$AN$2:$AN$2001=1)*(元データ!$AE$2:$AE$2001=$C$61)*(元データ!$AO$2:$AO$2001=0)*(元データ!$AM$2:$AM$2001&gt;=8)*(元データ!$AM$2:$AM$2001&lt;=14)*(元データ!$E$2:$E$2001="32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62" s="197">
        <f>SUMPRODUCT((元データ!$AL$2:$AL$2001=1)*(元データ!$AN$2:$AN$2001=1)*(元データ!$AE$2:$AE$2001=$C$61)*(元データ!$AO$2:$AO$2001=0)*(元データ!$AM$2:$AM$2001&gt;=8)*(元データ!$AM$2:$AM$2001&lt;=14)*(元データ!$E$2:$E$2001="40 差戻し"))</f>
        <v/>
      </c>
      <c r="AA62" s="198">
        <f>IFERROR(_xlfn.TEXTJOIN(CHAR(10),TRUE,IF((元データ!$AL$2:$AL$2001=1)*(元データ!$AN$2:$AN$2001=1)*(元データ!$AE$2:$AE$2001=$C$61)*(元データ!$AO$2:$AO$2001=0)*(元データ!$AM$2:$AM$2001&gt;=8)*(元データ!$AM$2:$AM$2001&lt;=14)*(元データ!$E$2:$E$2001="40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62" s="187">
        <f>SUMPRODUCT((元データ!$AL$2:$AL$2001=1)*(元データ!$AN$2:$AN$2001=1)*(元データ!$AE$2:$AE$2001=$C$61)*(元データ!$AO$2:$AO$2001=0)*(元データ!$AM$2:$AM$2001&gt;=15)*(元データ!$AM$2:$AM$2001&lt;=21))</f>
        <v/>
      </c>
      <c r="AC62" s="188">
        <f>SUMPRODUCT((元データ!$AL$2:$AL$2001=1)*(元データ!$AN$2:$AN$2001=1)*(元データ!$AE$2:$AE$2001=$C$61)*(元データ!$AO$2:$AO$2001=0)*(元データ!$AM$2:$AM$2001&gt;=15)*(元データ!$AM$2:$AM$2001&lt;=21)*(元データ!$E$2:$E$2001="20 確認待ち"))</f>
        <v/>
      </c>
      <c r="AD62" s="189">
        <f>IFERROR(_xlfn.TEXTJOIN(CHAR(10),TRUE,IF((元データ!$AL$2:$AL$2001=1)*(元データ!$AN$2:$AN$2001=1)*(元データ!$AE$2:$AE$2001=$C$61)*(元データ!$AO$2:$AO$2001=0)*(元データ!$AM$2:$AM$2001&gt;=15)*(元データ!$AM$2:$AM$2001&lt;=21)*(元データ!$E$2:$E$2001="20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62" s="188">
        <f>SUMPRODUCT((元データ!$AL$2:$AL$2001=1)*(元データ!$AN$2:$AN$2001=1)*(元データ!$AE$2:$AE$2001=$C$61)*(元データ!$AO$2:$AO$2001=0)*(元データ!$AM$2:$AM$2001&gt;=15)*(元データ!$AM$2:$AM$2001&lt;=21)*(元データ!$E$2:$E$2001="30 申請受付"))</f>
        <v/>
      </c>
      <c r="AF62" s="189">
        <f>IFERROR(_xlfn.TEXTJOIN(CHAR(10),TRUE,IF((元データ!$AL$2:$AL$2001=1)*(元データ!$AN$2:$AN$2001=1)*(元データ!$AE$2:$AE$2001=$C$61)*(元データ!$AO$2:$AO$2001=0)*(元データ!$AM$2:$AM$2001&gt;=15)*(元データ!$AM$2:$AM$2001&lt;=21)*(元データ!$E$2:$E$2001="30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62" s="188">
        <f>SUMPRODUCT((元データ!$AL$2:$AL$2001=1)*(元データ!$AN$2:$AN$2001=1)*(元データ!$AE$2:$AE$2001=$C$61)*(元データ!$AO$2:$AO$2001=0)*(元データ!$AM$2:$AM$2001&gt;=15)*(元データ!$AM$2:$AM$2001&lt;=21)*(元データ!$E$2:$E$2001="31 ＯＰ確認中"))</f>
        <v/>
      </c>
      <c r="AH62" s="189">
        <f>IFERROR(_xlfn.TEXTJOIN(CHAR(10),TRUE,IF((元データ!$AL$2:$AL$2001=1)*(元データ!$AN$2:$AN$2001=1)*(元データ!$AE$2:$AE$2001=$C$61)*(元データ!$AO$2:$AO$2001=0)*(元データ!$AM$2:$AM$2001&gt;=15)*(元データ!$AM$2:$AM$2001&lt;=21)*(元データ!$E$2:$E$2001="31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62" s="188">
        <f>SUMPRODUCT((元データ!$AL$2:$AL$2001=1)*(元データ!$AN$2:$AN$2001=1)*(元データ!$AE$2:$AE$2001=$C$61)*(元データ!$AO$2:$AO$2001=0)*(元データ!$AM$2:$AM$2001&gt;=15)*(元データ!$AM$2:$AM$2001&lt;=21)*(元データ!$E$2:$E$2001="32 ＳＶ確認中"))</f>
        <v/>
      </c>
      <c r="AJ62" s="189">
        <f>IFERROR(_xlfn.TEXTJOIN(CHAR(10),TRUE,IF((元データ!$AL$2:$AL$2001=1)*(元データ!$AN$2:$AN$2001=1)*(元データ!$AE$2:$AE$2001=$C$61)*(元データ!$AO$2:$AO$2001=0)*(元データ!$AM$2:$AM$2001&gt;=15)*(元データ!$AM$2:$AM$2001&lt;=21)*(元データ!$E$2:$E$2001="32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62" s="188">
        <f>SUMPRODUCT((元データ!$AL$2:$AL$2001=1)*(元データ!$AN$2:$AN$2001=1)*(元データ!$AE$2:$AE$2001=$C$61)*(元データ!$AO$2:$AO$2001=0)*(元データ!$AM$2:$AM$2001&gt;=15)*(元データ!$AM$2:$AM$2001&lt;=21)*(元データ!$E$2:$E$2001="40 差戻し"))</f>
        <v/>
      </c>
      <c r="AL62" s="189">
        <f>IFERROR(_xlfn.TEXTJOIN(CHAR(10),TRUE,IF((元データ!$AL$2:$AL$2001=1)*(元データ!$AN$2:$AN$2001=1)*(元データ!$AE$2:$AE$2001=$C$61)*(元データ!$AO$2:$AO$2001=0)*(元データ!$AM$2:$AM$2001&gt;=15)*(元データ!$AM$2:$AM$2001&lt;=21)*(元データ!$E$2:$E$2001="40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62" s="190">
        <f>SUMPRODUCT((元データ!$AL$2:$AL$2001=1)*(元データ!$AN$2:$AN$2001=1)*(元データ!$AE$2:$AE$2001=$C$61)*(元データ!$AO$2:$AO$2001=0)*(元データ!$AM$2:$AM$2001&gt;=22)*(元データ!$AM$2:$AM$2001&lt;=30))</f>
        <v/>
      </c>
      <c r="AN62" s="191">
        <f>SUMPRODUCT((元データ!$AL$2:$AL$2001=1)*(元データ!$AN$2:$AN$2001=1)*(元データ!$AE$2:$AE$2001=$C$61)*(元データ!$AO$2:$AO$2001=0)*(元データ!$AM$2:$AM$2001&gt;=22)*(元データ!$AM$2:$AM$2001&lt;=30)*(元データ!$E$2:$E$2001="20 確認待ち"))</f>
        <v/>
      </c>
      <c r="AO62" s="192">
        <f>IFERROR(_xlfn.TEXTJOIN(CHAR(10),TRUE,IF((元データ!$AL$2:$AL$2001=1)*(元データ!$AN$2:$AN$2001=1)*(元データ!$AE$2:$AE$2001=$C$61)*(元データ!$AO$2:$AO$2001=0)*(元データ!$AM$2:$AM$2001&gt;=22)*(元データ!$AM$2:$AM$2001&lt;=30)*(元データ!$E$2:$E$2001="20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62" s="191">
        <f>SUMPRODUCT((元データ!$AL$2:$AL$2001=1)*(元データ!$AN$2:$AN$2001=1)*(元データ!$AE$2:$AE$2001=$C$61)*(元データ!$AO$2:$AO$2001=0)*(元データ!$AM$2:$AM$2001&gt;=22)*(元データ!$AM$2:$AM$2001&lt;=30)*(元データ!$E$2:$E$2001="30 申請受付"))</f>
        <v/>
      </c>
      <c r="AQ62" s="192">
        <f>IFERROR(_xlfn.TEXTJOIN(CHAR(10),TRUE,IF((元データ!$AL$2:$AL$2001=1)*(元データ!$AN$2:$AN$2001=1)*(元データ!$AE$2:$AE$2001=$C$61)*(元データ!$AO$2:$AO$2001=0)*(元データ!$AM$2:$AM$2001&gt;=22)*(元データ!$AM$2:$AM$2001&lt;=30)*(元データ!$E$2:$E$2001="30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62" s="191">
        <f>SUMPRODUCT((元データ!$AL$2:$AL$2001=1)*(元データ!$AN$2:$AN$2001=1)*(元データ!$AE$2:$AE$2001=$C$61)*(元データ!$AO$2:$AO$2001=0)*(元データ!$AM$2:$AM$2001&gt;=22)*(元データ!$AM$2:$AM$2001&lt;=30)*(元データ!$E$2:$E$2001="31 ＯＰ確認中"))</f>
        <v/>
      </c>
      <c r="AS62" s="192">
        <f>IFERROR(_xlfn.TEXTJOIN(CHAR(10),TRUE,IF((元データ!$AL$2:$AL$2001=1)*(元データ!$AN$2:$AN$2001=1)*(元データ!$AE$2:$AE$2001=$C$61)*(元データ!$AO$2:$AO$2001=0)*(元データ!$AM$2:$AM$2001&gt;=22)*(元データ!$AM$2:$AM$2001&lt;=30)*(元データ!$E$2:$E$2001="31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62" s="191">
        <f>SUMPRODUCT((元データ!$AL$2:$AL$2001=1)*(元データ!$AN$2:$AN$2001=1)*(元データ!$AE$2:$AE$2001=$C$61)*(元データ!$AO$2:$AO$2001=0)*(元データ!$AM$2:$AM$2001&gt;=22)*(元データ!$AM$2:$AM$2001&lt;=30)*(元データ!$E$2:$E$2001="32 ＳＶ確認中"))</f>
        <v/>
      </c>
      <c r="AU62" s="192">
        <f>IFERROR(_xlfn.TEXTJOIN(CHAR(10),TRUE,IF((元データ!$AL$2:$AL$2001=1)*(元データ!$AN$2:$AN$2001=1)*(元データ!$AE$2:$AE$2001=$C$61)*(元データ!$AO$2:$AO$2001=0)*(元データ!$AM$2:$AM$2001&gt;=22)*(元データ!$AM$2:$AM$2001&lt;=30)*(元データ!$E$2:$E$2001="32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62" s="191">
        <f>SUMPRODUCT((元データ!$AL$2:$AL$2001=1)*(元データ!$AN$2:$AN$2001=1)*(元データ!$AE$2:$AE$2001=$C$61)*(元データ!$AO$2:$AO$2001=0)*(元データ!$AM$2:$AM$2001&gt;=22)*(元データ!$AM$2:$AM$2001&lt;=30)*(元データ!$E$2:$E$2001="40 差戻し"))</f>
        <v/>
      </c>
      <c r="AW62" s="192">
        <f>IFERROR(_xlfn.TEXTJOIN(CHAR(10),TRUE,IF((元データ!$AL$2:$AL$2001=1)*(元データ!$AN$2:$AN$2001=1)*(元データ!$AE$2:$AE$2001=$C$61)*(元データ!$AO$2:$AO$2001=0)*(元データ!$AM$2:$AM$2001&gt;=22)*(元データ!$AM$2:$AM$2001&lt;=30)*(元データ!$E$2:$E$2001="40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62" s="193">
        <f>SUMPRODUCT((元データ!$AL$2:$AL$2001=1)*(元データ!$AN$2:$AN$2001=1)*(元データ!$AE$2:$AE$2001=$C$61)*(元データ!$AO$2:$AO$2001=0)*(元データ!$AM$2:$AM$2001&gt;=31))</f>
        <v/>
      </c>
      <c r="AY62" s="194">
        <f>SUMPRODUCT((元データ!$AL$2:$AL$2001=1)*(元データ!$AN$2:$AN$2001=1)*(元データ!$AE$2:$AE$2001=$C$61)*(元データ!$AO$2:$AO$2001=0)*(元データ!$AM$2:$AM$2001&gt;=31)*(元データ!$E$2:$E$2001="20 確認待ち"))</f>
        <v/>
      </c>
      <c r="AZ62" s="195">
        <f>IFERROR(_xlfn.TEXTJOIN(CHAR(10),TRUE,IF((元データ!$AL$2:$AL$2001=1)*(元データ!$AN$2:$AN$2001=1)*(元データ!$AE$2:$AE$2001=$C$61)*(元データ!$AO$2:$AO$2001=0)*(元データ!$AM$2:$AM$2001&gt;=31)*(元データ!$E$2:$E$2001="20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62" s="194">
        <f>SUMPRODUCT((元データ!$AL$2:$AL$2001=1)*(元データ!$AN$2:$AN$2001=1)*(元データ!$AE$2:$AE$2001=$C$61)*(元データ!$AO$2:$AO$2001=0)*(元データ!$AM$2:$AM$2001&gt;=31)*(元データ!$E$2:$E$2001="30 申請受付"))</f>
        <v/>
      </c>
      <c r="BB62" s="195">
        <f>IFERROR(_xlfn.TEXTJOIN(CHAR(10),TRUE,IF((元データ!$AL$2:$AL$2001=1)*(元データ!$AN$2:$AN$2001=1)*(元データ!$AE$2:$AE$2001=$C$61)*(元データ!$AO$2:$AO$2001=0)*(元データ!$AM$2:$AM$2001&gt;=31)*(元データ!$E$2:$E$2001="30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62" s="194">
        <f>SUMPRODUCT((元データ!$AL$2:$AL$2001=1)*(元データ!$AN$2:$AN$2001=1)*(元データ!$AE$2:$AE$2001=$C$61)*(元データ!$AO$2:$AO$2001=0)*(元データ!$AM$2:$AM$2001&gt;=31)*(元データ!$E$2:$E$2001="31 ＯＰ確認中"))</f>
        <v/>
      </c>
      <c r="BD62" s="195">
        <f>IFERROR(_xlfn.TEXTJOIN(CHAR(10),TRUE,IF((元データ!$AL$2:$AL$2001=1)*(元データ!$AN$2:$AN$2001=1)*(元データ!$AE$2:$AE$2001=$C$61)*(元データ!$AO$2:$AO$2001=0)*(元データ!$AM$2:$AM$2001&gt;=31)*(元データ!$E$2:$E$2001="31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62" s="194">
        <f>SUMPRODUCT((元データ!$AL$2:$AL$2001=1)*(元データ!$AN$2:$AN$2001=1)*(元データ!$AE$2:$AE$2001=$C$61)*(元データ!$AO$2:$AO$2001=0)*(元データ!$AM$2:$AM$2001&gt;=31)*(元データ!$E$2:$E$2001="32 ＳＶ確認中"))</f>
        <v/>
      </c>
      <c r="BF62" s="195">
        <f>IFERROR(_xlfn.TEXTJOIN(CHAR(10),TRUE,IF((元データ!$AL$2:$AL$2001=1)*(元データ!$AN$2:$AN$2001=1)*(元データ!$AE$2:$AE$2001=$C$61)*(元データ!$AO$2:$AO$2001=0)*(元データ!$AM$2:$AM$2001&gt;=31)*(元データ!$E$2:$E$2001="32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62" s="194">
        <f>SUMPRODUCT((元データ!$AL$2:$AL$2001=1)*(元データ!$AN$2:$AN$2001=1)*(元データ!$AE$2:$AE$2001=$C$61)*(元データ!$AO$2:$AO$2001=0)*(元データ!$AM$2:$AM$2001&gt;=31)*(元データ!$E$2:$E$2001="40 差戻し"))</f>
        <v/>
      </c>
      <c r="BH62" s="195">
        <f>IFERROR(_xlfn.TEXTJOIN(CHAR(10),TRUE,IF((元データ!$AL$2:$AL$2001=1)*(元データ!$AN$2:$AN$2001=1)*(元データ!$AE$2:$AE$2001=$C$61)*(元データ!$AO$2:$AO$2001=0)*(元データ!$AM$2:$AM$2001&gt;=31)*(元データ!$E$2:$E$2001="40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63" ht="19.5" customHeight="1" s="87">
      <c r="B63" s="139" t="n"/>
      <c r="C63" s="140" t="inlineStr">
        <is>
          <t>99 その他</t>
        </is>
      </c>
      <c r="D63" s="141" t="inlineStr">
        <is>
          <t>あり</t>
        </is>
      </c>
      <c r="E63" s="142">
        <f>SUMPRODUCT((元データ!$AL$2:$AL$2001=1)*(元データ!$AN$2:$AN$2001=1)*(元データ!$AE$2:$AE$2001=$C$63)*(元データ!$AO$2:$AO$2001=1))</f>
        <v/>
      </c>
      <c r="F63" s="184">
        <f>SUMPRODUCT((元データ!$AL$2:$AL$2001=1)*(元データ!$AN$2:$AN$2001=1)*(元データ!$AE$2:$AE$2001=$C$63)*(元データ!$AO$2:$AO$2001=1)*(元データ!$AM$2:$AM$2001&lt;=7))</f>
        <v/>
      </c>
      <c r="G63" s="185">
        <f>SUMPRODUCT((元データ!$AL$2:$AL$2001=1)*(元データ!$AN$2:$AN$2001=1)*(元データ!$AE$2:$AE$2001=$C$63)*(元データ!$AO$2:$AO$2001=1)*(元データ!$AM$2:$AM$2001&lt;=7)*(元データ!$E$2:$E$2001="20 確認待ち"))</f>
        <v/>
      </c>
      <c r="H63" s="186">
        <f>IFERROR(_xlfn.TEXTJOIN(CHAR(10),TRUE,IF((元データ!$AL$2:$AL$2001=1)*(元データ!$AN$2:$AN$2001=1)*(元データ!$AE$2:$AE$2001=$C$63)*(元データ!$AO$2:$AO$2001=1)*(元データ!$AM$2:$AM$2001&lt;=7)*(元データ!$E$2:$E$2001="20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63" s="185">
        <f>SUMPRODUCT((元データ!$AL$2:$AL$2001=1)*(元データ!$AN$2:$AN$2001=1)*(元データ!$AE$2:$AE$2001=$C$63)*(元データ!$AO$2:$AO$2001=1)*(元データ!$AM$2:$AM$2001&lt;=7)*(元データ!$E$2:$E$2001="30 申請受付"))</f>
        <v/>
      </c>
      <c r="J63" s="186">
        <f>IFERROR(_xlfn.TEXTJOIN(CHAR(10),TRUE,IF((元データ!$AL$2:$AL$2001=1)*(元データ!$AN$2:$AN$2001=1)*(元データ!$AE$2:$AE$2001=$C$63)*(元データ!$AO$2:$AO$2001=1)*(元データ!$AM$2:$AM$2001&lt;=7)*(元データ!$E$2:$E$2001="30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63" s="185">
        <f>SUMPRODUCT((元データ!$AL$2:$AL$2001=1)*(元データ!$AN$2:$AN$2001=1)*(元データ!$AE$2:$AE$2001=$C$63)*(元データ!$AO$2:$AO$2001=1)*(元データ!$AM$2:$AM$2001&lt;=7)*(元データ!$E$2:$E$2001="31 ＯＰ確認中"))</f>
        <v/>
      </c>
      <c r="L63" s="186">
        <f>IFERROR(_xlfn.TEXTJOIN(CHAR(10),TRUE,IF((元データ!$AL$2:$AL$2001=1)*(元データ!$AN$2:$AN$2001=1)*(元データ!$AE$2:$AE$2001=$C$63)*(元データ!$AO$2:$AO$2001=1)*(元データ!$AM$2:$AM$2001&lt;=7)*(元データ!$E$2:$E$2001="31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63" s="185">
        <f>SUMPRODUCT((元データ!$AL$2:$AL$2001=1)*(元データ!$AN$2:$AN$2001=1)*(元データ!$AE$2:$AE$2001=$C$63)*(元データ!$AO$2:$AO$2001=1)*(元データ!$AM$2:$AM$2001&lt;=7)*(元データ!$E$2:$E$2001="32 ＳＶ確認中"))</f>
        <v/>
      </c>
      <c r="N63" s="186">
        <f>IFERROR(_xlfn.TEXTJOIN(CHAR(10),TRUE,IF((元データ!$AL$2:$AL$2001=1)*(元データ!$AN$2:$AN$2001=1)*(元データ!$AE$2:$AE$2001=$C$63)*(元データ!$AO$2:$AO$2001=1)*(元データ!$AM$2:$AM$2001&lt;=7)*(元データ!$E$2:$E$2001="32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63" s="185">
        <f>SUMPRODUCT((元データ!$AL$2:$AL$2001=1)*(元データ!$AN$2:$AN$2001=1)*(元データ!$AE$2:$AE$2001=$C$63)*(元データ!$AO$2:$AO$2001=1)*(元データ!$AM$2:$AM$2001&lt;=7)*(元データ!$E$2:$E$2001="40 差戻し"))</f>
        <v/>
      </c>
      <c r="P63" s="186">
        <f>IFERROR(_xlfn.TEXTJOIN(CHAR(10),TRUE,IF((元データ!$AL$2:$AL$2001=1)*(元データ!$AN$2:$AN$2001=1)*(元データ!$AE$2:$AE$2001=$C$63)*(元データ!$AO$2:$AO$2001=1)*(元データ!$AM$2:$AM$2001&lt;=7)*(元データ!$E$2:$E$2001="40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63" s="184">
        <f>SUMPRODUCT((元データ!$AL$2:$AL$2001=1)*(元データ!$AN$2:$AN$2001=1)*(元データ!$AE$2:$AE$2001=$C$63)*(元データ!$AO$2:$AO$2001=1)*(元データ!$AM$2:$AM$2001&gt;=8)*(元データ!$AM$2:$AM$2001&lt;=14))</f>
        <v/>
      </c>
      <c r="R63" s="185">
        <f>SUMPRODUCT((元データ!$AL$2:$AL$2001=1)*(元データ!$AN$2:$AN$2001=1)*(元データ!$AE$2:$AE$2001=$C$63)*(元データ!$AO$2:$AO$2001=1)*(元データ!$AM$2:$AM$2001&gt;=8)*(元データ!$AM$2:$AM$2001&lt;=14)*(元データ!$E$2:$E$2001="20 確認待ち"))</f>
        <v/>
      </c>
      <c r="S63" s="186">
        <f>IFERROR(_xlfn.TEXTJOIN(CHAR(10),TRUE,IF((元データ!$AL$2:$AL$2001=1)*(元データ!$AN$2:$AN$2001=1)*(元データ!$AE$2:$AE$2001=$C$63)*(元データ!$AO$2:$AO$2001=1)*(元データ!$AM$2:$AM$2001&gt;=8)*(元データ!$AM$2:$AM$2001&lt;=14)*(元データ!$E$2:$E$2001="20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63" s="185">
        <f>SUMPRODUCT((元データ!$AL$2:$AL$2001=1)*(元データ!$AN$2:$AN$2001=1)*(元データ!$AE$2:$AE$2001=$C$63)*(元データ!$AO$2:$AO$2001=1)*(元データ!$AM$2:$AM$2001&gt;=8)*(元データ!$AM$2:$AM$2001&lt;=14)*(元データ!$E$2:$E$2001="30 申請受付"))</f>
        <v/>
      </c>
      <c r="U63" s="186">
        <f>IFERROR(_xlfn.TEXTJOIN(CHAR(10),TRUE,IF((元データ!$AL$2:$AL$2001=1)*(元データ!$AN$2:$AN$2001=1)*(元データ!$AE$2:$AE$2001=$C$63)*(元データ!$AO$2:$AO$2001=1)*(元データ!$AM$2:$AM$2001&gt;=8)*(元データ!$AM$2:$AM$2001&lt;=14)*(元データ!$E$2:$E$2001="30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63" s="185">
        <f>SUMPRODUCT((元データ!$AL$2:$AL$2001=1)*(元データ!$AN$2:$AN$2001=1)*(元データ!$AE$2:$AE$2001=$C$63)*(元データ!$AO$2:$AO$2001=1)*(元データ!$AM$2:$AM$2001&gt;=8)*(元データ!$AM$2:$AM$2001&lt;=14)*(元データ!$E$2:$E$2001="31 ＯＰ確認中"))</f>
        <v/>
      </c>
      <c r="W63" s="186">
        <f>IFERROR(_xlfn.TEXTJOIN(CHAR(10),TRUE,IF((元データ!$AL$2:$AL$2001=1)*(元データ!$AN$2:$AN$2001=1)*(元データ!$AE$2:$AE$2001=$C$63)*(元データ!$AO$2:$AO$2001=1)*(元データ!$AM$2:$AM$2001&gt;=8)*(元データ!$AM$2:$AM$2001&lt;=14)*(元データ!$E$2:$E$2001="31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63" s="185">
        <f>SUMPRODUCT((元データ!$AL$2:$AL$2001=1)*(元データ!$AN$2:$AN$2001=1)*(元データ!$AE$2:$AE$2001=$C$63)*(元データ!$AO$2:$AO$2001=1)*(元データ!$AM$2:$AM$2001&gt;=8)*(元データ!$AM$2:$AM$2001&lt;=14)*(元データ!$E$2:$E$2001="32 ＳＶ確認中"))</f>
        <v/>
      </c>
      <c r="Y63" s="186">
        <f>IFERROR(_xlfn.TEXTJOIN(CHAR(10),TRUE,IF((元データ!$AL$2:$AL$2001=1)*(元データ!$AN$2:$AN$2001=1)*(元データ!$AE$2:$AE$2001=$C$63)*(元データ!$AO$2:$AO$2001=1)*(元データ!$AM$2:$AM$2001&gt;=8)*(元データ!$AM$2:$AM$2001&lt;=14)*(元データ!$E$2:$E$2001="32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63" s="185">
        <f>SUMPRODUCT((元データ!$AL$2:$AL$2001=1)*(元データ!$AN$2:$AN$2001=1)*(元データ!$AE$2:$AE$2001=$C$63)*(元データ!$AO$2:$AO$2001=1)*(元データ!$AM$2:$AM$2001&gt;=8)*(元データ!$AM$2:$AM$2001&lt;=14)*(元データ!$E$2:$E$2001="40 差戻し"))</f>
        <v/>
      </c>
      <c r="AA63" s="186">
        <f>IFERROR(_xlfn.TEXTJOIN(CHAR(10),TRUE,IF((元データ!$AL$2:$AL$2001=1)*(元データ!$AN$2:$AN$2001=1)*(元データ!$AE$2:$AE$2001=$C$63)*(元データ!$AO$2:$AO$2001=1)*(元データ!$AM$2:$AM$2001&gt;=8)*(元データ!$AM$2:$AM$2001&lt;=14)*(元データ!$E$2:$E$2001="40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63" s="187">
        <f>SUMPRODUCT((元データ!$AL$2:$AL$2001=1)*(元データ!$AN$2:$AN$2001=1)*(元データ!$AE$2:$AE$2001=$C$63)*(元データ!$AO$2:$AO$2001=1)*(元データ!$AM$2:$AM$2001&gt;=15)*(元データ!$AM$2:$AM$2001&lt;=21))</f>
        <v/>
      </c>
      <c r="AC63" s="188">
        <f>SUMPRODUCT((元データ!$AL$2:$AL$2001=1)*(元データ!$AN$2:$AN$2001=1)*(元データ!$AE$2:$AE$2001=$C$63)*(元データ!$AO$2:$AO$2001=1)*(元データ!$AM$2:$AM$2001&gt;=15)*(元データ!$AM$2:$AM$2001&lt;=21)*(元データ!$E$2:$E$2001="20 確認待ち"))</f>
        <v/>
      </c>
      <c r="AD63" s="189">
        <f>IFERROR(_xlfn.TEXTJOIN(CHAR(10),TRUE,IF((元データ!$AL$2:$AL$2001=1)*(元データ!$AN$2:$AN$2001=1)*(元データ!$AE$2:$AE$2001=$C$63)*(元データ!$AO$2:$AO$2001=1)*(元データ!$AM$2:$AM$2001&gt;=15)*(元データ!$AM$2:$AM$2001&lt;=21)*(元データ!$E$2:$E$2001="20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63" s="188">
        <f>SUMPRODUCT((元データ!$AL$2:$AL$2001=1)*(元データ!$AN$2:$AN$2001=1)*(元データ!$AE$2:$AE$2001=$C$63)*(元データ!$AO$2:$AO$2001=1)*(元データ!$AM$2:$AM$2001&gt;=15)*(元データ!$AM$2:$AM$2001&lt;=21)*(元データ!$E$2:$E$2001="30 申請受付"))</f>
        <v/>
      </c>
      <c r="AF63" s="189">
        <f>IFERROR(_xlfn.TEXTJOIN(CHAR(10),TRUE,IF((元データ!$AL$2:$AL$2001=1)*(元データ!$AN$2:$AN$2001=1)*(元データ!$AE$2:$AE$2001=$C$63)*(元データ!$AO$2:$AO$2001=1)*(元データ!$AM$2:$AM$2001&gt;=15)*(元データ!$AM$2:$AM$2001&lt;=21)*(元データ!$E$2:$E$2001="30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63" s="188">
        <f>SUMPRODUCT((元データ!$AL$2:$AL$2001=1)*(元データ!$AN$2:$AN$2001=1)*(元データ!$AE$2:$AE$2001=$C$63)*(元データ!$AO$2:$AO$2001=1)*(元データ!$AM$2:$AM$2001&gt;=15)*(元データ!$AM$2:$AM$2001&lt;=21)*(元データ!$E$2:$E$2001="31 ＯＰ確認中"))</f>
        <v/>
      </c>
      <c r="AH63" s="189">
        <f>IFERROR(_xlfn.TEXTJOIN(CHAR(10),TRUE,IF((元データ!$AL$2:$AL$2001=1)*(元データ!$AN$2:$AN$2001=1)*(元データ!$AE$2:$AE$2001=$C$63)*(元データ!$AO$2:$AO$2001=1)*(元データ!$AM$2:$AM$2001&gt;=15)*(元データ!$AM$2:$AM$2001&lt;=21)*(元データ!$E$2:$E$2001="31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63" s="188">
        <f>SUMPRODUCT((元データ!$AL$2:$AL$2001=1)*(元データ!$AN$2:$AN$2001=1)*(元データ!$AE$2:$AE$2001=$C$63)*(元データ!$AO$2:$AO$2001=1)*(元データ!$AM$2:$AM$2001&gt;=15)*(元データ!$AM$2:$AM$2001&lt;=21)*(元データ!$E$2:$E$2001="32 ＳＶ確認中"))</f>
        <v/>
      </c>
      <c r="AJ63" s="189">
        <f>IFERROR(_xlfn.TEXTJOIN(CHAR(10),TRUE,IF((元データ!$AL$2:$AL$2001=1)*(元データ!$AN$2:$AN$2001=1)*(元データ!$AE$2:$AE$2001=$C$63)*(元データ!$AO$2:$AO$2001=1)*(元データ!$AM$2:$AM$2001&gt;=15)*(元データ!$AM$2:$AM$2001&lt;=21)*(元データ!$E$2:$E$2001="32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63" s="188">
        <f>SUMPRODUCT((元データ!$AL$2:$AL$2001=1)*(元データ!$AN$2:$AN$2001=1)*(元データ!$AE$2:$AE$2001=$C$63)*(元データ!$AO$2:$AO$2001=1)*(元データ!$AM$2:$AM$2001&gt;=15)*(元データ!$AM$2:$AM$2001&lt;=21)*(元データ!$E$2:$E$2001="40 差戻し"))</f>
        <v/>
      </c>
      <c r="AL63" s="189">
        <f>IFERROR(_xlfn.TEXTJOIN(CHAR(10),TRUE,IF((元データ!$AL$2:$AL$2001=1)*(元データ!$AN$2:$AN$2001=1)*(元データ!$AE$2:$AE$2001=$C$63)*(元データ!$AO$2:$AO$2001=1)*(元データ!$AM$2:$AM$2001&gt;=15)*(元データ!$AM$2:$AM$2001&lt;=21)*(元データ!$E$2:$E$2001="40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63" s="190">
        <f>SUMPRODUCT((元データ!$AL$2:$AL$2001=1)*(元データ!$AN$2:$AN$2001=1)*(元データ!$AE$2:$AE$2001=$C$63)*(元データ!$AO$2:$AO$2001=1)*(元データ!$AM$2:$AM$2001&gt;=22)*(元データ!$AM$2:$AM$2001&lt;=30))</f>
        <v/>
      </c>
      <c r="AN63" s="191">
        <f>SUMPRODUCT((元データ!$AL$2:$AL$2001=1)*(元データ!$AN$2:$AN$2001=1)*(元データ!$AE$2:$AE$2001=$C$63)*(元データ!$AO$2:$AO$2001=1)*(元データ!$AM$2:$AM$2001&gt;=22)*(元データ!$AM$2:$AM$2001&lt;=30)*(元データ!$E$2:$E$2001="20 確認待ち"))</f>
        <v/>
      </c>
      <c r="AO63" s="192">
        <f>IFERROR(_xlfn.TEXTJOIN(CHAR(10),TRUE,IF((元データ!$AL$2:$AL$2001=1)*(元データ!$AN$2:$AN$2001=1)*(元データ!$AE$2:$AE$2001=$C$63)*(元データ!$AO$2:$AO$2001=1)*(元データ!$AM$2:$AM$2001&gt;=22)*(元データ!$AM$2:$AM$2001&lt;=30)*(元データ!$E$2:$E$2001="20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63" s="191">
        <f>SUMPRODUCT((元データ!$AL$2:$AL$2001=1)*(元データ!$AN$2:$AN$2001=1)*(元データ!$AE$2:$AE$2001=$C$63)*(元データ!$AO$2:$AO$2001=1)*(元データ!$AM$2:$AM$2001&gt;=22)*(元データ!$AM$2:$AM$2001&lt;=30)*(元データ!$E$2:$E$2001="30 申請受付"))</f>
        <v/>
      </c>
      <c r="AQ63" s="192">
        <f>IFERROR(_xlfn.TEXTJOIN(CHAR(10),TRUE,IF((元データ!$AL$2:$AL$2001=1)*(元データ!$AN$2:$AN$2001=1)*(元データ!$AE$2:$AE$2001=$C$63)*(元データ!$AO$2:$AO$2001=1)*(元データ!$AM$2:$AM$2001&gt;=22)*(元データ!$AM$2:$AM$2001&lt;=30)*(元データ!$E$2:$E$2001="30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63" s="191">
        <f>SUMPRODUCT((元データ!$AL$2:$AL$2001=1)*(元データ!$AN$2:$AN$2001=1)*(元データ!$AE$2:$AE$2001=$C$63)*(元データ!$AO$2:$AO$2001=1)*(元データ!$AM$2:$AM$2001&gt;=22)*(元データ!$AM$2:$AM$2001&lt;=30)*(元データ!$E$2:$E$2001="31 ＯＰ確認中"))</f>
        <v/>
      </c>
      <c r="AS63" s="192">
        <f>IFERROR(_xlfn.TEXTJOIN(CHAR(10),TRUE,IF((元データ!$AL$2:$AL$2001=1)*(元データ!$AN$2:$AN$2001=1)*(元データ!$AE$2:$AE$2001=$C$63)*(元データ!$AO$2:$AO$2001=1)*(元データ!$AM$2:$AM$2001&gt;=22)*(元データ!$AM$2:$AM$2001&lt;=30)*(元データ!$E$2:$E$2001="31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63" s="191">
        <f>SUMPRODUCT((元データ!$AL$2:$AL$2001=1)*(元データ!$AN$2:$AN$2001=1)*(元データ!$AE$2:$AE$2001=$C$63)*(元データ!$AO$2:$AO$2001=1)*(元データ!$AM$2:$AM$2001&gt;=22)*(元データ!$AM$2:$AM$2001&lt;=30)*(元データ!$E$2:$E$2001="32 ＳＶ確認中"))</f>
        <v/>
      </c>
      <c r="AU63" s="192">
        <f>IFERROR(_xlfn.TEXTJOIN(CHAR(10),TRUE,IF((元データ!$AL$2:$AL$2001=1)*(元データ!$AN$2:$AN$2001=1)*(元データ!$AE$2:$AE$2001=$C$63)*(元データ!$AO$2:$AO$2001=1)*(元データ!$AM$2:$AM$2001&gt;=22)*(元データ!$AM$2:$AM$2001&lt;=30)*(元データ!$E$2:$E$2001="32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63" s="191">
        <f>SUMPRODUCT((元データ!$AL$2:$AL$2001=1)*(元データ!$AN$2:$AN$2001=1)*(元データ!$AE$2:$AE$2001=$C$63)*(元データ!$AO$2:$AO$2001=1)*(元データ!$AM$2:$AM$2001&gt;=22)*(元データ!$AM$2:$AM$2001&lt;=30)*(元データ!$E$2:$E$2001="40 差戻し"))</f>
        <v/>
      </c>
      <c r="AW63" s="192">
        <f>IFERROR(_xlfn.TEXTJOIN(CHAR(10),TRUE,IF((元データ!$AL$2:$AL$2001=1)*(元データ!$AN$2:$AN$2001=1)*(元データ!$AE$2:$AE$2001=$C$63)*(元データ!$AO$2:$AO$2001=1)*(元データ!$AM$2:$AM$2001&gt;=22)*(元データ!$AM$2:$AM$2001&lt;=30)*(元データ!$E$2:$E$2001="40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63" s="193">
        <f>SUMPRODUCT((元データ!$AL$2:$AL$2001=1)*(元データ!$AN$2:$AN$2001=1)*(元データ!$AE$2:$AE$2001=$C$63)*(元データ!$AO$2:$AO$2001=1)*(元データ!$AM$2:$AM$2001&gt;=31))</f>
        <v/>
      </c>
      <c r="AY63" s="194">
        <f>SUMPRODUCT((元データ!$AL$2:$AL$2001=1)*(元データ!$AN$2:$AN$2001=1)*(元データ!$AE$2:$AE$2001=$C$63)*(元データ!$AO$2:$AO$2001=1)*(元データ!$AM$2:$AM$2001&gt;=31)*(元データ!$E$2:$E$2001="20 確認待ち"))</f>
        <v/>
      </c>
      <c r="AZ63" s="195">
        <f>IFERROR(_xlfn.TEXTJOIN(CHAR(10),TRUE,IF((元データ!$AL$2:$AL$2001=1)*(元データ!$AN$2:$AN$2001=1)*(元データ!$AE$2:$AE$2001=$C$63)*(元データ!$AO$2:$AO$2001=1)*(元データ!$AM$2:$AM$2001&gt;=31)*(元データ!$E$2:$E$2001="20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63" s="194">
        <f>SUMPRODUCT((元データ!$AL$2:$AL$2001=1)*(元データ!$AN$2:$AN$2001=1)*(元データ!$AE$2:$AE$2001=$C$63)*(元データ!$AO$2:$AO$2001=1)*(元データ!$AM$2:$AM$2001&gt;=31)*(元データ!$E$2:$E$2001="30 申請受付"))</f>
        <v/>
      </c>
      <c r="BB63" s="195">
        <f>IFERROR(_xlfn.TEXTJOIN(CHAR(10),TRUE,IF((元データ!$AL$2:$AL$2001=1)*(元データ!$AN$2:$AN$2001=1)*(元データ!$AE$2:$AE$2001=$C$63)*(元データ!$AO$2:$AO$2001=1)*(元データ!$AM$2:$AM$2001&gt;=31)*(元データ!$E$2:$E$2001="30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63" s="194">
        <f>SUMPRODUCT((元データ!$AL$2:$AL$2001=1)*(元データ!$AN$2:$AN$2001=1)*(元データ!$AE$2:$AE$2001=$C$63)*(元データ!$AO$2:$AO$2001=1)*(元データ!$AM$2:$AM$2001&gt;=31)*(元データ!$E$2:$E$2001="31 ＯＰ確認中"))</f>
        <v/>
      </c>
      <c r="BD63" s="195">
        <f>IFERROR(_xlfn.TEXTJOIN(CHAR(10),TRUE,IF((元データ!$AL$2:$AL$2001=1)*(元データ!$AN$2:$AN$2001=1)*(元データ!$AE$2:$AE$2001=$C$63)*(元データ!$AO$2:$AO$2001=1)*(元データ!$AM$2:$AM$2001&gt;=31)*(元データ!$E$2:$E$2001="31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63" s="194">
        <f>SUMPRODUCT((元データ!$AL$2:$AL$2001=1)*(元データ!$AN$2:$AN$2001=1)*(元データ!$AE$2:$AE$2001=$C$63)*(元データ!$AO$2:$AO$2001=1)*(元データ!$AM$2:$AM$2001&gt;=31)*(元データ!$E$2:$E$2001="32 ＳＶ確認中"))</f>
        <v/>
      </c>
      <c r="BF63" s="195">
        <f>IFERROR(_xlfn.TEXTJOIN(CHAR(10),TRUE,IF((元データ!$AL$2:$AL$2001=1)*(元データ!$AN$2:$AN$2001=1)*(元データ!$AE$2:$AE$2001=$C$63)*(元データ!$AO$2:$AO$2001=1)*(元データ!$AM$2:$AM$2001&gt;=31)*(元データ!$E$2:$E$2001="32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63" s="194">
        <f>SUMPRODUCT((元データ!$AL$2:$AL$2001=1)*(元データ!$AN$2:$AN$2001=1)*(元データ!$AE$2:$AE$2001=$C$63)*(元データ!$AO$2:$AO$2001=1)*(元データ!$AM$2:$AM$2001&gt;=31)*(元データ!$E$2:$E$2001="40 差戻し"))</f>
        <v/>
      </c>
      <c r="BH63" s="195">
        <f>IFERROR(_xlfn.TEXTJOIN(CHAR(10),TRUE,IF((元データ!$AL$2:$AL$2001=1)*(元データ!$AN$2:$AN$2001=1)*(元データ!$AE$2:$AE$2001=$C$63)*(元データ!$AO$2:$AO$2001=1)*(元データ!$AM$2:$AM$2001&gt;=31)*(元データ!$E$2:$E$2001="40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64" ht="19.5" customHeight="1" s="87">
      <c r="B64" s="155" t="n"/>
      <c r="C64" s="156" t="n"/>
      <c r="D64" s="157" t="inlineStr">
        <is>
          <t>なし</t>
        </is>
      </c>
      <c r="E64" s="158">
        <f>SUMPRODUCT((元データ!$AL$2:$AL$2001=1)*(元データ!$AN$2:$AN$2001=1)*(元データ!$AE$2:$AE$2001=$C$63)*(元データ!$AO$2:$AO$2001=0))</f>
        <v/>
      </c>
      <c r="F64" s="196">
        <f>SUMPRODUCT((元データ!$AL$2:$AL$2001=1)*(元データ!$AN$2:$AN$2001=1)*(元データ!$AE$2:$AE$2001=$C$63)*(元データ!$AO$2:$AO$2001=0)*(元データ!$AM$2:$AM$2001&lt;=7))</f>
        <v/>
      </c>
      <c r="G64" s="197">
        <f>SUMPRODUCT((元データ!$AL$2:$AL$2001=1)*(元データ!$AN$2:$AN$2001=1)*(元データ!$AE$2:$AE$2001=$C$63)*(元データ!$AO$2:$AO$2001=0)*(元データ!$AM$2:$AM$2001&lt;=7)*(元データ!$E$2:$E$2001="20 確認待ち"))</f>
        <v/>
      </c>
      <c r="H64" s="198">
        <f>IFERROR(_xlfn.TEXTJOIN(CHAR(10),TRUE,IF((元データ!$AL$2:$AL$2001=1)*(元データ!$AN$2:$AN$2001=1)*(元データ!$AE$2:$AE$2001=$C$63)*(元データ!$AO$2:$AO$2001=0)*(元データ!$AM$2:$AM$2001&lt;=7)*(元データ!$E$2:$E$2001="20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64" s="197">
        <f>SUMPRODUCT((元データ!$AL$2:$AL$2001=1)*(元データ!$AN$2:$AN$2001=1)*(元データ!$AE$2:$AE$2001=$C$63)*(元データ!$AO$2:$AO$2001=0)*(元データ!$AM$2:$AM$2001&lt;=7)*(元データ!$E$2:$E$2001="30 申請受付"))</f>
        <v/>
      </c>
      <c r="J64" s="198">
        <f>IFERROR(_xlfn.TEXTJOIN(CHAR(10),TRUE,IF((元データ!$AL$2:$AL$2001=1)*(元データ!$AN$2:$AN$2001=1)*(元データ!$AE$2:$AE$2001=$C$63)*(元データ!$AO$2:$AO$2001=0)*(元データ!$AM$2:$AM$2001&lt;=7)*(元データ!$E$2:$E$2001="30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64" s="197">
        <f>SUMPRODUCT((元データ!$AL$2:$AL$2001=1)*(元データ!$AN$2:$AN$2001=1)*(元データ!$AE$2:$AE$2001=$C$63)*(元データ!$AO$2:$AO$2001=0)*(元データ!$AM$2:$AM$2001&lt;=7)*(元データ!$E$2:$E$2001="31 ＯＰ確認中"))</f>
        <v/>
      </c>
      <c r="L64" s="198">
        <f>IFERROR(_xlfn.TEXTJOIN(CHAR(10),TRUE,IF((元データ!$AL$2:$AL$2001=1)*(元データ!$AN$2:$AN$2001=1)*(元データ!$AE$2:$AE$2001=$C$63)*(元データ!$AO$2:$AO$2001=0)*(元データ!$AM$2:$AM$2001&lt;=7)*(元データ!$E$2:$E$2001="31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64" s="197">
        <f>SUMPRODUCT((元データ!$AL$2:$AL$2001=1)*(元データ!$AN$2:$AN$2001=1)*(元データ!$AE$2:$AE$2001=$C$63)*(元データ!$AO$2:$AO$2001=0)*(元データ!$AM$2:$AM$2001&lt;=7)*(元データ!$E$2:$E$2001="32 ＳＶ確認中"))</f>
        <v/>
      </c>
      <c r="N64" s="198">
        <f>IFERROR(_xlfn.TEXTJOIN(CHAR(10),TRUE,IF((元データ!$AL$2:$AL$2001=1)*(元データ!$AN$2:$AN$2001=1)*(元データ!$AE$2:$AE$2001=$C$63)*(元データ!$AO$2:$AO$2001=0)*(元データ!$AM$2:$AM$2001&lt;=7)*(元データ!$E$2:$E$2001="32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64" s="197">
        <f>SUMPRODUCT((元データ!$AL$2:$AL$2001=1)*(元データ!$AN$2:$AN$2001=1)*(元データ!$AE$2:$AE$2001=$C$63)*(元データ!$AO$2:$AO$2001=0)*(元データ!$AM$2:$AM$2001&lt;=7)*(元データ!$E$2:$E$2001="40 差戻し"))</f>
        <v/>
      </c>
      <c r="P64" s="198">
        <f>IFERROR(_xlfn.TEXTJOIN(CHAR(10),TRUE,IF((元データ!$AL$2:$AL$2001=1)*(元データ!$AN$2:$AN$2001=1)*(元データ!$AE$2:$AE$2001=$C$63)*(元データ!$AO$2:$AO$2001=0)*(元データ!$AM$2:$AM$2001&lt;=7)*(元データ!$E$2:$E$2001="40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64" s="196">
        <f>SUMPRODUCT((元データ!$AL$2:$AL$2001=1)*(元データ!$AN$2:$AN$2001=1)*(元データ!$AE$2:$AE$2001=$C$63)*(元データ!$AO$2:$AO$2001=0)*(元データ!$AM$2:$AM$2001&gt;=8)*(元データ!$AM$2:$AM$2001&lt;=14))</f>
        <v/>
      </c>
      <c r="R64" s="197">
        <f>SUMPRODUCT((元データ!$AL$2:$AL$2001=1)*(元データ!$AN$2:$AN$2001=1)*(元データ!$AE$2:$AE$2001=$C$63)*(元データ!$AO$2:$AO$2001=0)*(元データ!$AM$2:$AM$2001&gt;=8)*(元データ!$AM$2:$AM$2001&lt;=14)*(元データ!$E$2:$E$2001="20 確認待ち"))</f>
        <v/>
      </c>
      <c r="S64" s="198">
        <f>IFERROR(_xlfn.TEXTJOIN(CHAR(10),TRUE,IF((元データ!$AL$2:$AL$2001=1)*(元データ!$AN$2:$AN$2001=1)*(元データ!$AE$2:$AE$2001=$C$63)*(元データ!$AO$2:$AO$2001=0)*(元データ!$AM$2:$AM$2001&gt;=8)*(元データ!$AM$2:$AM$2001&lt;=14)*(元データ!$E$2:$E$2001="20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64" s="197">
        <f>SUMPRODUCT((元データ!$AL$2:$AL$2001=1)*(元データ!$AN$2:$AN$2001=1)*(元データ!$AE$2:$AE$2001=$C$63)*(元データ!$AO$2:$AO$2001=0)*(元データ!$AM$2:$AM$2001&gt;=8)*(元データ!$AM$2:$AM$2001&lt;=14)*(元データ!$E$2:$E$2001="30 申請受付"))</f>
        <v/>
      </c>
      <c r="U64" s="198">
        <f>IFERROR(_xlfn.TEXTJOIN(CHAR(10),TRUE,IF((元データ!$AL$2:$AL$2001=1)*(元データ!$AN$2:$AN$2001=1)*(元データ!$AE$2:$AE$2001=$C$63)*(元データ!$AO$2:$AO$2001=0)*(元データ!$AM$2:$AM$2001&gt;=8)*(元データ!$AM$2:$AM$2001&lt;=14)*(元データ!$E$2:$E$2001="30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64" s="197">
        <f>SUMPRODUCT((元データ!$AL$2:$AL$2001=1)*(元データ!$AN$2:$AN$2001=1)*(元データ!$AE$2:$AE$2001=$C$63)*(元データ!$AO$2:$AO$2001=0)*(元データ!$AM$2:$AM$2001&gt;=8)*(元データ!$AM$2:$AM$2001&lt;=14)*(元データ!$E$2:$E$2001="31 ＯＰ確認中"))</f>
        <v/>
      </c>
      <c r="W64" s="198">
        <f>IFERROR(_xlfn.TEXTJOIN(CHAR(10),TRUE,IF((元データ!$AL$2:$AL$2001=1)*(元データ!$AN$2:$AN$2001=1)*(元データ!$AE$2:$AE$2001=$C$63)*(元データ!$AO$2:$AO$2001=0)*(元データ!$AM$2:$AM$2001&gt;=8)*(元データ!$AM$2:$AM$2001&lt;=14)*(元データ!$E$2:$E$2001="31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64" s="197">
        <f>SUMPRODUCT((元データ!$AL$2:$AL$2001=1)*(元データ!$AN$2:$AN$2001=1)*(元データ!$AE$2:$AE$2001=$C$63)*(元データ!$AO$2:$AO$2001=0)*(元データ!$AM$2:$AM$2001&gt;=8)*(元データ!$AM$2:$AM$2001&lt;=14)*(元データ!$E$2:$E$2001="32 ＳＶ確認中"))</f>
        <v/>
      </c>
      <c r="Y64" s="198">
        <f>IFERROR(_xlfn.TEXTJOIN(CHAR(10),TRUE,IF((元データ!$AL$2:$AL$2001=1)*(元データ!$AN$2:$AN$2001=1)*(元データ!$AE$2:$AE$2001=$C$63)*(元データ!$AO$2:$AO$2001=0)*(元データ!$AM$2:$AM$2001&gt;=8)*(元データ!$AM$2:$AM$2001&lt;=14)*(元データ!$E$2:$E$2001="32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64" s="197">
        <f>SUMPRODUCT((元データ!$AL$2:$AL$2001=1)*(元データ!$AN$2:$AN$2001=1)*(元データ!$AE$2:$AE$2001=$C$63)*(元データ!$AO$2:$AO$2001=0)*(元データ!$AM$2:$AM$2001&gt;=8)*(元データ!$AM$2:$AM$2001&lt;=14)*(元データ!$E$2:$E$2001="40 差戻し"))</f>
        <v/>
      </c>
      <c r="AA64" s="198">
        <f>IFERROR(_xlfn.TEXTJOIN(CHAR(10),TRUE,IF((元データ!$AL$2:$AL$2001=1)*(元データ!$AN$2:$AN$2001=1)*(元データ!$AE$2:$AE$2001=$C$63)*(元データ!$AO$2:$AO$2001=0)*(元データ!$AM$2:$AM$2001&gt;=8)*(元データ!$AM$2:$AM$2001&lt;=14)*(元データ!$E$2:$E$2001="40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64" s="187">
        <f>SUMPRODUCT((元データ!$AL$2:$AL$2001=1)*(元データ!$AN$2:$AN$2001=1)*(元データ!$AE$2:$AE$2001=$C$63)*(元データ!$AO$2:$AO$2001=0)*(元データ!$AM$2:$AM$2001&gt;=15)*(元データ!$AM$2:$AM$2001&lt;=21))</f>
        <v/>
      </c>
      <c r="AC64" s="188">
        <f>SUMPRODUCT((元データ!$AL$2:$AL$2001=1)*(元データ!$AN$2:$AN$2001=1)*(元データ!$AE$2:$AE$2001=$C$63)*(元データ!$AO$2:$AO$2001=0)*(元データ!$AM$2:$AM$2001&gt;=15)*(元データ!$AM$2:$AM$2001&lt;=21)*(元データ!$E$2:$E$2001="20 確認待ち"))</f>
        <v/>
      </c>
      <c r="AD64" s="189">
        <f>IFERROR(_xlfn.TEXTJOIN(CHAR(10),TRUE,IF((元データ!$AL$2:$AL$2001=1)*(元データ!$AN$2:$AN$2001=1)*(元データ!$AE$2:$AE$2001=$C$63)*(元データ!$AO$2:$AO$2001=0)*(元データ!$AM$2:$AM$2001&gt;=15)*(元データ!$AM$2:$AM$2001&lt;=21)*(元データ!$E$2:$E$2001="20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64" s="188">
        <f>SUMPRODUCT((元データ!$AL$2:$AL$2001=1)*(元データ!$AN$2:$AN$2001=1)*(元データ!$AE$2:$AE$2001=$C$63)*(元データ!$AO$2:$AO$2001=0)*(元データ!$AM$2:$AM$2001&gt;=15)*(元データ!$AM$2:$AM$2001&lt;=21)*(元データ!$E$2:$E$2001="30 申請受付"))</f>
        <v/>
      </c>
      <c r="AF64" s="189">
        <f>IFERROR(_xlfn.TEXTJOIN(CHAR(10),TRUE,IF((元データ!$AL$2:$AL$2001=1)*(元データ!$AN$2:$AN$2001=1)*(元データ!$AE$2:$AE$2001=$C$63)*(元データ!$AO$2:$AO$2001=0)*(元データ!$AM$2:$AM$2001&gt;=15)*(元データ!$AM$2:$AM$2001&lt;=21)*(元データ!$E$2:$E$2001="30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64" s="188">
        <f>SUMPRODUCT((元データ!$AL$2:$AL$2001=1)*(元データ!$AN$2:$AN$2001=1)*(元データ!$AE$2:$AE$2001=$C$63)*(元データ!$AO$2:$AO$2001=0)*(元データ!$AM$2:$AM$2001&gt;=15)*(元データ!$AM$2:$AM$2001&lt;=21)*(元データ!$E$2:$E$2001="31 ＯＰ確認中"))</f>
        <v/>
      </c>
      <c r="AH64" s="189">
        <f>IFERROR(_xlfn.TEXTJOIN(CHAR(10),TRUE,IF((元データ!$AL$2:$AL$2001=1)*(元データ!$AN$2:$AN$2001=1)*(元データ!$AE$2:$AE$2001=$C$63)*(元データ!$AO$2:$AO$2001=0)*(元データ!$AM$2:$AM$2001&gt;=15)*(元データ!$AM$2:$AM$2001&lt;=21)*(元データ!$E$2:$E$2001="31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64" s="188">
        <f>SUMPRODUCT((元データ!$AL$2:$AL$2001=1)*(元データ!$AN$2:$AN$2001=1)*(元データ!$AE$2:$AE$2001=$C$63)*(元データ!$AO$2:$AO$2001=0)*(元データ!$AM$2:$AM$2001&gt;=15)*(元データ!$AM$2:$AM$2001&lt;=21)*(元データ!$E$2:$E$2001="32 ＳＶ確認中"))</f>
        <v/>
      </c>
      <c r="AJ64" s="189">
        <f>IFERROR(_xlfn.TEXTJOIN(CHAR(10),TRUE,IF((元データ!$AL$2:$AL$2001=1)*(元データ!$AN$2:$AN$2001=1)*(元データ!$AE$2:$AE$2001=$C$63)*(元データ!$AO$2:$AO$2001=0)*(元データ!$AM$2:$AM$2001&gt;=15)*(元データ!$AM$2:$AM$2001&lt;=21)*(元データ!$E$2:$E$2001="32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64" s="188">
        <f>SUMPRODUCT((元データ!$AL$2:$AL$2001=1)*(元データ!$AN$2:$AN$2001=1)*(元データ!$AE$2:$AE$2001=$C$63)*(元データ!$AO$2:$AO$2001=0)*(元データ!$AM$2:$AM$2001&gt;=15)*(元データ!$AM$2:$AM$2001&lt;=21)*(元データ!$E$2:$E$2001="40 差戻し"))</f>
        <v/>
      </c>
      <c r="AL64" s="189">
        <f>IFERROR(_xlfn.TEXTJOIN(CHAR(10),TRUE,IF((元データ!$AL$2:$AL$2001=1)*(元データ!$AN$2:$AN$2001=1)*(元データ!$AE$2:$AE$2001=$C$63)*(元データ!$AO$2:$AO$2001=0)*(元データ!$AM$2:$AM$2001&gt;=15)*(元データ!$AM$2:$AM$2001&lt;=21)*(元データ!$E$2:$E$2001="40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64" s="190">
        <f>SUMPRODUCT((元データ!$AL$2:$AL$2001=1)*(元データ!$AN$2:$AN$2001=1)*(元データ!$AE$2:$AE$2001=$C$63)*(元データ!$AO$2:$AO$2001=0)*(元データ!$AM$2:$AM$2001&gt;=22)*(元データ!$AM$2:$AM$2001&lt;=30))</f>
        <v/>
      </c>
      <c r="AN64" s="191">
        <f>SUMPRODUCT((元データ!$AL$2:$AL$2001=1)*(元データ!$AN$2:$AN$2001=1)*(元データ!$AE$2:$AE$2001=$C$63)*(元データ!$AO$2:$AO$2001=0)*(元データ!$AM$2:$AM$2001&gt;=22)*(元データ!$AM$2:$AM$2001&lt;=30)*(元データ!$E$2:$E$2001="20 確認待ち"))</f>
        <v/>
      </c>
      <c r="AO64" s="192">
        <f>IFERROR(_xlfn.TEXTJOIN(CHAR(10),TRUE,IF((元データ!$AL$2:$AL$2001=1)*(元データ!$AN$2:$AN$2001=1)*(元データ!$AE$2:$AE$2001=$C$63)*(元データ!$AO$2:$AO$2001=0)*(元データ!$AM$2:$AM$2001&gt;=22)*(元データ!$AM$2:$AM$2001&lt;=30)*(元データ!$E$2:$E$2001="20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64" s="191">
        <f>SUMPRODUCT((元データ!$AL$2:$AL$2001=1)*(元データ!$AN$2:$AN$2001=1)*(元データ!$AE$2:$AE$2001=$C$63)*(元データ!$AO$2:$AO$2001=0)*(元データ!$AM$2:$AM$2001&gt;=22)*(元データ!$AM$2:$AM$2001&lt;=30)*(元データ!$E$2:$E$2001="30 申請受付"))</f>
        <v/>
      </c>
      <c r="AQ64" s="192">
        <f>IFERROR(_xlfn.TEXTJOIN(CHAR(10),TRUE,IF((元データ!$AL$2:$AL$2001=1)*(元データ!$AN$2:$AN$2001=1)*(元データ!$AE$2:$AE$2001=$C$63)*(元データ!$AO$2:$AO$2001=0)*(元データ!$AM$2:$AM$2001&gt;=22)*(元データ!$AM$2:$AM$2001&lt;=30)*(元データ!$E$2:$E$2001="30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64" s="191">
        <f>SUMPRODUCT((元データ!$AL$2:$AL$2001=1)*(元データ!$AN$2:$AN$2001=1)*(元データ!$AE$2:$AE$2001=$C$63)*(元データ!$AO$2:$AO$2001=0)*(元データ!$AM$2:$AM$2001&gt;=22)*(元データ!$AM$2:$AM$2001&lt;=30)*(元データ!$E$2:$E$2001="31 ＯＰ確認中"))</f>
        <v/>
      </c>
      <c r="AS64" s="192">
        <f>IFERROR(_xlfn.TEXTJOIN(CHAR(10),TRUE,IF((元データ!$AL$2:$AL$2001=1)*(元データ!$AN$2:$AN$2001=1)*(元データ!$AE$2:$AE$2001=$C$63)*(元データ!$AO$2:$AO$2001=0)*(元データ!$AM$2:$AM$2001&gt;=22)*(元データ!$AM$2:$AM$2001&lt;=30)*(元データ!$E$2:$E$2001="31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64" s="191">
        <f>SUMPRODUCT((元データ!$AL$2:$AL$2001=1)*(元データ!$AN$2:$AN$2001=1)*(元データ!$AE$2:$AE$2001=$C$63)*(元データ!$AO$2:$AO$2001=0)*(元データ!$AM$2:$AM$2001&gt;=22)*(元データ!$AM$2:$AM$2001&lt;=30)*(元データ!$E$2:$E$2001="32 ＳＶ確認中"))</f>
        <v/>
      </c>
      <c r="AU64" s="192">
        <f>IFERROR(_xlfn.TEXTJOIN(CHAR(10),TRUE,IF((元データ!$AL$2:$AL$2001=1)*(元データ!$AN$2:$AN$2001=1)*(元データ!$AE$2:$AE$2001=$C$63)*(元データ!$AO$2:$AO$2001=0)*(元データ!$AM$2:$AM$2001&gt;=22)*(元データ!$AM$2:$AM$2001&lt;=30)*(元データ!$E$2:$E$2001="32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64" s="191">
        <f>SUMPRODUCT((元データ!$AL$2:$AL$2001=1)*(元データ!$AN$2:$AN$2001=1)*(元データ!$AE$2:$AE$2001=$C$63)*(元データ!$AO$2:$AO$2001=0)*(元データ!$AM$2:$AM$2001&gt;=22)*(元データ!$AM$2:$AM$2001&lt;=30)*(元データ!$E$2:$E$2001="40 差戻し"))</f>
        <v/>
      </c>
      <c r="AW64" s="192">
        <f>IFERROR(_xlfn.TEXTJOIN(CHAR(10),TRUE,IF((元データ!$AL$2:$AL$2001=1)*(元データ!$AN$2:$AN$2001=1)*(元データ!$AE$2:$AE$2001=$C$63)*(元データ!$AO$2:$AO$2001=0)*(元データ!$AM$2:$AM$2001&gt;=22)*(元データ!$AM$2:$AM$2001&lt;=30)*(元データ!$E$2:$E$2001="40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64" s="193">
        <f>SUMPRODUCT((元データ!$AL$2:$AL$2001=1)*(元データ!$AN$2:$AN$2001=1)*(元データ!$AE$2:$AE$2001=$C$63)*(元データ!$AO$2:$AO$2001=0)*(元データ!$AM$2:$AM$2001&gt;=31))</f>
        <v/>
      </c>
      <c r="AY64" s="194">
        <f>SUMPRODUCT((元データ!$AL$2:$AL$2001=1)*(元データ!$AN$2:$AN$2001=1)*(元データ!$AE$2:$AE$2001=$C$63)*(元データ!$AO$2:$AO$2001=0)*(元データ!$AM$2:$AM$2001&gt;=31)*(元データ!$E$2:$E$2001="20 確認待ち"))</f>
        <v/>
      </c>
      <c r="AZ64" s="195">
        <f>IFERROR(_xlfn.TEXTJOIN(CHAR(10),TRUE,IF((元データ!$AL$2:$AL$2001=1)*(元データ!$AN$2:$AN$2001=1)*(元データ!$AE$2:$AE$2001=$C$63)*(元データ!$AO$2:$AO$2001=0)*(元データ!$AM$2:$AM$2001&gt;=31)*(元データ!$E$2:$E$2001="20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64" s="194">
        <f>SUMPRODUCT((元データ!$AL$2:$AL$2001=1)*(元データ!$AN$2:$AN$2001=1)*(元データ!$AE$2:$AE$2001=$C$63)*(元データ!$AO$2:$AO$2001=0)*(元データ!$AM$2:$AM$2001&gt;=31)*(元データ!$E$2:$E$2001="30 申請受付"))</f>
        <v/>
      </c>
      <c r="BB64" s="195">
        <f>IFERROR(_xlfn.TEXTJOIN(CHAR(10),TRUE,IF((元データ!$AL$2:$AL$2001=1)*(元データ!$AN$2:$AN$2001=1)*(元データ!$AE$2:$AE$2001=$C$63)*(元データ!$AO$2:$AO$2001=0)*(元データ!$AM$2:$AM$2001&gt;=31)*(元データ!$E$2:$E$2001="30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64" s="194">
        <f>SUMPRODUCT((元データ!$AL$2:$AL$2001=1)*(元データ!$AN$2:$AN$2001=1)*(元データ!$AE$2:$AE$2001=$C$63)*(元データ!$AO$2:$AO$2001=0)*(元データ!$AM$2:$AM$2001&gt;=31)*(元データ!$E$2:$E$2001="31 ＯＰ確認中"))</f>
        <v/>
      </c>
      <c r="BD64" s="195">
        <f>IFERROR(_xlfn.TEXTJOIN(CHAR(10),TRUE,IF((元データ!$AL$2:$AL$2001=1)*(元データ!$AN$2:$AN$2001=1)*(元データ!$AE$2:$AE$2001=$C$63)*(元データ!$AO$2:$AO$2001=0)*(元データ!$AM$2:$AM$2001&gt;=31)*(元データ!$E$2:$E$2001="31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64" s="194">
        <f>SUMPRODUCT((元データ!$AL$2:$AL$2001=1)*(元データ!$AN$2:$AN$2001=1)*(元データ!$AE$2:$AE$2001=$C$63)*(元データ!$AO$2:$AO$2001=0)*(元データ!$AM$2:$AM$2001&gt;=31)*(元データ!$E$2:$E$2001="32 ＳＶ確認中"))</f>
        <v/>
      </c>
      <c r="BF64" s="195">
        <f>IFERROR(_xlfn.TEXTJOIN(CHAR(10),TRUE,IF((元データ!$AL$2:$AL$2001=1)*(元データ!$AN$2:$AN$2001=1)*(元データ!$AE$2:$AE$2001=$C$63)*(元データ!$AO$2:$AO$2001=0)*(元データ!$AM$2:$AM$2001&gt;=31)*(元データ!$E$2:$E$2001="32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64" s="194">
        <f>SUMPRODUCT((元データ!$AL$2:$AL$2001=1)*(元データ!$AN$2:$AN$2001=1)*(元データ!$AE$2:$AE$2001=$C$63)*(元データ!$AO$2:$AO$2001=0)*(元データ!$AM$2:$AM$2001&gt;=31)*(元データ!$E$2:$E$2001="40 差戻し"))</f>
        <v/>
      </c>
      <c r="BH64" s="195">
        <f>IFERROR(_xlfn.TEXTJOIN(CHAR(10),TRUE,IF((元データ!$AL$2:$AL$2001=1)*(元データ!$AN$2:$AN$2001=1)*(元データ!$AE$2:$AE$2001=$C$63)*(元データ!$AO$2:$AO$2001=0)*(元データ!$AM$2:$AM$2001&gt;=31)*(元データ!$E$2:$E$2001="40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65" ht="19.5" customHeight="1" s="87">
      <c r="B65" s="139" t="n"/>
      <c r="C65" s="140" t="inlineStr">
        <is>
          <t>03 離婚</t>
        </is>
      </c>
      <c r="D65" s="141" t="inlineStr">
        <is>
          <t>あり</t>
        </is>
      </c>
      <c r="E65" s="142">
        <f>SUMPRODUCT((元データ!$AL$2:$AL$2001=1)*(元データ!$AN$2:$AN$2001=1)*(元データ!$AE$2:$AE$2001=$C$65)*(元データ!$AO$2:$AO$2001=1))</f>
        <v/>
      </c>
      <c r="F65" s="184">
        <f>SUMPRODUCT((元データ!$AL$2:$AL$2001=1)*(元データ!$AN$2:$AN$2001=1)*(元データ!$AE$2:$AE$2001=$C$65)*(元データ!$AO$2:$AO$2001=1)*(元データ!$AM$2:$AM$2001&lt;=7))</f>
        <v/>
      </c>
      <c r="G65" s="185">
        <f>SUMPRODUCT((元データ!$AL$2:$AL$2001=1)*(元データ!$AN$2:$AN$2001=1)*(元データ!$AE$2:$AE$2001=$C$65)*(元データ!$AO$2:$AO$2001=1)*(元データ!$AM$2:$AM$2001&lt;=7)*(元データ!$E$2:$E$2001="20 確認待ち"))</f>
        <v/>
      </c>
      <c r="H65" s="186">
        <f>IFERROR(_xlfn.TEXTJOIN(CHAR(10),TRUE,IF((元データ!$AL$2:$AL$2001=1)*(元データ!$AN$2:$AN$2001=1)*(元データ!$AE$2:$AE$2001=$C$65)*(元データ!$AO$2:$AO$2001=1)*(元データ!$AM$2:$AM$2001&lt;=7)*(元データ!$E$2:$E$2001="20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65" s="185">
        <f>SUMPRODUCT((元データ!$AL$2:$AL$2001=1)*(元データ!$AN$2:$AN$2001=1)*(元データ!$AE$2:$AE$2001=$C$65)*(元データ!$AO$2:$AO$2001=1)*(元データ!$AM$2:$AM$2001&lt;=7)*(元データ!$E$2:$E$2001="30 申請受付"))</f>
        <v/>
      </c>
      <c r="J65" s="186">
        <f>IFERROR(_xlfn.TEXTJOIN(CHAR(10),TRUE,IF((元データ!$AL$2:$AL$2001=1)*(元データ!$AN$2:$AN$2001=1)*(元データ!$AE$2:$AE$2001=$C$65)*(元データ!$AO$2:$AO$2001=1)*(元データ!$AM$2:$AM$2001&lt;=7)*(元データ!$E$2:$E$2001="30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65" s="185">
        <f>SUMPRODUCT((元データ!$AL$2:$AL$2001=1)*(元データ!$AN$2:$AN$2001=1)*(元データ!$AE$2:$AE$2001=$C$65)*(元データ!$AO$2:$AO$2001=1)*(元データ!$AM$2:$AM$2001&lt;=7)*(元データ!$E$2:$E$2001="31 ＯＰ確認中"))</f>
        <v/>
      </c>
      <c r="L65" s="186">
        <f>IFERROR(_xlfn.TEXTJOIN(CHAR(10),TRUE,IF((元データ!$AL$2:$AL$2001=1)*(元データ!$AN$2:$AN$2001=1)*(元データ!$AE$2:$AE$2001=$C$65)*(元データ!$AO$2:$AO$2001=1)*(元データ!$AM$2:$AM$2001&lt;=7)*(元データ!$E$2:$E$2001="31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65" s="185">
        <f>SUMPRODUCT((元データ!$AL$2:$AL$2001=1)*(元データ!$AN$2:$AN$2001=1)*(元データ!$AE$2:$AE$2001=$C$65)*(元データ!$AO$2:$AO$2001=1)*(元データ!$AM$2:$AM$2001&lt;=7)*(元データ!$E$2:$E$2001="32 ＳＶ確認中"))</f>
        <v/>
      </c>
      <c r="N65" s="186">
        <f>IFERROR(_xlfn.TEXTJOIN(CHAR(10),TRUE,IF((元データ!$AL$2:$AL$2001=1)*(元データ!$AN$2:$AN$2001=1)*(元データ!$AE$2:$AE$2001=$C$65)*(元データ!$AO$2:$AO$2001=1)*(元データ!$AM$2:$AM$2001&lt;=7)*(元データ!$E$2:$E$2001="32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65" s="185">
        <f>SUMPRODUCT((元データ!$AL$2:$AL$2001=1)*(元データ!$AN$2:$AN$2001=1)*(元データ!$AE$2:$AE$2001=$C$65)*(元データ!$AO$2:$AO$2001=1)*(元データ!$AM$2:$AM$2001&lt;=7)*(元データ!$E$2:$E$2001="40 差戻し"))</f>
        <v/>
      </c>
      <c r="P65" s="186">
        <f>IFERROR(_xlfn.TEXTJOIN(CHAR(10),TRUE,IF((元データ!$AL$2:$AL$2001=1)*(元データ!$AN$2:$AN$2001=1)*(元データ!$AE$2:$AE$2001=$C$65)*(元データ!$AO$2:$AO$2001=1)*(元データ!$AM$2:$AM$2001&lt;=7)*(元データ!$E$2:$E$2001="40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65" s="184">
        <f>SUMPRODUCT((元データ!$AL$2:$AL$2001=1)*(元データ!$AN$2:$AN$2001=1)*(元データ!$AE$2:$AE$2001=$C$65)*(元データ!$AO$2:$AO$2001=1)*(元データ!$AM$2:$AM$2001&gt;=8)*(元データ!$AM$2:$AM$2001&lt;=14))</f>
        <v/>
      </c>
      <c r="R65" s="185">
        <f>SUMPRODUCT((元データ!$AL$2:$AL$2001=1)*(元データ!$AN$2:$AN$2001=1)*(元データ!$AE$2:$AE$2001=$C$65)*(元データ!$AO$2:$AO$2001=1)*(元データ!$AM$2:$AM$2001&gt;=8)*(元データ!$AM$2:$AM$2001&lt;=14)*(元データ!$E$2:$E$2001="20 確認待ち"))</f>
        <v/>
      </c>
      <c r="S65" s="186">
        <f>IFERROR(_xlfn.TEXTJOIN(CHAR(10),TRUE,IF((元データ!$AL$2:$AL$2001=1)*(元データ!$AN$2:$AN$2001=1)*(元データ!$AE$2:$AE$2001=$C$65)*(元データ!$AO$2:$AO$2001=1)*(元データ!$AM$2:$AM$2001&gt;=8)*(元データ!$AM$2:$AM$2001&lt;=14)*(元データ!$E$2:$E$2001="20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65" s="185">
        <f>SUMPRODUCT((元データ!$AL$2:$AL$2001=1)*(元データ!$AN$2:$AN$2001=1)*(元データ!$AE$2:$AE$2001=$C$65)*(元データ!$AO$2:$AO$2001=1)*(元データ!$AM$2:$AM$2001&gt;=8)*(元データ!$AM$2:$AM$2001&lt;=14)*(元データ!$E$2:$E$2001="30 申請受付"))</f>
        <v/>
      </c>
      <c r="U65" s="186">
        <f>IFERROR(_xlfn.TEXTJOIN(CHAR(10),TRUE,IF((元データ!$AL$2:$AL$2001=1)*(元データ!$AN$2:$AN$2001=1)*(元データ!$AE$2:$AE$2001=$C$65)*(元データ!$AO$2:$AO$2001=1)*(元データ!$AM$2:$AM$2001&gt;=8)*(元データ!$AM$2:$AM$2001&lt;=14)*(元データ!$E$2:$E$2001="30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65" s="185">
        <f>SUMPRODUCT((元データ!$AL$2:$AL$2001=1)*(元データ!$AN$2:$AN$2001=1)*(元データ!$AE$2:$AE$2001=$C$65)*(元データ!$AO$2:$AO$2001=1)*(元データ!$AM$2:$AM$2001&gt;=8)*(元データ!$AM$2:$AM$2001&lt;=14)*(元データ!$E$2:$E$2001="31 ＯＰ確認中"))</f>
        <v/>
      </c>
      <c r="W65" s="186">
        <f>IFERROR(_xlfn.TEXTJOIN(CHAR(10),TRUE,IF((元データ!$AL$2:$AL$2001=1)*(元データ!$AN$2:$AN$2001=1)*(元データ!$AE$2:$AE$2001=$C$65)*(元データ!$AO$2:$AO$2001=1)*(元データ!$AM$2:$AM$2001&gt;=8)*(元データ!$AM$2:$AM$2001&lt;=14)*(元データ!$E$2:$E$2001="31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65" s="185">
        <f>SUMPRODUCT((元データ!$AL$2:$AL$2001=1)*(元データ!$AN$2:$AN$2001=1)*(元データ!$AE$2:$AE$2001=$C$65)*(元データ!$AO$2:$AO$2001=1)*(元データ!$AM$2:$AM$2001&gt;=8)*(元データ!$AM$2:$AM$2001&lt;=14)*(元データ!$E$2:$E$2001="32 ＳＶ確認中"))</f>
        <v/>
      </c>
      <c r="Y65" s="186">
        <f>IFERROR(_xlfn.TEXTJOIN(CHAR(10),TRUE,IF((元データ!$AL$2:$AL$2001=1)*(元データ!$AN$2:$AN$2001=1)*(元データ!$AE$2:$AE$2001=$C$65)*(元データ!$AO$2:$AO$2001=1)*(元データ!$AM$2:$AM$2001&gt;=8)*(元データ!$AM$2:$AM$2001&lt;=14)*(元データ!$E$2:$E$2001="32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65" s="185">
        <f>SUMPRODUCT((元データ!$AL$2:$AL$2001=1)*(元データ!$AN$2:$AN$2001=1)*(元データ!$AE$2:$AE$2001=$C$65)*(元データ!$AO$2:$AO$2001=1)*(元データ!$AM$2:$AM$2001&gt;=8)*(元データ!$AM$2:$AM$2001&lt;=14)*(元データ!$E$2:$E$2001="40 差戻し"))</f>
        <v/>
      </c>
      <c r="AA65" s="186">
        <f>IFERROR(_xlfn.TEXTJOIN(CHAR(10),TRUE,IF((元データ!$AL$2:$AL$2001=1)*(元データ!$AN$2:$AN$2001=1)*(元データ!$AE$2:$AE$2001=$C$65)*(元データ!$AO$2:$AO$2001=1)*(元データ!$AM$2:$AM$2001&gt;=8)*(元データ!$AM$2:$AM$2001&lt;=14)*(元データ!$E$2:$E$2001="40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65" s="187">
        <f>SUMPRODUCT((元データ!$AL$2:$AL$2001=1)*(元データ!$AN$2:$AN$2001=1)*(元データ!$AE$2:$AE$2001=$C$65)*(元データ!$AO$2:$AO$2001=1)*(元データ!$AM$2:$AM$2001&gt;=15)*(元データ!$AM$2:$AM$2001&lt;=21))</f>
        <v/>
      </c>
      <c r="AC65" s="188">
        <f>SUMPRODUCT((元データ!$AL$2:$AL$2001=1)*(元データ!$AN$2:$AN$2001=1)*(元データ!$AE$2:$AE$2001=$C$65)*(元データ!$AO$2:$AO$2001=1)*(元データ!$AM$2:$AM$2001&gt;=15)*(元データ!$AM$2:$AM$2001&lt;=21)*(元データ!$E$2:$E$2001="20 確認待ち"))</f>
        <v/>
      </c>
      <c r="AD65" s="189">
        <f>IFERROR(_xlfn.TEXTJOIN(CHAR(10),TRUE,IF((元データ!$AL$2:$AL$2001=1)*(元データ!$AN$2:$AN$2001=1)*(元データ!$AE$2:$AE$2001=$C$65)*(元データ!$AO$2:$AO$2001=1)*(元データ!$AM$2:$AM$2001&gt;=15)*(元データ!$AM$2:$AM$2001&lt;=21)*(元データ!$E$2:$E$2001="20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65" s="188">
        <f>SUMPRODUCT((元データ!$AL$2:$AL$2001=1)*(元データ!$AN$2:$AN$2001=1)*(元データ!$AE$2:$AE$2001=$C$65)*(元データ!$AO$2:$AO$2001=1)*(元データ!$AM$2:$AM$2001&gt;=15)*(元データ!$AM$2:$AM$2001&lt;=21)*(元データ!$E$2:$E$2001="30 申請受付"))</f>
        <v/>
      </c>
      <c r="AF65" s="189">
        <f>IFERROR(_xlfn.TEXTJOIN(CHAR(10),TRUE,IF((元データ!$AL$2:$AL$2001=1)*(元データ!$AN$2:$AN$2001=1)*(元データ!$AE$2:$AE$2001=$C$65)*(元データ!$AO$2:$AO$2001=1)*(元データ!$AM$2:$AM$2001&gt;=15)*(元データ!$AM$2:$AM$2001&lt;=21)*(元データ!$E$2:$E$2001="30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65" s="188">
        <f>SUMPRODUCT((元データ!$AL$2:$AL$2001=1)*(元データ!$AN$2:$AN$2001=1)*(元データ!$AE$2:$AE$2001=$C$65)*(元データ!$AO$2:$AO$2001=1)*(元データ!$AM$2:$AM$2001&gt;=15)*(元データ!$AM$2:$AM$2001&lt;=21)*(元データ!$E$2:$E$2001="31 ＯＰ確認中"))</f>
        <v/>
      </c>
      <c r="AH65" s="189">
        <f>IFERROR(_xlfn.TEXTJOIN(CHAR(10),TRUE,IF((元データ!$AL$2:$AL$2001=1)*(元データ!$AN$2:$AN$2001=1)*(元データ!$AE$2:$AE$2001=$C$65)*(元データ!$AO$2:$AO$2001=1)*(元データ!$AM$2:$AM$2001&gt;=15)*(元データ!$AM$2:$AM$2001&lt;=21)*(元データ!$E$2:$E$2001="31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65" s="188">
        <f>SUMPRODUCT((元データ!$AL$2:$AL$2001=1)*(元データ!$AN$2:$AN$2001=1)*(元データ!$AE$2:$AE$2001=$C$65)*(元データ!$AO$2:$AO$2001=1)*(元データ!$AM$2:$AM$2001&gt;=15)*(元データ!$AM$2:$AM$2001&lt;=21)*(元データ!$E$2:$E$2001="32 ＳＶ確認中"))</f>
        <v/>
      </c>
      <c r="AJ65" s="189">
        <f>IFERROR(_xlfn.TEXTJOIN(CHAR(10),TRUE,IF((元データ!$AL$2:$AL$2001=1)*(元データ!$AN$2:$AN$2001=1)*(元データ!$AE$2:$AE$2001=$C$65)*(元データ!$AO$2:$AO$2001=1)*(元データ!$AM$2:$AM$2001&gt;=15)*(元データ!$AM$2:$AM$2001&lt;=21)*(元データ!$E$2:$E$2001="32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65" s="188">
        <f>SUMPRODUCT((元データ!$AL$2:$AL$2001=1)*(元データ!$AN$2:$AN$2001=1)*(元データ!$AE$2:$AE$2001=$C$65)*(元データ!$AO$2:$AO$2001=1)*(元データ!$AM$2:$AM$2001&gt;=15)*(元データ!$AM$2:$AM$2001&lt;=21)*(元データ!$E$2:$E$2001="40 差戻し"))</f>
        <v/>
      </c>
      <c r="AL65" s="189">
        <f>IFERROR(_xlfn.TEXTJOIN(CHAR(10),TRUE,IF((元データ!$AL$2:$AL$2001=1)*(元データ!$AN$2:$AN$2001=1)*(元データ!$AE$2:$AE$2001=$C$65)*(元データ!$AO$2:$AO$2001=1)*(元データ!$AM$2:$AM$2001&gt;=15)*(元データ!$AM$2:$AM$2001&lt;=21)*(元データ!$E$2:$E$2001="40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65" s="190">
        <f>SUMPRODUCT((元データ!$AL$2:$AL$2001=1)*(元データ!$AN$2:$AN$2001=1)*(元データ!$AE$2:$AE$2001=$C$65)*(元データ!$AO$2:$AO$2001=1)*(元データ!$AM$2:$AM$2001&gt;=22)*(元データ!$AM$2:$AM$2001&lt;=30))</f>
        <v/>
      </c>
      <c r="AN65" s="191">
        <f>SUMPRODUCT((元データ!$AL$2:$AL$2001=1)*(元データ!$AN$2:$AN$2001=1)*(元データ!$AE$2:$AE$2001=$C$65)*(元データ!$AO$2:$AO$2001=1)*(元データ!$AM$2:$AM$2001&gt;=22)*(元データ!$AM$2:$AM$2001&lt;=30)*(元データ!$E$2:$E$2001="20 確認待ち"))</f>
        <v/>
      </c>
      <c r="AO65" s="192">
        <f>IFERROR(_xlfn.TEXTJOIN(CHAR(10),TRUE,IF((元データ!$AL$2:$AL$2001=1)*(元データ!$AN$2:$AN$2001=1)*(元データ!$AE$2:$AE$2001=$C$65)*(元データ!$AO$2:$AO$2001=1)*(元データ!$AM$2:$AM$2001&gt;=22)*(元データ!$AM$2:$AM$2001&lt;=30)*(元データ!$E$2:$E$2001="20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65" s="191">
        <f>SUMPRODUCT((元データ!$AL$2:$AL$2001=1)*(元データ!$AN$2:$AN$2001=1)*(元データ!$AE$2:$AE$2001=$C$65)*(元データ!$AO$2:$AO$2001=1)*(元データ!$AM$2:$AM$2001&gt;=22)*(元データ!$AM$2:$AM$2001&lt;=30)*(元データ!$E$2:$E$2001="30 申請受付"))</f>
        <v/>
      </c>
      <c r="AQ65" s="192">
        <f>IFERROR(_xlfn.TEXTJOIN(CHAR(10),TRUE,IF((元データ!$AL$2:$AL$2001=1)*(元データ!$AN$2:$AN$2001=1)*(元データ!$AE$2:$AE$2001=$C$65)*(元データ!$AO$2:$AO$2001=1)*(元データ!$AM$2:$AM$2001&gt;=22)*(元データ!$AM$2:$AM$2001&lt;=30)*(元データ!$E$2:$E$2001="30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65" s="191">
        <f>SUMPRODUCT((元データ!$AL$2:$AL$2001=1)*(元データ!$AN$2:$AN$2001=1)*(元データ!$AE$2:$AE$2001=$C$65)*(元データ!$AO$2:$AO$2001=1)*(元データ!$AM$2:$AM$2001&gt;=22)*(元データ!$AM$2:$AM$2001&lt;=30)*(元データ!$E$2:$E$2001="31 ＯＰ確認中"))</f>
        <v/>
      </c>
      <c r="AS65" s="192">
        <f>IFERROR(_xlfn.TEXTJOIN(CHAR(10),TRUE,IF((元データ!$AL$2:$AL$2001=1)*(元データ!$AN$2:$AN$2001=1)*(元データ!$AE$2:$AE$2001=$C$65)*(元データ!$AO$2:$AO$2001=1)*(元データ!$AM$2:$AM$2001&gt;=22)*(元データ!$AM$2:$AM$2001&lt;=30)*(元データ!$E$2:$E$2001="31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65" s="191">
        <f>SUMPRODUCT((元データ!$AL$2:$AL$2001=1)*(元データ!$AN$2:$AN$2001=1)*(元データ!$AE$2:$AE$2001=$C$65)*(元データ!$AO$2:$AO$2001=1)*(元データ!$AM$2:$AM$2001&gt;=22)*(元データ!$AM$2:$AM$2001&lt;=30)*(元データ!$E$2:$E$2001="32 ＳＶ確認中"))</f>
        <v/>
      </c>
      <c r="AU65" s="192">
        <f>IFERROR(_xlfn.TEXTJOIN(CHAR(10),TRUE,IF((元データ!$AL$2:$AL$2001=1)*(元データ!$AN$2:$AN$2001=1)*(元データ!$AE$2:$AE$2001=$C$65)*(元データ!$AO$2:$AO$2001=1)*(元データ!$AM$2:$AM$2001&gt;=22)*(元データ!$AM$2:$AM$2001&lt;=30)*(元データ!$E$2:$E$2001="32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65" s="191">
        <f>SUMPRODUCT((元データ!$AL$2:$AL$2001=1)*(元データ!$AN$2:$AN$2001=1)*(元データ!$AE$2:$AE$2001=$C$65)*(元データ!$AO$2:$AO$2001=1)*(元データ!$AM$2:$AM$2001&gt;=22)*(元データ!$AM$2:$AM$2001&lt;=30)*(元データ!$E$2:$E$2001="40 差戻し"))</f>
        <v/>
      </c>
      <c r="AW65" s="192">
        <f>IFERROR(_xlfn.TEXTJOIN(CHAR(10),TRUE,IF((元データ!$AL$2:$AL$2001=1)*(元データ!$AN$2:$AN$2001=1)*(元データ!$AE$2:$AE$2001=$C$65)*(元データ!$AO$2:$AO$2001=1)*(元データ!$AM$2:$AM$2001&gt;=22)*(元データ!$AM$2:$AM$2001&lt;=30)*(元データ!$E$2:$E$2001="40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65" s="193">
        <f>SUMPRODUCT((元データ!$AL$2:$AL$2001=1)*(元データ!$AN$2:$AN$2001=1)*(元データ!$AE$2:$AE$2001=$C$65)*(元データ!$AO$2:$AO$2001=1)*(元データ!$AM$2:$AM$2001&gt;=31))</f>
        <v/>
      </c>
      <c r="AY65" s="194">
        <f>SUMPRODUCT((元データ!$AL$2:$AL$2001=1)*(元データ!$AN$2:$AN$2001=1)*(元データ!$AE$2:$AE$2001=$C$65)*(元データ!$AO$2:$AO$2001=1)*(元データ!$AM$2:$AM$2001&gt;=31)*(元データ!$E$2:$E$2001="20 確認待ち"))</f>
        <v/>
      </c>
      <c r="AZ65" s="195">
        <f>IFERROR(_xlfn.TEXTJOIN(CHAR(10),TRUE,IF((元データ!$AL$2:$AL$2001=1)*(元データ!$AN$2:$AN$2001=1)*(元データ!$AE$2:$AE$2001=$C$65)*(元データ!$AO$2:$AO$2001=1)*(元データ!$AM$2:$AM$2001&gt;=31)*(元データ!$E$2:$E$2001="20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65" s="194">
        <f>SUMPRODUCT((元データ!$AL$2:$AL$2001=1)*(元データ!$AN$2:$AN$2001=1)*(元データ!$AE$2:$AE$2001=$C$65)*(元データ!$AO$2:$AO$2001=1)*(元データ!$AM$2:$AM$2001&gt;=31)*(元データ!$E$2:$E$2001="30 申請受付"))</f>
        <v/>
      </c>
      <c r="BB65" s="195">
        <f>IFERROR(_xlfn.TEXTJOIN(CHAR(10),TRUE,IF((元データ!$AL$2:$AL$2001=1)*(元データ!$AN$2:$AN$2001=1)*(元データ!$AE$2:$AE$2001=$C$65)*(元データ!$AO$2:$AO$2001=1)*(元データ!$AM$2:$AM$2001&gt;=31)*(元データ!$E$2:$E$2001="30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65" s="194">
        <f>SUMPRODUCT((元データ!$AL$2:$AL$2001=1)*(元データ!$AN$2:$AN$2001=1)*(元データ!$AE$2:$AE$2001=$C$65)*(元データ!$AO$2:$AO$2001=1)*(元データ!$AM$2:$AM$2001&gt;=31)*(元データ!$E$2:$E$2001="31 ＯＰ確認中"))</f>
        <v/>
      </c>
      <c r="BD65" s="195">
        <f>IFERROR(_xlfn.TEXTJOIN(CHAR(10),TRUE,IF((元データ!$AL$2:$AL$2001=1)*(元データ!$AN$2:$AN$2001=1)*(元データ!$AE$2:$AE$2001=$C$65)*(元データ!$AO$2:$AO$2001=1)*(元データ!$AM$2:$AM$2001&gt;=31)*(元データ!$E$2:$E$2001="31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65" s="194">
        <f>SUMPRODUCT((元データ!$AL$2:$AL$2001=1)*(元データ!$AN$2:$AN$2001=1)*(元データ!$AE$2:$AE$2001=$C$65)*(元データ!$AO$2:$AO$2001=1)*(元データ!$AM$2:$AM$2001&gt;=31)*(元データ!$E$2:$E$2001="32 ＳＶ確認中"))</f>
        <v/>
      </c>
      <c r="BF65" s="195">
        <f>IFERROR(_xlfn.TEXTJOIN(CHAR(10),TRUE,IF((元データ!$AL$2:$AL$2001=1)*(元データ!$AN$2:$AN$2001=1)*(元データ!$AE$2:$AE$2001=$C$65)*(元データ!$AO$2:$AO$2001=1)*(元データ!$AM$2:$AM$2001&gt;=31)*(元データ!$E$2:$E$2001="32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65" s="194">
        <f>SUMPRODUCT((元データ!$AL$2:$AL$2001=1)*(元データ!$AN$2:$AN$2001=1)*(元データ!$AE$2:$AE$2001=$C$65)*(元データ!$AO$2:$AO$2001=1)*(元データ!$AM$2:$AM$2001&gt;=31)*(元データ!$E$2:$E$2001="40 差戻し"))</f>
        <v/>
      </c>
      <c r="BH65" s="195">
        <f>IFERROR(_xlfn.TEXTJOIN(CHAR(10),TRUE,IF((元データ!$AL$2:$AL$2001=1)*(元データ!$AN$2:$AN$2001=1)*(元データ!$AE$2:$AE$2001=$C$65)*(元データ!$AO$2:$AO$2001=1)*(元データ!$AM$2:$AM$2001&gt;=31)*(元データ!$E$2:$E$2001="40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66" ht="19.5" customHeight="1" s="87">
      <c r="B66" s="155" t="n"/>
      <c r="C66" s="156" t="n"/>
      <c r="D66" s="157" t="inlineStr">
        <is>
          <t>なし</t>
        </is>
      </c>
      <c r="E66" s="158">
        <f>SUMPRODUCT((元データ!$AL$2:$AL$2001=1)*(元データ!$AN$2:$AN$2001=1)*(元データ!$AE$2:$AE$2001=$C$65)*(元データ!$AO$2:$AO$2001=0))</f>
        <v/>
      </c>
      <c r="F66" s="196">
        <f>SUMPRODUCT((元データ!$AL$2:$AL$2001=1)*(元データ!$AN$2:$AN$2001=1)*(元データ!$AE$2:$AE$2001=$C$65)*(元データ!$AO$2:$AO$2001=0)*(元データ!$AM$2:$AM$2001&lt;=7))</f>
        <v/>
      </c>
      <c r="G66" s="197">
        <f>SUMPRODUCT((元データ!$AL$2:$AL$2001=1)*(元データ!$AN$2:$AN$2001=1)*(元データ!$AE$2:$AE$2001=$C$65)*(元データ!$AO$2:$AO$2001=0)*(元データ!$AM$2:$AM$2001&lt;=7)*(元データ!$E$2:$E$2001="20 確認待ち"))</f>
        <v/>
      </c>
      <c r="H66" s="198">
        <f>IFERROR(_xlfn.TEXTJOIN(CHAR(10),TRUE,IF((元データ!$AL$2:$AL$2001=1)*(元データ!$AN$2:$AN$2001=1)*(元データ!$AE$2:$AE$2001=$C$65)*(元データ!$AO$2:$AO$2001=0)*(元データ!$AM$2:$AM$2001&lt;=7)*(元データ!$E$2:$E$2001="20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66" s="197">
        <f>SUMPRODUCT((元データ!$AL$2:$AL$2001=1)*(元データ!$AN$2:$AN$2001=1)*(元データ!$AE$2:$AE$2001=$C$65)*(元データ!$AO$2:$AO$2001=0)*(元データ!$AM$2:$AM$2001&lt;=7)*(元データ!$E$2:$E$2001="30 申請受付"))</f>
        <v/>
      </c>
      <c r="J66" s="198">
        <f>IFERROR(_xlfn.TEXTJOIN(CHAR(10),TRUE,IF((元データ!$AL$2:$AL$2001=1)*(元データ!$AN$2:$AN$2001=1)*(元データ!$AE$2:$AE$2001=$C$65)*(元データ!$AO$2:$AO$2001=0)*(元データ!$AM$2:$AM$2001&lt;=7)*(元データ!$E$2:$E$2001="30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66" s="197">
        <f>SUMPRODUCT((元データ!$AL$2:$AL$2001=1)*(元データ!$AN$2:$AN$2001=1)*(元データ!$AE$2:$AE$2001=$C$65)*(元データ!$AO$2:$AO$2001=0)*(元データ!$AM$2:$AM$2001&lt;=7)*(元データ!$E$2:$E$2001="31 ＯＰ確認中"))</f>
        <v/>
      </c>
      <c r="L66" s="198">
        <f>IFERROR(_xlfn.TEXTJOIN(CHAR(10),TRUE,IF((元データ!$AL$2:$AL$2001=1)*(元データ!$AN$2:$AN$2001=1)*(元データ!$AE$2:$AE$2001=$C$65)*(元データ!$AO$2:$AO$2001=0)*(元データ!$AM$2:$AM$2001&lt;=7)*(元データ!$E$2:$E$2001="31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66" s="197">
        <f>SUMPRODUCT((元データ!$AL$2:$AL$2001=1)*(元データ!$AN$2:$AN$2001=1)*(元データ!$AE$2:$AE$2001=$C$65)*(元データ!$AO$2:$AO$2001=0)*(元データ!$AM$2:$AM$2001&lt;=7)*(元データ!$E$2:$E$2001="32 ＳＶ確認中"))</f>
        <v/>
      </c>
      <c r="N66" s="198">
        <f>IFERROR(_xlfn.TEXTJOIN(CHAR(10),TRUE,IF((元データ!$AL$2:$AL$2001=1)*(元データ!$AN$2:$AN$2001=1)*(元データ!$AE$2:$AE$2001=$C$65)*(元データ!$AO$2:$AO$2001=0)*(元データ!$AM$2:$AM$2001&lt;=7)*(元データ!$E$2:$E$2001="32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66" s="197">
        <f>SUMPRODUCT((元データ!$AL$2:$AL$2001=1)*(元データ!$AN$2:$AN$2001=1)*(元データ!$AE$2:$AE$2001=$C$65)*(元データ!$AO$2:$AO$2001=0)*(元データ!$AM$2:$AM$2001&lt;=7)*(元データ!$E$2:$E$2001="40 差戻し"))</f>
        <v/>
      </c>
      <c r="P66" s="198">
        <f>IFERROR(_xlfn.TEXTJOIN(CHAR(10),TRUE,IF((元データ!$AL$2:$AL$2001=1)*(元データ!$AN$2:$AN$2001=1)*(元データ!$AE$2:$AE$2001=$C$65)*(元データ!$AO$2:$AO$2001=0)*(元データ!$AM$2:$AM$2001&lt;=7)*(元データ!$E$2:$E$2001="40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66" s="196">
        <f>SUMPRODUCT((元データ!$AL$2:$AL$2001=1)*(元データ!$AN$2:$AN$2001=1)*(元データ!$AE$2:$AE$2001=$C$65)*(元データ!$AO$2:$AO$2001=0)*(元データ!$AM$2:$AM$2001&gt;=8)*(元データ!$AM$2:$AM$2001&lt;=14))</f>
        <v/>
      </c>
      <c r="R66" s="197">
        <f>SUMPRODUCT((元データ!$AL$2:$AL$2001=1)*(元データ!$AN$2:$AN$2001=1)*(元データ!$AE$2:$AE$2001=$C$65)*(元データ!$AO$2:$AO$2001=0)*(元データ!$AM$2:$AM$2001&gt;=8)*(元データ!$AM$2:$AM$2001&lt;=14)*(元データ!$E$2:$E$2001="20 確認待ち"))</f>
        <v/>
      </c>
      <c r="S66" s="198">
        <f>IFERROR(_xlfn.TEXTJOIN(CHAR(10),TRUE,IF((元データ!$AL$2:$AL$2001=1)*(元データ!$AN$2:$AN$2001=1)*(元データ!$AE$2:$AE$2001=$C$65)*(元データ!$AO$2:$AO$2001=0)*(元データ!$AM$2:$AM$2001&gt;=8)*(元データ!$AM$2:$AM$2001&lt;=14)*(元データ!$E$2:$E$2001="20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66" s="197">
        <f>SUMPRODUCT((元データ!$AL$2:$AL$2001=1)*(元データ!$AN$2:$AN$2001=1)*(元データ!$AE$2:$AE$2001=$C$65)*(元データ!$AO$2:$AO$2001=0)*(元データ!$AM$2:$AM$2001&gt;=8)*(元データ!$AM$2:$AM$2001&lt;=14)*(元データ!$E$2:$E$2001="30 申請受付"))</f>
        <v/>
      </c>
      <c r="U66" s="198">
        <f>IFERROR(_xlfn.TEXTJOIN(CHAR(10),TRUE,IF((元データ!$AL$2:$AL$2001=1)*(元データ!$AN$2:$AN$2001=1)*(元データ!$AE$2:$AE$2001=$C$65)*(元データ!$AO$2:$AO$2001=0)*(元データ!$AM$2:$AM$2001&gt;=8)*(元データ!$AM$2:$AM$2001&lt;=14)*(元データ!$E$2:$E$2001="30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66" s="197">
        <f>SUMPRODUCT((元データ!$AL$2:$AL$2001=1)*(元データ!$AN$2:$AN$2001=1)*(元データ!$AE$2:$AE$2001=$C$65)*(元データ!$AO$2:$AO$2001=0)*(元データ!$AM$2:$AM$2001&gt;=8)*(元データ!$AM$2:$AM$2001&lt;=14)*(元データ!$E$2:$E$2001="31 ＯＰ確認中"))</f>
        <v/>
      </c>
      <c r="W66" s="198">
        <f>IFERROR(_xlfn.TEXTJOIN(CHAR(10),TRUE,IF((元データ!$AL$2:$AL$2001=1)*(元データ!$AN$2:$AN$2001=1)*(元データ!$AE$2:$AE$2001=$C$65)*(元データ!$AO$2:$AO$2001=0)*(元データ!$AM$2:$AM$2001&gt;=8)*(元データ!$AM$2:$AM$2001&lt;=14)*(元データ!$E$2:$E$2001="31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66" s="197">
        <f>SUMPRODUCT((元データ!$AL$2:$AL$2001=1)*(元データ!$AN$2:$AN$2001=1)*(元データ!$AE$2:$AE$2001=$C$65)*(元データ!$AO$2:$AO$2001=0)*(元データ!$AM$2:$AM$2001&gt;=8)*(元データ!$AM$2:$AM$2001&lt;=14)*(元データ!$E$2:$E$2001="32 ＳＶ確認中"))</f>
        <v/>
      </c>
      <c r="Y66" s="198">
        <f>IFERROR(_xlfn.TEXTJOIN(CHAR(10),TRUE,IF((元データ!$AL$2:$AL$2001=1)*(元データ!$AN$2:$AN$2001=1)*(元データ!$AE$2:$AE$2001=$C$65)*(元データ!$AO$2:$AO$2001=0)*(元データ!$AM$2:$AM$2001&gt;=8)*(元データ!$AM$2:$AM$2001&lt;=14)*(元データ!$E$2:$E$2001="32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66" s="197">
        <f>SUMPRODUCT((元データ!$AL$2:$AL$2001=1)*(元データ!$AN$2:$AN$2001=1)*(元データ!$AE$2:$AE$2001=$C$65)*(元データ!$AO$2:$AO$2001=0)*(元データ!$AM$2:$AM$2001&gt;=8)*(元データ!$AM$2:$AM$2001&lt;=14)*(元データ!$E$2:$E$2001="40 差戻し"))</f>
        <v/>
      </c>
      <c r="AA66" s="198">
        <f>IFERROR(_xlfn.TEXTJOIN(CHAR(10),TRUE,IF((元データ!$AL$2:$AL$2001=1)*(元データ!$AN$2:$AN$2001=1)*(元データ!$AE$2:$AE$2001=$C$65)*(元データ!$AO$2:$AO$2001=0)*(元データ!$AM$2:$AM$2001&gt;=8)*(元データ!$AM$2:$AM$2001&lt;=14)*(元データ!$E$2:$E$2001="40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66" s="187">
        <f>SUMPRODUCT((元データ!$AL$2:$AL$2001=1)*(元データ!$AN$2:$AN$2001=1)*(元データ!$AE$2:$AE$2001=$C$65)*(元データ!$AO$2:$AO$2001=0)*(元データ!$AM$2:$AM$2001&gt;=15)*(元データ!$AM$2:$AM$2001&lt;=21))</f>
        <v/>
      </c>
      <c r="AC66" s="188">
        <f>SUMPRODUCT((元データ!$AL$2:$AL$2001=1)*(元データ!$AN$2:$AN$2001=1)*(元データ!$AE$2:$AE$2001=$C$65)*(元データ!$AO$2:$AO$2001=0)*(元データ!$AM$2:$AM$2001&gt;=15)*(元データ!$AM$2:$AM$2001&lt;=21)*(元データ!$E$2:$E$2001="20 確認待ち"))</f>
        <v/>
      </c>
      <c r="AD66" s="189">
        <f>IFERROR(_xlfn.TEXTJOIN(CHAR(10),TRUE,IF((元データ!$AL$2:$AL$2001=1)*(元データ!$AN$2:$AN$2001=1)*(元データ!$AE$2:$AE$2001=$C$65)*(元データ!$AO$2:$AO$2001=0)*(元データ!$AM$2:$AM$2001&gt;=15)*(元データ!$AM$2:$AM$2001&lt;=21)*(元データ!$E$2:$E$2001="20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66" s="188">
        <f>SUMPRODUCT((元データ!$AL$2:$AL$2001=1)*(元データ!$AN$2:$AN$2001=1)*(元データ!$AE$2:$AE$2001=$C$65)*(元データ!$AO$2:$AO$2001=0)*(元データ!$AM$2:$AM$2001&gt;=15)*(元データ!$AM$2:$AM$2001&lt;=21)*(元データ!$E$2:$E$2001="30 申請受付"))</f>
        <v/>
      </c>
      <c r="AF66" s="189">
        <f>IFERROR(_xlfn.TEXTJOIN(CHAR(10),TRUE,IF((元データ!$AL$2:$AL$2001=1)*(元データ!$AN$2:$AN$2001=1)*(元データ!$AE$2:$AE$2001=$C$65)*(元データ!$AO$2:$AO$2001=0)*(元データ!$AM$2:$AM$2001&gt;=15)*(元データ!$AM$2:$AM$2001&lt;=21)*(元データ!$E$2:$E$2001="30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66" s="188">
        <f>SUMPRODUCT((元データ!$AL$2:$AL$2001=1)*(元データ!$AN$2:$AN$2001=1)*(元データ!$AE$2:$AE$2001=$C$65)*(元データ!$AO$2:$AO$2001=0)*(元データ!$AM$2:$AM$2001&gt;=15)*(元データ!$AM$2:$AM$2001&lt;=21)*(元データ!$E$2:$E$2001="31 ＯＰ確認中"))</f>
        <v/>
      </c>
      <c r="AH66" s="189">
        <f>IFERROR(_xlfn.TEXTJOIN(CHAR(10),TRUE,IF((元データ!$AL$2:$AL$2001=1)*(元データ!$AN$2:$AN$2001=1)*(元データ!$AE$2:$AE$2001=$C$65)*(元データ!$AO$2:$AO$2001=0)*(元データ!$AM$2:$AM$2001&gt;=15)*(元データ!$AM$2:$AM$2001&lt;=21)*(元データ!$E$2:$E$2001="31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66" s="188">
        <f>SUMPRODUCT((元データ!$AL$2:$AL$2001=1)*(元データ!$AN$2:$AN$2001=1)*(元データ!$AE$2:$AE$2001=$C$65)*(元データ!$AO$2:$AO$2001=0)*(元データ!$AM$2:$AM$2001&gt;=15)*(元データ!$AM$2:$AM$2001&lt;=21)*(元データ!$E$2:$E$2001="32 ＳＶ確認中"))</f>
        <v/>
      </c>
      <c r="AJ66" s="189">
        <f>IFERROR(_xlfn.TEXTJOIN(CHAR(10),TRUE,IF((元データ!$AL$2:$AL$2001=1)*(元データ!$AN$2:$AN$2001=1)*(元データ!$AE$2:$AE$2001=$C$65)*(元データ!$AO$2:$AO$2001=0)*(元データ!$AM$2:$AM$2001&gt;=15)*(元データ!$AM$2:$AM$2001&lt;=21)*(元データ!$E$2:$E$2001="32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66" s="188">
        <f>SUMPRODUCT((元データ!$AL$2:$AL$2001=1)*(元データ!$AN$2:$AN$2001=1)*(元データ!$AE$2:$AE$2001=$C$65)*(元データ!$AO$2:$AO$2001=0)*(元データ!$AM$2:$AM$2001&gt;=15)*(元データ!$AM$2:$AM$2001&lt;=21)*(元データ!$E$2:$E$2001="40 差戻し"))</f>
        <v/>
      </c>
      <c r="AL66" s="189">
        <f>IFERROR(_xlfn.TEXTJOIN(CHAR(10),TRUE,IF((元データ!$AL$2:$AL$2001=1)*(元データ!$AN$2:$AN$2001=1)*(元データ!$AE$2:$AE$2001=$C$65)*(元データ!$AO$2:$AO$2001=0)*(元データ!$AM$2:$AM$2001&gt;=15)*(元データ!$AM$2:$AM$2001&lt;=21)*(元データ!$E$2:$E$2001="40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66" s="190">
        <f>SUMPRODUCT((元データ!$AL$2:$AL$2001=1)*(元データ!$AN$2:$AN$2001=1)*(元データ!$AE$2:$AE$2001=$C$65)*(元データ!$AO$2:$AO$2001=0)*(元データ!$AM$2:$AM$2001&gt;=22)*(元データ!$AM$2:$AM$2001&lt;=30))</f>
        <v/>
      </c>
      <c r="AN66" s="191">
        <f>SUMPRODUCT((元データ!$AL$2:$AL$2001=1)*(元データ!$AN$2:$AN$2001=1)*(元データ!$AE$2:$AE$2001=$C$65)*(元データ!$AO$2:$AO$2001=0)*(元データ!$AM$2:$AM$2001&gt;=22)*(元データ!$AM$2:$AM$2001&lt;=30)*(元データ!$E$2:$E$2001="20 確認待ち"))</f>
        <v/>
      </c>
      <c r="AO66" s="192">
        <f>IFERROR(_xlfn.TEXTJOIN(CHAR(10),TRUE,IF((元データ!$AL$2:$AL$2001=1)*(元データ!$AN$2:$AN$2001=1)*(元データ!$AE$2:$AE$2001=$C$65)*(元データ!$AO$2:$AO$2001=0)*(元データ!$AM$2:$AM$2001&gt;=22)*(元データ!$AM$2:$AM$2001&lt;=30)*(元データ!$E$2:$E$2001="20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66" s="191">
        <f>SUMPRODUCT((元データ!$AL$2:$AL$2001=1)*(元データ!$AN$2:$AN$2001=1)*(元データ!$AE$2:$AE$2001=$C$65)*(元データ!$AO$2:$AO$2001=0)*(元データ!$AM$2:$AM$2001&gt;=22)*(元データ!$AM$2:$AM$2001&lt;=30)*(元データ!$E$2:$E$2001="30 申請受付"))</f>
        <v/>
      </c>
      <c r="AQ66" s="192">
        <f>IFERROR(_xlfn.TEXTJOIN(CHAR(10),TRUE,IF((元データ!$AL$2:$AL$2001=1)*(元データ!$AN$2:$AN$2001=1)*(元データ!$AE$2:$AE$2001=$C$65)*(元データ!$AO$2:$AO$2001=0)*(元データ!$AM$2:$AM$2001&gt;=22)*(元データ!$AM$2:$AM$2001&lt;=30)*(元データ!$E$2:$E$2001="30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66" s="191">
        <f>SUMPRODUCT((元データ!$AL$2:$AL$2001=1)*(元データ!$AN$2:$AN$2001=1)*(元データ!$AE$2:$AE$2001=$C$65)*(元データ!$AO$2:$AO$2001=0)*(元データ!$AM$2:$AM$2001&gt;=22)*(元データ!$AM$2:$AM$2001&lt;=30)*(元データ!$E$2:$E$2001="31 ＯＰ確認中"))</f>
        <v/>
      </c>
      <c r="AS66" s="192">
        <f>IFERROR(_xlfn.TEXTJOIN(CHAR(10),TRUE,IF((元データ!$AL$2:$AL$2001=1)*(元データ!$AN$2:$AN$2001=1)*(元データ!$AE$2:$AE$2001=$C$65)*(元データ!$AO$2:$AO$2001=0)*(元データ!$AM$2:$AM$2001&gt;=22)*(元データ!$AM$2:$AM$2001&lt;=30)*(元データ!$E$2:$E$2001="31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66" s="191">
        <f>SUMPRODUCT((元データ!$AL$2:$AL$2001=1)*(元データ!$AN$2:$AN$2001=1)*(元データ!$AE$2:$AE$2001=$C$65)*(元データ!$AO$2:$AO$2001=0)*(元データ!$AM$2:$AM$2001&gt;=22)*(元データ!$AM$2:$AM$2001&lt;=30)*(元データ!$E$2:$E$2001="32 ＳＶ確認中"))</f>
        <v/>
      </c>
      <c r="AU66" s="192">
        <f>IFERROR(_xlfn.TEXTJOIN(CHAR(10),TRUE,IF((元データ!$AL$2:$AL$2001=1)*(元データ!$AN$2:$AN$2001=1)*(元データ!$AE$2:$AE$2001=$C$65)*(元データ!$AO$2:$AO$2001=0)*(元データ!$AM$2:$AM$2001&gt;=22)*(元データ!$AM$2:$AM$2001&lt;=30)*(元データ!$E$2:$E$2001="32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66" s="191">
        <f>SUMPRODUCT((元データ!$AL$2:$AL$2001=1)*(元データ!$AN$2:$AN$2001=1)*(元データ!$AE$2:$AE$2001=$C$65)*(元データ!$AO$2:$AO$2001=0)*(元データ!$AM$2:$AM$2001&gt;=22)*(元データ!$AM$2:$AM$2001&lt;=30)*(元データ!$E$2:$E$2001="40 差戻し"))</f>
        <v/>
      </c>
      <c r="AW66" s="192">
        <f>IFERROR(_xlfn.TEXTJOIN(CHAR(10),TRUE,IF((元データ!$AL$2:$AL$2001=1)*(元データ!$AN$2:$AN$2001=1)*(元データ!$AE$2:$AE$2001=$C$65)*(元データ!$AO$2:$AO$2001=0)*(元データ!$AM$2:$AM$2001&gt;=22)*(元データ!$AM$2:$AM$2001&lt;=30)*(元データ!$E$2:$E$2001="40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66" s="193">
        <f>SUMPRODUCT((元データ!$AL$2:$AL$2001=1)*(元データ!$AN$2:$AN$2001=1)*(元データ!$AE$2:$AE$2001=$C$65)*(元データ!$AO$2:$AO$2001=0)*(元データ!$AM$2:$AM$2001&gt;=31))</f>
        <v/>
      </c>
      <c r="AY66" s="194">
        <f>SUMPRODUCT((元データ!$AL$2:$AL$2001=1)*(元データ!$AN$2:$AN$2001=1)*(元データ!$AE$2:$AE$2001=$C$65)*(元データ!$AO$2:$AO$2001=0)*(元データ!$AM$2:$AM$2001&gt;=31)*(元データ!$E$2:$E$2001="20 確認待ち"))</f>
        <v/>
      </c>
      <c r="AZ66" s="195">
        <f>IFERROR(_xlfn.TEXTJOIN(CHAR(10),TRUE,IF((元データ!$AL$2:$AL$2001=1)*(元データ!$AN$2:$AN$2001=1)*(元データ!$AE$2:$AE$2001=$C$65)*(元データ!$AO$2:$AO$2001=0)*(元データ!$AM$2:$AM$2001&gt;=31)*(元データ!$E$2:$E$2001="20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66" s="194">
        <f>SUMPRODUCT((元データ!$AL$2:$AL$2001=1)*(元データ!$AN$2:$AN$2001=1)*(元データ!$AE$2:$AE$2001=$C$65)*(元データ!$AO$2:$AO$2001=0)*(元データ!$AM$2:$AM$2001&gt;=31)*(元データ!$E$2:$E$2001="30 申請受付"))</f>
        <v/>
      </c>
      <c r="BB66" s="195">
        <f>IFERROR(_xlfn.TEXTJOIN(CHAR(10),TRUE,IF((元データ!$AL$2:$AL$2001=1)*(元データ!$AN$2:$AN$2001=1)*(元データ!$AE$2:$AE$2001=$C$65)*(元データ!$AO$2:$AO$2001=0)*(元データ!$AM$2:$AM$2001&gt;=31)*(元データ!$E$2:$E$2001="30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66" s="194">
        <f>SUMPRODUCT((元データ!$AL$2:$AL$2001=1)*(元データ!$AN$2:$AN$2001=1)*(元データ!$AE$2:$AE$2001=$C$65)*(元データ!$AO$2:$AO$2001=0)*(元データ!$AM$2:$AM$2001&gt;=31)*(元データ!$E$2:$E$2001="31 ＯＰ確認中"))</f>
        <v/>
      </c>
      <c r="BD66" s="195">
        <f>IFERROR(_xlfn.TEXTJOIN(CHAR(10),TRUE,IF((元データ!$AL$2:$AL$2001=1)*(元データ!$AN$2:$AN$2001=1)*(元データ!$AE$2:$AE$2001=$C$65)*(元データ!$AO$2:$AO$2001=0)*(元データ!$AM$2:$AM$2001&gt;=31)*(元データ!$E$2:$E$2001="31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66" s="194">
        <f>SUMPRODUCT((元データ!$AL$2:$AL$2001=1)*(元データ!$AN$2:$AN$2001=1)*(元データ!$AE$2:$AE$2001=$C$65)*(元データ!$AO$2:$AO$2001=0)*(元データ!$AM$2:$AM$2001&gt;=31)*(元データ!$E$2:$E$2001="32 ＳＶ確認中"))</f>
        <v/>
      </c>
      <c r="BF66" s="195">
        <f>IFERROR(_xlfn.TEXTJOIN(CHAR(10),TRUE,IF((元データ!$AL$2:$AL$2001=1)*(元データ!$AN$2:$AN$2001=1)*(元データ!$AE$2:$AE$2001=$C$65)*(元データ!$AO$2:$AO$2001=0)*(元データ!$AM$2:$AM$2001&gt;=31)*(元データ!$E$2:$E$2001="32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66" s="194">
        <f>SUMPRODUCT((元データ!$AL$2:$AL$2001=1)*(元データ!$AN$2:$AN$2001=1)*(元データ!$AE$2:$AE$2001=$C$65)*(元データ!$AO$2:$AO$2001=0)*(元データ!$AM$2:$AM$2001&gt;=31)*(元データ!$E$2:$E$2001="40 差戻し"))</f>
        <v/>
      </c>
      <c r="BH66" s="195">
        <f>IFERROR(_xlfn.TEXTJOIN(CHAR(10),TRUE,IF((元データ!$AL$2:$AL$2001=1)*(元データ!$AN$2:$AN$2001=1)*(元データ!$AE$2:$AE$2001=$C$65)*(元データ!$AO$2:$AO$2001=0)*(元データ!$AM$2:$AM$2001&gt;=31)*(元データ!$E$2:$E$2001="40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67" ht="19.5" customHeight="1" s="87">
      <c r="B67" s="139" t="n"/>
      <c r="C67" s="140" t="inlineStr">
        <is>
          <t>09 死亡</t>
        </is>
      </c>
      <c r="D67" s="141" t="inlineStr">
        <is>
          <t>あり</t>
        </is>
      </c>
      <c r="E67" s="142">
        <f>SUMPRODUCT((元データ!$AL$2:$AL$2001=1)*(元データ!$AN$2:$AN$2001=1)*(元データ!$AE$2:$AE$2001=$C$67)*(元データ!$AO$2:$AO$2001=1))</f>
        <v/>
      </c>
      <c r="F67" s="184">
        <f>SUMPRODUCT((元データ!$AL$2:$AL$2001=1)*(元データ!$AN$2:$AN$2001=1)*(元データ!$AE$2:$AE$2001=$C$67)*(元データ!$AO$2:$AO$2001=1)*(元データ!$AM$2:$AM$2001&lt;=7))</f>
        <v/>
      </c>
      <c r="G67" s="185">
        <f>SUMPRODUCT((元データ!$AL$2:$AL$2001=1)*(元データ!$AN$2:$AN$2001=1)*(元データ!$AE$2:$AE$2001=$C$67)*(元データ!$AO$2:$AO$2001=1)*(元データ!$AM$2:$AM$2001&lt;=7)*(元データ!$E$2:$E$2001="20 確認待ち"))</f>
        <v/>
      </c>
      <c r="H67" s="186">
        <f>IFERROR(_xlfn.TEXTJOIN(CHAR(10),TRUE,IF((元データ!$AL$2:$AL$2001=1)*(元データ!$AN$2:$AN$2001=1)*(元データ!$AE$2:$AE$2001=$C$67)*(元データ!$AO$2:$AO$2001=1)*(元データ!$AM$2:$AM$2001&lt;=7)*(元データ!$E$2:$E$2001="20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67" s="185">
        <f>SUMPRODUCT((元データ!$AL$2:$AL$2001=1)*(元データ!$AN$2:$AN$2001=1)*(元データ!$AE$2:$AE$2001=$C$67)*(元データ!$AO$2:$AO$2001=1)*(元データ!$AM$2:$AM$2001&lt;=7)*(元データ!$E$2:$E$2001="30 申請受付"))</f>
        <v/>
      </c>
      <c r="J67" s="186">
        <f>IFERROR(_xlfn.TEXTJOIN(CHAR(10),TRUE,IF((元データ!$AL$2:$AL$2001=1)*(元データ!$AN$2:$AN$2001=1)*(元データ!$AE$2:$AE$2001=$C$67)*(元データ!$AO$2:$AO$2001=1)*(元データ!$AM$2:$AM$2001&lt;=7)*(元データ!$E$2:$E$2001="30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67" s="185">
        <f>SUMPRODUCT((元データ!$AL$2:$AL$2001=1)*(元データ!$AN$2:$AN$2001=1)*(元データ!$AE$2:$AE$2001=$C$67)*(元データ!$AO$2:$AO$2001=1)*(元データ!$AM$2:$AM$2001&lt;=7)*(元データ!$E$2:$E$2001="31 ＯＰ確認中"))</f>
        <v/>
      </c>
      <c r="L67" s="186">
        <f>IFERROR(_xlfn.TEXTJOIN(CHAR(10),TRUE,IF((元データ!$AL$2:$AL$2001=1)*(元データ!$AN$2:$AN$2001=1)*(元データ!$AE$2:$AE$2001=$C$67)*(元データ!$AO$2:$AO$2001=1)*(元データ!$AM$2:$AM$2001&lt;=7)*(元データ!$E$2:$E$2001="31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67" s="185">
        <f>SUMPRODUCT((元データ!$AL$2:$AL$2001=1)*(元データ!$AN$2:$AN$2001=1)*(元データ!$AE$2:$AE$2001=$C$67)*(元データ!$AO$2:$AO$2001=1)*(元データ!$AM$2:$AM$2001&lt;=7)*(元データ!$E$2:$E$2001="32 ＳＶ確認中"))</f>
        <v/>
      </c>
      <c r="N67" s="186">
        <f>IFERROR(_xlfn.TEXTJOIN(CHAR(10),TRUE,IF((元データ!$AL$2:$AL$2001=1)*(元データ!$AN$2:$AN$2001=1)*(元データ!$AE$2:$AE$2001=$C$67)*(元データ!$AO$2:$AO$2001=1)*(元データ!$AM$2:$AM$2001&lt;=7)*(元データ!$E$2:$E$2001="32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67" s="185">
        <f>SUMPRODUCT((元データ!$AL$2:$AL$2001=1)*(元データ!$AN$2:$AN$2001=1)*(元データ!$AE$2:$AE$2001=$C$67)*(元データ!$AO$2:$AO$2001=1)*(元データ!$AM$2:$AM$2001&lt;=7)*(元データ!$E$2:$E$2001="40 差戻し"))</f>
        <v/>
      </c>
      <c r="P67" s="186">
        <f>IFERROR(_xlfn.TEXTJOIN(CHAR(10),TRUE,IF((元データ!$AL$2:$AL$2001=1)*(元データ!$AN$2:$AN$2001=1)*(元データ!$AE$2:$AE$2001=$C$67)*(元データ!$AO$2:$AO$2001=1)*(元データ!$AM$2:$AM$2001&lt;=7)*(元データ!$E$2:$E$2001="40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67" s="184">
        <f>SUMPRODUCT((元データ!$AL$2:$AL$2001=1)*(元データ!$AN$2:$AN$2001=1)*(元データ!$AE$2:$AE$2001=$C$67)*(元データ!$AO$2:$AO$2001=1)*(元データ!$AM$2:$AM$2001&gt;=8)*(元データ!$AM$2:$AM$2001&lt;=14))</f>
        <v/>
      </c>
      <c r="R67" s="185">
        <f>SUMPRODUCT((元データ!$AL$2:$AL$2001=1)*(元データ!$AN$2:$AN$2001=1)*(元データ!$AE$2:$AE$2001=$C$67)*(元データ!$AO$2:$AO$2001=1)*(元データ!$AM$2:$AM$2001&gt;=8)*(元データ!$AM$2:$AM$2001&lt;=14)*(元データ!$E$2:$E$2001="20 確認待ち"))</f>
        <v/>
      </c>
      <c r="S67" s="186">
        <f>IFERROR(_xlfn.TEXTJOIN(CHAR(10),TRUE,IF((元データ!$AL$2:$AL$2001=1)*(元データ!$AN$2:$AN$2001=1)*(元データ!$AE$2:$AE$2001=$C$67)*(元データ!$AO$2:$AO$2001=1)*(元データ!$AM$2:$AM$2001&gt;=8)*(元データ!$AM$2:$AM$2001&lt;=14)*(元データ!$E$2:$E$2001="20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67" s="185">
        <f>SUMPRODUCT((元データ!$AL$2:$AL$2001=1)*(元データ!$AN$2:$AN$2001=1)*(元データ!$AE$2:$AE$2001=$C$67)*(元データ!$AO$2:$AO$2001=1)*(元データ!$AM$2:$AM$2001&gt;=8)*(元データ!$AM$2:$AM$2001&lt;=14)*(元データ!$E$2:$E$2001="30 申請受付"))</f>
        <v/>
      </c>
      <c r="U67" s="186">
        <f>IFERROR(_xlfn.TEXTJOIN(CHAR(10),TRUE,IF((元データ!$AL$2:$AL$2001=1)*(元データ!$AN$2:$AN$2001=1)*(元データ!$AE$2:$AE$2001=$C$67)*(元データ!$AO$2:$AO$2001=1)*(元データ!$AM$2:$AM$2001&gt;=8)*(元データ!$AM$2:$AM$2001&lt;=14)*(元データ!$E$2:$E$2001="30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67" s="185">
        <f>SUMPRODUCT((元データ!$AL$2:$AL$2001=1)*(元データ!$AN$2:$AN$2001=1)*(元データ!$AE$2:$AE$2001=$C$67)*(元データ!$AO$2:$AO$2001=1)*(元データ!$AM$2:$AM$2001&gt;=8)*(元データ!$AM$2:$AM$2001&lt;=14)*(元データ!$E$2:$E$2001="31 ＯＰ確認中"))</f>
        <v/>
      </c>
      <c r="W67" s="186">
        <f>IFERROR(_xlfn.TEXTJOIN(CHAR(10),TRUE,IF((元データ!$AL$2:$AL$2001=1)*(元データ!$AN$2:$AN$2001=1)*(元データ!$AE$2:$AE$2001=$C$67)*(元データ!$AO$2:$AO$2001=1)*(元データ!$AM$2:$AM$2001&gt;=8)*(元データ!$AM$2:$AM$2001&lt;=14)*(元データ!$E$2:$E$2001="31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67" s="185">
        <f>SUMPRODUCT((元データ!$AL$2:$AL$2001=1)*(元データ!$AN$2:$AN$2001=1)*(元データ!$AE$2:$AE$2001=$C$67)*(元データ!$AO$2:$AO$2001=1)*(元データ!$AM$2:$AM$2001&gt;=8)*(元データ!$AM$2:$AM$2001&lt;=14)*(元データ!$E$2:$E$2001="32 ＳＶ確認中"))</f>
        <v/>
      </c>
      <c r="Y67" s="186">
        <f>IFERROR(_xlfn.TEXTJOIN(CHAR(10),TRUE,IF((元データ!$AL$2:$AL$2001=1)*(元データ!$AN$2:$AN$2001=1)*(元データ!$AE$2:$AE$2001=$C$67)*(元データ!$AO$2:$AO$2001=1)*(元データ!$AM$2:$AM$2001&gt;=8)*(元データ!$AM$2:$AM$2001&lt;=14)*(元データ!$E$2:$E$2001="32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67" s="185">
        <f>SUMPRODUCT((元データ!$AL$2:$AL$2001=1)*(元データ!$AN$2:$AN$2001=1)*(元データ!$AE$2:$AE$2001=$C$67)*(元データ!$AO$2:$AO$2001=1)*(元データ!$AM$2:$AM$2001&gt;=8)*(元データ!$AM$2:$AM$2001&lt;=14)*(元データ!$E$2:$E$2001="40 差戻し"))</f>
        <v/>
      </c>
      <c r="AA67" s="186">
        <f>IFERROR(_xlfn.TEXTJOIN(CHAR(10),TRUE,IF((元データ!$AL$2:$AL$2001=1)*(元データ!$AN$2:$AN$2001=1)*(元データ!$AE$2:$AE$2001=$C$67)*(元データ!$AO$2:$AO$2001=1)*(元データ!$AM$2:$AM$2001&gt;=8)*(元データ!$AM$2:$AM$2001&lt;=14)*(元データ!$E$2:$E$2001="40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67" s="187">
        <f>SUMPRODUCT((元データ!$AL$2:$AL$2001=1)*(元データ!$AN$2:$AN$2001=1)*(元データ!$AE$2:$AE$2001=$C$67)*(元データ!$AO$2:$AO$2001=1)*(元データ!$AM$2:$AM$2001&gt;=15)*(元データ!$AM$2:$AM$2001&lt;=21))</f>
        <v/>
      </c>
      <c r="AC67" s="188">
        <f>SUMPRODUCT((元データ!$AL$2:$AL$2001=1)*(元データ!$AN$2:$AN$2001=1)*(元データ!$AE$2:$AE$2001=$C$67)*(元データ!$AO$2:$AO$2001=1)*(元データ!$AM$2:$AM$2001&gt;=15)*(元データ!$AM$2:$AM$2001&lt;=21)*(元データ!$E$2:$E$2001="20 確認待ち"))</f>
        <v/>
      </c>
      <c r="AD67" s="189">
        <f>IFERROR(_xlfn.TEXTJOIN(CHAR(10),TRUE,IF((元データ!$AL$2:$AL$2001=1)*(元データ!$AN$2:$AN$2001=1)*(元データ!$AE$2:$AE$2001=$C$67)*(元データ!$AO$2:$AO$2001=1)*(元データ!$AM$2:$AM$2001&gt;=15)*(元データ!$AM$2:$AM$2001&lt;=21)*(元データ!$E$2:$E$2001="20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67" s="188">
        <f>SUMPRODUCT((元データ!$AL$2:$AL$2001=1)*(元データ!$AN$2:$AN$2001=1)*(元データ!$AE$2:$AE$2001=$C$67)*(元データ!$AO$2:$AO$2001=1)*(元データ!$AM$2:$AM$2001&gt;=15)*(元データ!$AM$2:$AM$2001&lt;=21)*(元データ!$E$2:$E$2001="30 申請受付"))</f>
        <v/>
      </c>
      <c r="AF67" s="189">
        <f>IFERROR(_xlfn.TEXTJOIN(CHAR(10),TRUE,IF((元データ!$AL$2:$AL$2001=1)*(元データ!$AN$2:$AN$2001=1)*(元データ!$AE$2:$AE$2001=$C$67)*(元データ!$AO$2:$AO$2001=1)*(元データ!$AM$2:$AM$2001&gt;=15)*(元データ!$AM$2:$AM$2001&lt;=21)*(元データ!$E$2:$E$2001="30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67" s="188">
        <f>SUMPRODUCT((元データ!$AL$2:$AL$2001=1)*(元データ!$AN$2:$AN$2001=1)*(元データ!$AE$2:$AE$2001=$C$67)*(元データ!$AO$2:$AO$2001=1)*(元データ!$AM$2:$AM$2001&gt;=15)*(元データ!$AM$2:$AM$2001&lt;=21)*(元データ!$E$2:$E$2001="31 ＯＰ確認中"))</f>
        <v/>
      </c>
      <c r="AH67" s="189">
        <f>IFERROR(_xlfn.TEXTJOIN(CHAR(10),TRUE,IF((元データ!$AL$2:$AL$2001=1)*(元データ!$AN$2:$AN$2001=1)*(元データ!$AE$2:$AE$2001=$C$67)*(元データ!$AO$2:$AO$2001=1)*(元データ!$AM$2:$AM$2001&gt;=15)*(元データ!$AM$2:$AM$2001&lt;=21)*(元データ!$E$2:$E$2001="31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67" s="188">
        <f>SUMPRODUCT((元データ!$AL$2:$AL$2001=1)*(元データ!$AN$2:$AN$2001=1)*(元データ!$AE$2:$AE$2001=$C$67)*(元データ!$AO$2:$AO$2001=1)*(元データ!$AM$2:$AM$2001&gt;=15)*(元データ!$AM$2:$AM$2001&lt;=21)*(元データ!$E$2:$E$2001="32 ＳＶ確認中"))</f>
        <v/>
      </c>
      <c r="AJ67" s="189">
        <f>IFERROR(_xlfn.TEXTJOIN(CHAR(10),TRUE,IF((元データ!$AL$2:$AL$2001=1)*(元データ!$AN$2:$AN$2001=1)*(元データ!$AE$2:$AE$2001=$C$67)*(元データ!$AO$2:$AO$2001=1)*(元データ!$AM$2:$AM$2001&gt;=15)*(元データ!$AM$2:$AM$2001&lt;=21)*(元データ!$E$2:$E$2001="32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67" s="188">
        <f>SUMPRODUCT((元データ!$AL$2:$AL$2001=1)*(元データ!$AN$2:$AN$2001=1)*(元データ!$AE$2:$AE$2001=$C$67)*(元データ!$AO$2:$AO$2001=1)*(元データ!$AM$2:$AM$2001&gt;=15)*(元データ!$AM$2:$AM$2001&lt;=21)*(元データ!$E$2:$E$2001="40 差戻し"))</f>
        <v/>
      </c>
      <c r="AL67" s="189">
        <f>IFERROR(_xlfn.TEXTJOIN(CHAR(10),TRUE,IF((元データ!$AL$2:$AL$2001=1)*(元データ!$AN$2:$AN$2001=1)*(元データ!$AE$2:$AE$2001=$C$67)*(元データ!$AO$2:$AO$2001=1)*(元データ!$AM$2:$AM$2001&gt;=15)*(元データ!$AM$2:$AM$2001&lt;=21)*(元データ!$E$2:$E$2001="40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67" s="190">
        <f>SUMPRODUCT((元データ!$AL$2:$AL$2001=1)*(元データ!$AN$2:$AN$2001=1)*(元データ!$AE$2:$AE$2001=$C$67)*(元データ!$AO$2:$AO$2001=1)*(元データ!$AM$2:$AM$2001&gt;=22)*(元データ!$AM$2:$AM$2001&lt;=30))</f>
        <v/>
      </c>
      <c r="AN67" s="191">
        <f>SUMPRODUCT((元データ!$AL$2:$AL$2001=1)*(元データ!$AN$2:$AN$2001=1)*(元データ!$AE$2:$AE$2001=$C$67)*(元データ!$AO$2:$AO$2001=1)*(元データ!$AM$2:$AM$2001&gt;=22)*(元データ!$AM$2:$AM$2001&lt;=30)*(元データ!$E$2:$E$2001="20 確認待ち"))</f>
        <v/>
      </c>
      <c r="AO67" s="192">
        <f>IFERROR(_xlfn.TEXTJOIN(CHAR(10),TRUE,IF((元データ!$AL$2:$AL$2001=1)*(元データ!$AN$2:$AN$2001=1)*(元データ!$AE$2:$AE$2001=$C$67)*(元データ!$AO$2:$AO$2001=1)*(元データ!$AM$2:$AM$2001&gt;=22)*(元データ!$AM$2:$AM$2001&lt;=30)*(元データ!$E$2:$E$2001="20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67" s="191">
        <f>SUMPRODUCT((元データ!$AL$2:$AL$2001=1)*(元データ!$AN$2:$AN$2001=1)*(元データ!$AE$2:$AE$2001=$C$67)*(元データ!$AO$2:$AO$2001=1)*(元データ!$AM$2:$AM$2001&gt;=22)*(元データ!$AM$2:$AM$2001&lt;=30)*(元データ!$E$2:$E$2001="30 申請受付"))</f>
        <v/>
      </c>
      <c r="AQ67" s="192">
        <f>IFERROR(_xlfn.TEXTJOIN(CHAR(10),TRUE,IF((元データ!$AL$2:$AL$2001=1)*(元データ!$AN$2:$AN$2001=1)*(元データ!$AE$2:$AE$2001=$C$67)*(元データ!$AO$2:$AO$2001=1)*(元データ!$AM$2:$AM$2001&gt;=22)*(元データ!$AM$2:$AM$2001&lt;=30)*(元データ!$E$2:$E$2001="30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67" s="191">
        <f>SUMPRODUCT((元データ!$AL$2:$AL$2001=1)*(元データ!$AN$2:$AN$2001=1)*(元データ!$AE$2:$AE$2001=$C$67)*(元データ!$AO$2:$AO$2001=1)*(元データ!$AM$2:$AM$2001&gt;=22)*(元データ!$AM$2:$AM$2001&lt;=30)*(元データ!$E$2:$E$2001="31 ＯＰ確認中"))</f>
        <v/>
      </c>
      <c r="AS67" s="192">
        <f>IFERROR(_xlfn.TEXTJOIN(CHAR(10),TRUE,IF((元データ!$AL$2:$AL$2001=1)*(元データ!$AN$2:$AN$2001=1)*(元データ!$AE$2:$AE$2001=$C$67)*(元データ!$AO$2:$AO$2001=1)*(元データ!$AM$2:$AM$2001&gt;=22)*(元データ!$AM$2:$AM$2001&lt;=30)*(元データ!$E$2:$E$2001="31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67" s="191">
        <f>SUMPRODUCT((元データ!$AL$2:$AL$2001=1)*(元データ!$AN$2:$AN$2001=1)*(元データ!$AE$2:$AE$2001=$C$67)*(元データ!$AO$2:$AO$2001=1)*(元データ!$AM$2:$AM$2001&gt;=22)*(元データ!$AM$2:$AM$2001&lt;=30)*(元データ!$E$2:$E$2001="32 ＳＶ確認中"))</f>
        <v/>
      </c>
      <c r="AU67" s="192">
        <f>IFERROR(_xlfn.TEXTJOIN(CHAR(10),TRUE,IF((元データ!$AL$2:$AL$2001=1)*(元データ!$AN$2:$AN$2001=1)*(元データ!$AE$2:$AE$2001=$C$67)*(元データ!$AO$2:$AO$2001=1)*(元データ!$AM$2:$AM$2001&gt;=22)*(元データ!$AM$2:$AM$2001&lt;=30)*(元データ!$E$2:$E$2001="32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67" s="191">
        <f>SUMPRODUCT((元データ!$AL$2:$AL$2001=1)*(元データ!$AN$2:$AN$2001=1)*(元データ!$AE$2:$AE$2001=$C$67)*(元データ!$AO$2:$AO$2001=1)*(元データ!$AM$2:$AM$2001&gt;=22)*(元データ!$AM$2:$AM$2001&lt;=30)*(元データ!$E$2:$E$2001="40 差戻し"))</f>
        <v/>
      </c>
      <c r="AW67" s="192">
        <f>IFERROR(_xlfn.TEXTJOIN(CHAR(10),TRUE,IF((元データ!$AL$2:$AL$2001=1)*(元データ!$AN$2:$AN$2001=1)*(元データ!$AE$2:$AE$2001=$C$67)*(元データ!$AO$2:$AO$2001=1)*(元データ!$AM$2:$AM$2001&gt;=22)*(元データ!$AM$2:$AM$2001&lt;=30)*(元データ!$E$2:$E$2001="40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67" s="193">
        <f>SUMPRODUCT((元データ!$AL$2:$AL$2001=1)*(元データ!$AN$2:$AN$2001=1)*(元データ!$AE$2:$AE$2001=$C$67)*(元データ!$AO$2:$AO$2001=1)*(元データ!$AM$2:$AM$2001&gt;=31))</f>
        <v/>
      </c>
      <c r="AY67" s="194">
        <f>SUMPRODUCT((元データ!$AL$2:$AL$2001=1)*(元データ!$AN$2:$AN$2001=1)*(元データ!$AE$2:$AE$2001=$C$67)*(元データ!$AO$2:$AO$2001=1)*(元データ!$AM$2:$AM$2001&gt;=31)*(元データ!$E$2:$E$2001="20 確認待ち"))</f>
        <v/>
      </c>
      <c r="AZ67" s="195">
        <f>IFERROR(_xlfn.TEXTJOIN(CHAR(10),TRUE,IF((元データ!$AL$2:$AL$2001=1)*(元データ!$AN$2:$AN$2001=1)*(元データ!$AE$2:$AE$2001=$C$67)*(元データ!$AO$2:$AO$2001=1)*(元データ!$AM$2:$AM$2001&gt;=31)*(元データ!$E$2:$E$2001="20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67" s="194">
        <f>SUMPRODUCT((元データ!$AL$2:$AL$2001=1)*(元データ!$AN$2:$AN$2001=1)*(元データ!$AE$2:$AE$2001=$C$67)*(元データ!$AO$2:$AO$2001=1)*(元データ!$AM$2:$AM$2001&gt;=31)*(元データ!$E$2:$E$2001="30 申請受付"))</f>
        <v/>
      </c>
      <c r="BB67" s="195">
        <f>IFERROR(_xlfn.TEXTJOIN(CHAR(10),TRUE,IF((元データ!$AL$2:$AL$2001=1)*(元データ!$AN$2:$AN$2001=1)*(元データ!$AE$2:$AE$2001=$C$67)*(元データ!$AO$2:$AO$2001=1)*(元データ!$AM$2:$AM$2001&gt;=31)*(元データ!$E$2:$E$2001="30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67" s="194">
        <f>SUMPRODUCT((元データ!$AL$2:$AL$2001=1)*(元データ!$AN$2:$AN$2001=1)*(元データ!$AE$2:$AE$2001=$C$67)*(元データ!$AO$2:$AO$2001=1)*(元データ!$AM$2:$AM$2001&gt;=31)*(元データ!$E$2:$E$2001="31 ＯＰ確認中"))</f>
        <v/>
      </c>
      <c r="BD67" s="195">
        <f>IFERROR(_xlfn.TEXTJOIN(CHAR(10),TRUE,IF((元データ!$AL$2:$AL$2001=1)*(元データ!$AN$2:$AN$2001=1)*(元データ!$AE$2:$AE$2001=$C$67)*(元データ!$AO$2:$AO$2001=1)*(元データ!$AM$2:$AM$2001&gt;=31)*(元データ!$E$2:$E$2001="31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67" s="194">
        <f>SUMPRODUCT((元データ!$AL$2:$AL$2001=1)*(元データ!$AN$2:$AN$2001=1)*(元データ!$AE$2:$AE$2001=$C$67)*(元データ!$AO$2:$AO$2001=1)*(元データ!$AM$2:$AM$2001&gt;=31)*(元データ!$E$2:$E$2001="32 ＳＶ確認中"))</f>
        <v/>
      </c>
      <c r="BF67" s="195">
        <f>IFERROR(_xlfn.TEXTJOIN(CHAR(10),TRUE,IF((元データ!$AL$2:$AL$2001=1)*(元データ!$AN$2:$AN$2001=1)*(元データ!$AE$2:$AE$2001=$C$67)*(元データ!$AO$2:$AO$2001=1)*(元データ!$AM$2:$AM$2001&gt;=31)*(元データ!$E$2:$E$2001="32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67" s="194">
        <f>SUMPRODUCT((元データ!$AL$2:$AL$2001=1)*(元データ!$AN$2:$AN$2001=1)*(元データ!$AE$2:$AE$2001=$C$67)*(元データ!$AO$2:$AO$2001=1)*(元データ!$AM$2:$AM$2001&gt;=31)*(元データ!$E$2:$E$2001="40 差戻し"))</f>
        <v/>
      </c>
      <c r="BH67" s="195">
        <f>IFERROR(_xlfn.TEXTJOIN(CHAR(10),TRUE,IF((元データ!$AL$2:$AL$2001=1)*(元データ!$AN$2:$AN$2001=1)*(元データ!$AE$2:$AE$2001=$C$67)*(元データ!$AO$2:$AO$2001=1)*(元データ!$AM$2:$AM$2001&gt;=31)*(元データ!$E$2:$E$2001="40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68" ht="19.5" customHeight="1" s="87">
      <c r="B68" s="155" t="n"/>
      <c r="C68" s="156" t="n"/>
      <c r="D68" s="157" t="inlineStr">
        <is>
          <t>なし</t>
        </is>
      </c>
      <c r="E68" s="158">
        <f>SUMPRODUCT((元データ!$AL$2:$AL$2001=1)*(元データ!$AN$2:$AN$2001=1)*(元データ!$AE$2:$AE$2001=$C$67)*(元データ!$AO$2:$AO$2001=0))</f>
        <v/>
      </c>
      <c r="F68" s="196">
        <f>SUMPRODUCT((元データ!$AL$2:$AL$2001=1)*(元データ!$AN$2:$AN$2001=1)*(元データ!$AE$2:$AE$2001=$C$67)*(元データ!$AO$2:$AO$2001=0)*(元データ!$AM$2:$AM$2001&lt;=7))</f>
        <v/>
      </c>
      <c r="G68" s="197">
        <f>SUMPRODUCT((元データ!$AL$2:$AL$2001=1)*(元データ!$AN$2:$AN$2001=1)*(元データ!$AE$2:$AE$2001=$C$67)*(元データ!$AO$2:$AO$2001=0)*(元データ!$AM$2:$AM$2001&lt;=7)*(元データ!$E$2:$E$2001="20 確認待ち"))</f>
        <v/>
      </c>
      <c r="H68" s="198">
        <f>IFERROR(_xlfn.TEXTJOIN(CHAR(10),TRUE,IF((元データ!$AL$2:$AL$2001=1)*(元データ!$AN$2:$AN$2001=1)*(元データ!$AE$2:$AE$2001=$C$67)*(元データ!$AO$2:$AO$2001=0)*(元データ!$AM$2:$AM$2001&lt;=7)*(元データ!$E$2:$E$2001="20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68" s="197">
        <f>SUMPRODUCT((元データ!$AL$2:$AL$2001=1)*(元データ!$AN$2:$AN$2001=1)*(元データ!$AE$2:$AE$2001=$C$67)*(元データ!$AO$2:$AO$2001=0)*(元データ!$AM$2:$AM$2001&lt;=7)*(元データ!$E$2:$E$2001="30 申請受付"))</f>
        <v/>
      </c>
      <c r="J68" s="198">
        <f>IFERROR(_xlfn.TEXTJOIN(CHAR(10),TRUE,IF((元データ!$AL$2:$AL$2001=1)*(元データ!$AN$2:$AN$2001=1)*(元データ!$AE$2:$AE$2001=$C$67)*(元データ!$AO$2:$AO$2001=0)*(元データ!$AM$2:$AM$2001&lt;=7)*(元データ!$E$2:$E$2001="30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68" s="197">
        <f>SUMPRODUCT((元データ!$AL$2:$AL$2001=1)*(元データ!$AN$2:$AN$2001=1)*(元データ!$AE$2:$AE$2001=$C$67)*(元データ!$AO$2:$AO$2001=0)*(元データ!$AM$2:$AM$2001&lt;=7)*(元データ!$E$2:$E$2001="31 ＯＰ確認中"))</f>
        <v/>
      </c>
      <c r="L68" s="198">
        <f>IFERROR(_xlfn.TEXTJOIN(CHAR(10),TRUE,IF((元データ!$AL$2:$AL$2001=1)*(元データ!$AN$2:$AN$2001=1)*(元データ!$AE$2:$AE$2001=$C$67)*(元データ!$AO$2:$AO$2001=0)*(元データ!$AM$2:$AM$2001&lt;=7)*(元データ!$E$2:$E$2001="31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68" s="197">
        <f>SUMPRODUCT((元データ!$AL$2:$AL$2001=1)*(元データ!$AN$2:$AN$2001=1)*(元データ!$AE$2:$AE$2001=$C$67)*(元データ!$AO$2:$AO$2001=0)*(元データ!$AM$2:$AM$2001&lt;=7)*(元データ!$E$2:$E$2001="32 ＳＶ確認中"))</f>
        <v/>
      </c>
      <c r="N68" s="198">
        <f>IFERROR(_xlfn.TEXTJOIN(CHAR(10),TRUE,IF((元データ!$AL$2:$AL$2001=1)*(元データ!$AN$2:$AN$2001=1)*(元データ!$AE$2:$AE$2001=$C$67)*(元データ!$AO$2:$AO$2001=0)*(元データ!$AM$2:$AM$2001&lt;=7)*(元データ!$E$2:$E$2001="32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68" s="197">
        <f>SUMPRODUCT((元データ!$AL$2:$AL$2001=1)*(元データ!$AN$2:$AN$2001=1)*(元データ!$AE$2:$AE$2001=$C$67)*(元データ!$AO$2:$AO$2001=0)*(元データ!$AM$2:$AM$2001&lt;=7)*(元データ!$E$2:$E$2001="40 差戻し"))</f>
        <v/>
      </c>
      <c r="P68" s="198">
        <f>IFERROR(_xlfn.TEXTJOIN(CHAR(10),TRUE,IF((元データ!$AL$2:$AL$2001=1)*(元データ!$AN$2:$AN$2001=1)*(元データ!$AE$2:$AE$2001=$C$67)*(元データ!$AO$2:$AO$2001=0)*(元データ!$AM$2:$AM$2001&lt;=7)*(元データ!$E$2:$E$2001="40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68" s="196">
        <f>SUMPRODUCT((元データ!$AL$2:$AL$2001=1)*(元データ!$AN$2:$AN$2001=1)*(元データ!$AE$2:$AE$2001=$C$67)*(元データ!$AO$2:$AO$2001=0)*(元データ!$AM$2:$AM$2001&gt;=8)*(元データ!$AM$2:$AM$2001&lt;=14))</f>
        <v/>
      </c>
      <c r="R68" s="197">
        <f>SUMPRODUCT((元データ!$AL$2:$AL$2001=1)*(元データ!$AN$2:$AN$2001=1)*(元データ!$AE$2:$AE$2001=$C$67)*(元データ!$AO$2:$AO$2001=0)*(元データ!$AM$2:$AM$2001&gt;=8)*(元データ!$AM$2:$AM$2001&lt;=14)*(元データ!$E$2:$E$2001="20 確認待ち"))</f>
        <v/>
      </c>
      <c r="S68" s="198">
        <f>IFERROR(_xlfn.TEXTJOIN(CHAR(10),TRUE,IF((元データ!$AL$2:$AL$2001=1)*(元データ!$AN$2:$AN$2001=1)*(元データ!$AE$2:$AE$2001=$C$67)*(元データ!$AO$2:$AO$2001=0)*(元データ!$AM$2:$AM$2001&gt;=8)*(元データ!$AM$2:$AM$2001&lt;=14)*(元データ!$E$2:$E$2001="20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68" s="197">
        <f>SUMPRODUCT((元データ!$AL$2:$AL$2001=1)*(元データ!$AN$2:$AN$2001=1)*(元データ!$AE$2:$AE$2001=$C$67)*(元データ!$AO$2:$AO$2001=0)*(元データ!$AM$2:$AM$2001&gt;=8)*(元データ!$AM$2:$AM$2001&lt;=14)*(元データ!$E$2:$E$2001="30 申請受付"))</f>
        <v/>
      </c>
      <c r="U68" s="198">
        <f>IFERROR(_xlfn.TEXTJOIN(CHAR(10),TRUE,IF((元データ!$AL$2:$AL$2001=1)*(元データ!$AN$2:$AN$2001=1)*(元データ!$AE$2:$AE$2001=$C$67)*(元データ!$AO$2:$AO$2001=0)*(元データ!$AM$2:$AM$2001&gt;=8)*(元データ!$AM$2:$AM$2001&lt;=14)*(元データ!$E$2:$E$2001="30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68" s="197">
        <f>SUMPRODUCT((元データ!$AL$2:$AL$2001=1)*(元データ!$AN$2:$AN$2001=1)*(元データ!$AE$2:$AE$2001=$C$67)*(元データ!$AO$2:$AO$2001=0)*(元データ!$AM$2:$AM$2001&gt;=8)*(元データ!$AM$2:$AM$2001&lt;=14)*(元データ!$E$2:$E$2001="31 ＯＰ確認中"))</f>
        <v/>
      </c>
      <c r="W68" s="198">
        <f>IFERROR(_xlfn.TEXTJOIN(CHAR(10),TRUE,IF((元データ!$AL$2:$AL$2001=1)*(元データ!$AN$2:$AN$2001=1)*(元データ!$AE$2:$AE$2001=$C$67)*(元データ!$AO$2:$AO$2001=0)*(元データ!$AM$2:$AM$2001&gt;=8)*(元データ!$AM$2:$AM$2001&lt;=14)*(元データ!$E$2:$E$2001="31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68" s="197">
        <f>SUMPRODUCT((元データ!$AL$2:$AL$2001=1)*(元データ!$AN$2:$AN$2001=1)*(元データ!$AE$2:$AE$2001=$C$67)*(元データ!$AO$2:$AO$2001=0)*(元データ!$AM$2:$AM$2001&gt;=8)*(元データ!$AM$2:$AM$2001&lt;=14)*(元データ!$E$2:$E$2001="32 ＳＶ確認中"))</f>
        <v/>
      </c>
      <c r="Y68" s="198">
        <f>IFERROR(_xlfn.TEXTJOIN(CHAR(10),TRUE,IF((元データ!$AL$2:$AL$2001=1)*(元データ!$AN$2:$AN$2001=1)*(元データ!$AE$2:$AE$2001=$C$67)*(元データ!$AO$2:$AO$2001=0)*(元データ!$AM$2:$AM$2001&gt;=8)*(元データ!$AM$2:$AM$2001&lt;=14)*(元データ!$E$2:$E$2001="32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68" s="197">
        <f>SUMPRODUCT((元データ!$AL$2:$AL$2001=1)*(元データ!$AN$2:$AN$2001=1)*(元データ!$AE$2:$AE$2001=$C$67)*(元データ!$AO$2:$AO$2001=0)*(元データ!$AM$2:$AM$2001&gt;=8)*(元データ!$AM$2:$AM$2001&lt;=14)*(元データ!$E$2:$E$2001="40 差戻し"))</f>
        <v/>
      </c>
      <c r="AA68" s="198">
        <f>IFERROR(_xlfn.TEXTJOIN(CHAR(10),TRUE,IF((元データ!$AL$2:$AL$2001=1)*(元データ!$AN$2:$AN$2001=1)*(元データ!$AE$2:$AE$2001=$C$67)*(元データ!$AO$2:$AO$2001=0)*(元データ!$AM$2:$AM$2001&gt;=8)*(元データ!$AM$2:$AM$2001&lt;=14)*(元データ!$E$2:$E$2001="40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68" s="187">
        <f>SUMPRODUCT((元データ!$AL$2:$AL$2001=1)*(元データ!$AN$2:$AN$2001=1)*(元データ!$AE$2:$AE$2001=$C$67)*(元データ!$AO$2:$AO$2001=0)*(元データ!$AM$2:$AM$2001&gt;=15)*(元データ!$AM$2:$AM$2001&lt;=21))</f>
        <v/>
      </c>
      <c r="AC68" s="188">
        <f>SUMPRODUCT((元データ!$AL$2:$AL$2001=1)*(元データ!$AN$2:$AN$2001=1)*(元データ!$AE$2:$AE$2001=$C$67)*(元データ!$AO$2:$AO$2001=0)*(元データ!$AM$2:$AM$2001&gt;=15)*(元データ!$AM$2:$AM$2001&lt;=21)*(元データ!$E$2:$E$2001="20 確認待ち"))</f>
        <v/>
      </c>
      <c r="AD68" s="189">
        <f>IFERROR(_xlfn.TEXTJOIN(CHAR(10),TRUE,IF((元データ!$AL$2:$AL$2001=1)*(元データ!$AN$2:$AN$2001=1)*(元データ!$AE$2:$AE$2001=$C$67)*(元データ!$AO$2:$AO$2001=0)*(元データ!$AM$2:$AM$2001&gt;=15)*(元データ!$AM$2:$AM$2001&lt;=21)*(元データ!$E$2:$E$2001="20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68" s="188">
        <f>SUMPRODUCT((元データ!$AL$2:$AL$2001=1)*(元データ!$AN$2:$AN$2001=1)*(元データ!$AE$2:$AE$2001=$C$67)*(元データ!$AO$2:$AO$2001=0)*(元データ!$AM$2:$AM$2001&gt;=15)*(元データ!$AM$2:$AM$2001&lt;=21)*(元データ!$E$2:$E$2001="30 申請受付"))</f>
        <v/>
      </c>
      <c r="AF68" s="189">
        <f>IFERROR(_xlfn.TEXTJOIN(CHAR(10),TRUE,IF((元データ!$AL$2:$AL$2001=1)*(元データ!$AN$2:$AN$2001=1)*(元データ!$AE$2:$AE$2001=$C$67)*(元データ!$AO$2:$AO$2001=0)*(元データ!$AM$2:$AM$2001&gt;=15)*(元データ!$AM$2:$AM$2001&lt;=21)*(元データ!$E$2:$E$2001="30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68" s="188">
        <f>SUMPRODUCT((元データ!$AL$2:$AL$2001=1)*(元データ!$AN$2:$AN$2001=1)*(元データ!$AE$2:$AE$2001=$C$67)*(元データ!$AO$2:$AO$2001=0)*(元データ!$AM$2:$AM$2001&gt;=15)*(元データ!$AM$2:$AM$2001&lt;=21)*(元データ!$E$2:$E$2001="31 ＯＰ確認中"))</f>
        <v/>
      </c>
      <c r="AH68" s="189">
        <f>IFERROR(_xlfn.TEXTJOIN(CHAR(10),TRUE,IF((元データ!$AL$2:$AL$2001=1)*(元データ!$AN$2:$AN$2001=1)*(元データ!$AE$2:$AE$2001=$C$67)*(元データ!$AO$2:$AO$2001=0)*(元データ!$AM$2:$AM$2001&gt;=15)*(元データ!$AM$2:$AM$2001&lt;=21)*(元データ!$E$2:$E$2001="31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68" s="188">
        <f>SUMPRODUCT((元データ!$AL$2:$AL$2001=1)*(元データ!$AN$2:$AN$2001=1)*(元データ!$AE$2:$AE$2001=$C$67)*(元データ!$AO$2:$AO$2001=0)*(元データ!$AM$2:$AM$2001&gt;=15)*(元データ!$AM$2:$AM$2001&lt;=21)*(元データ!$E$2:$E$2001="32 ＳＶ確認中"))</f>
        <v/>
      </c>
      <c r="AJ68" s="189">
        <f>IFERROR(_xlfn.TEXTJOIN(CHAR(10),TRUE,IF((元データ!$AL$2:$AL$2001=1)*(元データ!$AN$2:$AN$2001=1)*(元データ!$AE$2:$AE$2001=$C$67)*(元データ!$AO$2:$AO$2001=0)*(元データ!$AM$2:$AM$2001&gt;=15)*(元データ!$AM$2:$AM$2001&lt;=21)*(元データ!$E$2:$E$2001="32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68" s="188">
        <f>SUMPRODUCT((元データ!$AL$2:$AL$2001=1)*(元データ!$AN$2:$AN$2001=1)*(元データ!$AE$2:$AE$2001=$C$67)*(元データ!$AO$2:$AO$2001=0)*(元データ!$AM$2:$AM$2001&gt;=15)*(元データ!$AM$2:$AM$2001&lt;=21)*(元データ!$E$2:$E$2001="40 差戻し"))</f>
        <v/>
      </c>
      <c r="AL68" s="189">
        <f>IFERROR(_xlfn.TEXTJOIN(CHAR(10),TRUE,IF((元データ!$AL$2:$AL$2001=1)*(元データ!$AN$2:$AN$2001=1)*(元データ!$AE$2:$AE$2001=$C$67)*(元データ!$AO$2:$AO$2001=0)*(元データ!$AM$2:$AM$2001&gt;=15)*(元データ!$AM$2:$AM$2001&lt;=21)*(元データ!$E$2:$E$2001="40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68" s="190">
        <f>SUMPRODUCT((元データ!$AL$2:$AL$2001=1)*(元データ!$AN$2:$AN$2001=1)*(元データ!$AE$2:$AE$2001=$C$67)*(元データ!$AO$2:$AO$2001=0)*(元データ!$AM$2:$AM$2001&gt;=22)*(元データ!$AM$2:$AM$2001&lt;=30))</f>
        <v/>
      </c>
      <c r="AN68" s="191">
        <f>SUMPRODUCT((元データ!$AL$2:$AL$2001=1)*(元データ!$AN$2:$AN$2001=1)*(元データ!$AE$2:$AE$2001=$C$67)*(元データ!$AO$2:$AO$2001=0)*(元データ!$AM$2:$AM$2001&gt;=22)*(元データ!$AM$2:$AM$2001&lt;=30)*(元データ!$E$2:$E$2001="20 確認待ち"))</f>
        <v/>
      </c>
      <c r="AO68" s="192">
        <f>IFERROR(_xlfn.TEXTJOIN(CHAR(10),TRUE,IF((元データ!$AL$2:$AL$2001=1)*(元データ!$AN$2:$AN$2001=1)*(元データ!$AE$2:$AE$2001=$C$67)*(元データ!$AO$2:$AO$2001=0)*(元データ!$AM$2:$AM$2001&gt;=22)*(元データ!$AM$2:$AM$2001&lt;=30)*(元データ!$E$2:$E$2001="20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68" s="191">
        <f>SUMPRODUCT((元データ!$AL$2:$AL$2001=1)*(元データ!$AN$2:$AN$2001=1)*(元データ!$AE$2:$AE$2001=$C$67)*(元データ!$AO$2:$AO$2001=0)*(元データ!$AM$2:$AM$2001&gt;=22)*(元データ!$AM$2:$AM$2001&lt;=30)*(元データ!$E$2:$E$2001="30 申請受付"))</f>
        <v/>
      </c>
      <c r="AQ68" s="192">
        <f>IFERROR(_xlfn.TEXTJOIN(CHAR(10),TRUE,IF((元データ!$AL$2:$AL$2001=1)*(元データ!$AN$2:$AN$2001=1)*(元データ!$AE$2:$AE$2001=$C$67)*(元データ!$AO$2:$AO$2001=0)*(元データ!$AM$2:$AM$2001&gt;=22)*(元データ!$AM$2:$AM$2001&lt;=30)*(元データ!$E$2:$E$2001="30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68" s="191">
        <f>SUMPRODUCT((元データ!$AL$2:$AL$2001=1)*(元データ!$AN$2:$AN$2001=1)*(元データ!$AE$2:$AE$2001=$C$67)*(元データ!$AO$2:$AO$2001=0)*(元データ!$AM$2:$AM$2001&gt;=22)*(元データ!$AM$2:$AM$2001&lt;=30)*(元データ!$E$2:$E$2001="31 ＯＰ確認中"))</f>
        <v/>
      </c>
      <c r="AS68" s="192">
        <f>IFERROR(_xlfn.TEXTJOIN(CHAR(10),TRUE,IF((元データ!$AL$2:$AL$2001=1)*(元データ!$AN$2:$AN$2001=1)*(元データ!$AE$2:$AE$2001=$C$67)*(元データ!$AO$2:$AO$2001=0)*(元データ!$AM$2:$AM$2001&gt;=22)*(元データ!$AM$2:$AM$2001&lt;=30)*(元データ!$E$2:$E$2001="31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68" s="191">
        <f>SUMPRODUCT((元データ!$AL$2:$AL$2001=1)*(元データ!$AN$2:$AN$2001=1)*(元データ!$AE$2:$AE$2001=$C$67)*(元データ!$AO$2:$AO$2001=0)*(元データ!$AM$2:$AM$2001&gt;=22)*(元データ!$AM$2:$AM$2001&lt;=30)*(元データ!$E$2:$E$2001="32 ＳＶ確認中"))</f>
        <v/>
      </c>
      <c r="AU68" s="192">
        <f>IFERROR(_xlfn.TEXTJOIN(CHAR(10),TRUE,IF((元データ!$AL$2:$AL$2001=1)*(元データ!$AN$2:$AN$2001=1)*(元データ!$AE$2:$AE$2001=$C$67)*(元データ!$AO$2:$AO$2001=0)*(元データ!$AM$2:$AM$2001&gt;=22)*(元データ!$AM$2:$AM$2001&lt;=30)*(元データ!$E$2:$E$2001="32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68" s="191">
        <f>SUMPRODUCT((元データ!$AL$2:$AL$2001=1)*(元データ!$AN$2:$AN$2001=1)*(元データ!$AE$2:$AE$2001=$C$67)*(元データ!$AO$2:$AO$2001=0)*(元データ!$AM$2:$AM$2001&gt;=22)*(元データ!$AM$2:$AM$2001&lt;=30)*(元データ!$E$2:$E$2001="40 差戻し"))</f>
        <v/>
      </c>
      <c r="AW68" s="192">
        <f>IFERROR(_xlfn.TEXTJOIN(CHAR(10),TRUE,IF((元データ!$AL$2:$AL$2001=1)*(元データ!$AN$2:$AN$2001=1)*(元データ!$AE$2:$AE$2001=$C$67)*(元データ!$AO$2:$AO$2001=0)*(元データ!$AM$2:$AM$2001&gt;=22)*(元データ!$AM$2:$AM$2001&lt;=30)*(元データ!$E$2:$E$2001="40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68" s="193">
        <f>SUMPRODUCT((元データ!$AL$2:$AL$2001=1)*(元データ!$AN$2:$AN$2001=1)*(元データ!$AE$2:$AE$2001=$C$67)*(元データ!$AO$2:$AO$2001=0)*(元データ!$AM$2:$AM$2001&gt;=31))</f>
        <v/>
      </c>
      <c r="AY68" s="194">
        <f>SUMPRODUCT((元データ!$AL$2:$AL$2001=1)*(元データ!$AN$2:$AN$2001=1)*(元データ!$AE$2:$AE$2001=$C$67)*(元データ!$AO$2:$AO$2001=0)*(元データ!$AM$2:$AM$2001&gt;=31)*(元データ!$E$2:$E$2001="20 確認待ち"))</f>
        <v/>
      </c>
      <c r="AZ68" s="195">
        <f>IFERROR(_xlfn.TEXTJOIN(CHAR(10),TRUE,IF((元データ!$AL$2:$AL$2001=1)*(元データ!$AN$2:$AN$2001=1)*(元データ!$AE$2:$AE$2001=$C$67)*(元データ!$AO$2:$AO$2001=0)*(元データ!$AM$2:$AM$2001&gt;=31)*(元データ!$E$2:$E$2001="20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68" s="194">
        <f>SUMPRODUCT((元データ!$AL$2:$AL$2001=1)*(元データ!$AN$2:$AN$2001=1)*(元データ!$AE$2:$AE$2001=$C$67)*(元データ!$AO$2:$AO$2001=0)*(元データ!$AM$2:$AM$2001&gt;=31)*(元データ!$E$2:$E$2001="30 申請受付"))</f>
        <v/>
      </c>
      <c r="BB68" s="195">
        <f>IFERROR(_xlfn.TEXTJOIN(CHAR(10),TRUE,IF((元データ!$AL$2:$AL$2001=1)*(元データ!$AN$2:$AN$2001=1)*(元データ!$AE$2:$AE$2001=$C$67)*(元データ!$AO$2:$AO$2001=0)*(元データ!$AM$2:$AM$2001&gt;=31)*(元データ!$E$2:$E$2001="30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68" s="194">
        <f>SUMPRODUCT((元データ!$AL$2:$AL$2001=1)*(元データ!$AN$2:$AN$2001=1)*(元データ!$AE$2:$AE$2001=$C$67)*(元データ!$AO$2:$AO$2001=0)*(元データ!$AM$2:$AM$2001&gt;=31)*(元データ!$E$2:$E$2001="31 ＯＰ確認中"))</f>
        <v/>
      </c>
      <c r="BD68" s="195">
        <f>IFERROR(_xlfn.TEXTJOIN(CHAR(10),TRUE,IF((元データ!$AL$2:$AL$2001=1)*(元データ!$AN$2:$AN$2001=1)*(元データ!$AE$2:$AE$2001=$C$67)*(元データ!$AO$2:$AO$2001=0)*(元データ!$AM$2:$AM$2001&gt;=31)*(元データ!$E$2:$E$2001="31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68" s="194">
        <f>SUMPRODUCT((元データ!$AL$2:$AL$2001=1)*(元データ!$AN$2:$AN$2001=1)*(元データ!$AE$2:$AE$2001=$C$67)*(元データ!$AO$2:$AO$2001=0)*(元データ!$AM$2:$AM$2001&gt;=31)*(元データ!$E$2:$E$2001="32 ＳＶ確認中"))</f>
        <v/>
      </c>
      <c r="BF68" s="195">
        <f>IFERROR(_xlfn.TEXTJOIN(CHAR(10),TRUE,IF((元データ!$AL$2:$AL$2001=1)*(元データ!$AN$2:$AN$2001=1)*(元データ!$AE$2:$AE$2001=$C$67)*(元データ!$AO$2:$AO$2001=0)*(元データ!$AM$2:$AM$2001&gt;=31)*(元データ!$E$2:$E$2001="32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68" s="194">
        <f>SUMPRODUCT((元データ!$AL$2:$AL$2001=1)*(元データ!$AN$2:$AN$2001=1)*(元データ!$AE$2:$AE$2001=$C$67)*(元データ!$AO$2:$AO$2001=0)*(元データ!$AM$2:$AM$2001&gt;=31)*(元データ!$E$2:$E$2001="40 差戻し"))</f>
        <v/>
      </c>
      <c r="BH68" s="195">
        <f>IFERROR(_xlfn.TEXTJOIN(CHAR(10),TRUE,IF((元データ!$AL$2:$AL$2001=1)*(元データ!$AN$2:$AN$2001=1)*(元データ!$AE$2:$AE$2001=$C$67)*(元データ!$AO$2:$AO$2001=0)*(元データ!$AM$2:$AM$2001&gt;=31)*(元データ!$E$2:$E$2001="40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69" ht="19.5" customHeight="1" s="87">
      <c r="B69" s="139" t="n"/>
      <c r="C69" s="140" t="inlineStr">
        <is>
          <t>47 扶養親族の就職</t>
        </is>
      </c>
      <c r="D69" s="141" t="inlineStr">
        <is>
          <t>あり</t>
        </is>
      </c>
      <c r="E69" s="142">
        <f>SUMPRODUCT((元データ!$AL$2:$AL$2001=1)*(元データ!$AN$2:$AN$2001=1)*(元データ!$AE$2:$AE$2001=$C$69)*(元データ!$AO$2:$AO$2001=1))</f>
        <v/>
      </c>
      <c r="F69" s="184">
        <f>SUMPRODUCT((元データ!$AL$2:$AL$2001=1)*(元データ!$AN$2:$AN$2001=1)*(元データ!$AE$2:$AE$2001=$C$69)*(元データ!$AO$2:$AO$2001=1)*(元データ!$AM$2:$AM$2001&lt;=7))</f>
        <v/>
      </c>
      <c r="G69" s="185">
        <f>SUMPRODUCT((元データ!$AL$2:$AL$2001=1)*(元データ!$AN$2:$AN$2001=1)*(元データ!$AE$2:$AE$2001=$C$69)*(元データ!$AO$2:$AO$2001=1)*(元データ!$AM$2:$AM$2001&lt;=7)*(元データ!$E$2:$E$2001="20 確認待ち"))</f>
        <v/>
      </c>
      <c r="H69" s="186">
        <f>IFERROR(_xlfn.TEXTJOIN(CHAR(10),TRUE,IF((元データ!$AL$2:$AL$2001=1)*(元データ!$AN$2:$AN$2001=1)*(元データ!$AE$2:$AE$2001=$C$69)*(元データ!$AO$2:$AO$2001=1)*(元データ!$AM$2:$AM$2001&lt;=7)*(元データ!$E$2:$E$2001="20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69" s="185">
        <f>SUMPRODUCT((元データ!$AL$2:$AL$2001=1)*(元データ!$AN$2:$AN$2001=1)*(元データ!$AE$2:$AE$2001=$C$69)*(元データ!$AO$2:$AO$2001=1)*(元データ!$AM$2:$AM$2001&lt;=7)*(元データ!$E$2:$E$2001="30 申請受付"))</f>
        <v/>
      </c>
      <c r="J69" s="186">
        <f>IFERROR(_xlfn.TEXTJOIN(CHAR(10),TRUE,IF((元データ!$AL$2:$AL$2001=1)*(元データ!$AN$2:$AN$2001=1)*(元データ!$AE$2:$AE$2001=$C$69)*(元データ!$AO$2:$AO$2001=1)*(元データ!$AM$2:$AM$2001&lt;=7)*(元データ!$E$2:$E$2001="30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69" s="185">
        <f>SUMPRODUCT((元データ!$AL$2:$AL$2001=1)*(元データ!$AN$2:$AN$2001=1)*(元データ!$AE$2:$AE$2001=$C$69)*(元データ!$AO$2:$AO$2001=1)*(元データ!$AM$2:$AM$2001&lt;=7)*(元データ!$E$2:$E$2001="31 ＯＰ確認中"))</f>
        <v/>
      </c>
      <c r="L69" s="186">
        <f>IFERROR(_xlfn.TEXTJOIN(CHAR(10),TRUE,IF((元データ!$AL$2:$AL$2001=1)*(元データ!$AN$2:$AN$2001=1)*(元データ!$AE$2:$AE$2001=$C$69)*(元データ!$AO$2:$AO$2001=1)*(元データ!$AM$2:$AM$2001&lt;=7)*(元データ!$E$2:$E$2001="31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69" s="185">
        <f>SUMPRODUCT((元データ!$AL$2:$AL$2001=1)*(元データ!$AN$2:$AN$2001=1)*(元データ!$AE$2:$AE$2001=$C$69)*(元データ!$AO$2:$AO$2001=1)*(元データ!$AM$2:$AM$2001&lt;=7)*(元データ!$E$2:$E$2001="32 ＳＶ確認中"))</f>
        <v/>
      </c>
      <c r="N69" s="186">
        <f>IFERROR(_xlfn.TEXTJOIN(CHAR(10),TRUE,IF((元データ!$AL$2:$AL$2001=1)*(元データ!$AN$2:$AN$2001=1)*(元データ!$AE$2:$AE$2001=$C$69)*(元データ!$AO$2:$AO$2001=1)*(元データ!$AM$2:$AM$2001&lt;=7)*(元データ!$E$2:$E$2001="32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69" s="185">
        <f>SUMPRODUCT((元データ!$AL$2:$AL$2001=1)*(元データ!$AN$2:$AN$2001=1)*(元データ!$AE$2:$AE$2001=$C$69)*(元データ!$AO$2:$AO$2001=1)*(元データ!$AM$2:$AM$2001&lt;=7)*(元データ!$E$2:$E$2001="40 差戻し"))</f>
        <v/>
      </c>
      <c r="P69" s="186">
        <f>IFERROR(_xlfn.TEXTJOIN(CHAR(10),TRUE,IF((元データ!$AL$2:$AL$2001=1)*(元データ!$AN$2:$AN$2001=1)*(元データ!$AE$2:$AE$2001=$C$69)*(元データ!$AO$2:$AO$2001=1)*(元データ!$AM$2:$AM$2001&lt;=7)*(元データ!$E$2:$E$2001="40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69" s="184">
        <f>SUMPRODUCT((元データ!$AL$2:$AL$2001=1)*(元データ!$AN$2:$AN$2001=1)*(元データ!$AE$2:$AE$2001=$C$69)*(元データ!$AO$2:$AO$2001=1)*(元データ!$AM$2:$AM$2001&gt;=8)*(元データ!$AM$2:$AM$2001&lt;=14))</f>
        <v/>
      </c>
      <c r="R69" s="185">
        <f>SUMPRODUCT((元データ!$AL$2:$AL$2001=1)*(元データ!$AN$2:$AN$2001=1)*(元データ!$AE$2:$AE$2001=$C$69)*(元データ!$AO$2:$AO$2001=1)*(元データ!$AM$2:$AM$2001&gt;=8)*(元データ!$AM$2:$AM$2001&lt;=14)*(元データ!$E$2:$E$2001="20 確認待ち"))</f>
        <v/>
      </c>
      <c r="S69" s="186">
        <f>IFERROR(_xlfn.TEXTJOIN(CHAR(10),TRUE,IF((元データ!$AL$2:$AL$2001=1)*(元データ!$AN$2:$AN$2001=1)*(元データ!$AE$2:$AE$2001=$C$69)*(元データ!$AO$2:$AO$2001=1)*(元データ!$AM$2:$AM$2001&gt;=8)*(元データ!$AM$2:$AM$2001&lt;=14)*(元データ!$E$2:$E$2001="20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69" s="185">
        <f>SUMPRODUCT((元データ!$AL$2:$AL$2001=1)*(元データ!$AN$2:$AN$2001=1)*(元データ!$AE$2:$AE$2001=$C$69)*(元データ!$AO$2:$AO$2001=1)*(元データ!$AM$2:$AM$2001&gt;=8)*(元データ!$AM$2:$AM$2001&lt;=14)*(元データ!$E$2:$E$2001="30 申請受付"))</f>
        <v/>
      </c>
      <c r="U69" s="186">
        <f>IFERROR(_xlfn.TEXTJOIN(CHAR(10),TRUE,IF((元データ!$AL$2:$AL$2001=1)*(元データ!$AN$2:$AN$2001=1)*(元データ!$AE$2:$AE$2001=$C$69)*(元データ!$AO$2:$AO$2001=1)*(元データ!$AM$2:$AM$2001&gt;=8)*(元データ!$AM$2:$AM$2001&lt;=14)*(元データ!$E$2:$E$2001="30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69" s="185">
        <f>SUMPRODUCT((元データ!$AL$2:$AL$2001=1)*(元データ!$AN$2:$AN$2001=1)*(元データ!$AE$2:$AE$2001=$C$69)*(元データ!$AO$2:$AO$2001=1)*(元データ!$AM$2:$AM$2001&gt;=8)*(元データ!$AM$2:$AM$2001&lt;=14)*(元データ!$E$2:$E$2001="31 ＯＰ確認中"))</f>
        <v/>
      </c>
      <c r="W69" s="186">
        <f>IFERROR(_xlfn.TEXTJOIN(CHAR(10),TRUE,IF((元データ!$AL$2:$AL$2001=1)*(元データ!$AN$2:$AN$2001=1)*(元データ!$AE$2:$AE$2001=$C$69)*(元データ!$AO$2:$AO$2001=1)*(元データ!$AM$2:$AM$2001&gt;=8)*(元データ!$AM$2:$AM$2001&lt;=14)*(元データ!$E$2:$E$2001="31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69" s="185">
        <f>SUMPRODUCT((元データ!$AL$2:$AL$2001=1)*(元データ!$AN$2:$AN$2001=1)*(元データ!$AE$2:$AE$2001=$C$69)*(元データ!$AO$2:$AO$2001=1)*(元データ!$AM$2:$AM$2001&gt;=8)*(元データ!$AM$2:$AM$2001&lt;=14)*(元データ!$E$2:$E$2001="32 ＳＶ確認中"))</f>
        <v/>
      </c>
      <c r="Y69" s="186">
        <f>IFERROR(_xlfn.TEXTJOIN(CHAR(10),TRUE,IF((元データ!$AL$2:$AL$2001=1)*(元データ!$AN$2:$AN$2001=1)*(元データ!$AE$2:$AE$2001=$C$69)*(元データ!$AO$2:$AO$2001=1)*(元データ!$AM$2:$AM$2001&gt;=8)*(元データ!$AM$2:$AM$2001&lt;=14)*(元データ!$E$2:$E$2001="32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69" s="185">
        <f>SUMPRODUCT((元データ!$AL$2:$AL$2001=1)*(元データ!$AN$2:$AN$2001=1)*(元データ!$AE$2:$AE$2001=$C$69)*(元データ!$AO$2:$AO$2001=1)*(元データ!$AM$2:$AM$2001&gt;=8)*(元データ!$AM$2:$AM$2001&lt;=14)*(元データ!$E$2:$E$2001="40 差戻し"))</f>
        <v/>
      </c>
      <c r="AA69" s="186">
        <f>IFERROR(_xlfn.TEXTJOIN(CHAR(10),TRUE,IF((元データ!$AL$2:$AL$2001=1)*(元データ!$AN$2:$AN$2001=1)*(元データ!$AE$2:$AE$2001=$C$69)*(元データ!$AO$2:$AO$2001=1)*(元データ!$AM$2:$AM$2001&gt;=8)*(元データ!$AM$2:$AM$2001&lt;=14)*(元データ!$E$2:$E$2001="40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69" s="187">
        <f>SUMPRODUCT((元データ!$AL$2:$AL$2001=1)*(元データ!$AN$2:$AN$2001=1)*(元データ!$AE$2:$AE$2001=$C$69)*(元データ!$AO$2:$AO$2001=1)*(元データ!$AM$2:$AM$2001&gt;=15)*(元データ!$AM$2:$AM$2001&lt;=21))</f>
        <v/>
      </c>
      <c r="AC69" s="188">
        <f>SUMPRODUCT((元データ!$AL$2:$AL$2001=1)*(元データ!$AN$2:$AN$2001=1)*(元データ!$AE$2:$AE$2001=$C$69)*(元データ!$AO$2:$AO$2001=1)*(元データ!$AM$2:$AM$2001&gt;=15)*(元データ!$AM$2:$AM$2001&lt;=21)*(元データ!$E$2:$E$2001="20 確認待ち"))</f>
        <v/>
      </c>
      <c r="AD69" s="189">
        <f>IFERROR(_xlfn.TEXTJOIN(CHAR(10),TRUE,IF((元データ!$AL$2:$AL$2001=1)*(元データ!$AN$2:$AN$2001=1)*(元データ!$AE$2:$AE$2001=$C$69)*(元データ!$AO$2:$AO$2001=1)*(元データ!$AM$2:$AM$2001&gt;=15)*(元データ!$AM$2:$AM$2001&lt;=21)*(元データ!$E$2:$E$2001="20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69" s="188">
        <f>SUMPRODUCT((元データ!$AL$2:$AL$2001=1)*(元データ!$AN$2:$AN$2001=1)*(元データ!$AE$2:$AE$2001=$C$69)*(元データ!$AO$2:$AO$2001=1)*(元データ!$AM$2:$AM$2001&gt;=15)*(元データ!$AM$2:$AM$2001&lt;=21)*(元データ!$E$2:$E$2001="30 申請受付"))</f>
        <v/>
      </c>
      <c r="AF69" s="189">
        <f>IFERROR(_xlfn.TEXTJOIN(CHAR(10),TRUE,IF((元データ!$AL$2:$AL$2001=1)*(元データ!$AN$2:$AN$2001=1)*(元データ!$AE$2:$AE$2001=$C$69)*(元データ!$AO$2:$AO$2001=1)*(元データ!$AM$2:$AM$2001&gt;=15)*(元データ!$AM$2:$AM$2001&lt;=21)*(元データ!$E$2:$E$2001="30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69" s="188">
        <f>SUMPRODUCT((元データ!$AL$2:$AL$2001=1)*(元データ!$AN$2:$AN$2001=1)*(元データ!$AE$2:$AE$2001=$C$69)*(元データ!$AO$2:$AO$2001=1)*(元データ!$AM$2:$AM$2001&gt;=15)*(元データ!$AM$2:$AM$2001&lt;=21)*(元データ!$E$2:$E$2001="31 ＯＰ確認中"))</f>
        <v/>
      </c>
      <c r="AH69" s="189">
        <f>IFERROR(_xlfn.TEXTJOIN(CHAR(10),TRUE,IF((元データ!$AL$2:$AL$2001=1)*(元データ!$AN$2:$AN$2001=1)*(元データ!$AE$2:$AE$2001=$C$69)*(元データ!$AO$2:$AO$2001=1)*(元データ!$AM$2:$AM$2001&gt;=15)*(元データ!$AM$2:$AM$2001&lt;=21)*(元データ!$E$2:$E$2001="31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69" s="188">
        <f>SUMPRODUCT((元データ!$AL$2:$AL$2001=1)*(元データ!$AN$2:$AN$2001=1)*(元データ!$AE$2:$AE$2001=$C$69)*(元データ!$AO$2:$AO$2001=1)*(元データ!$AM$2:$AM$2001&gt;=15)*(元データ!$AM$2:$AM$2001&lt;=21)*(元データ!$E$2:$E$2001="32 ＳＶ確認中"))</f>
        <v/>
      </c>
      <c r="AJ69" s="189">
        <f>IFERROR(_xlfn.TEXTJOIN(CHAR(10),TRUE,IF((元データ!$AL$2:$AL$2001=1)*(元データ!$AN$2:$AN$2001=1)*(元データ!$AE$2:$AE$2001=$C$69)*(元データ!$AO$2:$AO$2001=1)*(元データ!$AM$2:$AM$2001&gt;=15)*(元データ!$AM$2:$AM$2001&lt;=21)*(元データ!$E$2:$E$2001="32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69" s="188">
        <f>SUMPRODUCT((元データ!$AL$2:$AL$2001=1)*(元データ!$AN$2:$AN$2001=1)*(元データ!$AE$2:$AE$2001=$C$69)*(元データ!$AO$2:$AO$2001=1)*(元データ!$AM$2:$AM$2001&gt;=15)*(元データ!$AM$2:$AM$2001&lt;=21)*(元データ!$E$2:$E$2001="40 差戻し"))</f>
        <v/>
      </c>
      <c r="AL69" s="189">
        <f>IFERROR(_xlfn.TEXTJOIN(CHAR(10),TRUE,IF((元データ!$AL$2:$AL$2001=1)*(元データ!$AN$2:$AN$2001=1)*(元データ!$AE$2:$AE$2001=$C$69)*(元データ!$AO$2:$AO$2001=1)*(元データ!$AM$2:$AM$2001&gt;=15)*(元データ!$AM$2:$AM$2001&lt;=21)*(元データ!$E$2:$E$2001="40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69" s="190">
        <f>SUMPRODUCT((元データ!$AL$2:$AL$2001=1)*(元データ!$AN$2:$AN$2001=1)*(元データ!$AE$2:$AE$2001=$C$69)*(元データ!$AO$2:$AO$2001=1)*(元データ!$AM$2:$AM$2001&gt;=22)*(元データ!$AM$2:$AM$2001&lt;=30))</f>
        <v/>
      </c>
      <c r="AN69" s="191">
        <f>SUMPRODUCT((元データ!$AL$2:$AL$2001=1)*(元データ!$AN$2:$AN$2001=1)*(元データ!$AE$2:$AE$2001=$C$69)*(元データ!$AO$2:$AO$2001=1)*(元データ!$AM$2:$AM$2001&gt;=22)*(元データ!$AM$2:$AM$2001&lt;=30)*(元データ!$E$2:$E$2001="20 確認待ち"))</f>
        <v/>
      </c>
      <c r="AO69" s="192">
        <f>IFERROR(_xlfn.TEXTJOIN(CHAR(10),TRUE,IF((元データ!$AL$2:$AL$2001=1)*(元データ!$AN$2:$AN$2001=1)*(元データ!$AE$2:$AE$2001=$C$69)*(元データ!$AO$2:$AO$2001=1)*(元データ!$AM$2:$AM$2001&gt;=22)*(元データ!$AM$2:$AM$2001&lt;=30)*(元データ!$E$2:$E$2001="20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69" s="191">
        <f>SUMPRODUCT((元データ!$AL$2:$AL$2001=1)*(元データ!$AN$2:$AN$2001=1)*(元データ!$AE$2:$AE$2001=$C$69)*(元データ!$AO$2:$AO$2001=1)*(元データ!$AM$2:$AM$2001&gt;=22)*(元データ!$AM$2:$AM$2001&lt;=30)*(元データ!$E$2:$E$2001="30 申請受付"))</f>
        <v/>
      </c>
      <c r="AQ69" s="192">
        <f>IFERROR(_xlfn.TEXTJOIN(CHAR(10),TRUE,IF((元データ!$AL$2:$AL$2001=1)*(元データ!$AN$2:$AN$2001=1)*(元データ!$AE$2:$AE$2001=$C$69)*(元データ!$AO$2:$AO$2001=1)*(元データ!$AM$2:$AM$2001&gt;=22)*(元データ!$AM$2:$AM$2001&lt;=30)*(元データ!$E$2:$E$2001="30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69" s="191">
        <f>SUMPRODUCT((元データ!$AL$2:$AL$2001=1)*(元データ!$AN$2:$AN$2001=1)*(元データ!$AE$2:$AE$2001=$C$69)*(元データ!$AO$2:$AO$2001=1)*(元データ!$AM$2:$AM$2001&gt;=22)*(元データ!$AM$2:$AM$2001&lt;=30)*(元データ!$E$2:$E$2001="31 ＯＰ確認中"))</f>
        <v/>
      </c>
      <c r="AS69" s="192">
        <f>IFERROR(_xlfn.TEXTJOIN(CHAR(10),TRUE,IF((元データ!$AL$2:$AL$2001=1)*(元データ!$AN$2:$AN$2001=1)*(元データ!$AE$2:$AE$2001=$C$69)*(元データ!$AO$2:$AO$2001=1)*(元データ!$AM$2:$AM$2001&gt;=22)*(元データ!$AM$2:$AM$2001&lt;=30)*(元データ!$E$2:$E$2001="31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69" s="191">
        <f>SUMPRODUCT((元データ!$AL$2:$AL$2001=1)*(元データ!$AN$2:$AN$2001=1)*(元データ!$AE$2:$AE$2001=$C$69)*(元データ!$AO$2:$AO$2001=1)*(元データ!$AM$2:$AM$2001&gt;=22)*(元データ!$AM$2:$AM$2001&lt;=30)*(元データ!$E$2:$E$2001="32 ＳＶ確認中"))</f>
        <v/>
      </c>
      <c r="AU69" s="192">
        <f>IFERROR(_xlfn.TEXTJOIN(CHAR(10),TRUE,IF((元データ!$AL$2:$AL$2001=1)*(元データ!$AN$2:$AN$2001=1)*(元データ!$AE$2:$AE$2001=$C$69)*(元データ!$AO$2:$AO$2001=1)*(元データ!$AM$2:$AM$2001&gt;=22)*(元データ!$AM$2:$AM$2001&lt;=30)*(元データ!$E$2:$E$2001="32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69" s="191">
        <f>SUMPRODUCT((元データ!$AL$2:$AL$2001=1)*(元データ!$AN$2:$AN$2001=1)*(元データ!$AE$2:$AE$2001=$C$69)*(元データ!$AO$2:$AO$2001=1)*(元データ!$AM$2:$AM$2001&gt;=22)*(元データ!$AM$2:$AM$2001&lt;=30)*(元データ!$E$2:$E$2001="40 差戻し"))</f>
        <v/>
      </c>
      <c r="AW69" s="192">
        <f>IFERROR(_xlfn.TEXTJOIN(CHAR(10),TRUE,IF((元データ!$AL$2:$AL$2001=1)*(元データ!$AN$2:$AN$2001=1)*(元データ!$AE$2:$AE$2001=$C$69)*(元データ!$AO$2:$AO$2001=1)*(元データ!$AM$2:$AM$2001&gt;=22)*(元データ!$AM$2:$AM$2001&lt;=30)*(元データ!$E$2:$E$2001="40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69" s="193">
        <f>SUMPRODUCT((元データ!$AL$2:$AL$2001=1)*(元データ!$AN$2:$AN$2001=1)*(元データ!$AE$2:$AE$2001=$C$69)*(元データ!$AO$2:$AO$2001=1)*(元データ!$AM$2:$AM$2001&gt;=31))</f>
        <v/>
      </c>
      <c r="AY69" s="194">
        <f>SUMPRODUCT((元データ!$AL$2:$AL$2001=1)*(元データ!$AN$2:$AN$2001=1)*(元データ!$AE$2:$AE$2001=$C$69)*(元データ!$AO$2:$AO$2001=1)*(元データ!$AM$2:$AM$2001&gt;=31)*(元データ!$E$2:$E$2001="20 確認待ち"))</f>
        <v/>
      </c>
      <c r="AZ69" s="195">
        <f>IFERROR(_xlfn.TEXTJOIN(CHAR(10),TRUE,IF((元データ!$AL$2:$AL$2001=1)*(元データ!$AN$2:$AN$2001=1)*(元データ!$AE$2:$AE$2001=$C$69)*(元データ!$AO$2:$AO$2001=1)*(元データ!$AM$2:$AM$2001&gt;=31)*(元データ!$E$2:$E$2001="20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69" s="194">
        <f>SUMPRODUCT((元データ!$AL$2:$AL$2001=1)*(元データ!$AN$2:$AN$2001=1)*(元データ!$AE$2:$AE$2001=$C$69)*(元データ!$AO$2:$AO$2001=1)*(元データ!$AM$2:$AM$2001&gt;=31)*(元データ!$E$2:$E$2001="30 申請受付"))</f>
        <v/>
      </c>
      <c r="BB69" s="195">
        <f>IFERROR(_xlfn.TEXTJOIN(CHAR(10),TRUE,IF((元データ!$AL$2:$AL$2001=1)*(元データ!$AN$2:$AN$2001=1)*(元データ!$AE$2:$AE$2001=$C$69)*(元データ!$AO$2:$AO$2001=1)*(元データ!$AM$2:$AM$2001&gt;=31)*(元データ!$E$2:$E$2001="30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69" s="194">
        <f>SUMPRODUCT((元データ!$AL$2:$AL$2001=1)*(元データ!$AN$2:$AN$2001=1)*(元データ!$AE$2:$AE$2001=$C$69)*(元データ!$AO$2:$AO$2001=1)*(元データ!$AM$2:$AM$2001&gt;=31)*(元データ!$E$2:$E$2001="31 ＯＰ確認中"))</f>
        <v/>
      </c>
      <c r="BD69" s="195">
        <f>IFERROR(_xlfn.TEXTJOIN(CHAR(10),TRUE,IF((元データ!$AL$2:$AL$2001=1)*(元データ!$AN$2:$AN$2001=1)*(元データ!$AE$2:$AE$2001=$C$69)*(元データ!$AO$2:$AO$2001=1)*(元データ!$AM$2:$AM$2001&gt;=31)*(元データ!$E$2:$E$2001="31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69" s="194">
        <f>SUMPRODUCT((元データ!$AL$2:$AL$2001=1)*(元データ!$AN$2:$AN$2001=1)*(元データ!$AE$2:$AE$2001=$C$69)*(元データ!$AO$2:$AO$2001=1)*(元データ!$AM$2:$AM$2001&gt;=31)*(元データ!$E$2:$E$2001="32 ＳＶ確認中"))</f>
        <v/>
      </c>
      <c r="BF69" s="195">
        <f>IFERROR(_xlfn.TEXTJOIN(CHAR(10),TRUE,IF((元データ!$AL$2:$AL$2001=1)*(元データ!$AN$2:$AN$2001=1)*(元データ!$AE$2:$AE$2001=$C$69)*(元データ!$AO$2:$AO$2001=1)*(元データ!$AM$2:$AM$2001&gt;=31)*(元データ!$E$2:$E$2001="32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69" s="194">
        <f>SUMPRODUCT((元データ!$AL$2:$AL$2001=1)*(元データ!$AN$2:$AN$2001=1)*(元データ!$AE$2:$AE$2001=$C$69)*(元データ!$AO$2:$AO$2001=1)*(元データ!$AM$2:$AM$2001&gt;=31)*(元データ!$E$2:$E$2001="40 差戻し"))</f>
        <v/>
      </c>
      <c r="BH69" s="195">
        <f>IFERROR(_xlfn.TEXTJOIN(CHAR(10),TRUE,IF((元データ!$AL$2:$AL$2001=1)*(元データ!$AN$2:$AN$2001=1)*(元データ!$AE$2:$AE$2001=$C$69)*(元データ!$AO$2:$AO$2001=1)*(元データ!$AM$2:$AM$2001&gt;=31)*(元データ!$E$2:$E$2001="40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70" ht="19.5" customHeight="1" s="87">
      <c r="B70" s="155" t="n"/>
      <c r="C70" s="156" t="n"/>
      <c r="D70" s="157" t="inlineStr">
        <is>
          <t>なし</t>
        </is>
      </c>
      <c r="E70" s="158">
        <f>SUMPRODUCT((元データ!$AL$2:$AL$2001=1)*(元データ!$AN$2:$AN$2001=1)*(元データ!$AE$2:$AE$2001=$C$69)*(元データ!$AO$2:$AO$2001=0))</f>
        <v/>
      </c>
      <c r="F70" s="196">
        <f>SUMPRODUCT((元データ!$AL$2:$AL$2001=1)*(元データ!$AN$2:$AN$2001=1)*(元データ!$AE$2:$AE$2001=$C$69)*(元データ!$AO$2:$AO$2001=0)*(元データ!$AM$2:$AM$2001&lt;=7))</f>
        <v/>
      </c>
      <c r="G70" s="197">
        <f>SUMPRODUCT((元データ!$AL$2:$AL$2001=1)*(元データ!$AN$2:$AN$2001=1)*(元データ!$AE$2:$AE$2001=$C$69)*(元データ!$AO$2:$AO$2001=0)*(元データ!$AM$2:$AM$2001&lt;=7)*(元データ!$E$2:$E$2001="20 確認待ち"))</f>
        <v/>
      </c>
      <c r="H70" s="198">
        <f>IFERROR(_xlfn.TEXTJOIN(CHAR(10),TRUE,IF((元データ!$AL$2:$AL$2001=1)*(元データ!$AN$2:$AN$2001=1)*(元データ!$AE$2:$AE$2001=$C$69)*(元データ!$AO$2:$AO$2001=0)*(元データ!$AM$2:$AM$2001&lt;=7)*(元データ!$E$2:$E$2001="20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70" s="197">
        <f>SUMPRODUCT((元データ!$AL$2:$AL$2001=1)*(元データ!$AN$2:$AN$2001=1)*(元データ!$AE$2:$AE$2001=$C$69)*(元データ!$AO$2:$AO$2001=0)*(元データ!$AM$2:$AM$2001&lt;=7)*(元データ!$E$2:$E$2001="30 申請受付"))</f>
        <v/>
      </c>
      <c r="J70" s="198">
        <f>IFERROR(_xlfn.TEXTJOIN(CHAR(10),TRUE,IF((元データ!$AL$2:$AL$2001=1)*(元データ!$AN$2:$AN$2001=1)*(元データ!$AE$2:$AE$2001=$C$69)*(元データ!$AO$2:$AO$2001=0)*(元データ!$AM$2:$AM$2001&lt;=7)*(元データ!$E$2:$E$2001="30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70" s="197">
        <f>SUMPRODUCT((元データ!$AL$2:$AL$2001=1)*(元データ!$AN$2:$AN$2001=1)*(元データ!$AE$2:$AE$2001=$C$69)*(元データ!$AO$2:$AO$2001=0)*(元データ!$AM$2:$AM$2001&lt;=7)*(元データ!$E$2:$E$2001="31 ＯＰ確認中"))</f>
        <v/>
      </c>
      <c r="L70" s="198">
        <f>IFERROR(_xlfn.TEXTJOIN(CHAR(10),TRUE,IF((元データ!$AL$2:$AL$2001=1)*(元データ!$AN$2:$AN$2001=1)*(元データ!$AE$2:$AE$2001=$C$69)*(元データ!$AO$2:$AO$2001=0)*(元データ!$AM$2:$AM$2001&lt;=7)*(元データ!$E$2:$E$2001="31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70" s="197">
        <f>SUMPRODUCT((元データ!$AL$2:$AL$2001=1)*(元データ!$AN$2:$AN$2001=1)*(元データ!$AE$2:$AE$2001=$C$69)*(元データ!$AO$2:$AO$2001=0)*(元データ!$AM$2:$AM$2001&lt;=7)*(元データ!$E$2:$E$2001="32 ＳＶ確認中"))</f>
        <v/>
      </c>
      <c r="N70" s="198">
        <f>IFERROR(_xlfn.TEXTJOIN(CHAR(10),TRUE,IF((元データ!$AL$2:$AL$2001=1)*(元データ!$AN$2:$AN$2001=1)*(元データ!$AE$2:$AE$2001=$C$69)*(元データ!$AO$2:$AO$2001=0)*(元データ!$AM$2:$AM$2001&lt;=7)*(元データ!$E$2:$E$2001="32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70" s="197">
        <f>SUMPRODUCT((元データ!$AL$2:$AL$2001=1)*(元データ!$AN$2:$AN$2001=1)*(元データ!$AE$2:$AE$2001=$C$69)*(元データ!$AO$2:$AO$2001=0)*(元データ!$AM$2:$AM$2001&lt;=7)*(元データ!$E$2:$E$2001="40 差戻し"))</f>
        <v/>
      </c>
      <c r="P70" s="198">
        <f>IFERROR(_xlfn.TEXTJOIN(CHAR(10),TRUE,IF((元データ!$AL$2:$AL$2001=1)*(元データ!$AN$2:$AN$2001=1)*(元データ!$AE$2:$AE$2001=$C$69)*(元データ!$AO$2:$AO$2001=0)*(元データ!$AM$2:$AM$2001&lt;=7)*(元データ!$E$2:$E$2001="40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70" s="196">
        <f>SUMPRODUCT((元データ!$AL$2:$AL$2001=1)*(元データ!$AN$2:$AN$2001=1)*(元データ!$AE$2:$AE$2001=$C$69)*(元データ!$AO$2:$AO$2001=0)*(元データ!$AM$2:$AM$2001&gt;=8)*(元データ!$AM$2:$AM$2001&lt;=14))</f>
        <v/>
      </c>
      <c r="R70" s="197">
        <f>SUMPRODUCT((元データ!$AL$2:$AL$2001=1)*(元データ!$AN$2:$AN$2001=1)*(元データ!$AE$2:$AE$2001=$C$69)*(元データ!$AO$2:$AO$2001=0)*(元データ!$AM$2:$AM$2001&gt;=8)*(元データ!$AM$2:$AM$2001&lt;=14)*(元データ!$E$2:$E$2001="20 確認待ち"))</f>
        <v/>
      </c>
      <c r="S70" s="198">
        <f>IFERROR(_xlfn.TEXTJOIN(CHAR(10),TRUE,IF((元データ!$AL$2:$AL$2001=1)*(元データ!$AN$2:$AN$2001=1)*(元データ!$AE$2:$AE$2001=$C$69)*(元データ!$AO$2:$AO$2001=0)*(元データ!$AM$2:$AM$2001&gt;=8)*(元データ!$AM$2:$AM$2001&lt;=14)*(元データ!$E$2:$E$2001="20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70" s="197">
        <f>SUMPRODUCT((元データ!$AL$2:$AL$2001=1)*(元データ!$AN$2:$AN$2001=1)*(元データ!$AE$2:$AE$2001=$C$69)*(元データ!$AO$2:$AO$2001=0)*(元データ!$AM$2:$AM$2001&gt;=8)*(元データ!$AM$2:$AM$2001&lt;=14)*(元データ!$E$2:$E$2001="30 申請受付"))</f>
        <v/>
      </c>
      <c r="U70" s="198">
        <f>IFERROR(_xlfn.TEXTJOIN(CHAR(10),TRUE,IF((元データ!$AL$2:$AL$2001=1)*(元データ!$AN$2:$AN$2001=1)*(元データ!$AE$2:$AE$2001=$C$69)*(元データ!$AO$2:$AO$2001=0)*(元データ!$AM$2:$AM$2001&gt;=8)*(元データ!$AM$2:$AM$2001&lt;=14)*(元データ!$E$2:$E$2001="30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70" s="197">
        <f>SUMPRODUCT((元データ!$AL$2:$AL$2001=1)*(元データ!$AN$2:$AN$2001=1)*(元データ!$AE$2:$AE$2001=$C$69)*(元データ!$AO$2:$AO$2001=0)*(元データ!$AM$2:$AM$2001&gt;=8)*(元データ!$AM$2:$AM$2001&lt;=14)*(元データ!$E$2:$E$2001="31 ＯＰ確認中"))</f>
        <v/>
      </c>
      <c r="W70" s="198">
        <f>IFERROR(_xlfn.TEXTJOIN(CHAR(10),TRUE,IF((元データ!$AL$2:$AL$2001=1)*(元データ!$AN$2:$AN$2001=1)*(元データ!$AE$2:$AE$2001=$C$69)*(元データ!$AO$2:$AO$2001=0)*(元データ!$AM$2:$AM$2001&gt;=8)*(元データ!$AM$2:$AM$2001&lt;=14)*(元データ!$E$2:$E$2001="31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70" s="197">
        <f>SUMPRODUCT((元データ!$AL$2:$AL$2001=1)*(元データ!$AN$2:$AN$2001=1)*(元データ!$AE$2:$AE$2001=$C$69)*(元データ!$AO$2:$AO$2001=0)*(元データ!$AM$2:$AM$2001&gt;=8)*(元データ!$AM$2:$AM$2001&lt;=14)*(元データ!$E$2:$E$2001="32 ＳＶ確認中"))</f>
        <v/>
      </c>
      <c r="Y70" s="198">
        <f>IFERROR(_xlfn.TEXTJOIN(CHAR(10),TRUE,IF((元データ!$AL$2:$AL$2001=1)*(元データ!$AN$2:$AN$2001=1)*(元データ!$AE$2:$AE$2001=$C$69)*(元データ!$AO$2:$AO$2001=0)*(元データ!$AM$2:$AM$2001&gt;=8)*(元データ!$AM$2:$AM$2001&lt;=14)*(元データ!$E$2:$E$2001="32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70" s="197">
        <f>SUMPRODUCT((元データ!$AL$2:$AL$2001=1)*(元データ!$AN$2:$AN$2001=1)*(元データ!$AE$2:$AE$2001=$C$69)*(元データ!$AO$2:$AO$2001=0)*(元データ!$AM$2:$AM$2001&gt;=8)*(元データ!$AM$2:$AM$2001&lt;=14)*(元データ!$E$2:$E$2001="40 差戻し"))</f>
        <v/>
      </c>
      <c r="AA70" s="198">
        <f>IFERROR(_xlfn.TEXTJOIN(CHAR(10),TRUE,IF((元データ!$AL$2:$AL$2001=1)*(元データ!$AN$2:$AN$2001=1)*(元データ!$AE$2:$AE$2001=$C$69)*(元データ!$AO$2:$AO$2001=0)*(元データ!$AM$2:$AM$2001&gt;=8)*(元データ!$AM$2:$AM$2001&lt;=14)*(元データ!$E$2:$E$2001="40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70" s="187">
        <f>SUMPRODUCT((元データ!$AL$2:$AL$2001=1)*(元データ!$AN$2:$AN$2001=1)*(元データ!$AE$2:$AE$2001=$C$69)*(元データ!$AO$2:$AO$2001=0)*(元データ!$AM$2:$AM$2001&gt;=15)*(元データ!$AM$2:$AM$2001&lt;=21))</f>
        <v/>
      </c>
      <c r="AC70" s="188">
        <f>SUMPRODUCT((元データ!$AL$2:$AL$2001=1)*(元データ!$AN$2:$AN$2001=1)*(元データ!$AE$2:$AE$2001=$C$69)*(元データ!$AO$2:$AO$2001=0)*(元データ!$AM$2:$AM$2001&gt;=15)*(元データ!$AM$2:$AM$2001&lt;=21)*(元データ!$E$2:$E$2001="20 確認待ち"))</f>
        <v/>
      </c>
      <c r="AD70" s="189">
        <f>IFERROR(_xlfn.TEXTJOIN(CHAR(10),TRUE,IF((元データ!$AL$2:$AL$2001=1)*(元データ!$AN$2:$AN$2001=1)*(元データ!$AE$2:$AE$2001=$C$69)*(元データ!$AO$2:$AO$2001=0)*(元データ!$AM$2:$AM$2001&gt;=15)*(元データ!$AM$2:$AM$2001&lt;=21)*(元データ!$E$2:$E$2001="20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70" s="188">
        <f>SUMPRODUCT((元データ!$AL$2:$AL$2001=1)*(元データ!$AN$2:$AN$2001=1)*(元データ!$AE$2:$AE$2001=$C$69)*(元データ!$AO$2:$AO$2001=0)*(元データ!$AM$2:$AM$2001&gt;=15)*(元データ!$AM$2:$AM$2001&lt;=21)*(元データ!$E$2:$E$2001="30 申請受付"))</f>
        <v/>
      </c>
      <c r="AF70" s="189">
        <f>IFERROR(_xlfn.TEXTJOIN(CHAR(10),TRUE,IF((元データ!$AL$2:$AL$2001=1)*(元データ!$AN$2:$AN$2001=1)*(元データ!$AE$2:$AE$2001=$C$69)*(元データ!$AO$2:$AO$2001=0)*(元データ!$AM$2:$AM$2001&gt;=15)*(元データ!$AM$2:$AM$2001&lt;=21)*(元データ!$E$2:$E$2001="30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70" s="188">
        <f>SUMPRODUCT((元データ!$AL$2:$AL$2001=1)*(元データ!$AN$2:$AN$2001=1)*(元データ!$AE$2:$AE$2001=$C$69)*(元データ!$AO$2:$AO$2001=0)*(元データ!$AM$2:$AM$2001&gt;=15)*(元データ!$AM$2:$AM$2001&lt;=21)*(元データ!$E$2:$E$2001="31 ＯＰ確認中"))</f>
        <v/>
      </c>
      <c r="AH70" s="189">
        <f>IFERROR(_xlfn.TEXTJOIN(CHAR(10),TRUE,IF((元データ!$AL$2:$AL$2001=1)*(元データ!$AN$2:$AN$2001=1)*(元データ!$AE$2:$AE$2001=$C$69)*(元データ!$AO$2:$AO$2001=0)*(元データ!$AM$2:$AM$2001&gt;=15)*(元データ!$AM$2:$AM$2001&lt;=21)*(元データ!$E$2:$E$2001="31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70" s="188">
        <f>SUMPRODUCT((元データ!$AL$2:$AL$2001=1)*(元データ!$AN$2:$AN$2001=1)*(元データ!$AE$2:$AE$2001=$C$69)*(元データ!$AO$2:$AO$2001=0)*(元データ!$AM$2:$AM$2001&gt;=15)*(元データ!$AM$2:$AM$2001&lt;=21)*(元データ!$E$2:$E$2001="32 ＳＶ確認中"))</f>
        <v/>
      </c>
      <c r="AJ70" s="189">
        <f>IFERROR(_xlfn.TEXTJOIN(CHAR(10),TRUE,IF((元データ!$AL$2:$AL$2001=1)*(元データ!$AN$2:$AN$2001=1)*(元データ!$AE$2:$AE$2001=$C$69)*(元データ!$AO$2:$AO$2001=0)*(元データ!$AM$2:$AM$2001&gt;=15)*(元データ!$AM$2:$AM$2001&lt;=21)*(元データ!$E$2:$E$2001="32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70" s="188">
        <f>SUMPRODUCT((元データ!$AL$2:$AL$2001=1)*(元データ!$AN$2:$AN$2001=1)*(元データ!$AE$2:$AE$2001=$C$69)*(元データ!$AO$2:$AO$2001=0)*(元データ!$AM$2:$AM$2001&gt;=15)*(元データ!$AM$2:$AM$2001&lt;=21)*(元データ!$E$2:$E$2001="40 差戻し"))</f>
        <v/>
      </c>
      <c r="AL70" s="189">
        <f>IFERROR(_xlfn.TEXTJOIN(CHAR(10),TRUE,IF((元データ!$AL$2:$AL$2001=1)*(元データ!$AN$2:$AN$2001=1)*(元データ!$AE$2:$AE$2001=$C$69)*(元データ!$AO$2:$AO$2001=0)*(元データ!$AM$2:$AM$2001&gt;=15)*(元データ!$AM$2:$AM$2001&lt;=21)*(元データ!$E$2:$E$2001="40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70" s="190">
        <f>SUMPRODUCT((元データ!$AL$2:$AL$2001=1)*(元データ!$AN$2:$AN$2001=1)*(元データ!$AE$2:$AE$2001=$C$69)*(元データ!$AO$2:$AO$2001=0)*(元データ!$AM$2:$AM$2001&gt;=22)*(元データ!$AM$2:$AM$2001&lt;=30))</f>
        <v/>
      </c>
      <c r="AN70" s="191">
        <f>SUMPRODUCT((元データ!$AL$2:$AL$2001=1)*(元データ!$AN$2:$AN$2001=1)*(元データ!$AE$2:$AE$2001=$C$69)*(元データ!$AO$2:$AO$2001=0)*(元データ!$AM$2:$AM$2001&gt;=22)*(元データ!$AM$2:$AM$2001&lt;=30)*(元データ!$E$2:$E$2001="20 確認待ち"))</f>
        <v/>
      </c>
      <c r="AO70" s="192">
        <f>IFERROR(_xlfn.TEXTJOIN(CHAR(10),TRUE,IF((元データ!$AL$2:$AL$2001=1)*(元データ!$AN$2:$AN$2001=1)*(元データ!$AE$2:$AE$2001=$C$69)*(元データ!$AO$2:$AO$2001=0)*(元データ!$AM$2:$AM$2001&gt;=22)*(元データ!$AM$2:$AM$2001&lt;=30)*(元データ!$E$2:$E$2001="20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70" s="191">
        <f>SUMPRODUCT((元データ!$AL$2:$AL$2001=1)*(元データ!$AN$2:$AN$2001=1)*(元データ!$AE$2:$AE$2001=$C$69)*(元データ!$AO$2:$AO$2001=0)*(元データ!$AM$2:$AM$2001&gt;=22)*(元データ!$AM$2:$AM$2001&lt;=30)*(元データ!$E$2:$E$2001="30 申請受付"))</f>
        <v/>
      </c>
      <c r="AQ70" s="192">
        <f>IFERROR(_xlfn.TEXTJOIN(CHAR(10),TRUE,IF((元データ!$AL$2:$AL$2001=1)*(元データ!$AN$2:$AN$2001=1)*(元データ!$AE$2:$AE$2001=$C$69)*(元データ!$AO$2:$AO$2001=0)*(元データ!$AM$2:$AM$2001&gt;=22)*(元データ!$AM$2:$AM$2001&lt;=30)*(元データ!$E$2:$E$2001="30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70" s="191">
        <f>SUMPRODUCT((元データ!$AL$2:$AL$2001=1)*(元データ!$AN$2:$AN$2001=1)*(元データ!$AE$2:$AE$2001=$C$69)*(元データ!$AO$2:$AO$2001=0)*(元データ!$AM$2:$AM$2001&gt;=22)*(元データ!$AM$2:$AM$2001&lt;=30)*(元データ!$E$2:$E$2001="31 ＯＰ確認中"))</f>
        <v/>
      </c>
      <c r="AS70" s="192">
        <f>IFERROR(_xlfn.TEXTJOIN(CHAR(10),TRUE,IF((元データ!$AL$2:$AL$2001=1)*(元データ!$AN$2:$AN$2001=1)*(元データ!$AE$2:$AE$2001=$C$69)*(元データ!$AO$2:$AO$2001=0)*(元データ!$AM$2:$AM$2001&gt;=22)*(元データ!$AM$2:$AM$2001&lt;=30)*(元データ!$E$2:$E$2001="31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70" s="191">
        <f>SUMPRODUCT((元データ!$AL$2:$AL$2001=1)*(元データ!$AN$2:$AN$2001=1)*(元データ!$AE$2:$AE$2001=$C$69)*(元データ!$AO$2:$AO$2001=0)*(元データ!$AM$2:$AM$2001&gt;=22)*(元データ!$AM$2:$AM$2001&lt;=30)*(元データ!$E$2:$E$2001="32 ＳＶ確認中"))</f>
        <v/>
      </c>
      <c r="AU70" s="192">
        <f>IFERROR(_xlfn.TEXTJOIN(CHAR(10),TRUE,IF((元データ!$AL$2:$AL$2001=1)*(元データ!$AN$2:$AN$2001=1)*(元データ!$AE$2:$AE$2001=$C$69)*(元データ!$AO$2:$AO$2001=0)*(元データ!$AM$2:$AM$2001&gt;=22)*(元データ!$AM$2:$AM$2001&lt;=30)*(元データ!$E$2:$E$2001="32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70" s="191">
        <f>SUMPRODUCT((元データ!$AL$2:$AL$2001=1)*(元データ!$AN$2:$AN$2001=1)*(元データ!$AE$2:$AE$2001=$C$69)*(元データ!$AO$2:$AO$2001=0)*(元データ!$AM$2:$AM$2001&gt;=22)*(元データ!$AM$2:$AM$2001&lt;=30)*(元データ!$E$2:$E$2001="40 差戻し"))</f>
        <v/>
      </c>
      <c r="AW70" s="192">
        <f>IFERROR(_xlfn.TEXTJOIN(CHAR(10),TRUE,IF((元データ!$AL$2:$AL$2001=1)*(元データ!$AN$2:$AN$2001=1)*(元データ!$AE$2:$AE$2001=$C$69)*(元データ!$AO$2:$AO$2001=0)*(元データ!$AM$2:$AM$2001&gt;=22)*(元データ!$AM$2:$AM$2001&lt;=30)*(元データ!$E$2:$E$2001="40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70" s="193">
        <f>SUMPRODUCT((元データ!$AL$2:$AL$2001=1)*(元データ!$AN$2:$AN$2001=1)*(元データ!$AE$2:$AE$2001=$C$69)*(元データ!$AO$2:$AO$2001=0)*(元データ!$AM$2:$AM$2001&gt;=31))</f>
        <v/>
      </c>
      <c r="AY70" s="194">
        <f>SUMPRODUCT((元データ!$AL$2:$AL$2001=1)*(元データ!$AN$2:$AN$2001=1)*(元データ!$AE$2:$AE$2001=$C$69)*(元データ!$AO$2:$AO$2001=0)*(元データ!$AM$2:$AM$2001&gt;=31)*(元データ!$E$2:$E$2001="20 確認待ち"))</f>
        <v/>
      </c>
      <c r="AZ70" s="195">
        <f>IFERROR(_xlfn.TEXTJOIN(CHAR(10),TRUE,IF((元データ!$AL$2:$AL$2001=1)*(元データ!$AN$2:$AN$2001=1)*(元データ!$AE$2:$AE$2001=$C$69)*(元データ!$AO$2:$AO$2001=0)*(元データ!$AM$2:$AM$2001&gt;=31)*(元データ!$E$2:$E$2001="20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70" s="194">
        <f>SUMPRODUCT((元データ!$AL$2:$AL$2001=1)*(元データ!$AN$2:$AN$2001=1)*(元データ!$AE$2:$AE$2001=$C$69)*(元データ!$AO$2:$AO$2001=0)*(元データ!$AM$2:$AM$2001&gt;=31)*(元データ!$E$2:$E$2001="30 申請受付"))</f>
        <v/>
      </c>
      <c r="BB70" s="195">
        <f>IFERROR(_xlfn.TEXTJOIN(CHAR(10),TRUE,IF((元データ!$AL$2:$AL$2001=1)*(元データ!$AN$2:$AN$2001=1)*(元データ!$AE$2:$AE$2001=$C$69)*(元データ!$AO$2:$AO$2001=0)*(元データ!$AM$2:$AM$2001&gt;=31)*(元データ!$E$2:$E$2001="30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70" s="194">
        <f>SUMPRODUCT((元データ!$AL$2:$AL$2001=1)*(元データ!$AN$2:$AN$2001=1)*(元データ!$AE$2:$AE$2001=$C$69)*(元データ!$AO$2:$AO$2001=0)*(元データ!$AM$2:$AM$2001&gt;=31)*(元データ!$E$2:$E$2001="31 ＯＰ確認中"))</f>
        <v/>
      </c>
      <c r="BD70" s="195">
        <f>IFERROR(_xlfn.TEXTJOIN(CHAR(10),TRUE,IF((元データ!$AL$2:$AL$2001=1)*(元データ!$AN$2:$AN$2001=1)*(元データ!$AE$2:$AE$2001=$C$69)*(元データ!$AO$2:$AO$2001=0)*(元データ!$AM$2:$AM$2001&gt;=31)*(元データ!$E$2:$E$2001="31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70" s="194">
        <f>SUMPRODUCT((元データ!$AL$2:$AL$2001=1)*(元データ!$AN$2:$AN$2001=1)*(元データ!$AE$2:$AE$2001=$C$69)*(元データ!$AO$2:$AO$2001=0)*(元データ!$AM$2:$AM$2001&gt;=31)*(元データ!$E$2:$E$2001="32 ＳＶ確認中"))</f>
        <v/>
      </c>
      <c r="BF70" s="195">
        <f>IFERROR(_xlfn.TEXTJOIN(CHAR(10),TRUE,IF((元データ!$AL$2:$AL$2001=1)*(元データ!$AN$2:$AN$2001=1)*(元データ!$AE$2:$AE$2001=$C$69)*(元データ!$AO$2:$AO$2001=0)*(元データ!$AM$2:$AM$2001&gt;=31)*(元データ!$E$2:$E$2001="32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70" s="194">
        <f>SUMPRODUCT((元データ!$AL$2:$AL$2001=1)*(元データ!$AN$2:$AN$2001=1)*(元データ!$AE$2:$AE$2001=$C$69)*(元データ!$AO$2:$AO$2001=0)*(元データ!$AM$2:$AM$2001&gt;=31)*(元データ!$E$2:$E$2001="40 差戻し"))</f>
        <v/>
      </c>
      <c r="BH70" s="195">
        <f>IFERROR(_xlfn.TEXTJOIN(CHAR(10),TRUE,IF((元データ!$AL$2:$AL$2001=1)*(元データ!$AN$2:$AN$2001=1)*(元データ!$AE$2:$AE$2001=$C$69)*(元データ!$AO$2:$AO$2001=0)*(元データ!$AM$2:$AM$2001&gt;=31)*(元データ!$E$2:$E$2001="40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71" ht="19.5" customHeight="1" s="87">
      <c r="B71" s="139" t="n"/>
      <c r="C71" s="140" t="inlineStr">
        <is>
          <t>49 復職</t>
        </is>
      </c>
      <c r="D71" s="141" t="inlineStr">
        <is>
          <t>あり</t>
        </is>
      </c>
      <c r="E71" s="142">
        <f>SUMPRODUCT((元データ!$AL$2:$AL$2001=1)*(元データ!$AN$2:$AN$2001=1)*(元データ!$AE$2:$AE$2001=$C$71)*(元データ!$AO$2:$AO$2001=1))</f>
        <v/>
      </c>
      <c r="F71" s="184">
        <f>SUMPRODUCT((元データ!$AL$2:$AL$2001=1)*(元データ!$AN$2:$AN$2001=1)*(元データ!$AE$2:$AE$2001=$C$71)*(元データ!$AO$2:$AO$2001=1)*(元データ!$AM$2:$AM$2001&lt;=7))</f>
        <v/>
      </c>
      <c r="G71" s="185">
        <f>SUMPRODUCT((元データ!$AL$2:$AL$2001=1)*(元データ!$AN$2:$AN$2001=1)*(元データ!$AE$2:$AE$2001=$C$71)*(元データ!$AO$2:$AO$2001=1)*(元データ!$AM$2:$AM$2001&lt;=7)*(元データ!$E$2:$E$2001="20 確認待ち"))</f>
        <v/>
      </c>
      <c r="H71" s="186">
        <f>IFERROR(_xlfn.TEXTJOIN(CHAR(10),TRUE,IF((元データ!$AL$2:$AL$2001=1)*(元データ!$AN$2:$AN$2001=1)*(元データ!$AE$2:$AE$2001=$C$71)*(元データ!$AO$2:$AO$2001=1)*(元データ!$AM$2:$AM$2001&lt;=7)*(元データ!$E$2:$E$2001="20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71" s="185">
        <f>SUMPRODUCT((元データ!$AL$2:$AL$2001=1)*(元データ!$AN$2:$AN$2001=1)*(元データ!$AE$2:$AE$2001=$C$71)*(元データ!$AO$2:$AO$2001=1)*(元データ!$AM$2:$AM$2001&lt;=7)*(元データ!$E$2:$E$2001="30 申請受付"))</f>
        <v/>
      </c>
      <c r="J71" s="186">
        <f>IFERROR(_xlfn.TEXTJOIN(CHAR(10),TRUE,IF((元データ!$AL$2:$AL$2001=1)*(元データ!$AN$2:$AN$2001=1)*(元データ!$AE$2:$AE$2001=$C$71)*(元データ!$AO$2:$AO$2001=1)*(元データ!$AM$2:$AM$2001&lt;=7)*(元データ!$E$2:$E$2001="30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71" s="185">
        <f>SUMPRODUCT((元データ!$AL$2:$AL$2001=1)*(元データ!$AN$2:$AN$2001=1)*(元データ!$AE$2:$AE$2001=$C$71)*(元データ!$AO$2:$AO$2001=1)*(元データ!$AM$2:$AM$2001&lt;=7)*(元データ!$E$2:$E$2001="31 ＯＰ確認中"))</f>
        <v/>
      </c>
      <c r="L71" s="186">
        <f>IFERROR(_xlfn.TEXTJOIN(CHAR(10),TRUE,IF((元データ!$AL$2:$AL$2001=1)*(元データ!$AN$2:$AN$2001=1)*(元データ!$AE$2:$AE$2001=$C$71)*(元データ!$AO$2:$AO$2001=1)*(元データ!$AM$2:$AM$2001&lt;=7)*(元データ!$E$2:$E$2001="31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71" s="185">
        <f>SUMPRODUCT((元データ!$AL$2:$AL$2001=1)*(元データ!$AN$2:$AN$2001=1)*(元データ!$AE$2:$AE$2001=$C$71)*(元データ!$AO$2:$AO$2001=1)*(元データ!$AM$2:$AM$2001&lt;=7)*(元データ!$E$2:$E$2001="32 ＳＶ確認中"))</f>
        <v/>
      </c>
      <c r="N71" s="186">
        <f>IFERROR(_xlfn.TEXTJOIN(CHAR(10),TRUE,IF((元データ!$AL$2:$AL$2001=1)*(元データ!$AN$2:$AN$2001=1)*(元データ!$AE$2:$AE$2001=$C$71)*(元データ!$AO$2:$AO$2001=1)*(元データ!$AM$2:$AM$2001&lt;=7)*(元データ!$E$2:$E$2001="32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71" s="185">
        <f>SUMPRODUCT((元データ!$AL$2:$AL$2001=1)*(元データ!$AN$2:$AN$2001=1)*(元データ!$AE$2:$AE$2001=$C$71)*(元データ!$AO$2:$AO$2001=1)*(元データ!$AM$2:$AM$2001&lt;=7)*(元データ!$E$2:$E$2001="40 差戻し"))</f>
        <v/>
      </c>
      <c r="P71" s="186">
        <f>IFERROR(_xlfn.TEXTJOIN(CHAR(10),TRUE,IF((元データ!$AL$2:$AL$2001=1)*(元データ!$AN$2:$AN$2001=1)*(元データ!$AE$2:$AE$2001=$C$71)*(元データ!$AO$2:$AO$2001=1)*(元データ!$AM$2:$AM$2001&lt;=7)*(元データ!$E$2:$E$2001="40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71" s="184">
        <f>SUMPRODUCT((元データ!$AL$2:$AL$2001=1)*(元データ!$AN$2:$AN$2001=1)*(元データ!$AE$2:$AE$2001=$C$71)*(元データ!$AO$2:$AO$2001=1)*(元データ!$AM$2:$AM$2001&gt;=8)*(元データ!$AM$2:$AM$2001&lt;=14))</f>
        <v/>
      </c>
      <c r="R71" s="185">
        <f>SUMPRODUCT((元データ!$AL$2:$AL$2001=1)*(元データ!$AN$2:$AN$2001=1)*(元データ!$AE$2:$AE$2001=$C$71)*(元データ!$AO$2:$AO$2001=1)*(元データ!$AM$2:$AM$2001&gt;=8)*(元データ!$AM$2:$AM$2001&lt;=14)*(元データ!$E$2:$E$2001="20 確認待ち"))</f>
        <v/>
      </c>
      <c r="S71" s="186">
        <f>IFERROR(_xlfn.TEXTJOIN(CHAR(10),TRUE,IF((元データ!$AL$2:$AL$2001=1)*(元データ!$AN$2:$AN$2001=1)*(元データ!$AE$2:$AE$2001=$C$71)*(元データ!$AO$2:$AO$2001=1)*(元データ!$AM$2:$AM$2001&gt;=8)*(元データ!$AM$2:$AM$2001&lt;=14)*(元データ!$E$2:$E$2001="20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71" s="185">
        <f>SUMPRODUCT((元データ!$AL$2:$AL$2001=1)*(元データ!$AN$2:$AN$2001=1)*(元データ!$AE$2:$AE$2001=$C$71)*(元データ!$AO$2:$AO$2001=1)*(元データ!$AM$2:$AM$2001&gt;=8)*(元データ!$AM$2:$AM$2001&lt;=14)*(元データ!$E$2:$E$2001="30 申請受付"))</f>
        <v/>
      </c>
      <c r="U71" s="186">
        <f>IFERROR(_xlfn.TEXTJOIN(CHAR(10),TRUE,IF((元データ!$AL$2:$AL$2001=1)*(元データ!$AN$2:$AN$2001=1)*(元データ!$AE$2:$AE$2001=$C$71)*(元データ!$AO$2:$AO$2001=1)*(元データ!$AM$2:$AM$2001&gt;=8)*(元データ!$AM$2:$AM$2001&lt;=14)*(元データ!$E$2:$E$2001="30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71" s="185">
        <f>SUMPRODUCT((元データ!$AL$2:$AL$2001=1)*(元データ!$AN$2:$AN$2001=1)*(元データ!$AE$2:$AE$2001=$C$71)*(元データ!$AO$2:$AO$2001=1)*(元データ!$AM$2:$AM$2001&gt;=8)*(元データ!$AM$2:$AM$2001&lt;=14)*(元データ!$E$2:$E$2001="31 ＯＰ確認中"))</f>
        <v/>
      </c>
      <c r="W71" s="186">
        <f>IFERROR(_xlfn.TEXTJOIN(CHAR(10),TRUE,IF((元データ!$AL$2:$AL$2001=1)*(元データ!$AN$2:$AN$2001=1)*(元データ!$AE$2:$AE$2001=$C$71)*(元データ!$AO$2:$AO$2001=1)*(元データ!$AM$2:$AM$2001&gt;=8)*(元データ!$AM$2:$AM$2001&lt;=14)*(元データ!$E$2:$E$2001="31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71" s="185">
        <f>SUMPRODUCT((元データ!$AL$2:$AL$2001=1)*(元データ!$AN$2:$AN$2001=1)*(元データ!$AE$2:$AE$2001=$C$71)*(元データ!$AO$2:$AO$2001=1)*(元データ!$AM$2:$AM$2001&gt;=8)*(元データ!$AM$2:$AM$2001&lt;=14)*(元データ!$E$2:$E$2001="32 ＳＶ確認中"))</f>
        <v/>
      </c>
      <c r="Y71" s="186">
        <f>IFERROR(_xlfn.TEXTJOIN(CHAR(10),TRUE,IF((元データ!$AL$2:$AL$2001=1)*(元データ!$AN$2:$AN$2001=1)*(元データ!$AE$2:$AE$2001=$C$71)*(元データ!$AO$2:$AO$2001=1)*(元データ!$AM$2:$AM$2001&gt;=8)*(元データ!$AM$2:$AM$2001&lt;=14)*(元データ!$E$2:$E$2001="32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71" s="185">
        <f>SUMPRODUCT((元データ!$AL$2:$AL$2001=1)*(元データ!$AN$2:$AN$2001=1)*(元データ!$AE$2:$AE$2001=$C$71)*(元データ!$AO$2:$AO$2001=1)*(元データ!$AM$2:$AM$2001&gt;=8)*(元データ!$AM$2:$AM$2001&lt;=14)*(元データ!$E$2:$E$2001="40 差戻し"))</f>
        <v/>
      </c>
      <c r="AA71" s="186">
        <f>IFERROR(_xlfn.TEXTJOIN(CHAR(10),TRUE,IF((元データ!$AL$2:$AL$2001=1)*(元データ!$AN$2:$AN$2001=1)*(元データ!$AE$2:$AE$2001=$C$71)*(元データ!$AO$2:$AO$2001=1)*(元データ!$AM$2:$AM$2001&gt;=8)*(元データ!$AM$2:$AM$2001&lt;=14)*(元データ!$E$2:$E$2001="40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71" s="187">
        <f>SUMPRODUCT((元データ!$AL$2:$AL$2001=1)*(元データ!$AN$2:$AN$2001=1)*(元データ!$AE$2:$AE$2001=$C$71)*(元データ!$AO$2:$AO$2001=1)*(元データ!$AM$2:$AM$2001&gt;=15)*(元データ!$AM$2:$AM$2001&lt;=21))</f>
        <v/>
      </c>
      <c r="AC71" s="188">
        <f>SUMPRODUCT((元データ!$AL$2:$AL$2001=1)*(元データ!$AN$2:$AN$2001=1)*(元データ!$AE$2:$AE$2001=$C$71)*(元データ!$AO$2:$AO$2001=1)*(元データ!$AM$2:$AM$2001&gt;=15)*(元データ!$AM$2:$AM$2001&lt;=21)*(元データ!$E$2:$E$2001="20 確認待ち"))</f>
        <v/>
      </c>
      <c r="AD71" s="189">
        <f>IFERROR(_xlfn.TEXTJOIN(CHAR(10),TRUE,IF((元データ!$AL$2:$AL$2001=1)*(元データ!$AN$2:$AN$2001=1)*(元データ!$AE$2:$AE$2001=$C$71)*(元データ!$AO$2:$AO$2001=1)*(元データ!$AM$2:$AM$2001&gt;=15)*(元データ!$AM$2:$AM$2001&lt;=21)*(元データ!$E$2:$E$2001="20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71" s="188">
        <f>SUMPRODUCT((元データ!$AL$2:$AL$2001=1)*(元データ!$AN$2:$AN$2001=1)*(元データ!$AE$2:$AE$2001=$C$71)*(元データ!$AO$2:$AO$2001=1)*(元データ!$AM$2:$AM$2001&gt;=15)*(元データ!$AM$2:$AM$2001&lt;=21)*(元データ!$E$2:$E$2001="30 申請受付"))</f>
        <v/>
      </c>
      <c r="AF71" s="189">
        <f>IFERROR(_xlfn.TEXTJOIN(CHAR(10),TRUE,IF((元データ!$AL$2:$AL$2001=1)*(元データ!$AN$2:$AN$2001=1)*(元データ!$AE$2:$AE$2001=$C$71)*(元データ!$AO$2:$AO$2001=1)*(元データ!$AM$2:$AM$2001&gt;=15)*(元データ!$AM$2:$AM$2001&lt;=21)*(元データ!$E$2:$E$2001="30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71" s="188">
        <f>SUMPRODUCT((元データ!$AL$2:$AL$2001=1)*(元データ!$AN$2:$AN$2001=1)*(元データ!$AE$2:$AE$2001=$C$71)*(元データ!$AO$2:$AO$2001=1)*(元データ!$AM$2:$AM$2001&gt;=15)*(元データ!$AM$2:$AM$2001&lt;=21)*(元データ!$E$2:$E$2001="31 ＯＰ確認中"))</f>
        <v/>
      </c>
      <c r="AH71" s="189">
        <f>IFERROR(_xlfn.TEXTJOIN(CHAR(10),TRUE,IF((元データ!$AL$2:$AL$2001=1)*(元データ!$AN$2:$AN$2001=1)*(元データ!$AE$2:$AE$2001=$C$71)*(元データ!$AO$2:$AO$2001=1)*(元データ!$AM$2:$AM$2001&gt;=15)*(元データ!$AM$2:$AM$2001&lt;=21)*(元データ!$E$2:$E$2001="31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71" s="188">
        <f>SUMPRODUCT((元データ!$AL$2:$AL$2001=1)*(元データ!$AN$2:$AN$2001=1)*(元データ!$AE$2:$AE$2001=$C$71)*(元データ!$AO$2:$AO$2001=1)*(元データ!$AM$2:$AM$2001&gt;=15)*(元データ!$AM$2:$AM$2001&lt;=21)*(元データ!$E$2:$E$2001="32 ＳＶ確認中"))</f>
        <v/>
      </c>
      <c r="AJ71" s="189">
        <f>IFERROR(_xlfn.TEXTJOIN(CHAR(10),TRUE,IF((元データ!$AL$2:$AL$2001=1)*(元データ!$AN$2:$AN$2001=1)*(元データ!$AE$2:$AE$2001=$C$71)*(元データ!$AO$2:$AO$2001=1)*(元データ!$AM$2:$AM$2001&gt;=15)*(元データ!$AM$2:$AM$2001&lt;=21)*(元データ!$E$2:$E$2001="32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71" s="188">
        <f>SUMPRODUCT((元データ!$AL$2:$AL$2001=1)*(元データ!$AN$2:$AN$2001=1)*(元データ!$AE$2:$AE$2001=$C$71)*(元データ!$AO$2:$AO$2001=1)*(元データ!$AM$2:$AM$2001&gt;=15)*(元データ!$AM$2:$AM$2001&lt;=21)*(元データ!$E$2:$E$2001="40 差戻し"))</f>
        <v/>
      </c>
      <c r="AL71" s="189">
        <f>IFERROR(_xlfn.TEXTJOIN(CHAR(10),TRUE,IF((元データ!$AL$2:$AL$2001=1)*(元データ!$AN$2:$AN$2001=1)*(元データ!$AE$2:$AE$2001=$C$71)*(元データ!$AO$2:$AO$2001=1)*(元データ!$AM$2:$AM$2001&gt;=15)*(元データ!$AM$2:$AM$2001&lt;=21)*(元データ!$E$2:$E$2001="40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71" s="190">
        <f>SUMPRODUCT((元データ!$AL$2:$AL$2001=1)*(元データ!$AN$2:$AN$2001=1)*(元データ!$AE$2:$AE$2001=$C$71)*(元データ!$AO$2:$AO$2001=1)*(元データ!$AM$2:$AM$2001&gt;=22)*(元データ!$AM$2:$AM$2001&lt;=30))</f>
        <v/>
      </c>
      <c r="AN71" s="191">
        <f>SUMPRODUCT((元データ!$AL$2:$AL$2001=1)*(元データ!$AN$2:$AN$2001=1)*(元データ!$AE$2:$AE$2001=$C$71)*(元データ!$AO$2:$AO$2001=1)*(元データ!$AM$2:$AM$2001&gt;=22)*(元データ!$AM$2:$AM$2001&lt;=30)*(元データ!$E$2:$E$2001="20 確認待ち"))</f>
        <v/>
      </c>
      <c r="AO71" s="192">
        <f>IFERROR(_xlfn.TEXTJOIN(CHAR(10),TRUE,IF((元データ!$AL$2:$AL$2001=1)*(元データ!$AN$2:$AN$2001=1)*(元データ!$AE$2:$AE$2001=$C$71)*(元データ!$AO$2:$AO$2001=1)*(元データ!$AM$2:$AM$2001&gt;=22)*(元データ!$AM$2:$AM$2001&lt;=30)*(元データ!$E$2:$E$2001="20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71" s="191">
        <f>SUMPRODUCT((元データ!$AL$2:$AL$2001=1)*(元データ!$AN$2:$AN$2001=1)*(元データ!$AE$2:$AE$2001=$C$71)*(元データ!$AO$2:$AO$2001=1)*(元データ!$AM$2:$AM$2001&gt;=22)*(元データ!$AM$2:$AM$2001&lt;=30)*(元データ!$E$2:$E$2001="30 申請受付"))</f>
        <v/>
      </c>
      <c r="AQ71" s="192">
        <f>IFERROR(_xlfn.TEXTJOIN(CHAR(10),TRUE,IF((元データ!$AL$2:$AL$2001=1)*(元データ!$AN$2:$AN$2001=1)*(元データ!$AE$2:$AE$2001=$C$71)*(元データ!$AO$2:$AO$2001=1)*(元データ!$AM$2:$AM$2001&gt;=22)*(元データ!$AM$2:$AM$2001&lt;=30)*(元データ!$E$2:$E$2001="30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71" s="191">
        <f>SUMPRODUCT((元データ!$AL$2:$AL$2001=1)*(元データ!$AN$2:$AN$2001=1)*(元データ!$AE$2:$AE$2001=$C$71)*(元データ!$AO$2:$AO$2001=1)*(元データ!$AM$2:$AM$2001&gt;=22)*(元データ!$AM$2:$AM$2001&lt;=30)*(元データ!$E$2:$E$2001="31 ＯＰ確認中"))</f>
        <v/>
      </c>
      <c r="AS71" s="192">
        <f>IFERROR(_xlfn.TEXTJOIN(CHAR(10),TRUE,IF((元データ!$AL$2:$AL$2001=1)*(元データ!$AN$2:$AN$2001=1)*(元データ!$AE$2:$AE$2001=$C$71)*(元データ!$AO$2:$AO$2001=1)*(元データ!$AM$2:$AM$2001&gt;=22)*(元データ!$AM$2:$AM$2001&lt;=30)*(元データ!$E$2:$E$2001="31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71" s="191">
        <f>SUMPRODUCT((元データ!$AL$2:$AL$2001=1)*(元データ!$AN$2:$AN$2001=1)*(元データ!$AE$2:$AE$2001=$C$71)*(元データ!$AO$2:$AO$2001=1)*(元データ!$AM$2:$AM$2001&gt;=22)*(元データ!$AM$2:$AM$2001&lt;=30)*(元データ!$E$2:$E$2001="32 ＳＶ確認中"))</f>
        <v/>
      </c>
      <c r="AU71" s="192">
        <f>IFERROR(_xlfn.TEXTJOIN(CHAR(10),TRUE,IF((元データ!$AL$2:$AL$2001=1)*(元データ!$AN$2:$AN$2001=1)*(元データ!$AE$2:$AE$2001=$C$71)*(元データ!$AO$2:$AO$2001=1)*(元データ!$AM$2:$AM$2001&gt;=22)*(元データ!$AM$2:$AM$2001&lt;=30)*(元データ!$E$2:$E$2001="32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71" s="191">
        <f>SUMPRODUCT((元データ!$AL$2:$AL$2001=1)*(元データ!$AN$2:$AN$2001=1)*(元データ!$AE$2:$AE$2001=$C$71)*(元データ!$AO$2:$AO$2001=1)*(元データ!$AM$2:$AM$2001&gt;=22)*(元データ!$AM$2:$AM$2001&lt;=30)*(元データ!$E$2:$E$2001="40 差戻し"))</f>
        <v/>
      </c>
      <c r="AW71" s="192">
        <f>IFERROR(_xlfn.TEXTJOIN(CHAR(10),TRUE,IF((元データ!$AL$2:$AL$2001=1)*(元データ!$AN$2:$AN$2001=1)*(元データ!$AE$2:$AE$2001=$C$71)*(元データ!$AO$2:$AO$2001=1)*(元データ!$AM$2:$AM$2001&gt;=22)*(元データ!$AM$2:$AM$2001&lt;=30)*(元データ!$E$2:$E$2001="40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71" s="193">
        <f>SUMPRODUCT((元データ!$AL$2:$AL$2001=1)*(元データ!$AN$2:$AN$2001=1)*(元データ!$AE$2:$AE$2001=$C$71)*(元データ!$AO$2:$AO$2001=1)*(元データ!$AM$2:$AM$2001&gt;=31))</f>
        <v/>
      </c>
      <c r="AY71" s="194">
        <f>SUMPRODUCT((元データ!$AL$2:$AL$2001=1)*(元データ!$AN$2:$AN$2001=1)*(元データ!$AE$2:$AE$2001=$C$71)*(元データ!$AO$2:$AO$2001=1)*(元データ!$AM$2:$AM$2001&gt;=31)*(元データ!$E$2:$E$2001="20 確認待ち"))</f>
        <v/>
      </c>
      <c r="AZ71" s="195">
        <f>IFERROR(_xlfn.TEXTJOIN(CHAR(10),TRUE,IF((元データ!$AL$2:$AL$2001=1)*(元データ!$AN$2:$AN$2001=1)*(元データ!$AE$2:$AE$2001=$C$71)*(元データ!$AO$2:$AO$2001=1)*(元データ!$AM$2:$AM$2001&gt;=31)*(元データ!$E$2:$E$2001="20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71" s="194">
        <f>SUMPRODUCT((元データ!$AL$2:$AL$2001=1)*(元データ!$AN$2:$AN$2001=1)*(元データ!$AE$2:$AE$2001=$C$71)*(元データ!$AO$2:$AO$2001=1)*(元データ!$AM$2:$AM$2001&gt;=31)*(元データ!$E$2:$E$2001="30 申請受付"))</f>
        <v/>
      </c>
      <c r="BB71" s="195">
        <f>IFERROR(_xlfn.TEXTJOIN(CHAR(10),TRUE,IF((元データ!$AL$2:$AL$2001=1)*(元データ!$AN$2:$AN$2001=1)*(元データ!$AE$2:$AE$2001=$C$71)*(元データ!$AO$2:$AO$2001=1)*(元データ!$AM$2:$AM$2001&gt;=31)*(元データ!$E$2:$E$2001="30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71" s="194">
        <f>SUMPRODUCT((元データ!$AL$2:$AL$2001=1)*(元データ!$AN$2:$AN$2001=1)*(元データ!$AE$2:$AE$2001=$C$71)*(元データ!$AO$2:$AO$2001=1)*(元データ!$AM$2:$AM$2001&gt;=31)*(元データ!$E$2:$E$2001="31 ＯＰ確認中"))</f>
        <v/>
      </c>
      <c r="BD71" s="195">
        <f>IFERROR(_xlfn.TEXTJOIN(CHAR(10),TRUE,IF((元データ!$AL$2:$AL$2001=1)*(元データ!$AN$2:$AN$2001=1)*(元データ!$AE$2:$AE$2001=$C$71)*(元データ!$AO$2:$AO$2001=1)*(元データ!$AM$2:$AM$2001&gt;=31)*(元データ!$E$2:$E$2001="31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71" s="194">
        <f>SUMPRODUCT((元データ!$AL$2:$AL$2001=1)*(元データ!$AN$2:$AN$2001=1)*(元データ!$AE$2:$AE$2001=$C$71)*(元データ!$AO$2:$AO$2001=1)*(元データ!$AM$2:$AM$2001&gt;=31)*(元データ!$E$2:$E$2001="32 ＳＶ確認中"))</f>
        <v/>
      </c>
      <c r="BF71" s="195">
        <f>IFERROR(_xlfn.TEXTJOIN(CHAR(10),TRUE,IF((元データ!$AL$2:$AL$2001=1)*(元データ!$AN$2:$AN$2001=1)*(元データ!$AE$2:$AE$2001=$C$71)*(元データ!$AO$2:$AO$2001=1)*(元データ!$AM$2:$AM$2001&gt;=31)*(元データ!$E$2:$E$2001="32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71" s="194">
        <f>SUMPRODUCT((元データ!$AL$2:$AL$2001=1)*(元データ!$AN$2:$AN$2001=1)*(元データ!$AE$2:$AE$2001=$C$71)*(元データ!$AO$2:$AO$2001=1)*(元データ!$AM$2:$AM$2001&gt;=31)*(元データ!$E$2:$E$2001="40 差戻し"))</f>
        <v/>
      </c>
      <c r="BH71" s="195">
        <f>IFERROR(_xlfn.TEXTJOIN(CHAR(10),TRUE,IF((元データ!$AL$2:$AL$2001=1)*(元データ!$AN$2:$AN$2001=1)*(元データ!$AE$2:$AE$2001=$C$71)*(元データ!$AO$2:$AO$2001=1)*(元データ!$AM$2:$AM$2001&gt;=31)*(元データ!$E$2:$E$2001="40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72" ht="19.5" customHeight="1" s="87">
      <c r="B72" s="155" t="n"/>
      <c r="C72" s="156" t="n"/>
      <c r="D72" s="157" t="inlineStr">
        <is>
          <t>なし</t>
        </is>
      </c>
      <c r="E72" s="158">
        <f>SUMPRODUCT((元データ!$AL$2:$AL$2001=1)*(元データ!$AN$2:$AN$2001=1)*(元データ!$AE$2:$AE$2001=$C$71)*(元データ!$AO$2:$AO$2001=0))</f>
        <v/>
      </c>
      <c r="F72" s="196">
        <f>SUMPRODUCT((元データ!$AL$2:$AL$2001=1)*(元データ!$AN$2:$AN$2001=1)*(元データ!$AE$2:$AE$2001=$C$71)*(元データ!$AO$2:$AO$2001=0)*(元データ!$AM$2:$AM$2001&lt;=7))</f>
        <v/>
      </c>
      <c r="G72" s="197">
        <f>SUMPRODUCT((元データ!$AL$2:$AL$2001=1)*(元データ!$AN$2:$AN$2001=1)*(元データ!$AE$2:$AE$2001=$C$71)*(元データ!$AO$2:$AO$2001=0)*(元データ!$AM$2:$AM$2001&lt;=7)*(元データ!$E$2:$E$2001="20 確認待ち"))</f>
        <v/>
      </c>
      <c r="H72" s="198">
        <f>IFERROR(_xlfn.TEXTJOIN(CHAR(10),TRUE,IF((元データ!$AL$2:$AL$2001=1)*(元データ!$AN$2:$AN$2001=1)*(元データ!$AE$2:$AE$2001=$C$71)*(元データ!$AO$2:$AO$2001=0)*(元データ!$AM$2:$AM$2001&lt;=7)*(元データ!$E$2:$E$2001="20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72" s="197">
        <f>SUMPRODUCT((元データ!$AL$2:$AL$2001=1)*(元データ!$AN$2:$AN$2001=1)*(元データ!$AE$2:$AE$2001=$C$71)*(元データ!$AO$2:$AO$2001=0)*(元データ!$AM$2:$AM$2001&lt;=7)*(元データ!$E$2:$E$2001="30 申請受付"))</f>
        <v/>
      </c>
      <c r="J72" s="198">
        <f>IFERROR(_xlfn.TEXTJOIN(CHAR(10),TRUE,IF((元データ!$AL$2:$AL$2001=1)*(元データ!$AN$2:$AN$2001=1)*(元データ!$AE$2:$AE$2001=$C$71)*(元データ!$AO$2:$AO$2001=0)*(元データ!$AM$2:$AM$2001&lt;=7)*(元データ!$E$2:$E$2001="30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72" s="197">
        <f>SUMPRODUCT((元データ!$AL$2:$AL$2001=1)*(元データ!$AN$2:$AN$2001=1)*(元データ!$AE$2:$AE$2001=$C$71)*(元データ!$AO$2:$AO$2001=0)*(元データ!$AM$2:$AM$2001&lt;=7)*(元データ!$E$2:$E$2001="31 ＯＰ確認中"))</f>
        <v/>
      </c>
      <c r="L72" s="198">
        <f>IFERROR(_xlfn.TEXTJOIN(CHAR(10),TRUE,IF((元データ!$AL$2:$AL$2001=1)*(元データ!$AN$2:$AN$2001=1)*(元データ!$AE$2:$AE$2001=$C$71)*(元データ!$AO$2:$AO$2001=0)*(元データ!$AM$2:$AM$2001&lt;=7)*(元データ!$E$2:$E$2001="31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72" s="197">
        <f>SUMPRODUCT((元データ!$AL$2:$AL$2001=1)*(元データ!$AN$2:$AN$2001=1)*(元データ!$AE$2:$AE$2001=$C$71)*(元データ!$AO$2:$AO$2001=0)*(元データ!$AM$2:$AM$2001&lt;=7)*(元データ!$E$2:$E$2001="32 ＳＶ確認中"))</f>
        <v/>
      </c>
      <c r="N72" s="198">
        <f>IFERROR(_xlfn.TEXTJOIN(CHAR(10),TRUE,IF((元データ!$AL$2:$AL$2001=1)*(元データ!$AN$2:$AN$2001=1)*(元データ!$AE$2:$AE$2001=$C$71)*(元データ!$AO$2:$AO$2001=0)*(元データ!$AM$2:$AM$2001&lt;=7)*(元データ!$E$2:$E$2001="32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72" s="197">
        <f>SUMPRODUCT((元データ!$AL$2:$AL$2001=1)*(元データ!$AN$2:$AN$2001=1)*(元データ!$AE$2:$AE$2001=$C$71)*(元データ!$AO$2:$AO$2001=0)*(元データ!$AM$2:$AM$2001&lt;=7)*(元データ!$E$2:$E$2001="40 差戻し"))</f>
        <v/>
      </c>
      <c r="P72" s="198">
        <f>IFERROR(_xlfn.TEXTJOIN(CHAR(10),TRUE,IF((元データ!$AL$2:$AL$2001=1)*(元データ!$AN$2:$AN$2001=1)*(元データ!$AE$2:$AE$2001=$C$71)*(元データ!$AO$2:$AO$2001=0)*(元データ!$AM$2:$AM$2001&lt;=7)*(元データ!$E$2:$E$2001="40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72" s="196">
        <f>SUMPRODUCT((元データ!$AL$2:$AL$2001=1)*(元データ!$AN$2:$AN$2001=1)*(元データ!$AE$2:$AE$2001=$C$71)*(元データ!$AO$2:$AO$2001=0)*(元データ!$AM$2:$AM$2001&gt;=8)*(元データ!$AM$2:$AM$2001&lt;=14))</f>
        <v/>
      </c>
      <c r="R72" s="197">
        <f>SUMPRODUCT((元データ!$AL$2:$AL$2001=1)*(元データ!$AN$2:$AN$2001=1)*(元データ!$AE$2:$AE$2001=$C$71)*(元データ!$AO$2:$AO$2001=0)*(元データ!$AM$2:$AM$2001&gt;=8)*(元データ!$AM$2:$AM$2001&lt;=14)*(元データ!$E$2:$E$2001="20 確認待ち"))</f>
        <v/>
      </c>
      <c r="S72" s="198">
        <f>IFERROR(_xlfn.TEXTJOIN(CHAR(10),TRUE,IF((元データ!$AL$2:$AL$2001=1)*(元データ!$AN$2:$AN$2001=1)*(元データ!$AE$2:$AE$2001=$C$71)*(元データ!$AO$2:$AO$2001=0)*(元データ!$AM$2:$AM$2001&gt;=8)*(元データ!$AM$2:$AM$2001&lt;=14)*(元データ!$E$2:$E$2001="20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72" s="197">
        <f>SUMPRODUCT((元データ!$AL$2:$AL$2001=1)*(元データ!$AN$2:$AN$2001=1)*(元データ!$AE$2:$AE$2001=$C$71)*(元データ!$AO$2:$AO$2001=0)*(元データ!$AM$2:$AM$2001&gt;=8)*(元データ!$AM$2:$AM$2001&lt;=14)*(元データ!$E$2:$E$2001="30 申請受付"))</f>
        <v/>
      </c>
      <c r="U72" s="198">
        <f>IFERROR(_xlfn.TEXTJOIN(CHAR(10),TRUE,IF((元データ!$AL$2:$AL$2001=1)*(元データ!$AN$2:$AN$2001=1)*(元データ!$AE$2:$AE$2001=$C$71)*(元データ!$AO$2:$AO$2001=0)*(元データ!$AM$2:$AM$2001&gt;=8)*(元データ!$AM$2:$AM$2001&lt;=14)*(元データ!$E$2:$E$2001="30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72" s="197">
        <f>SUMPRODUCT((元データ!$AL$2:$AL$2001=1)*(元データ!$AN$2:$AN$2001=1)*(元データ!$AE$2:$AE$2001=$C$71)*(元データ!$AO$2:$AO$2001=0)*(元データ!$AM$2:$AM$2001&gt;=8)*(元データ!$AM$2:$AM$2001&lt;=14)*(元データ!$E$2:$E$2001="31 ＯＰ確認中"))</f>
        <v/>
      </c>
      <c r="W72" s="198">
        <f>IFERROR(_xlfn.TEXTJOIN(CHAR(10),TRUE,IF((元データ!$AL$2:$AL$2001=1)*(元データ!$AN$2:$AN$2001=1)*(元データ!$AE$2:$AE$2001=$C$71)*(元データ!$AO$2:$AO$2001=0)*(元データ!$AM$2:$AM$2001&gt;=8)*(元データ!$AM$2:$AM$2001&lt;=14)*(元データ!$E$2:$E$2001="31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72" s="197">
        <f>SUMPRODUCT((元データ!$AL$2:$AL$2001=1)*(元データ!$AN$2:$AN$2001=1)*(元データ!$AE$2:$AE$2001=$C$71)*(元データ!$AO$2:$AO$2001=0)*(元データ!$AM$2:$AM$2001&gt;=8)*(元データ!$AM$2:$AM$2001&lt;=14)*(元データ!$E$2:$E$2001="32 ＳＶ確認中"))</f>
        <v/>
      </c>
      <c r="Y72" s="198">
        <f>IFERROR(_xlfn.TEXTJOIN(CHAR(10),TRUE,IF((元データ!$AL$2:$AL$2001=1)*(元データ!$AN$2:$AN$2001=1)*(元データ!$AE$2:$AE$2001=$C$71)*(元データ!$AO$2:$AO$2001=0)*(元データ!$AM$2:$AM$2001&gt;=8)*(元データ!$AM$2:$AM$2001&lt;=14)*(元データ!$E$2:$E$2001="32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72" s="197">
        <f>SUMPRODUCT((元データ!$AL$2:$AL$2001=1)*(元データ!$AN$2:$AN$2001=1)*(元データ!$AE$2:$AE$2001=$C$71)*(元データ!$AO$2:$AO$2001=0)*(元データ!$AM$2:$AM$2001&gt;=8)*(元データ!$AM$2:$AM$2001&lt;=14)*(元データ!$E$2:$E$2001="40 差戻し"))</f>
        <v/>
      </c>
      <c r="AA72" s="198">
        <f>IFERROR(_xlfn.TEXTJOIN(CHAR(10),TRUE,IF((元データ!$AL$2:$AL$2001=1)*(元データ!$AN$2:$AN$2001=1)*(元データ!$AE$2:$AE$2001=$C$71)*(元データ!$AO$2:$AO$2001=0)*(元データ!$AM$2:$AM$2001&gt;=8)*(元データ!$AM$2:$AM$2001&lt;=14)*(元データ!$E$2:$E$2001="40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72" s="187">
        <f>SUMPRODUCT((元データ!$AL$2:$AL$2001=1)*(元データ!$AN$2:$AN$2001=1)*(元データ!$AE$2:$AE$2001=$C$71)*(元データ!$AO$2:$AO$2001=0)*(元データ!$AM$2:$AM$2001&gt;=15)*(元データ!$AM$2:$AM$2001&lt;=21))</f>
        <v/>
      </c>
      <c r="AC72" s="188">
        <f>SUMPRODUCT((元データ!$AL$2:$AL$2001=1)*(元データ!$AN$2:$AN$2001=1)*(元データ!$AE$2:$AE$2001=$C$71)*(元データ!$AO$2:$AO$2001=0)*(元データ!$AM$2:$AM$2001&gt;=15)*(元データ!$AM$2:$AM$2001&lt;=21)*(元データ!$E$2:$E$2001="20 確認待ち"))</f>
        <v/>
      </c>
      <c r="AD72" s="189">
        <f>IFERROR(_xlfn.TEXTJOIN(CHAR(10),TRUE,IF((元データ!$AL$2:$AL$2001=1)*(元データ!$AN$2:$AN$2001=1)*(元データ!$AE$2:$AE$2001=$C$71)*(元データ!$AO$2:$AO$2001=0)*(元データ!$AM$2:$AM$2001&gt;=15)*(元データ!$AM$2:$AM$2001&lt;=21)*(元データ!$E$2:$E$2001="20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72" s="188">
        <f>SUMPRODUCT((元データ!$AL$2:$AL$2001=1)*(元データ!$AN$2:$AN$2001=1)*(元データ!$AE$2:$AE$2001=$C$71)*(元データ!$AO$2:$AO$2001=0)*(元データ!$AM$2:$AM$2001&gt;=15)*(元データ!$AM$2:$AM$2001&lt;=21)*(元データ!$E$2:$E$2001="30 申請受付"))</f>
        <v/>
      </c>
      <c r="AF72" s="189">
        <f>IFERROR(_xlfn.TEXTJOIN(CHAR(10),TRUE,IF((元データ!$AL$2:$AL$2001=1)*(元データ!$AN$2:$AN$2001=1)*(元データ!$AE$2:$AE$2001=$C$71)*(元データ!$AO$2:$AO$2001=0)*(元データ!$AM$2:$AM$2001&gt;=15)*(元データ!$AM$2:$AM$2001&lt;=21)*(元データ!$E$2:$E$2001="30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72" s="188">
        <f>SUMPRODUCT((元データ!$AL$2:$AL$2001=1)*(元データ!$AN$2:$AN$2001=1)*(元データ!$AE$2:$AE$2001=$C$71)*(元データ!$AO$2:$AO$2001=0)*(元データ!$AM$2:$AM$2001&gt;=15)*(元データ!$AM$2:$AM$2001&lt;=21)*(元データ!$E$2:$E$2001="31 ＯＰ確認中"))</f>
        <v/>
      </c>
      <c r="AH72" s="189">
        <f>IFERROR(_xlfn.TEXTJOIN(CHAR(10),TRUE,IF((元データ!$AL$2:$AL$2001=1)*(元データ!$AN$2:$AN$2001=1)*(元データ!$AE$2:$AE$2001=$C$71)*(元データ!$AO$2:$AO$2001=0)*(元データ!$AM$2:$AM$2001&gt;=15)*(元データ!$AM$2:$AM$2001&lt;=21)*(元データ!$E$2:$E$2001="31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72" s="188">
        <f>SUMPRODUCT((元データ!$AL$2:$AL$2001=1)*(元データ!$AN$2:$AN$2001=1)*(元データ!$AE$2:$AE$2001=$C$71)*(元データ!$AO$2:$AO$2001=0)*(元データ!$AM$2:$AM$2001&gt;=15)*(元データ!$AM$2:$AM$2001&lt;=21)*(元データ!$E$2:$E$2001="32 ＳＶ確認中"))</f>
        <v/>
      </c>
      <c r="AJ72" s="189">
        <f>IFERROR(_xlfn.TEXTJOIN(CHAR(10),TRUE,IF((元データ!$AL$2:$AL$2001=1)*(元データ!$AN$2:$AN$2001=1)*(元データ!$AE$2:$AE$2001=$C$71)*(元データ!$AO$2:$AO$2001=0)*(元データ!$AM$2:$AM$2001&gt;=15)*(元データ!$AM$2:$AM$2001&lt;=21)*(元データ!$E$2:$E$2001="32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72" s="188">
        <f>SUMPRODUCT((元データ!$AL$2:$AL$2001=1)*(元データ!$AN$2:$AN$2001=1)*(元データ!$AE$2:$AE$2001=$C$71)*(元データ!$AO$2:$AO$2001=0)*(元データ!$AM$2:$AM$2001&gt;=15)*(元データ!$AM$2:$AM$2001&lt;=21)*(元データ!$E$2:$E$2001="40 差戻し"))</f>
        <v/>
      </c>
      <c r="AL72" s="189">
        <f>IFERROR(_xlfn.TEXTJOIN(CHAR(10),TRUE,IF((元データ!$AL$2:$AL$2001=1)*(元データ!$AN$2:$AN$2001=1)*(元データ!$AE$2:$AE$2001=$C$71)*(元データ!$AO$2:$AO$2001=0)*(元データ!$AM$2:$AM$2001&gt;=15)*(元データ!$AM$2:$AM$2001&lt;=21)*(元データ!$E$2:$E$2001="40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72" s="190">
        <f>SUMPRODUCT((元データ!$AL$2:$AL$2001=1)*(元データ!$AN$2:$AN$2001=1)*(元データ!$AE$2:$AE$2001=$C$71)*(元データ!$AO$2:$AO$2001=0)*(元データ!$AM$2:$AM$2001&gt;=22)*(元データ!$AM$2:$AM$2001&lt;=30))</f>
        <v/>
      </c>
      <c r="AN72" s="191">
        <f>SUMPRODUCT((元データ!$AL$2:$AL$2001=1)*(元データ!$AN$2:$AN$2001=1)*(元データ!$AE$2:$AE$2001=$C$71)*(元データ!$AO$2:$AO$2001=0)*(元データ!$AM$2:$AM$2001&gt;=22)*(元データ!$AM$2:$AM$2001&lt;=30)*(元データ!$E$2:$E$2001="20 確認待ち"))</f>
        <v/>
      </c>
      <c r="AO72" s="192">
        <f>IFERROR(_xlfn.TEXTJOIN(CHAR(10),TRUE,IF((元データ!$AL$2:$AL$2001=1)*(元データ!$AN$2:$AN$2001=1)*(元データ!$AE$2:$AE$2001=$C$71)*(元データ!$AO$2:$AO$2001=0)*(元データ!$AM$2:$AM$2001&gt;=22)*(元データ!$AM$2:$AM$2001&lt;=30)*(元データ!$E$2:$E$2001="20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72" s="191">
        <f>SUMPRODUCT((元データ!$AL$2:$AL$2001=1)*(元データ!$AN$2:$AN$2001=1)*(元データ!$AE$2:$AE$2001=$C$71)*(元データ!$AO$2:$AO$2001=0)*(元データ!$AM$2:$AM$2001&gt;=22)*(元データ!$AM$2:$AM$2001&lt;=30)*(元データ!$E$2:$E$2001="30 申請受付"))</f>
        <v/>
      </c>
      <c r="AQ72" s="192">
        <f>IFERROR(_xlfn.TEXTJOIN(CHAR(10),TRUE,IF((元データ!$AL$2:$AL$2001=1)*(元データ!$AN$2:$AN$2001=1)*(元データ!$AE$2:$AE$2001=$C$71)*(元データ!$AO$2:$AO$2001=0)*(元データ!$AM$2:$AM$2001&gt;=22)*(元データ!$AM$2:$AM$2001&lt;=30)*(元データ!$E$2:$E$2001="30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72" s="191">
        <f>SUMPRODUCT((元データ!$AL$2:$AL$2001=1)*(元データ!$AN$2:$AN$2001=1)*(元データ!$AE$2:$AE$2001=$C$71)*(元データ!$AO$2:$AO$2001=0)*(元データ!$AM$2:$AM$2001&gt;=22)*(元データ!$AM$2:$AM$2001&lt;=30)*(元データ!$E$2:$E$2001="31 ＯＰ確認中"))</f>
        <v/>
      </c>
      <c r="AS72" s="192">
        <f>IFERROR(_xlfn.TEXTJOIN(CHAR(10),TRUE,IF((元データ!$AL$2:$AL$2001=1)*(元データ!$AN$2:$AN$2001=1)*(元データ!$AE$2:$AE$2001=$C$71)*(元データ!$AO$2:$AO$2001=0)*(元データ!$AM$2:$AM$2001&gt;=22)*(元データ!$AM$2:$AM$2001&lt;=30)*(元データ!$E$2:$E$2001="31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72" s="191">
        <f>SUMPRODUCT((元データ!$AL$2:$AL$2001=1)*(元データ!$AN$2:$AN$2001=1)*(元データ!$AE$2:$AE$2001=$C$71)*(元データ!$AO$2:$AO$2001=0)*(元データ!$AM$2:$AM$2001&gt;=22)*(元データ!$AM$2:$AM$2001&lt;=30)*(元データ!$E$2:$E$2001="32 ＳＶ確認中"))</f>
        <v/>
      </c>
      <c r="AU72" s="192">
        <f>IFERROR(_xlfn.TEXTJOIN(CHAR(10),TRUE,IF((元データ!$AL$2:$AL$2001=1)*(元データ!$AN$2:$AN$2001=1)*(元データ!$AE$2:$AE$2001=$C$71)*(元データ!$AO$2:$AO$2001=0)*(元データ!$AM$2:$AM$2001&gt;=22)*(元データ!$AM$2:$AM$2001&lt;=30)*(元データ!$E$2:$E$2001="32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72" s="191">
        <f>SUMPRODUCT((元データ!$AL$2:$AL$2001=1)*(元データ!$AN$2:$AN$2001=1)*(元データ!$AE$2:$AE$2001=$C$71)*(元データ!$AO$2:$AO$2001=0)*(元データ!$AM$2:$AM$2001&gt;=22)*(元データ!$AM$2:$AM$2001&lt;=30)*(元データ!$E$2:$E$2001="40 差戻し"))</f>
        <v/>
      </c>
      <c r="AW72" s="192">
        <f>IFERROR(_xlfn.TEXTJOIN(CHAR(10),TRUE,IF((元データ!$AL$2:$AL$2001=1)*(元データ!$AN$2:$AN$2001=1)*(元データ!$AE$2:$AE$2001=$C$71)*(元データ!$AO$2:$AO$2001=0)*(元データ!$AM$2:$AM$2001&gt;=22)*(元データ!$AM$2:$AM$2001&lt;=30)*(元データ!$E$2:$E$2001="40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72" s="193">
        <f>SUMPRODUCT((元データ!$AL$2:$AL$2001=1)*(元データ!$AN$2:$AN$2001=1)*(元データ!$AE$2:$AE$2001=$C$71)*(元データ!$AO$2:$AO$2001=0)*(元データ!$AM$2:$AM$2001&gt;=31))</f>
        <v/>
      </c>
      <c r="AY72" s="194">
        <f>SUMPRODUCT((元データ!$AL$2:$AL$2001=1)*(元データ!$AN$2:$AN$2001=1)*(元データ!$AE$2:$AE$2001=$C$71)*(元データ!$AO$2:$AO$2001=0)*(元データ!$AM$2:$AM$2001&gt;=31)*(元データ!$E$2:$E$2001="20 確認待ち"))</f>
        <v/>
      </c>
      <c r="AZ72" s="195">
        <f>IFERROR(_xlfn.TEXTJOIN(CHAR(10),TRUE,IF((元データ!$AL$2:$AL$2001=1)*(元データ!$AN$2:$AN$2001=1)*(元データ!$AE$2:$AE$2001=$C$71)*(元データ!$AO$2:$AO$2001=0)*(元データ!$AM$2:$AM$2001&gt;=31)*(元データ!$E$2:$E$2001="20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72" s="194">
        <f>SUMPRODUCT((元データ!$AL$2:$AL$2001=1)*(元データ!$AN$2:$AN$2001=1)*(元データ!$AE$2:$AE$2001=$C$71)*(元データ!$AO$2:$AO$2001=0)*(元データ!$AM$2:$AM$2001&gt;=31)*(元データ!$E$2:$E$2001="30 申請受付"))</f>
        <v/>
      </c>
      <c r="BB72" s="195">
        <f>IFERROR(_xlfn.TEXTJOIN(CHAR(10),TRUE,IF((元データ!$AL$2:$AL$2001=1)*(元データ!$AN$2:$AN$2001=1)*(元データ!$AE$2:$AE$2001=$C$71)*(元データ!$AO$2:$AO$2001=0)*(元データ!$AM$2:$AM$2001&gt;=31)*(元データ!$E$2:$E$2001="30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72" s="194">
        <f>SUMPRODUCT((元データ!$AL$2:$AL$2001=1)*(元データ!$AN$2:$AN$2001=1)*(元データ!$AE$2:$AE$2001=$C$71)*(元データ!$AO$2:$AO$2001=0)*(元データ!$AM$2:$AM$2001&gt;=31)*(元データ!$E$2:$E$2001="31 ＯＰ確認中"))</f>
        <v/>
      </c>
      <c r="BD72" s="195">
        <f>IFERROR(_xlfn.TEXTJOIN(CHAR(10),TRUE,IF((元データ!$AL$2:$AL$2001=1)*(元データ!$AN$2:$AN$2001=1)*(元データ!$AE$2:$AE$2001=$C$71)*(元データ!$AO$2:$AO$2001=0)*(元データ!$AM$2:$AM$2001&gt;=31)*(元データ!$E$2:$E$2001="31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72" s="194">
        <f>SUMPRODUCT((元データ!$AL$2:$AL$2001=1)*(元データ!$AN$2:$AN$2001=1)*(元データ!$AE$2:$AE$2001=$C$71)*(元データ!$AO$2:$AO$2001=0)*(元データ!$AM$2:$AM$2001&gt;=31)*(元データ!$E$2:$E$2001="32 ＳＶ確認中"))</f>
        <v/>
      </c>
      <c r="BF72" s="195">
        <f>IFERROR(_xlfn.TEXTJOIN(CHAR(10),TRUE,IF((元データ!$AL$2:$AL$2001=1)*(元データ!$AN$2:$AN$2001=1)*(元データ!$AE$2:$AE$2001=$C$71)*(元データ!$AO$2:$AO$2001=0)*(元データ!$AM$2:$AM$2001&gt;=31)*(元データ!$E$2:$E$2001="32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72" s="194">
        <f>SUMPRODUCT((元データ!$AL$2:$AL$2001=1)*(元データ!$AN$2:$AN$2001=1)*(元データ!$AE$2:$AE$2001=$C$71)*(元データ!$AO$2:$AO$2001=0)*(元データ!$AM$2:$AM$2001&gt;=31)*(元データ!$E$2:$E$2001="40 差戻し"))</f>
        <v/>
      </c>
      <c r="BH72" s="195">
        <f>IFERROR(_xlfn.TEXTJOIN(CHAR(10),TRUE,IF((元データ!$AL$2:$AL$2001=1)*(元データ!$AN$2:$AN$2001=1)*(元データ!$AE$2:$AE$2001=$C$71)*(元データ!$AO$2:$AO$2001=0)*(元データ!$AM$2:$AM$2001&gt;=31)*(元データ!$E$2:$E$2001="40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73" ht="19.5" customHeight="1" s="87">
      <c r="B73" s="139" t="n"/>
      <c r="C73" s="140" t="inlineStr">
        <is>
          <t>50 扶養者の変更</t>
        </is>
      </c>
      <c r="D73" s="141" t="inlineStr">
        <is>
          <t>あり</t>
        </is>
      </c>
      <c r="E73" s="142">
        <f>SUMPRODUCT((元データ!$AL$2:$AL$2001=1)*(元データ!$AN$2:$AN$2001=1)*(元データ!$AE$2:$AE$2001=$C$73)*(元データ!$AO$2:$AO$2001=1))</f>
        <v/>
      </c>
      <c r="F73" s="184">
        <f>SUMPRODUCT((元データ!$AL$2:$AL$2001=1)*(元データ!$AN$2:$AN$2001=1)*(元データ!$AE$2:$AE$2001=$C$73)*(元データ!$AO$2:$AO$2001=1)*(元データ!$AM$2:$AM$2001&lt;=7))</f>
        <v/>
      </c>
      <c r="G73" s="185">
        <f>SUMPRODUCT((元データ!$AL$2:$AL$2001=1)*(元データ!$AN$2:$AN$2001=1)*(元データ!$AE$2:$AE$2001=$C$73)*(元データ!$AO$2:$AO$2001=1)*(元データ!$AM$2:$AM$2001&lt;=7)*(元データ!$E$2:$E$2001="20 確認待ち"))</f>
        <v/>
      </c>
      <c r="H73" s="186">
        <f>IFERROR(_xlfn.TEXTJOIN(CHAR(10),TRUE,IF((元データ!$AL$2:$AL$2001=1)*(元データ!$AN$2:$AN$2001=1)*(元データ!$AE$2:$AE$2001=$C$73)*(元データ!$AO$2:$AO$2001=1)*(元データ!$AM$2:$AM$2001&lt;=7)*(元データ!$E$2:$E$2001="20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73" s="185">
        <f>SUMPRODUCT((元データ!$AL$2:$AL$2001=1)*(元データ!$AN$2:$AN$2001=1)*(元データ!$AE$2:$AE$2001=$C$73)*(元データ!$AO$2:$AO$2001=1)*(元データ!$AM$2:$AM$2001&lt;=7)*(元データ!$E$2:$E$2001="30 申請受付"))</f>
        <v/>
      </c>
      <c r="J73" s="186">
        <f>IFERROR(_xlfn.TEXTJOIN(CHAR(10),TRUE,IF((元データ!$AL$2:$AL$2001=1)*(元データ!$AN$2:$AN$2001=1)*(元データ!$AE$2:$AE$2001=$C$73)*(元データ!$AO$2:$AO$2001=1)*(元データ!$AM$2:$AM$2001&lt;=7)*(元データ!$E$2:$E$2001="30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73" s="185">
        <f>SUMPRODUCT((元データ!$AL$2:$AL$2001=1)*(元データ!$AN$2:$AN$2001=1)*(元データ!$AE$2:$AE$2001=$C$73)*(元データ!$AO$2:$AO$2001=1)*(元データ!$AM$2:$AM$2001&lt;=7)*(元データ!$E$2:$E$2001="31 ＯＰ確認中"))</f>
        <v/>
      </c>
      <c r="L73" s="186">
        <f>IFERROR(_xlfn.TEXTJOIN(CHAR(10),TRUE,IF((元データ!$AL$2:$AL$2001=1)*(元データ!$AN$2:$AN$2001=1)*(元データ!$AE$2:$AE$2001=$C$73)*(元データ!$AO$2:$AO$2001=1)*(元データ!$AM$2:$AM$2001&lt;=7)*(元データ!$E$2:$E$2001="31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73" s="185">
        <f>SUMPRODUCT((元データ!$AL$2:$AL$2001=1)*(元データ!$AN$2:$AN$2001=1)*(元データ!$AE$2:$AE$2001=$C$73)*(元データ!$AO$2:$AO$2001=1)*(元データ!$AM$2:$AM$2001&lt;=7)*(元データ!$E$2:$E$2001="32 ＳＶ確認中"))</f>
        <v/>
      </c>
      <c r="N73" s="186">
        <f>IFERROR(_xlfn.TEXTJOIN(CHAR(10),TRUE,IF((元データ!$AL$2:$AL$2001=1)*(元データ!$AN$2:$AN$2001=1)*(元データ!$AE$2:$AE$2001=$C$73)*(元データ!$AO$2:$AO$2001=1)*(元データ!$AM$2:$AM$2001&lt;=7)*(元データ!$E$2:$E$2001="32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73" s="185">
        <f>SUMPRODUCT((元データ!$AL$2:$AL$2001=1)*(元データ!$AN$2:$AN$2001=1)*(元データ!$AE$2:$AE$2001=$C$73)*(元データ!$AO$2:$AO$2001=1)*(元データ!$AM$2:$AM$2001&lt;=7)*(元データ!$E$2:$E$2001="40 差戻し"))</f>
        <v/>
      </c>
      <c r="P73" s="186">
        <f>IFERROR(_xlfn.TEXTJOIN(CHAR(10),TRUE,IF((元データ!$AL$2:$AL$2001=1)*(元データ!$AN$2:$AN$2001=1)*(元データ!$AE$2:$AE$2001=$C$73)*(元データ!$AO$2:$AO$2001=1)*(元データ!$AM$2:$AM$2001&lt;=7)*(元データ!$E$2:$E$2001="40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73" s="184">
        <f>SUMPRODUCT((元データ!$AL$2:$AL$2001=1)*(元データ!$AN$2:$AN$2001=1)*(元データ!$AE$2:$AE$2001=$C$73)*(元データ!$AO$2:$AO$2001=1)*(元データ!$AM$2:$AM$2001&gt;=8)*(元データ!$AM$2:$AM$2001&lt;=14))</f>
        <v/>
      </c>
      <c r="R73" s="185">
        <f>SUMPRODUCT((元データ!$AL$2:$AL$2001=1)*(元データ!$AN$2:$AN$2001=1)*(元データ!$AE$2:$AE$2001=$C$73)*(元データ!$AO$2:$AO$2001=1)*(元データ!$AM$2:$AM$2001&gt;=8)*(元データ!$AM$2:$AM$2001&lt;=14)*(元データ!$E$2:$E$2001="20 確認待ち"))</f>
        <v/>
      </c>
      <c r="S73" s="186">
        <f>IFERROR(_xlfn.TEXTJOIN(CHAR(10),TRUE,IF((元データ!$AL$2:$AL$2001=1)*(元データ!$AN$2:$AN$2001=1)*(元データ!$AE$2:$AE$2001=$C$73)*(元データ!$AO$2:$AO$2001=1)*(元データ!$AM$2:$AM$2001&gt;=8)*(元データ!$AM$2:$AM$2001&lt;=14)*(元データ!$E$2:$E$2001="20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73" s="185">
        <f>SUMPRODUCT((元データ!$AL$2:$AL$2001=1)*(元データ!$AN$2:$AN$2001=1)*(元データ!$AE$2:$AE$2001=$C$73)*(元データ!$AO$2:$AO$2001=1)*(元データ!$AM$2:$AM$2001&gt;=8)*(元データ!$AM$2:$AM$2001&lt;=14)*(元データ!$E$2:$E$2001="30 申請受付"))</f>
        <v/>
      </c>
      <c r="U73" s="186">
        <f>IFERROR(_xlfn.TEXTJOIN(CHAR(10),TRUE,IF((元データ!$AL$2:$AL$2001=1)*(元データ!$AN$2:$AN$2001=1)*(元データ!$AE$2:$AE$2001=$C$73)*(元データ!$AO$2:$AO$2001=1)*(元データ!$AM$2:$AM$2001&gt;=8)*(元データ!$AM$2:$AM$2001&lt;=14)*(元データ!$E$2:$E$2001="30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73" s="185">
        <f>SUMPRODUCT((元データ!$AL$2:$AL$2001=1)*(元データ!$AN$2:$AN$2001=1)*(元データ!$AE$2:$AE$2001=$C$73)*(元データ!$AO$2:$AO$2001=1)*(元データ!$AM$2:$AM$2001&gt;=8)*(元データ!$AM$2:$AM$2001&lt;=14)*(元データ!$E$2:$E$2001="31 ＯＰ確認中"))</f>
        <v/>
      </c>
      <c r="W73" s="186">
        <f>IFERROR(_xlfn.TEXTJOIN(CHAR(10),TRUE,IF((元データ!$AL$2:$AL$2001=1)*(元データ!$AN$2:$AN$2001=1)*(元データ!$AE$2:$AE$2001=$C$73)*(元データ!$AO$2:$AO$2001=1)*(元データ!$AM$2:$AM$2001&gt;=8)*(元データ!$AM$2:$AM$2001&lt;=14)*(元データ!$E$2:$E$2001="31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73" s="185">
        <f>SUMPRODUCT((元データ!$AL$2:$AL$2001=1)*(元データ!$AN$2:$AN$2001=1)*(元データ!$AE$2:$AE$2001=$C$73)*(元データ!$AO$2:$AO$2001=1)*(元データ!$AM$2:$AM$2001&gt;=8)*(元データ!$AM$2:$AM$2001&lt;=14)*(元データ!$E$2:$E$2001="32 ＳＶ確認中"))</f>
        <v/>
      </c>
      <c r="Y73" s="186">
        <f>IFERROR(_xlfn.TEXTJOIN(CHAR(10),TRUE,IF((元データ!$AL$2:$AL$2001=1)*(元データ!$AN$2:$AN$2001=1)*(元データ!$AE$2:$AE$2001=$C$73)*(元データ!$AO$2:$AO$2001=1)*(元データ!$AM$2:$AM$2001&gt;=8)*(元データ!$AM$2:$AM$2001&lt;=14)*(元データ!$E$2:$E$2001="32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73" s="185">
        <f>SUMPRODUCT((元データ!$AL$2:$AL$2001=1)*(元データ!$AN$2:$AN$2001=1)*(元データ!$AE$2:$AE$2001=$C$73)*(元データ!$AO$2:$AO$2001=1)*(元データ!$AM$2:$AM$2001&gt;=8)*(元データ!$AM$2:$AM$2001&lt;=14)*(元データ!$E$2:$E$2001="40 差戻し"))</f>
        <v/>
      </c>
      <c r="AA73" s="186">
        <f>IFERROR(_xlfn.TEXTJOIN(CHAR(10),TRUE,IF((元データ!$AL$2:$AL$2001=1)*(元データ!$AN$2:$AN$2001=1)*(元データ!$AE$2:$AE$2001=$C$73)*(元データ!$AO$2:$AO$2001=1)*(元データ!$AM$2:$AM$2001&gt;=8)*(元データ!$AM$2:$AM$2001&lt;=14)*(元データ!$E$2:$E$2001="40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73" s="187">
        <f>SUMPRODUCT((元データ!$AL$2:$AL$2001=1)*(元データ!$AN$2:$AN$2001=1)*(元データ!$AE$2:$AE$2001=$C$73)*(元データ!$AO$2:$AO$2001=1)*(元データ!$AM$2:$AM$2001&gt;=15)*(元データ!$AM$2:$AM$2001&lt;=21))</f>
        <v/>
      </c>
      <c r="AC73" s="188">
        <f>SUMPRODUCT((元データ!$AL$2:$AL$2001=1)*(元データ!$AN$2:$AN$2001=1)*(元データ!$AE$2:$AE$2001=$C$73)*(元データ!$AO$2:$AO$2001=1)*(元データ!$AM$2:$AM$2001&gt;=15)*(元データ!$AM$2:$AM$2001&lt;=21)*(元データ!$E$2:$E$2001="20 確認待ち"))</f>
        <v/>
      </c>
      <c r="AD73" s="189">
        <f>IFERROR(_xlfn.TEXTJOIN(CHAR(10),TRUE,IF((元データ!$AL$2:$AL$2001=1)*(元データ!$AN$2:$AN$2001=1)*(元データ!$AE$2:$AE$2001=$C$73)*(元データ!$AO$2:$AO$2001=1)*(元データ!$AM$2:$AM$2001&gt;=15)*(元データ!$AM$2:$AM$2001&lt;=21)*(元データ!$E$2:$E$2001="20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73" s="188">
        <f>SUMPRODUCT((元データ!$AL$2:$AL$2001=1)*(元データ!$AN$2:$AN$2001=1)*(元データ!$AE$2:$AE$2001=$C$73)*(元データ!$AO$2:$AO$2001=1)*(元データ!$AM$2:$AM$2001&gt;=15)*(元データ!$AM$2:$AM$2001&lt;=21)*(元データ!$E$2:$E$2001="30 申請受付"))</f>
        <v/>
      </c>
      <c r="AF73" s="189">
        <f>IFERROR(_xlfn.TEXTJOIN(CHAR(10),TRUE,IF((元データ!$AL$2:$AL$2001=1)*(元データ!$AN$2:$AN$2001=1)*(元データ!$AE$2:$AE$2001=$C$73)*(元データ!$AO$2:$AO$2001=1)*(元データ!$AM$2:$AM$2001&gt;=15)*(元データ!$AM$2:$AM$2001&lt;=21)*(元データ!$E$2:$E$2001="30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73" s="188">
        <f>SUMPRODUCT((元データ!$AL$2:$AL$2001=1)*(元データ!$AN$2:$AN$2001=1)*(元データ!$AE$2:$AE$2001=$C$73)*(元データ!$AO$2:$AO$2001=1)*(元データ!$AM$2:$AM$2001&gt;=15)*(元データ!$AM$2:$AM$2001&lt;=21)*(元データ!$E$2:$E$2001="31 ＯＰ確認中"))</f>
        <v/>
      </c>
      <c r="AH73" s="189">
        <f>IFERROR(_xlfn.TEXTJOIN(CHAR(10),TRUE,IF((元データ!$AL$2:$AL$2001=1)*(元データ!$AN$2:$AN$2001=1)*(元データ!$AE$2:$AE$2001=$C$73)*(元データ!$AO$2:$AO$2001=1)*(元データ!$AM$2:$AM$2001&gt;=15)*(元データ!$AM$2:$AM$2001&lt;=21)*(元データ!$E$2:$E$2001="31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73" s="188">
        <f>SUMPRODUCT((元データ!$AL$2:$AL$2001=1)*(元データ!$AN$2:$AN$2001=1)*(元データ!$AE$2:$AE$2001=$C$73)*(元データ!$AO$2:$AO$2001=1)*(元データ!$AM$2:$AM$2001&gt;=15)*(元データ!$AM$2:$AM$2001&lt;=21)*(元データ!$E$2:$E$2001="32 ＳＶ確認中"))</f>
        <v/>
      </c>
      <c r="AJ73" s="189">
        <f>IFERROR(_xlfn.TEXTJOIN(CHAR(10),TRUE,IF((元データ!$AL$2:$AL$2001=1)*(元データ!$AN$2:$AN$2001=1)*(元データ!$AE$2:$AE$2001=$C$73)*(元データ!$AO$2:$AO$2001=1)*(元データ!$AM$2:$AM$2001&gt;=15)*(元データ!$AM$2:$AM$2001&lt;=21)*(元データ!$E$2:$E$2001="32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73" s="188">
        <f>SUMPRODUCT((元データ!$AL$2:$AL$2001=1)*(元データ!$AN$2:$AN$2001=1)*(元データ!$AE$2:$AE$2001=$C$73)*(元データ!$AO$2:$AO$2001=1)*(元データ!$AM$2:$AM$2001&gt;=15)*(元データ!$AM$2:$AM$2001&lt;=21)*(元データ!$E$2:$E$2001="40 差戻し"))</f>
        <v/>
      </c>
      <c r="AL73" s="189">
        <f>IFERROR(_xlfn.TEXTJOIN(CHAR(10),TRUE,IF((元データ!$AL$2:$AL$2001=1)*(元データ!$AN$2:$AN$2001=1)*(元データ!$AE$2:$AE$2001=$C$73)*(元データ!$AO$2:$AO$2001=1)*(元データ!$AM$2:$AM$2001&gt;=15)*(元データ!$AM$2:$AM$2001&lt;=21)*(元データ!$E$2:$E$2001="40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73" s="190">
        <f>SUMPRODUCT((元データ!$AL$2:$AL$2001=1)*(元データ!$AN$2:$AN$2001=1)*(元データ!$AE$2:$AE$2001=$C$73)*(元データ!$AO$2:$AO$2001=1)*(元データ!$AM$2:$AM$2001&gt;=22)*(元データ!$AM$2:$AM$2001&lt;=30))</f>
        <v/>
      </c>
      <c r="AN73" s="191">
        <f>SUMPRODUCT((元データ!$AL$2:$AL$2001=1)*(元データ!$AN$2:$AN$2001=1)*(元データ!$AE$2:$AE$2001=$C$73)*(元データ!$AO$2:$AO$2001=1)*(元データ!$AM$2:$AM$2001&gt;=22)*(元データ!$AM$2:$AM$2001&lt;=30)*(元データ!$E$2:$E$2001="20 確認待ち"))</f>
        <v/>
      </c>
      <c r="AO73" s="192">
        <f>IFERROR(_xlfn.TEXTJOIN(CHAR(10),TRUE,IF((元データ!$AL$2:$AL$2001=1)*(元データ!$AN$2:$AN$2001=1)*(元データ!$AE$2:$AE$2001=$C$73)*(元データ!$AO$2:$AO$2001=1)*(元データ!$AM$2:$AM$2001&gt;=22)*(元データ!$AM$2:$AM$2001&lt;=30)*(元データ!$E$2:$E$2001="20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73" s="191">
        <f>SUMPRODUCT((元データ!$AL$2:$AL$2001=1)*(元データ!$AN$2:$AN$2001=1)*(元データ!$AE$2:$AE$2001=$C$73)*(元データ!$AO$2:$AO$2001=1)*(元データ!$AM$2:$AM$2001&gt;=22)*(元データ!$AM$2:$AM$2001&lt;=30)*(元データ!$E$2:$E$2001="30 申請受付"))</f>
        <v/>
      </c>
      <c r="AQ73" s="192">
        <f>IFERROR(_xlfn.TEXTJOIN(CHAR(10),TRUE,IF((元データ!$AL$2:$AL$2001=1)*(元データ!$AN$2:$AN$2001=1)*(元データ!$AE$2:$AE$2001=$C$73)*(元データ!$AO$2:$AO$2001=1)*(元データ!$AM$2:$AM$2001&gt;=22)*(元データ!$AM$2:$AM$2001&lt;=30)*(元データ!$E$2:$E$2001="30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73" s="191">
        <f>SUMPRODUCT((元データ!$AL$2:$AL$2001=1)*(元データ!$AN$2:$AN$2001=1)*(元データ!$AE$2:$AE$2001=$C$73)*(元データ!$AO$2:$AO$2001=1)*(元データ!$AM$2:$AM$2001&gt;=22)*(元データ!$AM$2:$AM$2001&lt;=30)*(元データ!$E$2:$E$2001="31 ＯＰ確認中"))</f>
        <v/>
      </c>
      <c r="AS73" s="192">
        <f>IFERROR(_xlfn.TEXTJOIN(CHAR(10),TRUE,IF((元データ!$AL$2:$AL$2001=1)*(元データ!$AN$2:$AN$2001=1)*(元データ!$AE$2:$AE$2001=$C$73)*(元データ!$AO$2:$AO$2001=1)*(元データ!$AM$2:$AM$2001&gt;=22)*(元データ!$AM$2:$AM$2001&lt;=30)*(元データ!$E$2:$E$2001="31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73" s="191">
        <f>SUMPRODUCT((元データ!$AL$2:$AL$2001=1)*(元データ!$AN$2:$AN$2001=1)*(元データ!$AE$2:$AE$2001=$C$73)*(元データ!$AO$2:$AO$2001=1)*(元データ!$AM$2:$AM$2001&gt;=22)*(元データ!$AM$2:$AM$2001&lt;=30)*(元データ!$E$2:$E$2001="32 ＳＶ確認中"))</f>
        <v/>
      </c>
      <c r="AU73" s="192">
        <f>IFERROR(_xlfn.TEXTJOIN(CHAR(10),TRUE,IF((元データ!$AL$2:$AL$2001=1)*(元データ!$AN$2:$AN$2001=1)*(元データ!$AE$2:$AE$2001=$C$73)*(元データ!$AO$2:$AO$2001=1)*(元データ!$AM$2:$AM$2001&gt;=22)*(元データ!$AM$2:$AM$2001&lt;=30)*(元データ!$E$2:$E$2001="32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73" s="191">
        <f>SUMPRODUCT((元データ!$AL$2:$AL$2001=1)*(元データ!$AN$2:$AN$2001=1)*(元データ!$AE$2:$AE$2001=$C$73)*(元データ!$AO$2:$AO$2001=1)*(元データ!$AM$2:$AM$2001&gt;=22)*(元データ!$AM$2:$AM$2001&lt;=30)*(元データ!$E$2:$E$2001="40 差戻し"))</f>
        <v/>
      </c>
      <c r="AW73" s="192">
        <f>IFERROR(_xlfn.TEXTJOIN(CHAR(10),TRUE,IF((元データ!$AL$2:$AL$2001=1)*(元データ!$AN$2:$AN$2001=1)*(元データ!$AE$2:$AE$2001=$C$73)*(元データ!$AO$2:$AO$2001=1)*(元データ!$AM$2:$AM$2001&gt;=22)*(元データ!$AM$2:$AM$2001&lt;=30)*(元データ!$E$2:$E$2001="40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73" s="193">
        <f>SUMPRODUCT((元データ!$AL$2:$AL$2001=1)*(元データ!$AN$2:$AN$2001=1)*(元データ!$AE$2:$AE$2001=$C$73)*(元データ!$AO$2:$AO$2001=1)*(元データ!$AM$2:$AM$2001&gt;=31))</f>
        <v/>
      </c>
      <c r="AY73" s="194">
        <f>SUMPRODUCT((元データ!$AL$2:$AL$2001=1)*(元データ!$AN$2:$AN$2001=1)*(元データ!$AE$2:$AE$2001=$C$73)*(元データ!$AO$2:$AO$2001=1)*(元データ!$AM$2:$AM$2001&gt;=31)*(元データ!$E$2:$E$2001="20 確認待ち"))</f>
        <v/>
      </c>
      <c r="AZ73" s="195">
        <f>IFERROR(_xlfn.TEXTJOIN(CHAR(10),TRUE,IF((元データ!$AL$2:$AL$2001=1)*(元データ!$AN$2:$AN$2001=1)*(元データ!$AE$2:$AE$2001=$C$73)*(元データ!$AO$2:$AO$2001=1)*(元データ!$AM$2:$AM$2001&gt;=31)*(元データ!$E$2:$E$2001="20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73" s="194">
        <f>SUMPRODUCT((元データ!$AL$2:$AL$2001=1)*(元データ!$AN$2:$AN$2001=1)*(元データ!$AE$2:$AE$2001=$C$73)*(元データ!$AO$2:$AO$2001=1)*(元データ!$AM$2:$AM$2001&gt;=31)*(元データ!$E$2:$E$2001="30 申請受付"))</f>
        <v/>
      </c>
      <c r="BB73" s="195">
        <f>IFERROR(_xlfn.TEXTJOIN(CHAR(10),TRUE,IF((元データ!$AL$2:$AL$2001=1)*(元データ!$AN$2:$AN$2001=1)*(元データ!$AE$2:$AE$2001=$C$73)*(元データ!$AO$2:$AO$2001=1)*(元データ!$AM$2:$AM$2001&gt;=31)*(元データ!$E$2:$E$2001="30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73" s="194">
        <f>SUMPRODUCT((元データ!$AL$2:$AL$2001=1)*(元データ!$AN$2:$AN$2001=1)*(元データ!$AE$2:$AE$2001=$C$73)*(元データ!$AO$2:$AO$2001=1)*(元データ!$AM$2:$AM$2001&gt;=31)*(元データ!$E$2:$E$2001="31 ＯＰ確認中"))</f>
        <v/>
      </c>
      <c r="BD73" s="195">
        <f>IFERROR(_xlfn.TEXTJOIN(CHAR(10),TRUE,IF((元データ!$AL$2:$AL$2001=1)*(元データ!$AN$2:$AN$2001=1)*(元データ!$AE$2:$AE$2001=$C$73)*(元データ!$AO$2:$AO$2001=1)*(元データ!$AM$2:$AM$2001&gt;=31)*(元データ!$E$2:$E$2001="31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73" s="194">
        <f>SUMPRODUCT((元データ!$AL$2:$AL$2001=1)*(元データ!$AN$2:$AN$2001=1)*(元データ!$AE$2:$AE$2001=$C$73)*(元データ!$AO$2:$AO$2001=1)*(元データ!$AM$2:$AM$2001&gt;=31)*(元データ!$E$2:$E$2001="32 ＳＶ確認中"))</f>
        <v/>
      </c>
      <c r="BF73" s="195">
        <f>IFERROR(_xlfn.TEXTJOIN(CHAR(10),TRUE,IF((元データ!$AL$2:$AL$2001=1)*(元データ!$AN$2:$AN$2001=1)*(元データ!$AE$2:$AE$2001=$C$73)*(元データ!$AO$2:$AO$2001=1)*(元データ!$AM$2:$AM$2001&gt;=31)*(元データ!$E$2:$E$2001="32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73" s="194">
        <f>SUMPRODUCT((元データ!$AL$2:$AL$2001=1)*(元データ!$AN$2:$AN$2001=1)*(元データ!$AE$2:$AE$2001=$C$73)*(元データ!$AO$2:$AO$2001=1)*(元データ!$AM$2:$AM$2001&gt;=31)*(元データ!$E$2:$E$2001="40 差戻し"))</f>
        <v/>
      </c>
      <c r="BH73" s="195">
        <f>IFERROR(_xlfn.TEXTJOIN(CHAR(10),TRUE,IF((元データ!$AL$2:$AL$2001=1)*(元データ!$AN$2:$AN$2001=1)*(元データ!$AE$2:$AE$2001=$C$73)*(元データ!$AO$2:$AO$2001=1)*(元データ!$AM$2:$AM$2001&gt;=31)*(元データ!$E$2:$E$2001="40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74" ht="19.5" customHeight="1" s="87">
      <c r="B74" s="155" t="n"/>
      <c r="C74" s="156" t="n"/>
      <c r="D74" s="157" t="inlineStr">
        <is>
          <t>なし</t>
        </is>
      </c>
      <c r="E74" s="158">
        <f>SUMPRODUCT((元データ!$AL$2:$AL$2001=1)*(元データ!$AN$2:$AN$2001=1)*(元データ!$AE$2:$AE$2001=$C$73)*(元データ!$AO$2:$AO$2001=0))</f>
        <v/>
      </c>
      <c r="F74" s="196">
        <f>SUMPRODUCT((元データ!$AL$2:$AL$2001=1)*(元データ!$AN$2:$AN$2001=1)*(元データ!$AE$2:$AE$2001=$C$73)*(元データ!$AO$2:$AO$2001=0)*(元データ!$AM$2:$AM$2001&lt;=7))</f>
        <v/>
      </c>
      <c r="G74" s="197">
        <f>SUMPRODUCT((元データ!$AL$2:$AL$2001=1)*(元データ!$AN$2:$AN$2001=1)*(元データ!$AE$2:$AE$2001=$C$73)*(元データ!$AO$2:$AO$2001=0)*(元データ!$AM$2:$AM$2001&lt;=7)*(元データ!$E$2:$E$2001="20 確認待ち"))</f>
        <v/>
      </c>
      <c r="H74" s="198">
        <f>IFERROR(_xlfn.TEXTJOIN(CHAR(10),TRUE,IF((元データ!$AL$2:$AL$2001=1)*(元データ!$AN$2:$AN$2001=1)*(元データ!$AE$2:$AE$2001=$C$73)*(元データ!$AO$2:$AO$2001=0)*(元データ!$AM$2:$AM$2001&lt;=7)*(元データ!$E$2:$E$2001="20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74" s="197">
        <f>SUMPRODUCT((元データ!$AL$2:$AL$2001=1)*(元データ!$AN$2:$AN$2001=1)*(元データ!$AE$2:$AE$2001=$C$73)*(元データ!$AO$2:$AO$2001=0)*(元データ!$AM$2:$AM$2001&lt;=7)*(元データ!$E$2:$E$2001="30 申請受付"))</f>
        <v/>
      </c>
      <c r="J74" s="198">
        <f>IFERROR(_xlfn.TEXTJOIN(CHAR(10),TRUE,IF((元データ!$AL$2:$AL$2001=1)*(元データ!$AN$2:$AN$2001=1)*(元データ!$AE$2:$AE$2001=$C$73)*(元データ!$AO$2:$AO$2001=0)*(元データ!$AM$2:$AM$2001&lt;=7)*(元データ!$E$2:$E$2001="30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74" s="197">
        <f>SUMPRODUCT((元データ!$AL$2:$AL$2001=1)*(元データ!$AN$2:$AN$2001=1)*(元データ!$AE$2:$AE$2001=$C$73)*(元データ!$AO$2:$AO$2001=0)*(元データ!$AM$2:$AM$2001&lt;=7)*(元データ!$E$2:$E$2001="31 ＯＰ確認中"))</f>
        <v/>
      </c>
      <c r="L74" s="198">
        <f>IFERROR(_xlfn.TEXTJOIN(CHAR(10),TRUE,IF((元データ!$AL$2:$AL$2001=1)*(元データ!$AN$2:$AN$2001=1)*(元データ!$AE$2:$AE$2001=$C$73)*(元データ!$AO$2:$AO$2001=0)*(元データ!$AM$2:$AM$2001&lt;=7)*(元データ!$E$2:$E$2001="31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74" s="197">
        <f>SUMPRODUCT((元データ!$AL$2:$AL$2001=1)*(元データ!$AN$2:$AN$2001=1)*(元データ!$AE$2:$AE$2001=$C$73)*(元データ!$AO$2:$AO$2001=0)*(元データ!$AM$2:$AM$2001&lt;=7)*(元データ!$E$2:$E$2001="32 ＳＶ確認中"))</f>
        <v/>
      </c>
      <c r="N74" s="198">
        <f>IFERROR(_xlfn.TEXTJOIN(CHAR(10),TRUE,IF((元データ!$AL$2:$AL$2001=1)*(元データ!$AN$2:$AN$2001=1)*(元データ!$AE$2:$AE$2001=$C$73)*(元データ!$AO$2:$AO$2001=0)*(元データ!$AM$2:$AM$2001&lt;=7)*(元データ!$E$2:$E$2001="32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74" s="197">
        <f>SUMPRODUCT((元データ!$AL$2:$AL$2001=1)*(元データ!$AN$2:$AN$2001=1)*(元データ!$AE$2:$AE$2001=$C$73)*(元データ!$AO$2:$AO$2001=0)*(元データ!$AM$2:$AM$2001&lt;=7)*(元データ!$E$2:$E$2001="40 差戻し"))</f>
        <v/>
      </c>
      <c r="P74" s="198">
        <f>IFERROR(_xlfn.TEXTJOIN(CHAR(10),TRUE,IF((元データ!$AL$2:$AL$2001=1)*(元データ!$AN$2:$AN$2001=1)*(元データ!$AE$2:$AE$2001=$C$73)*(元データ!$AO$2:$AO$2001=0)*(元データ!$AM$2:$AM$2001&lt;=7)*(元データ!$E$2:$E$2001="40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74" s="196">
        <f>SUMPRODUCT((元データ!$AL$2:$AL$2001=1)*(元データ!$AN$2:$AN$2001=1)*(元データ!$AE$2:$AE$2001=$C$73)*(元データ!$AO$2:$AO$2001=0)*(元データ!$AM$2:$AM$2001&gt;=8)*(元データ!$AM$2:$AM$2001&lt;=14))</f>
        <v/>
      </c>
      <c r="R74" s="197">
        <f>SUMPRODUCT((元データ!$AL$2:$AL$2001=1)*(元データ!$AN$2:$AN$2001=1)*(元データ!$AE$2:$AE$2001=$C$73)*(元データ!$AO$2:$AO$2001=0)*(元データ!$AM$2:$AM$2001&gt;=8)*(元データ!$AM$2:$AM$2001&lt;=14)*(元データ!$E$2:$E$2001="20 確認待ち"))</f>
        <v/>
      </c>
      <c r="S74" s="198">
        <f>IFERROR(_xlfn.TEXTJOIN(CHAR(10),TRUE,IF((元データ!$AL$2:$AL$2001=1)*(元データ!$AN$2:$AN$2001=1)*(元データ!$AE$2:$AE$2001=$C$73)*(元データ!$AO$2:$AO$2001=0)*(元データ!$AM$2:$AM$2001&gt;=8)*(元データ!$AM$2:$AM$2001&lt;=14)*(元データ!$E$2:$E$2001="20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74" s="197">
        <f>SUMPRODUCT((元データ!$AL$2:$AL$2001=1)*(元データ!$AN$2:$AN$2001=1)*(元データ!$AE$2:$AE$2001=$C$73)*(元データ!$AO$2:$AO$2001=0)*(元データ!$AM$2:$AM$2001&gt;=8)*(元データ!$AM$2:$AM$2001&lt;=14)*(元データ!$E$2:$E$2001="30 申請受付"))</f>
        <v/>
      </c>
      <c r="U74" s="198">
        <f>IFERROR(_xlfn.TEXTJOIN(CHAR(10),TRUE,IF((元データ!$AL$2:$AL$2001=1)*(元データ!$AN$2:$AN$2001=1)*(元データ!$AE$2:$AE$2001=$C$73)*(元データ!$AO$2:$AO$2001=0)*(元データ!$AM$2:$AM$2001&gt;=8)*(元データ!$AM$2:$AM$2001&lt;=14)*(元データ!$E$2:$E$2001="30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74" s="197">
        <f>SUMPRODUCT((元データ!$AL$2:$AL$2001=1)*(元データ!$AN$2:$AN$2001=1)*(元データ!$AE$2:$AE$2001=$C$73)*(元データ!$AO$2:$AO$2001=0)*(元データ!$AM$2:$AM$2001&gt;=8)*(元データ!$AM$2:$AM$2001&lt;=14)*(元データ!$E$2:$E$2001="31 ＯＰ確認中"))</f>
        <v/>
      </c>
      <c r="W74" s="198">
        <f>IFERROR(_xlfn.TEXTJOIN(CHAR(10),TRUE,IF((元データ!$AL$2:$AL$2001=1)*(元データ!$AN$2:$AN$2001=1)*(元データ!$AE$2:$AE$2001=$C$73)*(元データ!$AO$2:$AO$2001=0)*(元データ!$AM$2:$AM$2001&gt;=8)*(元データ!$AM$2:$AM$2001&lt;=14)*(元データ!$E$2:$E$2001="31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74" s="197">
        <f>SUMPRODUCT((元データ!$AL$2:$AL$2001=1)*(元データ!$AN$2:$AN$2001=1)*(元データ!$AE$2:$AE$2001=$C$73)*(元データ!$AO$2:$AO$2001=0)*(元データ!$AM$2:$AM$2001&gt;=8)*(元データ!$AM$2:$AM$2001&lt;=14)*(元データ!$E$2:$E$2001="32 ＳＶ確認中"))</f>
        <v/>
      </c>
      <c r="Y74" s="198">
        <f>IFERROR(_xlfn.TEXTJOIN(CHAR(10),TRUE,IF((元データ!$AL$2:$AL$2001=1)*(元データ!$AN$2:$AN$2001=1)*(元データ!$AE$2:$AE$2001=$C$73)*(元データ!$AO$2:$AO$2001=0)*(元データ!$AM$2:$AM$2001&gt;=8)*(元データ!$AM$2:$AM$2001&lt;=14)*(元データ!$E$2:$E$2001="32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74" s="197">
        <f>SUMPRODUCT((元データ!$AL$2:$AL$2001=1)*(元データ!$AN$2:$AN$2001=1)*(元データ!$AE$2:$AE$2001=$C$73)*(元データ!$AO$2:$AO$2001=0)*(元データ!$AM$2:$AM$2001&gt;=8)*(元データ!$AM$2:$AM$2001&lt;=14)*(元データ!$E$2:$E$2001="40 差戻し"))</f>
        <v/>
      </c>
      <c r="AA74" s="198">
        <f>IFERROR(_xlfn.TEXTJOIN(CHAR(10),TRUE,IF((元データ!$AL$2:$AL$2001=1)*(元データ!$AN$2:$AN$2001=1)*(元データ!$AE$2:$AE$2001=$C$73)*(元データ!$AO$2:$AO$2001=0)*(元データ!$AM$2:$AM$2001&gt;=8)*(元データ!$AM$2:$AM$2001&lt;=14)*(元データ!$E$2:$E$2001="40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74" s="187">
        <f>SUMPRODUCT((元データ!$AL$2:$AL$2001=1)*(元データ!$AN$2:$AN$2001=1)*(元データ!$AE$2:$AE$2001=$C$73)*(元データ!$AO$2:$AO$2001=0)*(元データ!$AM$2:$AM$2001&gt;=15)*(元データ!$AM$2:$AM$2001&lt;=21))</f>
        <v/>
      </c>
      <c r="AC74" s="188">
        <f>SUMPRODUCT((元データ!$AL$2:$AL$2001=1)*(元データ!$AN$2:$AN$2001=1)*(元データ!$AE$2:$AE$2001=$C$73)*(元データ!$AO$2:$AO$2001=0)*(元データ!$AM$2:$AM$2001&gt;=15)*(元データ!$AM$2:$AM$2001&lt;=21)*(元データ!$E$2:$E$2001="20 確認待ち"))</f>
        <v/>
      </c>
      <c r="AD74" s="189">
        <f>IFERROR(_xlfn.TEXTJOIN(CHAR(10),TRUE,IF((元データ!$AL$2:$AL$2001=1)*(元データ!$AN$2:$AN$2001=1)*(元データ!$AE$2:$AE$2001=$C$73)*(元データ!$AO$2:$AO$2001=0)*(元データ!$AM$2:$AM$2001&gt;=15)*(元データ!$AM$2:$AM$2001&lt;=21)*(元データ!$E$2:$E$2001="20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74" s="188">
        <f>SUMPRODUCT((元データ!$AL$2:$AL$2001=1)*(元データ!$AN$2:$AN$2001=1)*(元データ!$AE$2:$AE$2001=$C$73)*(元データ!$AO$2:$AO$2001=0)*(元データ!$AM$2:$AM$2001&gt;=15)*(元データ!$AM$2:$AM$2001&lt;=21)*(元データ!$E$2:$E$2001="30 申請受付"))</f>
        <v/>
      </c>
      <c r="AF74" s="189">
        <f>IFERROR(_xlfn.TEXTJOIN(CHAR(10),TRUE,IF((元データ!$AL$2:$AL$2001=1)*(元データ!$AN$2:$AN$2001=1)*(元データ!$AE$2:$AE$2001=$C$73)*(元データ!$AO$2:$AO$2001=0)*(元データ!$AM$2:$AM$2001&gt;=15)*(元データ!$AM$2:$AM$2001&lt;=21)*(元データ!$E$2:$E$2001="30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74" s="188">
        <f>SUMPRODUCT((元データ!$AL$2:$AL$2001=1)*(元データ!$AN$2:$AN$2001=1)*(元データ!$AE$2:$AE$2001=$C$73)*(元データ!$AO$2:$AO$2001=0)*(元データ!$AM$2:$AM$2001&gt;=15)*(元データ!$AM$2:$AM$2001&lt;=21)*(元データ!$E$2:$E$2001="31 ＯＰ確認中"))</f>
        <v/>
      </c>
      <c r="AH74" s="189">
        <f>IFERROR(_xlfn.TEXTJOIN(CHAR(10),TRUE,IF((元データ!$AL$2:$AL$2001=1)*(元データ!$AN$2:$AN$2001=1)*(元データ!$AE$2:$AE$2001=$C$73)*(元データ!$AO$2:$AO$2001=0)*(元データ!$AM$2:$AM$2001&gt;=15)*(元データ!$AM$2:$AM$2001&lt;=21)*(元データ!$E$2:$E$2001="31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74" s="188">
        <f>SUMPRODUCT((元データ!$AL$2:$AL$2001=1)*(元データ!$AN$2:$AN$2001=1)*(元データ!$AE$2:$AE$2001=$C$73)*(元データ!$AO$2:$AO$2001=0)*(元データ!$AM$2:$AM$2001&gt;=15)*(元データ!$AM$2:$AM$2001&lt;=21)*(元データ!$E$2:$E$2001="32 ＳＶ確認中"))</f>
        <v/>
      </c>
      <c r="AJ74" s="189">
        <f>IFERROR(_xlfn.TEXTJOIN(CHAR(10),TRUE,IF((元データ!$AL$2:$AL$2001=1)*(元データ!$AN$2:$AN$2001=1)*(元データ!$AE$2:$AE$2001=$C$73)*(元データ!$AO$2:$AO$2001=0)*(元データ!$AM$2:$AM$2001&gt;=15)*(元データ!$AM$2:$AM$2001&lt;=21)*(元データ!$E$2:$E$2001="32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74" s="188">
        <f>SUMPRODUCT((元データ!$AL$2:$AL$2001=1)*(元データ!$AN$2:$AN$2001=1)*(元データ!$AE$2:$AE$2001=$C$73)*(元データ!$AO$2:$AO$2001=0)*(元データ!$AM$2:$AM$2001&gt;=15)*(元データ!$AM$2:$AM$2001&lt;=21)*(元データ!$E$2:$E$2001="40 差戻し"))</f>
        <v/>
      </c>
      <c r="AL74" s="189">
        <f>IFERROR(_xlfn.TEXTJOIN(CHAR(10),TRUE,IF((元データ!$AL$2:$AL$2001=1)*(元データ!$AN$2:$AN$2001=1)*(元データ!$AE$2:$AE$2001=$C$73)*(元データ!$AO$2:$AO$2001=0)*(元データ!$AM$2:$AM$2001&gt;=15)*(元データ!$AM$2:$AM$2001&lt;=21)*(元データ!$E$2:$E$2001="40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74" s="190">
        <f>SUMPRODUCT((元データ!$AL$2:$AL$2001=1)*(元データ!$AN$2:$AN$2001=1)*(元データ!$AE$2:$AE$2001=$C$73)*(元データ!$AO$2:$AO$2001=0)*(元データ!$AM$2:$AM$2001&gt;=22)*(元データ!$AM$2:$AM$2001&lt;=30))</f>
        <v/>
      </c>
      <c r="AN74" s="191">
        <f>SUMPRODUCT((元データ!$AL$2:$AL$2001=1)*(元データ!$AN$2:$AN$2001=1)*(元データ!$AE$2:$AE$2001=$C$73)*(元データ!$AO$2:$AO$2001=0)*(元データ!$AM$2:$AM$2001&gt;=22)*(元データ!$AM$2:$AM$2001&lt;=30)*(元データ!$E$2:$E$2001="20 確認待ち"))</f>
        <v/>
      </c>
      <c r="AO74" s="192">
        <f>IFERROR(_xlfn.TEXTJOIN(CHAR(10),TRUE,IF((元データ!$AL$2:$AL$2001=1)*(元データ!$AN$2:$AN$2001=1)*(元データ!$AE$2:$AE$2001=$C$73)*(元データ!$AO$2:$AO$2001=0)*(元データ!$AM$2:$AM$2001&gt;=22)*(元データ!$AM$2:$AM$2001&lt;=30)*(元データ!$E$2:$E$2001="20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74" s="191">
        <f>SUMPRODUCT((元データ!$AL$2:$AL$2001=1)*(元データ!$AN$2:$AN$2001=1)*(元データ!$AE$2:$AE$2001=$C$73)*(元データ!$AO$2:$AO$2001=0)*(元データ!$AM$2:$AM$2001&gt;=22)*(元データ!$AM$2:$AM$2001&lt;=30)*(元データ!$E$2:$E$2001="30 申請受付"))</f>
        <v/>
      </c>
      <c r="AQ74" s="192">
        <f>IFERROR(_xlfn.TEXTJOIN(CHAR(10),TRUE,IF((元データ!$AL$2:$AL$2001=1)*(元データ!$AN$2:$AN$2001=1)*(元データ!$AE$2:$AE$2001=$C$73)*(元データ!$AO$2:$AO$2001=0)*(元データ!$AM$2:$AM$2001&gt;=22)*(元データ!$AM$2:$AM$2001&lt;=30)*(元データ!$E$2:$E$2001="30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74" s="191">
        <f>SUMPRODUCT((元データ!$AL$2:$AL$2001=1)*(元データ!$AN$2:$AN$2001=1)*(元データ!$AE$2:$AE$2001=$C$73)*(元データ!$AO$2:$AO$2001=0)*(元データ!$AM$2:$AM$2001&gt;=22)*(元データ!$AM$2:$AM$2001&lt;=30)*(元データ!$E$2:$E$2001="31 ＯＰ確認中"))</f>
        <v/>
      </c>
      <c r="AS74" s="192">
        <f>IFERROR(_xlfn.TEXTJOIN(CHAR(10),TRUE,IF((元データ!$AL$2:$AL$2001=1)*(元データ!$AN$2:$AN$2001=1)*(元データ!$AE$2:$AE$2001=$C$73)*(元データ!$AO$2:$AO$2001=0)*(元データ!$AM$2:$AM$2001&gt;=22)*(元データ!$AM$2:$AM$2001&lt;=30)*(元データ!$E$2:$E$2001="31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74" s="191">
        <f>SUMPRODUCT((元データ!$AL$2:$AL$2001=1)*(元データ!$AN$2:$AN$2001=1)*(元データ!$AE$2:$AE$2001=$C$73)*(元データ!$AO$2:$AO$2001=0)*(元データ!$AM$2:$AM$2001&gt;=22)*(元データ!$AM$2:$AM$2001&lt;=30)*(元データ!$E$2:$E$2001="32 ＳＶ確認中"))</f>
        <v/>
      </c>
      <c r="AU74" s="192">
        <f>IFERROR(_xlfn.TEXTJOIN(CHAR(10),TRUE,IF((元データ!$AL$2:$AL$2001=1)*(元データ!$AN$2:$AN$2001=1)*(元データ!$AE$2:$AE$2001=$C$73)*(元データ!$AO$2:$AO$2001=0)*(元データ!$AM$2:$AM$2001&gt;=22)*(元データ!$AM$2:$AM$2001&lt;=30)*(元データ!$E$2:$E$2001="32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74" s="191">
        <f>SUMPRODUCT((元データ!$AL$2:$AL$2001=1)*(元データ!$AN$2:$AN$2001=1)*(元データ!$AE$2:$AE$2001=$C$73)*(元データ!$AO$2:$AO$2001=0)*(元データ!$AM$2:$AM$2001&gt;=22)*(元データ!$AM$2:$AM$2001&lt;=30)*(元データ!$E$2:$E$2001="40 差戻し"))</f>
        <v/>
      </c>
      <c r="AW74" s="192">
        <f>IFERROR(_xlfn.TEXTJOIN(CHAR(10),TRUE,IF((元データ!$AL$2:$AL$2001=1)*(元データ!$AN$2:$AN$2001=1)*(元データ!$AE$2:$AE$2001=$C$73)*(元データ!$AO$2:$AO$2001=0)*(元データ!$AM$2:$AM$2001&gt;=22)*(元データ!$AM$2:$AM$2001&lt;=30)*(元データ!$E$2:$E$2001="40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74" s="193">
        <f>SUMPRODUCT((元データ!$AL$2:$AL$2001=1)*(元データ!$AN$2:$AN$2001=1)*(元データ!$AE$2:$AE$2001=$C$73)*(元データ!$AO$2:$AO$2001=0)*(元データ!$AM$2:$AM$2001&gt;=31))</f>
        <v/>
      </c>
      <c r="AY74" s="194">
        <f>SUMPRODUCT((元データ!$AL$2:$AL$2001=1)*(元データ!$AN$2:$AN$2001=1)*(元データ!$AE$2:$AE$2001=$C$73)*(元データ!$AO$2:$AO$2001=0)*(元データ!$AM$2:$AM$2001&gt;=31)*(元データ!$E$2:$E$2001="20 確認待ち"))</f>
        <v/>
      </c>
      <c r="AZ74" s="195">
        <f>IFERROR(_xlfn.TEXTJOIN(CHAR(10),TRUE,IF((元データ!$AL$2:$AL$2001=1)*(元データ!$AN$2:$AN$2001=1)*(元データ!$AE$2:$AE$2001=$C$73)*(元データ!$AO$2:$AO$2001=0)*(元データ!$AM$2:$AM$2001&gt;=31)*(元データ!$E$2:$E$2001="20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74" s="194">
        <f>SUMPRODUCT((元データ!$AL$2:$AL$2001=1)*(元データ!$AN$2:$AN$2001=1)*(元データ!$AE$2:$AE$2001=$C$73)*(元データ!$AO$2:$AO$2001=0)*(元データ!$AM$2:$AM$2001&gt;=31)*(元データ!$E$2:$E$2001="30 申請受付"))</f>
        <v/>
      </c>
      <c r="BB74" s="195">
        <f>IFERROR(_xlfn.TEXTJOIN(CHAR(10),TRUE,IF((元データ!$AL$2:$AL$2001=1)*(元データ!$AN$2:$AN$2001=1)*(元データ!$AE$2:$AE$2001=$C$73)*(元データ!$AO$2:$AO$2001=0)*(元データ!$AM$2:$AM$2001&gt;=31)*(元データ!$E$2:$E$2001="30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74" s="194">
        <f>SUMPRODUCT((元データ!$AL$2:$AL$2001=1)*(元データ!$AN$2:$AN$2001=1)*(元データ!$AE$2:$AE$2001=$C$73)*(元データ!$AO$2:$AO$2001=0)*(元データ!$AM$2:$AM$2001&gt;=31)*(元データ!$E$2:$E$2001="31 ＯＰ確認中"))</f>
        <v/>
      </c>
      <c r="BD74" s="195">
        <f>IFERROR(_xlfn.TEXTJOIN(CHAR(10),TRUE,IF((元データ!$AL$2:$AL$2001=1)*(元データ!$AN$2:$AN$2001=1)*(元データ!$AE$2:$AE$2001=$C$73)*(元データ!$AO$2:$AO$2001=0)*(元データ!$AM$2:$AM$2001&gt;=31)*(元データ!$E$2:$E$2001="31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74" s="194">
        <f>SUMPRODUCT((元データ!$AL$2:$AL$2001=1)*(元データ!$AN$2:$AN$2001=1)*(元データ!$AE$2:$AE$2001=$C$73)*(元データ!$AO$2:$AO$2001=0)*(元データ!$AM$2:$AM$2001&gt;=31)*(元データ!$E$2:$E$2001="32 ＳＶ確認中"))</f>
        <v/>
      </c>
      <c r="BF74" s="195">
        <f>IFERROR(_xlfn.TEXTJOIN(CHAR(10),TRUE,IF((元データ!$AL$2:$AL$2001=1)*(元データ!$AN$2:$AN$2001=1)*(元データ!$AE$2:$AE$2001=$C$73)*(元データ!$AO$2:$AO$2001=0)*(元データ!$AM$2:$AM$2001&gt;=31)*(元データ!$E$2:$E$2001="32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74" s="194">
        <f>SUMPRODUCT((元データ!$AL$2:$AL$2001=1)*(元データ!$AN$2:$AN$2001=1)*(元データ!$AE$2:$AE$2001=$C$73)*(元データ!$AO$2:$AO$2001=0)*(元データ!$AM$2:$AM$2001&gt;=31)*(元データ!$E$2:$E$2001="40 差戻し"))</f>
        <v/>
      </c>
      <c r="BH74" s="195">
        <f>IFERROR(_xlfn.TEXTJOIN(CHAR(10),TRUE,IF((元データ!$AL$2:$AL$2001=1)*(元データ!$AN$2:$AN$2001=1)*(元データ!$AE$2:$AE$2001=$C$73)*(元データ!$AO$2:$AO$2001=0)*(元データ!$AM$2:$AM$2001&gt;=31)*(元データ!$E$2:$E$2001="40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75" ht="19.5" customHeight="1" s="87">
      <c r="B75" s="139" t="n"/>
      <c r="C75" s="140" t="inlineStr">
        <is>
          <t>51 収入限度額以上</t>
        </is>
      </c>
      <c r="D75" s="141" t="inlineStr">
        <is>
          <t>あり</t>
        </is>
      </c>
      <c r="E75" s="142">
        <f>SUMPRODUCT((元データ!$AL$2:$AL$2001=1)*(元データ!$AN$2:$AN$2001=1)*(元データ!$AE$2:$AE$2001=$C$75)*(元データ!$AO$2:$AO$2001=1))</f>
        <v/>
      </c>
      <c r="F75" s="184">
        <f>SUMPRODUCT((元データ!$AL$2:$AL$2001=1)*(元データ!$AN$2:$AN$2001=1)*(元データ!$AE$2:$AE$2001=$C$75)*(元データ!$AO$2:$AO$2001=1)*(元データ!$AM$2:$AM$2001&lt;=7))</f>
        <v/>
      </c>
      <c r="G75" s="185">
        <f>SUMPRODUCT((元データ!$AL$2:$AL$2001=1)*(元データ!$AN$2:$AN$2001=1)*(元データ!$AE$2:$AE$2001=$C$75)*(元データ!$AO$2:$AO$2001=1)*(元データ!$AM$2:$AM$2001&lt;=7)*(元データ!$E$2:$E$2001="20 確認待ち"))</f>
        <v/>
      </c>
      <c r="H75" s="186">
        <f>IFERROR(_xlfn.TEXTJOIN(CHAR(10),TRUE,IF((元データ!$AL$2:$AL$2001=1)*(元データ!$AN$2:$AN$2001=1)*(元データ!$AE$2:$AE$2001=$C$75)*(元データ!$AO$2:$AO$2001=1)*(元データ!$AM$2:$AM$2001&lt;=7)*(元データ!$E$2:$E$2001="20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75" s="185">
        <f>SUMPRODUCT((元データ!$AL$2:$AL$2001=1)*(元データ!$AN$2:$AN$2001=1)*(元データ!$AE$2:$AE$2001=$C$75)*(元データ!$AO$2:$AO$2001=1)*(元データ!$AM$2:$AM$2001&lt;=7)*(元データ!$E$2:$E$2001="30 申請受付"))</f>
        <v/>
      </c>
      <c r="J75" s="186">
        <f>IFERROR(_xlfn.TEXTJOIN(CHAR(10),TRUE,IF((元データ!$AL$2:$AL$2001=1)*(元データ!$AN$2:$AN$2001=1)*(元データ!$AE$2:$AE$2001=$C$75)*(元データ!$AO$2:$AO$2001=1)*(元データ!$AM$2:$AM$2001&lt;=7)*(元データ!$E$2:$E$2001="30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75" s="185">
        <f>SUMPRODUCT((元データ!$AL$2:$AL$2001=1)*(元データ!$AN$2:$AN$2001=1)*(元データ!$AE$2:$AE$2001=$C$75)*(元データ!$AO$2:$AO$2001=1)*(元データ!$AM$2:$AM$2001&lt;=7)*(元データ!$E$2:$E$2001="31 ＯＰ確認中"))</f>
        <v/>
      </c>
      <c r="L75" s="186">
        <f>IFERROR(_xlfn.TEXTJOIN(CHAR(10),TRUE,IF((元データ!$AL$2:$AL$2001=1)*(元データ!$AN$2:$AN$2001=1)*(元データ!$AE$2:$AE$2001=$C$75)*(元データ!$AO$2:$AO$2001=1)*(元データ!$AM$2:$AM$2001&lt;=7)*(元データ!$E$2:$E$2001="31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75" s="185">
        <f>SUMPRODUCT((元データ!$AL$2:$AL$2001=1)*(元データ!$AN$2:$AN$2001=1)*(元データ!$AE$2:$AE$2001=$C$75)*(元データ!$AO$2:$AO$2001=1)*(元データ!$AM$2:$AM$2001&lt;=7)*(元データ!$E$2:$E$2001="32 ＳＶ確認中"))</f>
        <v/>
      </c>
      <c r="N75" s="186">
        <f>IFERROR(_xlfn.TEXTJOIN(CHAR(10),TRUE,IF((元データ!$AL$2:$AL$2001=1)*(元データ!$AN$2:$AN$2001=1)*(元データ!$AE$2:$AE$2001=$C$75)*(元データ!$AO$2:$AO$2001=1)*(元データ!$AM$2:$AM$2001&lt;=7)*(元データ!$E$2:$E$2001="32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75" s="185">
        <f>SUMPRODUCT((元データ!$AL$2:$AL$2001=1)*(元データ!$AN$2:$AN$2001=1)*(元データ!$AE$2:$AE$2001=$C$75)*(元データ!$AO$2:$AO$2001=1)*(元データ!$AM$2:$AM$2001&lt;=7)*(元データ!$E$2:$E$2001="40 差戻し"))</f>
        <v/>
      </c>
      <c r="P75" s="186">
        <f>IFERROR(_xlfn.TEXTJOIN(CHAR(10),TRUE,IF((元データ!$AL$2:$AL$2001=1)*(元データ!$AN$2:$AN$2001=1)*(元データ!$AE$2:$AE$2001=$C$75)*(元データ!$AO$2:$AO$2001=1)*(元データ!$AM$2:$AM$2001&lt;=7)*(元データ!$E$2:$E$2001="40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75" s="184">
        <f>SUMPRODUCT((元データ!$AL$2:$AL$2001=1)*(元データ!$AN$2:$AN$2001=1)*(元データ!$AE$2:$AE$2001=$C$75)*(元データ!$AO$2:$AO$2001=1)*(元データ!$AM$2:$AM$2001&gt;=8)*(元データ!$AM$2:$AM$2001&lt;=14))</f>
        <v/>
      </c>
      <c r="R75" s="185">
        <f>SUMPRODUCT((元データ!$AL$2:$AL$2001=1)*(元データ!$AN$2:$AN$2001=1)*(元データ!$AE$2:$AE$2001=$C$75)*(元データ!$AO$2:$AO$2001=1)*(元データ!$AM$2:$AM$2001&gt;=8)*(元データ!$AM$2:$AM$2001&lt;=14)*(元データ!$E$2:$E$2001="20 確認待ち"))</f>
        <v/>
      </c>
      <c r="S75" s="186">
        <f>IFERROR(_xlfn.TEXTJOIN(CHAR(10),TRUE,IF((元データ!$AL$2:$AL$2001=1)*(元データ!$AN$2:$AN$2001=1)*(元データ!$AE$2:$AE$2001=$C$75)*(元データ!$AO$2:$AO$2001=1)*(元データ!$AM$2:$AM$2001&gt;=8)*(元データ!$AM$2:$AM$2001&lt;=14)*(元データ!$E$2:$E$2001="20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75" s="185">
        <f>SUMPRODUCT((元データ!$AL$2:$AL$2001=1)*(元データ!$AN$2:$AN$2001=1)*(元データ!$AE$2:$AE$2001=$C$75)*(元データ!$AO$2:$AO$2001=1)*(元データ!$AM$2:$AM$2001&gt;=8)*(元データ!$AM$2:$AM$2001&lt;=14)*(元データ!$E$2:$E$2001="30 申請受付"))</f>
        <v/>
      </c>
      <c r="U75" s="186">
        <f>IFERROR(_xlfn.TEXTJOIN(CHAR(10),TRUE,IF((元データ!$AL$2:$AL$2001=1)*(元データ!$AN$2:$AN$2001=1)*(元データ!$AE$2:$AE$2001=$C$75)*(元データ!$AO$2:$AO$2001=1)*(元データ!$AM$2:$AM$2001&gt;=8)*(元データ!$AM$2:$AM$2001&lt;=14)*(元データ!$E$2:$E$2001="30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75" s="185">
        <f>SUMPRODUCT((元データ!$AL$2:$AL$2001=1)*(元データ!$AN$2:$AN$2001=1)*(元データ!$AE$2:$AE$2001=$C$75)*(元データ!$AO$2:$AO$2001=1)*(元データ!$AM$2:$AM$2001&gt;=8)*(元データ!$AM$2:$AM$2001&lt;=14)*(元データ!$E$2:$E$2001="31 ＯＰ確認中"))</f>
        <v/>
      </c>
      <c r="W75" s="186">
        <f>IFERROR(_xlfn.TEXTJOIN(CHAR(10),TRUE,IF((元データ!$AL$2:$AL$2001=1)*(元データ!$AN$2:$AN$2001=1)*(元データ!$AE$2:$AE$2001=$C$75)*(元データ!$AO$2:$AO$2001=1)*(元データ!$AM$2:$AM$2001&gt;=8)*(元データ!$AM$2:$AM$2001&lt;=14)*(元データ!$E$2:$E$2001="31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75" s="185">
        <f>SUMPRODUCT((元データ!$AL$2:$AL$2001=1)*(元データ!$AN$2:$AN$2001=1)*(元データ!$AE$2:$AE$2001=$C$75)*(元データ!$AO$2:$AO$2001=1)*(元データ!$AM$2:$AM$2001&gt;=8)*(元データ!$AM$2:$AM$2001&lt;=14)*(元データ!$E$2:$E$2001="32 ＳＶ確認中"))</f>
        <v/>
      </c>
      <c r="Y75" s="186">
        <f>IFERROR(_xlfn.TEXTJOIN(CHAR(10),TRUE,IF((元データ!$AL$2:$AL$2001=1)*(元データ!$AN$2:$AN$2001=1)*(元データ!$AE$2:$AE$2001=$C$75)*(元データ!$AO$2:$AO$2001=1)*(元データ!$AM$2:$AM$2001&gt;=8)*(元データ!$AM$2:$AM$2001&lt;=14)*(元データ!$E$2:$E$2001="32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75" s="185">
        <f>SUMPRODUCT((元データ!$AL$2:$AL$2001=1)*(元データ!$AN$2:$AN$2001=1)*(元データ!$AE$2:$AE$2001=$C$75)*(元データ!$AO$2:$AO$2001=1)*(元データ!$AM$2:$AM$2001&gt;=8)*(元データ!$AM$2:$AM$2001&lt;=14)*(元データ!$E$2:$E$2001="40 差戻し"))</f>
        <v/>
      </c>
      <c r="AA75" s="186">
        <f>IFERROR(_xlfn.TEXTJOIN(CHAR(10),TRUE,IF((元データ!$AL$2:$AL$2001=1)*(元データ!$AN$2:$AN$2001=1)*(元データ!$AE$2:$AE$2001=$C$75)*(元データ!$AO$2:$AO$2001=1)*(元データ!$AM$2:$AM$2001&gt;=8)*(元データ!$AM$2:$AM$2001&lt;=14)*(元データ!$E$2:$E$2001="40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75" s="187">
        <f>SUMPRODUCT((元データ!$AL$2:$AL$2001=1)*(元データ!$AN$2:$AN$2001=1)*(元データ!$AE$2:$AE$2001=$C$75)*(元データ!$AO$2:$AO$2001=1)*(元データ!$AM$2:$AM$2001&gt;=15)*(元データ!$AM$2:$AM$2001&lt;=21))</f>
        <v/>
      </c>
      <c r="AC75" s="188">
        <f>SUMPRODUCT((元データ!$AL$2:$AL$2001=1)*(元データ!$AN$2:$AN$2001=1)*(元データ!$AE$2:$AE$2001=$C$75)*(元データ!$AO$2:$AO$2001=1)*(元データ!$AM$2:$AM$2001&gt;=15)*(元データ!$AM$2:$AM$2001&lt;=21)*(元データ!$E$2:$E$2001="20 確認待ち"))</f>
        <v/>
      </c>
      <c r="AD75" s="189">
        <f>IFERROR(_xlfn.TEXTJOIN(CHAR(10),TRUE,IF((元データ!$AL$2:$AL$2001=1)*(元データ!$AN$2:$AN$2001=1)*(元データ!$AE$2:$AE$2001=$C$75)*(元データ!$AO$2:$AO$2001=1)*(元データ!$AM$2:$AM$2001&gt;=15)*(元データ!$AM$2:$AM$2001&lt;=21)*(元データ!$E$2:$E$2001="20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75" s="188">
        <f>SUMPRODUCT((元データ!$AL$2:$AL$2001=1)*(元データ!$AN$2:$AN$2001=1)*(元データ!$AE$2:$AE$2001=$C$75)*(元データ!$AO$2:$AO$2001=1)*(元データ!$AM$2:$AM$2001&gt;=15)*(元データ!$AM$2:$AM$2001&lt;=21)*(元データ!$E$2:$E$2001="30 申請受付"))</f>
        <v/>
      </c>
      <c r="AF75" s="189">
        <f>IFERROR(_xlfn.TEXTJOIN(CHAR(10),TRUE,IF((元データ!$AL$2:$AL$2001=1)*(元データ!$AN$2:$AN$2001=1)*(元データ!$AE$2:$AE$2001=$C$75)*(元データ!$AO$2:$AO$2001=1)*(元データ!$AM$2:$AM$2001&gt;=15)*(元データ!$AM$2:$AM$2001&lt;=21)*(元データ!$E$2:$E$2001="30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75" s="188">
        <f>SUMPRODUCT((元データ!$AL$2:$AL$2001=1)*(元データ!$AN$2:$AN$2001=1)*(元データ!$AE$2:$AE$2001=$C$75)*(元データ!$AO$2:$AO$2001=1)*(元データ!$AM$2:$AM$2001&gt;=15)*(元データ!$AM$2:$AM$2001&lt;=21)*(元データ!$E$2:$E$2001="31 ＯＰ確認中"))</f>
        <v/>
      </c>
      <c r="AH75" s="189">
        <f>IFERROR(_xlfn.TEXTJOIN(CHAR(10),TRUE,IF((元データ!$AL$2:$AL$2001=1)*(元データ!$AN$2:$AN$2001=1)*(元データ!$AE$2:$AE$2001=$C$75)*(元データ!$AO$2:$AO$2001=1)*(元データ!$AM$2:$AM$2001&gt;=15)*(元データ!$AM$2:$AM$2001&lt;=21)*(元データ!$E$2:$E$2001="31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75" s="188">
        <f>SUMPRODUCT((元データ!$AL$2:$AL$2001=1)*(元データ!$AN$2:$AN$2001=1)*(元データ!$AE$2:$AE$2001=$C$75)*(元データ!$AO$2:$AO$2001=1)*(元データ!$AM$2:$AM$2001&gt;=15)*(元データ!$AM$2:$AM$2001&lt;=21)*(元データ!$E$2:$E$2001="32 ＳＶ確認中"))</f>
        <v/>
      </c>
      <c r="AJ75" s="189">
        <f>IFERROR(_xlfn.TEXTJOIN(CHAR(10),TRUE,IF((元データ!$AL$2:$AL$2001=1)*(元データ!$AN$2:$AN$2001=1)*(元データ!$AE$2:$AE$2001=$C$75)*(元データ!$AO$2:$AO$2001=1)*(元データ!$AM$2:$AM$2001&gt;=15)*(元データ!$AM$2:$AM$2001&lt;=21)*(元データ!$E$2:$E$2001="32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75" s="188">
        <f>SUMPRODUCT((元データ!$AL$2:$AL$2001=1)*(元データ!$AN$2:$AN$2001=1)*(元データ!$AE$2:$AE$2001=$C$75)*(元データ!$AO$2:$AO$2001=1)*(元データ!$AM$2:$AM$2001&gt;=15)*(元データ!$AM$2:$AM$2001&lt;=21)*(元データ!$E$2:$E$2001="40 差戻し"))</f>
        <v/>
      </c>
      <c r="AL75" s="189">
        <f>IFERROR(_xlfn.TEXTJOIN(CHAR(10),TRUE,IF((元データ!$AL$2:$AL$2001=1)*(元データ!$AN$2:$AN$2001=1)*(元データ!$AE$2:$AE$2001=$C$75)*(元データ!$AO$2:$AO$2001=1)*(元データ!$AM$2:$AM$2001&gt;=15)*(元データ!$AM$2:$AM$2001&lt;=21)*(元データ!$E$2:$E$2001="40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75" s="190">
        <f>SUMPRODUCT((元データ!$AL$2:$AL$2001=1)*(元データ!$AN$2:$AN$2001=1)*(元データ!$AE$2:$AE$2001=$C$75)*(元データ!$AO$2:$AO$2001=1)*(元データ!$AM$2:$AM$2001&gt;=22)*(元データ!$AM$2:$AM$2001&lt;=30))</f>
        <v/>
      </c>
      <c r="AN75" s="191">
        <f>SUMPRODUCT((元データ!$AL$2:$AL$2001=1)*(元データ!$AN$2:$AN$2001=1)*(元データ!$AE$2:$AE$2001=$C$75)*(元データ!$AO$2:$AO$2001=1)*(元データ!$AM$2:$AM$2001&gt;=22)*(元データ!$AM$2:$AM$2001&lt;=30)*(元データ!$E$2:$E$2001="20 確認待ち"))</f>
        <v/>
      </c>
      <c r="AO75" s="192">
        <f>IFERROR(_xlfn.TEXTJOIN(CHAR(10),TRUE,IF((元データ!$AL$2:$AL$2001=1)*(元データ!$AN$2:$AN$2001=1)*(元データ!$AE$2:$AE$2001=$C$75)*(元データ!$AO$2:$AO$2001=1)*(元データ!$AM$2:$AM$2001&gt;=22)*(元データ!$AM$2:$AM$2001&lt;=30)*(元データ!$E$2:$E$2001="20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75" s="191">
        <f>SUMPRODUCT((元データ!$AL$2:$AL$2001=1)*(元データ!$AN$2:$AN$2001=1)*(元データ!$AE$2:$AE$2001=$C$75)*(元データ!$AO$2:$AO$2001=1)*(元データ!$AM$2:$AM$2001&gt;=22)*(元データ!$AM$2:$AM$2001&lt;=30)*(元データ!$E$2:$E$2001="30 申請受付"))</f>
        <v/>
      </c>
      <c r="AQ75" s="192">
        <f>IFERROR(_xlfn.TEXTJOIN(CHAR(10),TRUE,IF((元データ!$AL$2:$AL$2001=1)*(元データ!$AN$2:$AN$2001=1)*(元データ!$AE$2:$AE$2001=$C$75)*(元データ!$AO$2:$AO$2001=1)*(元データ!$AM$2:$AM$2001&gt;=22)*(元データ!$AM$2:$AM$2001&lt;=30)*(元データ!$E$2:$E$2001="30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75" s="191">
        <f>SUMPRODUCT((元データ!$AL$2:$AL$2001=1)*(元データ!$AN$2:$AN$2001=1)*(元データ!$AE$2:$AE$2001=$C$75)*(元データ!$AO$2:$AO$2001=1)*(元データ!$AM$2:$AM$2001&gt;=22)*(元データ!$AM$2:$AM$2001&lt;=30)*(元データ!$E$2:$E$2001="31 ＯＰ確認中"))</f>
        <v/>
      </c>
      <c r="AS75" s="192">
        <f>IFERROR(_xlfn.TEXTJOIN(CHAR(10),TRUE,IF((元データ!$AL$2:$AL$2001=1)*(元データ!$AN$2:$AN$2001=1)*(元データ!$AE$2:$AE$2001=$C$75)*(元データ!$AO$2:$AO$2001=1)*(元データ!$AM$2:$AM$2001&gt;=22)*(元データ!$AM$2:$AM$2001&lt;=30)*(元データ!$E$2:$E$2001="31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75" s="191">
        <f>SUMPRODUCT((元データ!$AL$2:$AL$2001=1)*(元データ!$AN$2:$AN$2001=1)*(元データ!$AE$2:$AE$2001=$C$75)*(元データ!$AO$2:$AO$2001=1)*(元データ!$AM$2:$AM$2001&gt;=22)*(元データ!$AM$2:$AM$2001&lt;=30)*(元データ!$E$2:$E$2001="32 ＳＶ確認中"))</f>
        <v/>
      </c>
      <c r="AU75" s="192">
        <f>IFERROR(_xlfn.TEXTJOIN(CHAR(10),TRUE,IF((元データ!$AL$2:$AL$2001=1)*(元データ!$AN$2:$AN$2001=1)*(元データ!$AE$2:$AE$2001=$C$75)*(元データ!$AO$2:$AO$2001=1)*(元データ!$AM$2:$AM$2001&gt;=22)*(元データ!$AM$2:$AM$2001&lt;=30)*(元データ!$E$2:$E$2001="32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75" s="191">
        <f>SUMPRODUCT((元データ!$AL$2:$AL$2001=1)*(元データ!$AN$2:$AN$2001=1)*(元データ!$AE$2:$AE$2001=$C$75)*(元データ!$AO$2:$AO$2001=1)*(元データ!$AM$2:$AM$2001&gt;=22)*(元データ!$AM$2:$AM$2001&lt;=30)*(元データ!$E$2:$E$2001="40 差戻し"))</f>
        <v/>
      </c>
      <c r="AW75" s="192">
        <f>IFERROR(_xlfn.TEXTJOIN(CHAR(10),TRUE,IF((元データ!$AL$2:$AL$2001=1)*(元データ!$AN$2:$AN$2001=1)*(元データ!$AE$2:$AE$2001=$C$75)*(元データ!$AO$2:$AO$2001=1)*(元データ!$AM$2:$AM$2001&gt;=22)*(元データ!$AM$2:$AM$2001&lt;=30)*(元データ!$E$2:$E$2001="40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75" s="193">
        <f>SUMPRODUCT((元データ!$AL$2:$AL$2001=1)*(元データ!$AN$2:$AN$2001=1)*(元データ!$AE$2:$AE$2001=$C$75)*(元データ!$AO$2:$AO$2001=1)*(元データ!$AM$2:$AM$2001&gt;=31))</f>
        <v/>
      </c>
      <c r="AY75" s="194">
        <f>SUMPRODUCT((元データ!$AL$2:$AL$2001=1)*(元データ!$AN$2:$AN$2001=1)*(元データ!$AE$2:$AE$2001=$C$75)*(元データ!$AO$2:$AO$2001=1)*(元データ!$AM$2:$AM$2001&gt;=31)*(元データ!$E$2:$E$2001="20 確認待ち"))</f>
        <v/>
      </c>
      <c r="AZ75" s="195">
        <f>IFERROR(_xlfn.TEXTJOIN(CHAR(10),TRUE,IF((元データ!$AL$2:$AL$2001=1)*(元データ!$AN$2:$AN$2001=1)*(元データ!$AE$2:$AE$2001=$C$75)*(元データ!$AO$2:$AO$2001=1)*(元データ!$AM$2:$AM$2001&gt;=31)*(元データ!$E$2:$E$2001="20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75" s="194">
        <f>SUMPRODUCT((元データ!$AL$2:$AL$2001=1)*(元データ!$AN$2:$AN$2001=1)*(元データ!$AE$2:$AE$2001=$C$75)*(元データ!$AO$2:$AO$2001=1)*(元データ!$AM$2:$AM$2001&gt;=31)*(元データ!$E$2:$E$2001="30 申請受付"))</f>
        <v/>
      </c>
      <c r="BB75" s="195">
        <f>IFERROR(_xlfn.TEXTJOIN(CHAR(10),TRUE,IF((元データ!$AL$2:$AL$2001=1)*(元データ!$AN$2:$AN$2001=1)*(元データ!$AE$2:$AE$2001=$C$75)*(元データ!$AO$2:$AO$2001=1)*(元データ!$AM$2:$AM$2001&gt;=31)*(元データ!$E$2:$E$2001="30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75" s="194">
        <f>SUMPRODUCT((元データ!$AL$2:$AL$2001=1)*(元データ!$AN$2:$AN$2001=1)*(元データ!$AE$2:$AE$2001=$C$75)*(元データ!$AO$2:$AO$2001=1)*(元データ!$AM$2:$AM$2001&gt;=31)*(元データ!$E$2:$E$2001="31 ＯＰ確認中"))</f>
        <v/>
      </c>
      <c r="BD75" s="195">
        <f>IFERROR(_xlfn.TEXTJOIN(CHAR(10),TRUE,IF((元データ!$AL$2:$AL$2001=1)*(元データ!$AN$2:$AN$2001=1)*(元データ!$AE$2:$AE$2001=$C$75)*(元データ!$AO$2:$AO$2001=1)*(元データ!$AM$2:$AM$2001&gt;=31)*(元データ!$E$2:$E$2001="31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75" s="194">
        <f>SUMPRODUCT((元データ!$AL$2:$AL$2001=1)*(元データ!$AN$2:$AN$2001=1)*(元データ!$AE$2:$AE$2001=$C$75)*(元データ!$AO$2:$AO$2001=1)*(元データ!$AM$2:$AM$2001&gt;=31)*(元データ!$E$2:$E$2001="32 ＳＶ確認中"))</f>
        <v/>
      </c>
      <c r="BF75" s="195">
        <f>IFERROR(_xlfn.TEXTJOIN(CHAR(10),TRUE,IF((元データ!$AL$2:$AL$2001=1)*(元データ!$AN$2:$AN$2001=1)*(元データ!$AE$2:$AE$2001=$C$75)*(元データ!$AO$2:$AO$2001=1)*(元データ!$AM$2:$AM$2001&gt;=31)*(元データ!$E$2:$E$2001="32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75" s="194">
        <f>SUMPRODUCT((元データ!$AL$2:$AL$2001=1)*(元データ!$AN$2:$AN$2001=1)*(元データ!$AE$2:$AE$2001=$C$75)*(元データ!$AO$2:$AO$2001=1)*(元データ!$AM$2:$AM$2001&gt;=31)*(元データ!$E$2:$E$2001="40 差戻し"))</f>
        <v/>
      </c>
      <c r="BH75" s="195">
        <f>IFERROR(_xlfn.TEXTJOIN(CHAR(10),TRUE,IF((元データ!$AL$2:$AL$2001=1)*(元データ!$AN$2:$AN$2001=1)*(元データ!$AE$2:$AE$2001=$C$75)*(元データ!$AO$2:$AO$2001=1)*(元データ!$AM$2:$AM$2001&gt;=31)*(元データ!$E$2:$E$2001="40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76" ht="19.5" customHeight="1" s="87">
      <c r="B76" s="155" t="n"/>
      <c r="C76" s="156" t="n"/>
      <c r="D76" s="157" t="inlineStr">
        <is>
          <t>なし</t>
        </is>
      </c>
      <c r="E76" s="158">
        <f>SUMPRODUCT((元データ!$AL$2:$AL$2001=1)*(元データ!$AN$2:$AN$2001=1)*(元データ!$AE$2:$AE$2001=$C$75)*(元データ!$AO$2:$AO$2001=0))</f>
        <v/>
      </c>
      <c r="F76" s="196">
        <f>SUMPRODUCT((元データ!$AL$2:$AL$2001=1)*(元データ!$AN$2:$AN$2001=1)*(元データ!$AE$2:$AE$2001=$C$75)*(元データ!$AO$2:$AO$2001=0)*(元データ!$AM$2:$AM$2001&lt;=7))</f>
        <v/>
      </c>
      <c r="G76" s="197">
        <f>SUMPRODUCT((元データ!$AL$2:$AL$2001=1)*(元データ!$AN$2:$AN$2001=1)*(元データ!$AE$2:$AE$2001=$C$75)*(元データ!$AO$2:$AO$2001=0)*(元データ!$AM$2:$AM$2001&lt;=7)*(元データ!$E$2:$E$2001="20 確認待ち"))</f>
        <v/>
      </c>
      <c r="H76" s="198">
        <f>IFERROR(_xlfn.TEXTJOIN(CHAR(10),TRUE,IF((元データ!$AL$2:$AL$2001=1)*(元データ!$AN$2:$AN$2001=1)*(元データ!$AE$2:$AE$2001=$C$75)*(元データ!$AO$2:$AO$2001=0)*(元データ!$AM$2:$AM$2001&lt;=7)*(元データ!$E$2:$E$2001="20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76" s="197">
        <f>SUMPRODUCT((元データ!$AL$2:$AL$2001=1)*(元データ!$AN$2:$AN$2001=1)*(元データ!$AE$2:$AE$2001=$C$75)*(元データ!$AO$2:$AO$2001=0)*(元データ!$AM$2:$AM$2001&lt;=7)*(元データ!$E$2:$E$2001="30 申請受付"))</f>
        <v/>
      </c>
      <c r="J76" s="198">
        <f>IFERROR(_xlfn.TEXTJOIN(CHAR(10),TRUE,IF((元データ!$AL$2:$AL$2001=1)*(元データ!$AN$2:$AN$2001=1)*(元データ!$AE$2:$AE$2001=$C$75)*(元データ!$AO$2:$AO$2001=0)*(元データ!$AM$2:$AM$2001&lt;=7)*(元データ!$E$2:$E$2001="30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76" s="197">
        <f>SUMPRODUCT((元データ!$AL$2:$AL$2001=1)*(元データ!$AN$2:$AN$2001=1)*(元データ!$AE$2:$AE$2001=$C$75)*(元データ!$AO$2:$AO$2001=0)*(元データ!$AM$2:$AM$2001&lt;=7)*(元データ!$E$2:$E$2001="31 ＯＰ確認中"))</f>
        <v/>
      </c>
      <c r="L76" s="198">
        <f>IFERROR(_xlfn.TEXTJOIN(CHAR(10),TRUE,IF((元データ!$AL$2:$AL$2001=1)*(元データ!$AN$2:$AN$2001=1)*(元データ!$AE$2:$AE$2001=$C$75)*(元データ!$AO$2:$AO$2001=0)*(元データ!$AM$2:$AM$2001&lt;=7)*(元データ!$E$2:$E$2001="31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76" s="197">
        <f>SUMPRODUCT((元データ!$AL$2:$AL$2001=1)*(元データ!$AN$2:$AN$2001=1)*(元データ!$AE$2:$AE$2001=$C$75)*(元データ!$AO$2:$AO$2001=0)*(元データ!$AM$2:$AM$2001&lt;=7)*(元データ!$E$2:$E$2001="32 ＳＶ確認中"))</f>
        <v/>
      </c>
      <c r="N76" s="198">
        <f>IFERROR(_xlfn.TEXTJOIN(CHAR(10),TRUE,IF((元データ!$AL$2:$AL$2001=1)*(元データ!$AN$2:$AN$2001=1)*(元データ!$AE$2:$AE$2001=$C$75)*(元データ!$AO$2:$AO$2001=0)*(元データ!$AM$2:$AM$2001&lt;=7)*(元データ!$E$2:$E$2001="32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76" s="197">
        <f>SUMPRODUCT((元データ!$AL$2:$AL$2001=1)*(元データ!$AN$2:$AN$2001=1)*(元データ!$AE$2:$AE$2001=$C$75)*(元データ!$AO$2:$AO$2001=0)*(元データ!$AM$2:$AM$2001&lt;=7)*(元データ!$E$2:$E$2001="40 差戻し"))</f>
        <v/>
      </c>
      <c r="P76" s="198">
        <f>IFERROR(_xlfn.TEXTJOIN(CHAR(10),TRUE,IF((元データ!$AL$2:$AL$2001=1)*(元データ!$AN$2:$AN$2001=1)*(元データ!$AE$2:$AE$2001=$C$75)*(元データ!$AO$2:$AO$2001=0)*(元データ!$AM$2:$AM$2001&lt;=7)*(元データ!$E$2:$E$2001="40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76" s="196">
        <f>SUMPRODUCT((元データ!$AL$2:$AL$2001=1)*(元データ!$AN$2:$AN$2001=1)*(元データ!$AE$2:$AE$2001=$C$75)*(元データ!$AO$2:$AO$2001=0)*(元データ!$AM$2:$AM$2001&gt;=8)*(元データ!$AM$2:$AM$2001&lt;=14))</f>
        <v/>
      </c>
      <c r="R76" s="197">
        <f>SUMPRODUCT((元データ!$AL$2:$AL$2001=1)*(元データ!$AN$2:$AN$2001=1)*(元データ!$AE$2:$AE$2001=$C$75)*(元データ!$AO$2:$AO$2001=0)*(元データ!$AM$2:$AM$2001&gt;=8)*(元データ!$AM$2:$AM$2001&lt;=14)*(元データ!$E$2:$E$2001="20 確認待ち"))</f>
        <v/>
      </c>
      <c r="S76" s="198">
        <f>IFERROR(_xlfn.TEXTJOIN(CHAR(10),TRUE,IF((元データ!$AL$2:$AL$2001=1)*(元データ!$AN$2:$AN$2001=1)*(元データ!$AE$2:$AE$2001=$C$75)*(元データ!$AO$2:$AO$2001=0)*(元データ!$AM$2:$AM$2001&gt;=8)*(元データ!$AM$2:$AM$2001&lt;=14)*(元データ!$E$2:$E$2001="20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76" s="197">
        <f>SUMPRODUCT((元データ!$AL$2:$AL$2001=1)*(元データ!$AN$2:$AN$2001=1)*(元データ!$AE$2:$AE$2001=$C$75)*(元データ!$AO$2:$AO$2001=0)*(元データ!$AM$2:$AM$2001&gt;=8)*(元データ!$AM$2:$AM$2001&lt;=14)*(元データ!$E$2:$E$2001="30 申請受付"))</f>
        <v/>
      </c>
      <c r="U76" s="198">
        <f>IFERROR(_xlfn.TEXTJOIN(CHAR(10),TRUE,IF((元データ!$AL$2:$AL$2001=1)*(元データ!$AN$2:$AN$2001=1)*(元データ!$AE$2:$AE$2001=$C$75)*(元データ!$AO$2:$AO$2001=0)*(元データ!$AM$2:$AM$2001&gt;=8)*(元データ!$AM$2:$AM$2001&lt;=14)*(元データ!$E$2:$E$2001="30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76" s="197">
        <f>SUMPRODUCT((元データ!$AL$2:$AL$2001=1)*(元データ!$AN$2:$AN$2001=1)*(元データ!$AE$2:$AE$2001=$C$75)*(元データ!$AO$2:$AO$2001=0)*(元データ!$AM$2:$AM$2001&gt;=8)*(元データ!$AM$2:$AM$2001&lt;=14)*(元データ!$E$2:$E$2001="31 ＯＰ確認中"))</f>
        <v/>
      </c>
      <c r="W76" s="198">
        <f>IFERROR(_xlfn.TEXTJOIN(CHAR(10),TRUE,IF((元データ!$AL$2:$AL$2001=1)*(元データ!$AN$2:$AN$2001=1)*(元データ!$AE$2:$AE$2001=$C$75)*(元データ!$AO$2:$AO$2001=0)*(元データ!$AM$2:$AM$2001&gt;=8)*(元データ!$AM$2:$AM$2001&lt;=14)*(元データ!$E$2:$E$2001="31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76" s="197">
        <f>SUMPRODUCT((元データ!$AL$2:$AL$2001=1)*(元データ!$AN$2:$AN$2001=1)*(元データ!$AE$2:$AE$2001=$C$75)*(元データ!$AO$2:$AO$2001=0)*(元データ!$AM$2:$AM$2001&gt;=8)*(元データ!$AM$2:$AM$2001&lt;=14)*(元データ!$E$2:$E$2001="32 ＳＶ確認中"))</f>
        <v/>
      </c>
      <c r="Y76" s="198">
        <f>IFERROR(_xlfn.TEXTJOIN(CHAR(10),TRUE,IF((元データ!$AL$2:$AL$2001=1)*(元データ!$AN$2:$AN$2001=1)*(元データ!$AE$2:$AE$2001=$C$75)*(元データ!$AO$2:$AO$2001=0)*(元データ!$AM$2:$AM$2001&gt;=8)*(元データ!$AM$2:$AM$2001&lt;=14)*(元データ!$E$2:$E$2001="32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76" s="197">
        <f>SUMPRODUCT((元データ!$AL$2:$AL$2001=1)*(元データ!$AN$2:$AN$2001=1)*(元データ!$AE$2:$AE$2001=$C$75)*(元データ!$AO$2:$AO$2001=0)*(元データ!$AM$2:$AM$2001&gt;=8)*(元データ!$AM$2:$AM$2001&lt;=14)*(元データ!$E$2:$E$2001="40 差戻し"))</f>
        <v/>
      </c>
      <c r="AA76" s="198">
        <f>IFERROR(_xlfn.TEXTJOIN(CHAR(10),TRUE,IF((元データ!$AL$2:$AL$2001=1)*(元データ!$AN$2:$AN$2001=1)*(元データ!$AE$2:$AE$2001=$C$75)*(元データ!$AO$2:$AO$2001=0)*(元データ!$AM$2:$AM$2001&gt;=8)*(元データ!$AM$2:$AM$2001&lt;=14)*(元データ!$E$2:$E$2001="40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76" s="187">
        <f>SUMPRODUCT((元データ!$AL$2:$AL$2001=1)*(元データ!$AN$2:$AN$2001=1)*(元データ!$AE$2:$AE$2001=$C$75)*(元データ!$AO$2:$AO$2001=0)*(元データ!$AM$2:$AM$2001&gt;=15)*(元データ!$AM$2:$AM$2001&lt;=21))</f>
        <v/>
      </c>
      <c r="AC76" s="188">
        <f>SUMPRODUCT((元データ!$AL$2:$AL$2001=1)*(元データ!$AN$2:$AN$2001=1)*(元データ!$AE$2:$AE$2001=$C$75)*(元データ!$AO$2:$AO$2001=0)*(元データ!$AM$2:$AM$2001&gt;=15)*(元データ!$AM$2:$AM$2001&lt;=21)*(元データ!$E$2:$E$2001="20 確認待ち"))</f>
        <v/>
      </c>
      <c r="AD76" s="189">
        <f>IFERROR(_xlfn.TEXTJOIN(CHAR(10),TRUE,IF((元データ!$AL$2:$AL$2001=1)*(元データ!$AN$2:$AN$2001=1)*(元データ!$AE$2:$AE$2001=$C$75)*(元データ!$AO$2:$AO$2001=0)*(元データ!$AM$2:$AM$2001&gt;=15)*(元データ!$AM$2:$AM$2001&lt;=21)*(元データ!$E$2:$E$2001="20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76" s="188">
        <f>SUMPRODUCT((元データ!$AL$2:$AL$2001=1)*(元データ!$AN$2:$AN$2001=1)*(元データ!$AE$2:$AE$2001=$C$75)*(元データ!$AO$2:$AO$2001=0)*(元データ!$AM$2:$AM$2001&gt;=15)*(元データ!$AM$2:$AM$2001&lt;=21)*(元データ!$E$2:$E$2001="30 申請受付"))</f>
        <v/>
      </c>
      <c r="AF76" s="189">
        <f>IFERROR(_xlfn.TEXTJOIN(CHAR(10),TRUE,IF((元データ!$AL$2:$AL$2001=1)*(元データ!$AN$2:$AN$2001=1)*(元データ!$AE$2:$AE$2001=$C$75)*(元データ!$AO$2:$AO$2001=0)*(元データ!$AM$2:$AM$2001&gt;=15)*(元データ!$AM$2:$AM$2001&lt;=21)*(元データ!$E$2:$E$2001="30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76" s="188">
        <f>SUMPRODUCT((元データ!$AL$2:$AL$2001=1)*(元データ!$AN$2:$AN$2001=1)*(元データ!$AE$2:$AE$2001=$C$75)*(元データ!$AO$2:$AO$2001=0)*(元データ!$AM$2:$AM$2001&gt;=15)*(元データ!$AM$2:$AM$2001&lt;=21)*(元データ!$E$2:$E$2001="31 ＯＰ確認中"))</f>
        <v/>
      </c>
      <c r="AH76" s="189">
        <f>IFERROR(_xlfn.TEXTJOIN(CHAR(10),TRUE,IF((元データ!$AL$2:$AL$2001=1)*(元データ!$AN$2:$AN$2001=1)*(元データ!$AE$2:$AE$2001=$C$75)*(元データ!$AO$2:$AO$2001=0)*(元データ!$AM$2:$AM$2001&gt;=15)*(元データ!$AM$2:$AM$2001&lt;=21)*(元データ!$E$2:$E$2001="31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76" s="188">
        <f>SUMPRODUCT((元データ!$AL$2:$AL$2001=1)*(元データ!$AN$2:$AN$2001=1)*(元データ!$AE$2:$AE$2001=$C$75)*(元データ!$AO$2:$AO$2001=0)*(元データ!$AM$2:$AM$2001&gt;=15)*(元データ!$AM$2:$AM$2001&lt;=21)*(元データ!$E$2:$E$2001="32 ＳＶ確認中"))</f>
        <v/>
      </c>
      <c r="AJ76" s="189">
        <f>IFERROR(_xlfn.TEXTJOIN(CHAR(10),TRUE,IF((元データ!$AL$2:$AL$2001=1)*(元データ!$AN$2:$AN$2001=1)*(元データ!$AE$2:$AE$2001=$C$75)*(元データ!$AO$2:$AO$2001=0)*(元データ!$AM$2:$AM$2001&gt;=15)*(元データ!$AM$2:$AM$2001&lt;=21)*(元データ!$E$2:$E$2001="32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76" s="188">
        <f>SUMPRODUCT((元データ!$AL$2:$AL$2001=1)*(元データ!$AN$2:$AN$2001=1)*(元データ!$AE$2:$AE$2001=$C$75)*(元データ!$AO$2:$AO$2001=0)*(元データ!$AM$2:$AM$2001&gt;=15)*(元データ!$AM$2:$AM$2001&lt;=21)*(元データ!$E$2:$E$2001="40 差戻し"))</f>
        <v/>
      </c>
      <c r="AL76" s="189">
        <f>IFERROR(_xlfn.TEXTJOIN(CHAR(10),TRUE,IF((元データ!$AL$2:$AL$2001=1)*(元データ!$AN$2:$AN$2001=1)*(元データ!$AE$2:$AE$2001=$C$75)*(元データ!$AO$2:$AO$2001=0)*(元データ!$AM$2:$AM$2001&gt;=15)*(元データ!$AM$2:$AM$2001&lt;=21)*(元データ!$E$2:$E$2001="40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76" s="190">
        <f>SUMPRODUCT((元データ!$AL$2:$AL$2001=1)*(元データ!$AN$2:$AN$2001=1)*(元データ!$AE$2:$AE$2001=$C$75)*(元データ!$AO$2:$AO$2001=0)*(元データ!$AM$2:$AM$2001&gt;=22)*(元データ!$AM$2:$AM$2001&lt;=30))</f>
        <v/>
      </c>
      <c r="AN76" s="191">
        <f>SUMPRODUCT((元データ!$AL$2:$AL$2001=1)*(元データ!$AN$2:$AN$2001=1)*(元データ!$AE$2:$AE$2001=$C$75)*(元データ!$AO$2:$AO$2001=0)*(元データ!$AM$2:$AM$2001&gt;=22)*(元データ!$AM$2:$AM$2001&lt;=30)*(元データ!$E$2:$E$2001="20 確認待ち"))</f>
        <v/>
      </c>
      <c r="AO76" s="192">
        <f>IFERROR(_xlfn.TEXTJOIN(CHAR(10),TRUE,IF((元データ!$AL$2:$AL$2001=1)*(元データ!$AN$2:$AN$2001=1)*(元データ!$AE$2:$AE$2001=$C$75)*(元データ!$AO$2:$AO$2001=0)*(元データ!$AM$2:$AM$2001&gt;=22)*(元データ!$AM$2:$AM$2001&lt;=30)*(元データ!$E$2:$E$2001="20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76" s="191">
        <f>SUMPRODUCT((元データ!$AL$2:$AL$2001=1)*(元データ!$AN$2:$AN$2001=1)*(元データ!$AE$2:$AE$2001=$C$75)*(元データ!$AO$2:$AO$2001=0)*(元データ!$AM$2:$AM$2001&gt;=22)*(元データ!$AM$2:$AM$2001&lt;=30)*(元データ!$E$2:$E$2001="30 申請受付"))</f>
        <v/>
      </c>
      <c r="AQ76" s="192">
        <f>IFERROR(_xlfn.TEXTJOIN(CHAR(10),TRUE,IF((元データ!$AL$2:$AL$2001=1)*(元データ!$AN$2:$AN$2001=1)*(元データ!$AE$2:$AE$2001=$C$75)*(元データ!$AO$2:$AO$2001=0)*(元データ!$AM$2:$AM$2001&gt;=22)*(元データ!$AM$2:$AM$2001&lt;=30)*(元データ!$E$2:$E$2001="30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76" s="191">
        <f>SUMPRODUCT((元データ!$AL$2:$AL$2001=1)*(元データ!$AN$2:$AN$2001=1)*(元データ!$AE$2:$AE$2001=$C$75)*(元データ!$AO$2:$AO$2001=0)*(元データ!$AM$2:$AM$2001&gt;=22)*(元データ!$AM$2:$AM$2001&lt;=30)*(元データ!$E$2:$E$2001="31 ＯＰ確認中"))</f>
        <v/>
      </c>
      <c r="AS76" s="192">
        <f>IFERROR(_xlfn.TEXTJOIN(CHAR(10),TRUE,IF((元データ!$AL$2:$AL$2001=1)*(元データ!$AN$2:$AN$2001=1)*(元データ!$AE$2:$AE$2001=$C$75)*(元データ!$AO$2:$AO$2001=0)*(元データ!$AM$2:$AM$2001&gt;=22)*(元データ!$AM$2:$AM$2001&lt;=30)*(元データ!$E$2:$E$2001="31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76" s="191">
        <f>SUMPRODUCT((元データ!$AL$2:$AL$2001=1)*(元データ!$AN$2:$AN$2001=1)*(元データ!$AE$2:$AE$2001=$C$75)*(元データ!$AO$2:$AO$2001=0)*(元データ!$AM$2:$AM$2001&gt;=22)*(元データ!$AM$2:$AM$2001&lt;=30)*(元データ!$E$2:$E$2001="32 ＳＶ確認中"))</f>
        <v/>
      </c>
      <c r="AU76" s="192">
        <f>IFERROR(_xlfn.TEXTJOIN(CHAR(10),TRUE,IF((元データ!$AL$2:$AL$2001=1)*(元データ!$AN$2:$AN$2001=1)*(元データ!$AE$2:$AE$2001=$C$75)*(元データ!$AO$2:$AO$2001=0)*(元データ!$AM$2:$AM$2001&gt;=22)*(元データ!$AM$2:$AM$2001&lt;=30)*(元データ!$E$2:$E$2001="32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76" s="191">
        <f>SUMPRODUCT((元データ!$AL$2:$AL$2001=1)*(元データ!$AN$2:$AN$2001=1)*(元データ!$AE$2:$AE$2001=$C$75)*(元データ!$AO$2:$AO$2001=0)*(元データ!$AM$2:$AM$2001&gt;=22)*(元データ!$AM$2:$AM$2001&lt;=30)*(元データ!$E$2:$E$2001="40 差戻し"))</f>
        <v/>
      </c>
      <c r="AW76" s="192">
        <f>IFERROR(_xlfn.TEXTJOIN(CHAR(10),TRUE,IF((元データ!$AL$2:$AL$2001=1)*(元データ!$AN$2:$AN$2001=1)*(元データ!$AE$2:$AE$2001=$C$75)*(元データ!$AO$2:$AO$2001=0)*(元データ!$AM$2:$AM$2001&gt;=22)*(元データ!$AM$2:$AM$2001&lt;=30)*(元データ!$E$2:$E$2001="40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76" s="193">
        <f>SUMPRODUCT((元データ!$AL$2:$AL$2001=1)*(元データ!$AN$2:$AN$2001=1)*(元データ!$AE$2:$AE$2001=$C$75)*(元データ!$AO$2:$AO$2001=0)*(元データ!$AM$2:$AM$2001&gt;=31))</f>
        <v/>
      </c>
      <c r="AY76" s="194">
        <f>SUMPRODUCT((元データ!$AL$2:$AL$2001=1)*(元データ!$AN$2:$AN$2001=1)*(元データ!$AE$2:$AE$2001=$C$75)*(元データ!$AO$2:$AO$2001=0)*(元データ!$AM$2:$AM$2001&gt;=31)*(元データ!$E$2:$E$2001="20 確認待ち"))</f>
        <v/>
      </c>
      <c r="AZ76" s="195">
        <f>IFERROR(_xlfn.TEXTJOIN(CHAR(10),TRUE,IF((元データ!$AL$2:$AL$2001=1)*(元データ!$AN$2:$AN$2001=1)*(元データ!$AE$2:$AE$2001=$C$75)*(元データ!$AO$2:$AO$2001=0)*(元データ!$AM$2:$AM$2001&gt;=31)*(元データ!$E$2:$E$2001="20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76" s="194">
        <f>SUMPRODUCT((元データ!$AL$2:$AL$2001=1)*(元データ!$AN$2:$AN$2001=1)*(元データ!$AE$2:$AE$2001=$C$75)*(元データ!$AO$2:$AO$2001=0)*(元データ!$AM$2:$AM$2001&gt;=31)*(元データ!$E$2:$E$2001="30 申請受付"))</f>
        <v/>
      </c>
      <c r="BB76" s="195">
        <f>IFERROR(_xlfn.TEXTJOIN(CHAR(10),TRUE,IF((元データ!$AL$2:$AL$2001=1)*(元データ!$AN$2:$AN$2001=1)*(元データ!$AE$2:$AE$2001=$C$75)*(元データ!$AO$2:$AO$2001=0)*(元データ!$AM$2:$AM$2001&gt;=31)*(元データ!$E$2:$E$2001="30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76" s="194">
        <f>SUMPRODUCT((元データ!$AL$2:$AL$2001=1)*(元データ!$AN$2:$AN$2001=1)*(元データ!$AE$2:$AE$2001=$C$75)*(元データ!$AO$2:$AO$2001=0)*(元データ!$AM$2:$AM$2001&gt;=31)*(元データ!$E$2:$E$2001="31 ＯＰ確認中"))</f>
        <v/>
      </c>
      <c r="BD76" s="195">
        <f>IFERROR(_xlfn.TEXTJOIN(CHAR(10),TRUE,IF((元データ!$AL$2:$AL$2001=1)*(元データ!$AN$2:$AN$2001=1)*(元データ!$AE$2:$AE$2001=$C$75)*(元データ!$AO$2:$AO$2001=0)*(元データ!$AM$2:$AM$2001&gt;=31)*(元データ!$E$2:$E$2001="31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76" s="194">
        <f>SUMPRODUCT((元データ!$AL$2:$AL$2001=1)*(元データ!$AN$2:$AN$2001=1)*(元データ!$AE$2:$AE$2001=$C$75)*(元データ!$AO$2:$AO$2001=0)*(元データ!$AM$2:$AM$2001&gt;=31)*(元データ!$E$2:$E$2001="32 ＳＶ確認中"))</f>
        <v/>
      </c>
      <c r="BF76" s="195">
        <f>IFERROR(_xlfn.TEXTJOIN(CHAR(10),TRUE,IF((元データ!$AL$2:$AL$2001=1)*(元データ!$AN$2:$AN$2001=1)*(元データ!$AE$2:$AE$2001=$C$75)*(元データ!$AO$2:$AO$2001=0)*(元データ!$AM$2:$AM$2001&gt;=31)*(元データ!$E$2:$E$2001="32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76" s="194">
        <f>SUMPRODUCT((元データ!$AL$2:$AL$2001=1)*(元データ!$AN$2:$AN$2001=1)*(元データ!$AE$2:$AE$2001=$C$75)*(元データ!$AO$2:$AO$2001=0)*(元データ!$AM$2:$AM$2001&gt;=31)*(元データ!$E$2:$E$2001="40 差戻し"))</f>
        <v/>
      </c>
      <c r="BH76" s="195">
        <f>IFERROR(_xlfn.TEXTJOIN(CHAR(10),TRUE,IF((元データ!$AL$2:$AL$2001=1)*(元データ!$AN$2:$AN$2001=1)*(元データ!$AE$2:$AE$2001=$C$75)*(元データ!$AO$2:$AO$2001=0)*(元データ!$AM$2:$AM$2001&gt;=31)*(元データ!$E$2:$E$2001="40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77" ht="19.5" customHeight="1" s="87">
      <c r="B77" s="139" t="n"/>
      <c r="C77" s="140" t="inlineStr">
        <is>
          <t>54 別居</t>
        </is>
      </c>
      <c r="D77" s="141" t="inlineStr">
        <is>
          <t>あり</t>
        </is>
      </c>
      <c r="E77" s="142">
        <f>SUMPRODUCT((元データ!$AL$2:$AL$2001=1)*(元データ!$AN$2:$AN$2001=1)*(元データ!$AE$2:$AE$2001=$C$77)*(元データ!$AO$2:$AO$2001=1))</f>
        <v/>
      </c>
      <c r="F77" s="184">
        <f>SUMPRODUCT((元データ!$AL$2:$AL$2001=1)*(元データ!$AN$2:$AN$2001=1)*(元データ!$AE$2:$AE$2001=$C$77)*(元データ!$AO$2:$AO$2001=1)*(元データ!$AM$2:$AM$2001&lt;=7))</f>
        <v/>
      </c>
      <c r="G77" s="185">
        <f>SUMPRODUCT((元データ!$AL$2:$AL$2001=1)*(元データ!$AN$2:$AN$2001=1)*(元データ!$AE$2:$AE$2001=$C$77)*(元データ!$AO$2:$AO$2001=1)*(元データ!$AM$2:$AM$2001&lt;=7)*(元データ!$E$2:$E$2001="20 確認待ち"))</f>
        <v/>
      </c>
      <c r="H77" s="186">
        <f>IFERROR(_xlfn.TEXTJOIN(CHAR(10),TRUE,IF((元データ!$AL$2:$AL$2001=1)*(元データ!$AN$2:$AN$2001=1)*(元データ!$AE$2:$AE$2001=$C$77)*(元データ!$AO$2:$AO$2001=1)*(元データ!$AM$2:$AM$2001&lt;=7)*(元データ!$E$2:$E$2001="20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77" s="185">
        <f>SUMPRODUCT((元データ!$AL$2:$AL$2001=1)*(元データ!$AN$2:$AN$2001=1)*(元データ!$AE$2:$AE$2001=$C$77)*(元データ!$AO$2:$AO$2001=1)*(元データ!$AM$2:$AM$2001&lt;=7)*(元データ!$E$2:$E$2001="30 申請受付"))</f>
        <v/>
      </c>
      <c r="J77" s="186">
        <f>IFERROR(_xlfn.TEXTJOIN(CHAR(10),TRUE,IF((元データ!$AL$2:$AL$2001=1)*(元データ!$AN$2:$AN$2001=1)*(元データ!$AE$2:$AE$2001=$C$77)*(元データ!$AO$2:$AO$2001=1)*(元データ!$AM$2:$AM$2001&lt;=7)*(元データ!$E$2:$E$2001="30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77" s="185">
        <f>SUMPRODUCT((元データ!$AL$2:$AL$2001=1)*(元データ!$AN$2:$AN$2001=1)*(元データ!$AE$2:$AE$2001=$C$77)*(元データ!$AO$2:$AO$2001=1)*(元データ!$AM$2:$AM$2001&lt;=7)*(元データ!$E$2:$E$2001="31 ＯＰ確認中"))</f>
        <v/>
      </c>
      <c r="L77" s="186">
        <f>IFERROR(_xlfn.TEXTJOIN(CHAR(10),TRUE,IF((元データ!$AL$2:$AL$2001=1)*(元データ!$AN$2:$AN$2001=1)*(元データ!$AE$2:$AE$2001=$C$77)*(元データ!$AO$2:$AO$2001=1)*(元データ!$AM$2:$AM$2001&lt;=7)*(元データ!$E$2:$E$2001="31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77" s="185">
        <f>SUMPRODUCT((元データ!$AL$2:$AL$2001=1)*(元データ!$AN$2:$AN$2001=1)*(元データ!$AE$2:$AE$2001=$C$77)*(元データ!$AO$2:$AO$2001=1)*(元データ!$AM$2:$AM$2001&lt;=7)*(元データ!$E$2:$E$2001="32 ＳＶ確認中"))</f>
        <v/>
      </c>
      <c r="N77" s="186">
        <f>IFERROR(_xlfn.TEXTJOIN(CHAR(10),TRUE,IF((元データ!$AL$2:$AL$2001=1)*(元データ!$AN$2:$AN$2001=1)*(元データ!$AE$2:$AE$2001=$C$77)*(元データ!$AO$2:$AO$2001=1)*(元データ!$AM$2:$AM$2001&lt;=7)*(元データ!$E$2:$E$2001="32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77" s="185">
        <f>SUMPRODUCT((元データ!$AL$2:$AL$2001=1)*(元データ!$AN$2:$AN$2001=1)*(元データ!$AE$2:$AE$2001=$C$77)*(元データ!$AO$2:$AO$2001=1)*(元データ!$AM$2:$AM$2001&lt;=7)*(元データ!$E$2:$E$2001="40 差戻し"))</f>
        <v/>
      </c>
      <c r="P77" s="186">
        <f>IFERROR(_xlfn.TEXTJOIN(CHAR(10),TRUE,IF((元データ!$AL$2:$AL$2001=1)*(元データ!$AN$2:$AN$2001=1)*(元データ!$AE$2:$AE$2001=$C$77)*(元データ!$AO$2:$AO$2001=1)*(元データ!$AM$2:$AM$2001&lt;=7)*(元データ!$E$2:$E$2001="40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77" s="184">
        <f>SUMPRODUCT((元データ!$AL$2:$AL$2001=1)*(元データ!$AN$2:$AN$2001=1)*(元データ!$AE$2:$AE$2001=$C$77)*(元データ!$AO$2:$AO$2001=1)*(元データ!$AM$2:$AM$2001&gt;=8)*(元データ!$AM$2:$AM$2001&lt;=14))</f>
        <v/>
      </c>
      <c r="R77" s="185">
        <f>SUMPRODUCT((元データ!$AL$2:$AL$2001=1)*(元データ!$AN$2:$AN$2001=1)*(元データ!$AE$2:$AE$2001=$C$77)*(元データ!$AO$2:$AO$2001=1)*(元データ!$AM$2:$AM$2001&gt;=8)*(元データ!$AM$2:$AM$2001&lt;=14)*(元データ!$E$2:$E$2001="20 確認待ち"))</f>
        <v/>
      </c>
      <c r="S77" s="186">
        <f>IFERROR(_xlfn.TEXTJOIN(CHAR(10),TRUE,IF((元データ!$AL$2:$AL$2001=1)*(元データ!$AN$2:$AN$2001=1)*(元データ!$AE$2:$AE$2001=$C$77)*(元データ!$AO$2:$AO$2001=1)*(元データ!$AM$2:$AM$2001&gt;=8)*(元データ!$AM$2:$AM$2001&lt;=14)*(元データ!$E$2:$E$2001="20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77" s="185">
        <f>SUMPRODUCT((元データ!$AL$2:$AL$2001=1)*(元データ!$AN$2:$AN$2001=1)*(元データ!$AE$2:$AE$2001=$C$77)*(元データ!$AO$2:$AO$2001=1)*(元データ!$AM$2:$AM$2001&gt;=8)*(元データ!$AM$2:$AM$2001&lt;=14)*(元データ!$E$2:$E$2001="30 申請受付"))</f>
        <v/>
      </c>
      <c r="U77" s="186">
        <f>IFERROR(_xlfn.TEXTJOIN(CHAR(10),TRUE,IF((元データ!$AL$2:$AL$2001=1)*(元データ!$AN$2:$AN$2001=1)*(元データ!$AE$2:$AE$2001=$C$77)*(元データ!$AO$2:$AO$2001=1)*(元データ!$AM$2:$AM$2001&gt;=8)*(元データ!$AM$2:$AM$2001&lt;=14)*(元データ!$E$2:$E$2001="30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77" s="185">
        <f>SUMPRODUCT((元データ!$AL$2:$AL$2001=1)*(元データ!$AN$2:$AN$2001=1)*(元データ!$AE$2:$AE$2001=$C$77)*(元データ!$AO$2:$AO$2001=1)*(元データ!$AM$2:$AM$2001&gt;=8)*(元データ!$AM$2:$AM$2001&lt;=14)*(元データ!$E$2:$E$2001="31 ＯＰ確認中"))</f>
        <v/>
      </c>
      <c r="W77" s="186">
        <f>IFERROR(_xlfn.TEXTJOIN(CHAR(10),TRUE,IF((元データ!$AL$2:$AL$2001=1)*(元データ!$AN$2:$AN$2001=1)*(元データ!$AE$2:$AE$2001=$C$77)*(元データ!$AO$2:$AO$2001=1)*(元データ!$AM$2:$AM$2001&gt;=8)*(元データ!$AM$2:$AM$2001&lt;=14)*(元データ!$E$2:$E$2001="31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77" s="185">
        <f>SUMPRODUCT((元データ!$AL$2:$AL$2001=1)*(元データ!$AN$2:$AN$2001=1)*(元データ!$AE$2:$AE$2001=$C$77)*(元データ!$AO$2:$AO$2001=1)*(元データ!$AM$2:$AM$2001&gt;=8)*(元データ!$AM$2:$AM$2001&lt;=14)*(元データ!$E$2:$E$2001="32 ＳＶ確認中"))</f>
        <v/>
      </c>
      <c r="Y77" s="186">
        <f>IFERROR(_xlfn.TEXTJOIN(CHAR(10),TRUE,IF((元データ!$AL$2:$AL$2001=1)*(元データ!$AN$2:$AN$2001=1)*(元データ!$AE$2:$AE$2001=$C$77)*(元データ!$AO$2:$AO$2001=1)*(元データ!$AM$2:$AM$2001&gt;=8)*(元データ!$AM$2:$AM$2001&lt;=14)*(元データ!$E$2:$E$2001="32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77" s="185">
        <f>SUMPRODUCT((元データ!$AL$2:$AL$2001=1)*(元データ!$AN$2:$AN$2001=1)*(元データ!$AE$2:$AE$2001=$C$77)*(元データ!$AO$2:$AO$2001=1)*(元データ!$AM$2:$AM$2001&gt;=8)*(元データ!$AM$2:$AM$2001&lt;=14)*(元データ!$E$2:$E$2001="40 差戻し"))</f>
        <v/>
      </c>
      <c r="AA77" s="186">
        <f>IFERROR(_xlfn.TEXTJOIN(CHAR(10),TRUE,IF((元データ!$AL$2:$AL$2001=1)*(元データ!$AN$2:$AN$2001=1)*(元データ!$AE$2:$AE$2001=$C$77)*(元データ!$AO$2:$AO$2001=1)*(元データ!$AM$2:$AM$2001&gt;=8)*(元データ!$AM$2:$AM$2001&lt;=14)*(元データ!$E$2:$E$2001="40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77" s="187">
        <f>SUMPRODUCT((元データ!$AL$2:$AL$2001=1)*(元データ!$AN$2:$AN$2001=1)*(元データ!$AE$2:$AE$2001=$C$77)*(元データ!$AO$2:$AO$2001=1)*(元データ!$AM$2:$AM$2001&gt;=15)*(元データ!$AM$2:$AM$2001&lt;=21))</f>
        <v/>
      </c>
      <c r="AC77" s="188">
        <f>SUMPRODUCT((元データ!$AL$2:$AL$2001=1)*(元データ!$AN$2:$AN$2001=1)*(元データ!$AE$2:$AE$2001=$C$77)*(元データ!$AO$2:$AO$2001=1)*(元データ!$AM$2:$AM$2001&gt;=15)*(元データ!$AM$2:$AM$2001&lt;=21)*(元データ!$E$2:$E$2001="20 確認待ち"))</f>
        <v/>
      </c>
      <c r="AD77" s="189">
        <f>IFERROR(_xlfn.TEXTJOIN(CHAR(10),TRUE,IF((元データ!$AL$2:$AL$2001=1)*(元データ!$AN$2:$AN$2001=1)*(元データ!$AE$2:$AE$2001=$C$77)*(元データ!$AO$2:$AO$2001=1)*(元データ!$AM$2:$AM$2001&gt;=15)*(元データ!$AM$2:$AM$2001&lt;=21)*(元データ!$E$2:$E$2001="20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77" s="188">
        <f>SUMPRODUCT((元データ!$AL$2:$AL$2001=1)*(元データ!$AN$2:$AN$2001=1)*(元データ!$AE$2:$AE$2001=$C$77)*(元データ!$AO$2:$AO$2001=1)*(元データ!$AM$2:$AM$2001&gt;=15)*(元データ!$AM$2:$AM$2001&lt;=21)*(元データ!$E$2:$E$2001="30 申請受付"))</f>
        <v/>
      </c>
      <c r="AF77" s="189">
        <f>IFERROR(_xlfn.TEXTJOIN(CHAR(10),TRUE,IF((元データ!$AL$2:$AL$2001=1)*(元データ!$AN$2:$AN$2001=1)*(元データ!$AE$2:$AE$2001=$C$77)*(元データ!$AO$2:$AO$2001=1)*(元データ!$AM$2:$AM$2001&gt;=15)*(元データ!$AM$2:$AM$2001&lt;=21)*(元データ!$E$2:$E$2001="30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77" s="188">
        <f>SUMPRODUCT((元データ!$AL$2:$AL$2001=1)*(元データ!$AN$2:$AN$2001=1)*(元データ!$AE$2:$AE$2001=$C$77)*(元データ!$AO$2:$AO$2001=1)*(元データ!$AM$2:$AM$2001&gt;=15)*(元データ!$AM$2:$AM$2001&lt;=21)*(元データ!$E$2:$E$2001="31 ＯＰ確認中"))</f>
        <v/>
      </c>
      <c r="AH77" s="189">
        <f>IFERROR(_xlfn.TEXTJOIN(CHAR(10),TRUE,IF((元データ!$AL$2:$AL$2001=1)*(元データ!$AN$2:$AN$2001=1)*(元データ!$AE$2:$AE$2001=$C$77)*(元データ!$AO$2:$AO$2001=1)*(元データ!$AM$2:$AM$2001&gt;=15)*(元データ!$AM$2:$AM$2001&lt;=21)*(元データ!$E$2:$E$2001="31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77" s="188">
        <f>SUMPRODUCT((元データ!$AL$2:$AL$2001=1)*(元データ!$AN$2:$AN$2001=1)*(元データ!$AE$2:$AE$2001=$C$77)*(元データ!$AO$2:$AO$2001=1)*(元データ!$AM$2:$AM$2001&gt;=15)*(元データ!$AM$2:$AM$2001&lt;=21)*(元データ!$E$2:$E$2001="32 ＳＶ確認中"))</f>
        <v/>
      </c>
      <c r="AJ77" s="189">
        <f>IFERROR(_xlfn.TEXTJOIN(CHAR(10),TRUE,IF((元データ!$AL$2:$AL$2001=1)*(元データ!$AN$2:$AN$2001=1)*(元データ!$AE$2:$AE$2001=$C$77)*(元データ!$AO$2:$AO$2001=1)*(元データ!$AM$2:$AM$2001&gt;=15)*(元データ!$AM$2:$AM$2001&lt;=21)*(元データ!$E$2:$E$2001="32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77" s="188">
        <f>SUMPRODUCT((元データ!$AL$2:$AL$2001=1)*(元データ!$AN$2:$AN$2001=1)*(元データ!$AE$2:$AE$2001=$C$77)*(元データ!$AO$2:$AO$2001=1)*(元データ!$AM$2:$AM$2001&gt;=15)*(元データ!$AM$2:$AM$2001&lt;=21)*(元データ!$E$2:$E$2001="40 差戻し"))</f>
        <v/>
      </c>
      <c r="AL77" s="189">
        <f>IFERROR(_xlfn.TEXTJOIN(CHAR(10),TRUE,IF((元データ!$AL$2:$AL$2001=1)*(元データ!$AN$2:$AN$2001=1)*(元データ!$AE$2:$AE$2001=$C$77)*(元データ!$AO$2:$AO$2001=1)*(元データ!$AM$2:$AM$2001&gt;=15)*(元データ!$AM$2:$AM$2001&lt;=21)*(元データ!$E$2:$E$2001="40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77" s="190">
        <f>SUMPRODUCT((元データ!$AL$2:$AL$2001=1)*(元データ!$AN$2:$AN$2001=1)*(元データ!$AE$2:$AE$2001=$C$77)*(元データ!$AO$2:$AO$2001=1)*(元データ!$AM$2:$AM$2001&gt;=22)*(元データ!$AM$2:$AM$2001&lt;=30))</f>
        <v/>
      </c>
      <c r="AN77" s="191">
        <f>SUMPRODUCT((元データ!$AL$2:$AL$2001=1)*(元データ!$AN$2:$AN$2001=1)*(元データ!$AE$2:$AE$2001=$C$77)*(元データ!$AO$2:$AO$2001=1)*(元データ!$AM$2:$AM$2001&gt;=22)*(元データ!$AM$2:$AM$2001&lt;=30)*(元データ!$E$2:$E$2001="20 確認待ち"))</f>
        <v/>
      </c>
      <c r="AO77" s="192">
        <f>IFERROR(_xlfn.TEXTJOIN(CHAR(10),TRUE,IF((元データ!$AL$2:$AL$2001=1)*(元データ!$AN$2:$AN$2001=1)*(元データ!$AE$2:$AE$2001=$C$77)*(元データ!$AO$2:$AO$2001=1)*(元データ!$AM$2:$AM$2001&gt;=22)*(元データ!$AM$2:$AM$2001&lt;=30)*(元データ!$E$2:$E$2001="20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77" s="191">
        <f>SUMPRODUCT((元データ!$AL$2:$AL$2001=1)*(元データ!$AN$2:$AN$2001=1)*(元データ!$AE$2:$AE$2001=$C$77)*(元データ!$AO$2:$AO$2001=1)*(元データ!$AM$2:$AM$2001&gt;=22)*(元データ!$AM$2:$AM$2001&lt;=30)*(元データ!$E$2:$E$2001="30 申請受付"))</f>
        <v/>
      </c>
      <c r="AQ77" s="192">
        <f>IFERROR(_xlfn.TEXTJOIN(CHAR(10),TRUE,IF((元データ!$AL$2:$AL$2001=1)*(元データ!$AN$2:$AN$2001=1)*(元データ!$AE$2:$AE$2001=$C$77)*(元データ!$AO$2:$AO$2001=1)*(元データ!$AM$2:$AM$2001&gt;=22)*(元データ!$AM$2:$AM$2001&lt;=30)*(元データ!$E$2:$E$2001="30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77" s="191">
        <f>SUMPRODUCT((元データ!$AL$2:$AL$2001=1)*(元データ!$AN$2:$AN$2001=1)*(元データ!$AE$2:$AE$2001=$C$77)*(元データ!$AO$2:$AO$2001=1)*(元データ!$AM$2:$AM$2001&gt;=22)*(元データ!$AM$2:$AM$2001&lt;=30)*(元データ!$E$2:$E$2001="31 ＯＰ確認中"))</f>
        <v/>
      </c>
      <c r="AS77" s="192">
        <f>IFERROR(_xlfn.TEXTJOIN(CHAR(10),TRUE,IF((元データ!$AL$2:$AL$2001=1)*(元データ!$AN$2:$AN$2001=1)*(元データ!$AE$2:$AE$2001=$C$77)*(元データ!$AO$2:$AO$2001=1)*(元データ!$AM$2:$AM$2001&gt;=22)*(元データ!$AM$2:$AM$2001&lt;=30)*(元データ!$E$2:$E$2001="31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77" s="191">
        <f>SUMPRODUCT((元データ!$AL$2:$AL$2001=1)*(元データ!$AN$2:$AN$2001=1)*(元データ!$AE$2:$AE$2001=$C$77)*(元データ!$AO$2:$AO$2001=1)*(元データ!$AM$2:$AM$2001&gt;=22)*(元データ!$AM$2:$AM$2001&lt;=30)*(元データ!$E$2:$E$2001="32 ＳＶ確認中"))</f>
        <v/>
      </c>
      <c r="AU77" s="192">
        <f>IFERROR(_xlfn.TEXTJOIN(CHAR(10),TRUE,IF((元データ!$AL$2:$AL$2001=1)*(元データ!$AN$2:$AN$2001=1)*(元データ!$AE$2:$AE$2001=$C$77)*(元データ!$AO$2:$AO$2001=1)*(元データ!$AM$2:$AM$2001&gt;=22)*(元データ!$AM$2:$AM$2001&lt;=30)*(元データ!$E$2:$E$2001="32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77" s="191">
        <f>SUMPRODUCT((元データ!$AL$2:$AL$2001=1)*(元データ!$AN$2:$AN$2001=1)*(元データ!$AE$2:$AE$2001=$C$77)*(元データ!$AO$2:$AO$2001=1)*(元データ!$AM$2:$AM$2001&gt;=22)*(元データ!$AM$2:$AM$2001&lt;=30)*(元データ!$E$2:$E$2001="40 差戻し"))</f>
        <v/>
      </c>
      <c r="AW77" s="192">
        <f>IFERROR(_xlfn.TEXTJOIN(CHAR(10),TRUE,IF((元データ!$AL$2:$AL$2001=1)*(元データ!$AN$2:$AN$2001=1)*(元データ!$AE$2:$AE$2001=$C$77)*(元データ!$AO$2:$AO$2001=1)*(元データ!$AM$2:$AM$2001&gt;=22)*(元データ!$AM$2:$AM$2001&lt;=30)*(元データ!$E$2:$E$2001="40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77" s="193">
        <f>SUMPRODUCT((元データ!$AL$2:$AL$2001=1)*(元データ!$AN$2:$AN$2001=1)*(元データ!$AE$2:$AE$2001=$C$77)*(元データ!$AO$2:$AO$2001=1)*(元データ!$AM$2:$AM$2001&gt;=31))</f>
        <v/>
      </c>
      <c r="AY77" s="194">
        <f>SUMPRODUCT((元データ!$AL$2:$AL$2001=1)*(元データ!$AN$2:$AN$2001=1)*(元データ!$AE$2:$AE$2001=$C$77)*(元データ!$AO$2:$AO$2001=1)*(元データ!$AM$2:$AM$2001&gt;=31)*(元データ!$E$2:$E$2001="20 確認待ち"))</f>
        <v/>
      </c>
      <c r="AZ77" s="195">
        <f>IFERROR(_xlfn.TEXTJOIN(CHAR(10),TRUE,IF((元データ!$AL$2:$AL$2001=1)*(元データ!$AN$2:$AN$2001=1)*(元データ!$AE$2:$AE$2001=$C$77)*(元データ!$AO$2:$AO$2001=1)*(元データ!$AM$2:$AM$2001&gt;=31)*(元データ!$E$2:$E$2001="20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77" s="194">
        <f>SUMPRODUCT((元データ!$AL$2:$AL$2001=1)*(元データ!$AN$2:$AN$2001=1)*(元データ!$AE$2:$AE$2001=$C$77)*(元データ!$AO$2:$AO$2001=1)*(元データ!$AM$2:$AM$2001&gt;=31)*(元データ!$E$2:$E$2001="30 申請受付"))</f>
        <v/>
      </c>
      <c r="BB77" s="195">
        <f>IFERROR(_xlfn.TEXTJOIN(CHAR(10),TRUE,IF((元データ!$AL$2:$AL$2001=1)*(元データ!$AN$2:$AN$2001=1)*(元データ!$AE$2:$AE$2001=$C$77)*(元データ!$AO$2:$AO$2001=1)*(元データ!$AM$2:$AM$2001&gt;=31)*(元データ!$E$2:$E$2001="30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77" s="194">
        <f>SUMPRODUCT((元データ!$AL$2:$AL$2001=1)*(元データ!$AN$2:$AN$2001=1)*(元データ!$AE$2:$AE$2001=$C$77)*(元データ!$AO$2:$AO$2001=1)*(元データ!$AM$2:$AM$2001&gt;=31)*(元データ!$E$2:$E$2001="31 ＯＰ確認中"))</f>
        <v/>
      </c>
      <c r="BD77" s="195">
        <f>IFERROR(_xlfn.TEXTJOIN(CHAR(10),TRUE,IF((元データ!$AL$2:$AL$2001=1)*(元データ!$AN$2:$AN$2001=1)*(元データ!$AE$2:$AE$2001=$C$77)*(元データ!$AO$2:$AO$2001=1)*(元データ!$AM$2:$AM$2001&gt;=31)*(元データ!$E$2:$E$2001="31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77" s="194">
        <f>SUMPRODUCT((元データ!$AL$2:$AL$2001=1)*(元データ!$AN$2:$AN$2001=1)*(元データ!$AE$2:$AE$2001=$C$77)*(元データ!$AO$2:$AO$2001=1)*(元データ!$AM$2:$AM$2001&gt;=31)*(元データ!$E$2:$E$2001="32 ＳＶ確認中"))</f>
        <v/>
      </c>
      <c r="BF77" s="195">
        <f>IFERROR(_xlfn.TEXTJOIN(CHAR(10),TRUE,IF((元データ!$AL$2:$AL$2001=1)*(元データ!$AN$2:$AN$2001=1)*(元データ!$AE$2:$AE$2001=$C$77)*(元データ!$AO$2:$AO$2001=1)*(元データ!$AM$2:$AM$2001&gt;=31)*(元データ!$E$2:$E$2001="32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77" s="194">
        <f>SUMPRODUCT((元データ!$AL$2:$AL$2001=1)*(元データ!$AN$2:$AN$2001=1)*(元データ!$AE$2:$AE$2001=$C$77)*(元データ!$AO$2:$AO$2001=1)*(元データ!$AM$2:$AM$2001&gt;=31)*(元データ!$E$2:$E$2001="40 差戻し"))</f>
        <v/>
      </c>
      <c r="BH77" s="195">
        <f>IFERROR(_xlfn.TEXTJOIN(CHAR(10),TRUE,IF((元データ!$AL$2:$AL$2001=1)*(元データ!$AN$2:$AN$2001=1)*(元データ!$AE$2:$AE$2001=$C$77)*(元データ!$AO$2:$AO$2001=1)*(元データ!$AM$2:$AM$2001&gt;=31)*(元データ!$E$2:$E$2001="40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78" ht="19.5" customHeight="1" s="87">
      <c r="B78" s="155" t="n"/>
      <c r="C78" s="156" t="n"/>
      <c r="D78" s="157" t="inlineStr">
        <is>
          <t>なし</t>
        </is>
      </c>
      <c r="E78" s="158">
        <f>SUMPRODUCT((元データ!$AL$2:$AL$2001=1)*(元データ!$AN$2:$AN$2001=1)*(元データ!$AE$2:$AE$2001=$C$77)*(元データ!$AO$2:$AO$2001=0))</f>
        <v/>
      </c>
      <c r="F78" s="196">
        <f>SUMPRODUCT((元データ!$AL$2:$AL$2001=1)*(元データ!$AN$2:$AN$2001=1)*(元データ!$AE$2:$AE$2001=$C$77)*(元データ!$AO$2:$AO$2001=0)*(元データ!$AM$2:$AM$2001&lt;=7))</f>
        <v/>
      </c>
      <c r="G78" s="197">
        <f>SUMPRODUCT((元データ!$AL$2:$AL$2001=1)*(元データ!$AN$2:$AN$2001=1)*(元データ!$AE$2:$AE$2001=$C$77)*(元データ!$AO$2:$AO$2001=0)*(元データ!$AM$2:$AM$2001&lt;=7)*(元データ!$E$2:$E$2001="20 確認待ち"))</f>
        <v/>
      </c>
      <c r="H78" s="198">
        <f>IFERROR(_xlfn.TEXTJOIN(CHAR(10),TRUE,IF((元データ!$AL$2:$AL$2001=1)*(元データ!$AN$2:$AN$2001=1)*(元データ!$AE$2:$AE$2001=$C$77)*(元データ!$AO$2:$AO$2001=0)*(元データ!$AM$2:$AM$2001&lt;=7)*(元データ!$E$2:$E$2001="20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78" s="197">
        <f>SUMPRODUCT((元データ!$AL$2:$AL$2001=1)*(元データ!$AN$2:$AN$2001=1)*(元データ!$AE$2:$AE$2001=$C$77)*(元データ!$AO$2:$AO$2001=0)*(元データ!$AM$2:$AM$2001&lt;=7)*(元データ!$E$2:$E$2001="30 申請受付"))</f>
        <v/>
      </c>
      <c r="J78" s="198">
        <f>IFERROR(_xlfn.TEXTJOIN(CHAR(10),TRUE,IF((元データ!$AL$2:$AL$2001=1)*(元データ!$AN$2:$AN$2001=1)*(元データ!$AE$2:$AE$2001=$C$77)*(元データ!$AO$2:$AO$2001=0)*(元データ!$AM$2:$AM$2001&lt;=7)*(元データ!$E$2:$E$2001="30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78" s="197">
        <f>SUMPRODUCT((元データ!$AL$2:$AL$2001=1)*(元データ!$AN$2:$AN$2001=1)*(元データ!$AE$2:$AE$2001=$C$77)*(元データ!$AO$2:$AO$2001=0)*(元データ!$AM$2:$AM$2001&lt;=7)*(元データ!$E$2:$E$2001="31 ＯＰ確認中"))</f>
        <v/>
      </c>
      <c r="L78" s="198">
        <f>IFERROR(_xlfn.TEXTJOIN(CHAR(10),TRUE,IF((元データ!$AL$2:$AL$2001=1)*(元データ!$AN$2:$AN$2001=1)*(元データ!$AE$2:$AE$2001=$C$77)*(元データ!$AO$2:$AO$2001=0)*(元データ!$AM$2:$AM$2001&lt;=7)*(元データ!$E$2:$E$2001="31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78" s="197">
        <f>SUMPRODUCT((元データ!$AL$2:$AL$2001=1)*(元データ!$AN$2:$AN$2001=1)*(元データ!$AE$2:$AE$2001=$C$77)*(元データ!$AO$2:$AO$2001=0)*(元データ!$AM$2:$AM$2001&lt;=7)*(元データ!$E$2:$E$2001="32 ＳＶ確認中"))</f>
        <v/>
      </c>
      <c r="N78" s="198">
        <f>IFERROR(_xlfn.TEXTJOIN(CHAR(10),TRUE,IF((元データ!$AL$2:$AL$2001=1)*(元データ!$AN$2:$AN$2001=1)*(元データ!$AE$2:$AE$2001=$C$77)*(元データ!$AO$2:$AO$2001=0)*(元データ!$AM$2:$AM$2001&lt;=7)*(元データ!$E$2:$E$2001="32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78" s="197">
        <f>SUMPRODUCT((元データ!$AL$2:$AL$2001=1)*(元データ!$AN$2:$AN$2001=1)*(元データ!$AE$2:$AE$2001=$C$77)*(元データ!$AO$2:$AO$2001=0)*(元データ!$AM$2:$AM$2001&lt;=7)*(元データ!$E$2:$E$2001="40 差戻し"))</f>
        <v/>
      </c>
      <c r="P78" s="198">
        <f>IFERROR(_xlfn.TEXTJOIN(CHAR(10),TRUE,IF((元データ!$AL$2:$AL$2001=1)*(元データ!$AN$2:$AN$2001=1)*(元データ!$AE$2:$AE$2001=$C$77)*(元データ!$AO$2:$AO$2001=0)*(元データ!$AM$2:$AM$2001&lt;=7)*(元データ!$E$2:$E$2001="40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78" s="196">
        <f>SUMPRODUCT((元データ!$AL$2:$AL$2001=1)*(元データ!$AN$2:$AN$2001=1)*(元データ!$AE$2:$AE$2001=$C$77)*(元データ!$AO$2:$AO$2001=0)*(元データ!$AM$2:$AM$2001&gt;=8)*(元データ!$AM$2:$AM$2001&lt;=14))</f>
        <v/>
      </c>
      <c r="R78" s="197">
        <f>SUMPRODUCT((元データ!$AL$2:$AL$2001=1)*(元データ!$AN$2:$AN$2001=1)*(元データ!$AE$2:$AE$2001=$C$77)*(元データ!$AO$2:$AO$2001=0)*(元データ!$AM$2:$AM$2001&gt;=8)*(元データ!$AM$2:$AM$2001&lt;=14)*(元データ!$E$2:$E$2001="20 確認待ち"))</f>
        <v/>
      </c>
      <c r="S78" s="198">
        <f>IFERROR(_xlfn.TEXTJOIN(CHAR(10),TRUE,IF((元データ!$AL$2:$AL$2001=1)*(元データ!$AN$2:$AN$2001=1)*(元データ!$AE$2:$AE$2001=$C$77)*(元データ!$AO$2:$AO$2001=0)*(元データ!$AM$2:$AM$2001&gt;=8)*(元データ!$AM$2:$AM$2001&lt;=14)*(元データ!$E$2:$E$2001="20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78" s="197">
        <f>SUMPRODUCT((元データ!$AL$2:$AL$2001=1)*(元データ!$AN$2:$AN$2001=1)*(元データ!$AE$2:$AE$2001=$C$77)*(元データ!$AO$2:$AO$2001=0)*(元データ!$AM$2:$AM$2001&gt;=8)*(元データ!$AM$2:$AM$2001&lt;=14)*(元データ!$E$2:$E$2001="30 申請受付"))</f>
        <v/>
      </c>
      <c r="U78" s="198">
        <f>IFERROR(_xlfn.TEXTJOIN(CHAR(10),TRUE,IF((元データ!$AL$2:$AL$2001=1)*(元データ!$AN$2:$AN$2001=1)*(元データ!$AE$2:$AE$2001=$C$77)*(元データ!$AO$2:$AO$2001=0)*(元データ!$AM$2:$AM$2001&gt;=8)*(元データ!$AM$2:$AM$2001&lt;=14)*(元データ!$E$2:$E$2001="30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78" s="197">
        <f>SUMPRODUCT((元データ!$AL$2:$AL$2001=1)*(元データ!$AN$2:$AN$2001=1)*(元データ!$AE$2:$AE$2001=$C$77)*(元データ!$AO$2:$AO$2001=0)*(元データ!$AM$2:$AM$2001&gt;=8)*(元データ!$AM$2:$AM$2001&lt;=14)*(元データ!$E$2:$E$2001="31 ＯＰ確認中"))</f>
        <v/>
      </c>
      <c r="W78" s="198">
        <f>IFERROR(_xlfn.TEXTJOIN(CHAR(10),TRUE,IF((元データ!$AL$2:$AL$2001=1)*(元データ!$AN$2:$AN$2001=1)*(元データ!$AE$2:$AE$2001=$C$77)*(元データ!$AO$2:$AO$2001=0)*(元データ!$AM$2:$AM$2001&gt;=8)*(元データ!$AM$2:$AM$2001&lt;=14)*(元データ!$E$2:$E$2001="31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78" s="197">
        <f>SUMPRODUCT((元データ!$AL$2:$AL$2001=1)*(元データ!$AN$2:$AN$2001=1)*(元データ!$AE$2:$AE$2001=$C$77)*(元データ!$AO$2:$AO$2001=0)*(元データ!$AM$2:$AM$2001&gt;=8)*(元データ!$AM$2:$AM$2001&lt;=14)*(元データ!$E$2:$E$2001="32 ＳＶ確認中"))</f>
        <v/>
      </c>
      <c r="Y78" s="198">
        <f>IFERROR(_xlfn.TEXTJOIN(CHAR(10),TRUE,IF((元データ!$AL$2:$AL$2001=1)*(元データ!$AN$2:$AN$2001=1)*(元データ!$AE$2:$AE$2001=$C$77)*(元データ!$AO$2:$AO$2001=0)*(元データ!$AM$2:$AM$2001&gt;=8)*(元データ!$AM$2:$AM$2001&lt;=14)*(元データ!$E$2:$E$2001="32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78" s="197">
        <f>SUMPRODUCT((元データ!$AL$2:$AL$2001=1)*(元データ!$AN$2:$AN$2001=1)*(元データ!$AE$2:$AE$2001=$C$77)*(元データ!$AO$2:$AO$2001=0)*(元データ!$AM$2:$AM$2001&gt;=8)*(元データ!$AM$2:$AM$2001&lt;=14)*(元データ!$E$2:$E$2001="40 差戻し"))</f>
        <v/>
      </c>
      <c r="AA78" s="198">
        <f>IFERROR(_xlfn.TEXTJOIN(CHAR(10),TRUE,IF((元データ!$AL$2:$AL$2001=1)*(元データ!$AN$2:$AN$2001=1)*(元データ!$AE$2:$AE$2001=$C$77)*(元データ!$AO$2:$AO$2001=0)*(元データ!$AM$2:$AM$2001&gt;=8)*(元データ!$AM$2:$AM$2001&lt;=14)*(元データ!$E$2:$E$2001="40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78" s="187">
        <f>SUMPRODUCT((元データ!$AL$2:$AL$2001=1)*(元データ!$AN$2:$AN$2001=1)*(元データ!$AE$2:$AE$2001=$C$77)*(元データ!$AO$2:$AO$2001=0)*(元データ!$AM$2:$AM$2001&gt;=15)*(元データ!$AM$2:$AM$2001&lt;=21))</f>
        <v/>
      </c>
      <c r="AC78" s="188">
        <f>SUMPRODUCT((元データ!$AL$2:$AL$2001=1)*(元データ!$AN$2:$AN$2001=1)*(元データ!$AE$2:$AE$2001=$C$77)*(元データ!$AO$2:$AO$2001=0)*(元データ!$AM$2:$AM$2001&gt;=15)*(元データ!$AM$2:$AM$2001&lt;=21)*(元データ!$E$2:$E$2001="20 確認待ち"))</f>
        <v/>
      </c>
      <c r="AD78" s="189">
        <f>IFERROR(_xlfn.TEXTJOIN(CHAR(10),TRUE,IF((元データ!$AL$2:$AL$2001=1)*(元データ!$AN$2:$AN$2001=1)*(元データ!$AE$2:$AE$2001=$C$77)*(元データ!$AO$2:$AO$2001=0)*(元データ!$AM$2:$AM$2001&gt;=15)*(元データ!$AM$2:$AM$2001&lt;=21)*(元データ!$E$2:$E$2001="20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78" s="188">
        <f>SUMPRODUCT((元データ!$AL$2:$AL$2001=1)*(元データ!$AN$2:$AN$2001=1)*(元データ!$AE$2:$AE$2001=$C$77)*(元データ!$AO$2:$AO$2001=0)*(元データ!$AM$2:$AM$2001&gt;=15)*(元データ!$AM$2:$AM$2001&lt;=21)*(元データ!$E$2:$E$2001="30 申請受付"))</f>
        <v/>
      </c>
      <c r="AF78" s="189">
        <f>IFERROR(_xlfn.TEXTJOIN(CHAR(10),TRUE,IF((元データ!$AL$2:$AL$2001=1)*(元データ!$AN$2:$AN$2001=1)*(元データ!$AE$2:$AE$2001=$C$77)*(元データ!$AO$2:$AO$2001=0)*(元データ!$AM$2:$AM$2001&gt;=15)*(元データ!$AM$2:$AM$2001&lt;=21)*(元データ!$E$2:$E$2001="30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78" s="188">
        <f>SUMPRODUCT((元データ!$AL$2:$AL$2001=1)*(元データ!$AN$2:$AN$2001=1)*(元データ!$AE$2:$AE$2001=$C$77)*(元データ!$AO$2:$AO$2001=0)*(元データ!$AM$2:$AM$2001&gt;=15)*(元データ!$AM$2:$AM$2001&lt;=21)*(元データ!$E$2:$E$2001="31 ＯＰ確認中"))</f>
        <v/>
      </c>
      <c r="AH78" s="189">
        <f>IFERROR(_xlfn.TEXTJOIN(CHAR(10),TRUE,IF((元データ!$AL$2:$AL$2001=1)*(元データ!$AN$2:$AN$2001=1)*(元データ!$AE$2:$AE$2001=$C$77)*(元データ!$AO$2:$AO$2001=0)*(元データ!$AM$2:$AM$2001&gt;=15)*(元データ!$AM$2:$AM$2001&lt;=21)*(元データ!$E$2:$E$2001="31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78" s="188">
        <f>SUMPRODUCT((元データ!$AL$2:$AL$2001=1)*(元データ!$AN$2:$AN$2001=1)*(元データ!$AE$2:$AE$2001=$C$77)*(元データ!$AO$2:$AO$2001=0)*(元データ!$AM$2:$AM$2001&gt;=15)*(元データ!$AM$2:$AM$2001&lt;=21)*(元データ!$E$2:$E$2001="32 ＳＶ確認中"))</f>
        <v/>
      </c>
      <c r="AJ78" s="189">
        <f>IFERROR(_xlfn.TEXTJOIN(CHAR(10),TRUE,IF((元データ!$AL$2:$AL$2001=1)*(元データ!$AN$2:$AN$2001=1)*(元データ!$AE$2:$AE$2001=$C$77)*(元データ!$AO$2:$AO$2001=0)*(元データ!$AM$2:$AM$2001&gt;=15)*(元データ!$AM$2:$AM$2001&lt;=21)*(元データ!$E$2:$E$2001="32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78" s="188">
        <f>SUMPRODUCT((元データ!$AL$2:$AL$2001=1)*(元データ!$AN$2:$AN$2001=1)*(元データ!$AE$2:$AE$2001=$C$77)*(元データ!$AO$2:$AO$2001=0)*(元データ!$AM$2:$AM$2001&gt;=15)*(元データ!$AM$2:$AM$2001&lt;=21)*(元データ!$E$2:$E$2001="40 差戻し"))</f>
        <v/>
      </c>
      <c r="AL78" s="189">
        <f>IFERROR(_xlfn.TEXTJOIN(CHAR(10),TRUE,IF((元データ!$AL$2:$AL$2001=1)*(元データ!$AN$2:$AN$2001=1)*(元データ!$AE$2:$AE$2001=$C$77)*(元データ!$AO$2:$AO$2001=0)*(元データ!$AM$2:$AM$2001&gt;=15)*(元データ!$AM$2:$AM$2001&lt;=21)*(元データ!$E$2:$E$2001="40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78" s="190">
        <f>SUMPRODUCT((元データ!$AL$2:$AL$2001=1)*(元データ!$AN$2:$AN$2001=1)*(元データ!$AE$2:$AE$2001=$C$77)*(元データ!$AO$2:$AO$2001=0)*(元データ!$AM$2:$AM$2001&gt;=22)*(元データ!$AM$2:$AM$2001&lt;=30))</f>
        <v/>
      </c>
      <c r="AN78" s="191">
        <f>SUMPRODUCT((元データ!$AL$2:$AL$2001=1)*(元データ!$AN$2:$AN$2001=1)*(元データ!$AE$2:$AE$2001=$C$77)*(元データ!$AO$2:$AO$2001=0)*(元データ!$AM$2:$AM$2001&gt;=22)*(元データ!$AM$2:$AM$2001&lt;=30)*(元データ!$E$2:$E$2001="20 確認待ち"))</f>
        <v/>
      </c>
      <c r="AO78" s="192">
        <f>IFERROR(_xlfn.TEXTJOIN(CHAR(10),TRUE,IF((元データ!$AL$2:$AL$2001=1)*(元データ!$AN$2:$AN$2001=1)*(元データ!$AE$2:$AE$2001=$C$77)*(元データ!$AO$2:$AO$2001=0)*(元データ!$AM$2:$AM$2001&gt;=22)*(元データ!$AM$2:$AM$2001&lt;=30)*(元データ!$E$2:$E$2001="20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78" s="191">
        <f>SUMPRODUCT((元データ!$AL$2:$AL$2001=1)*(元データ!$AN$2:$AN$2001=1)*(元データ!$AE$2:$AE$2001=$C$77)*(元データ!$AO$2:$AO$2001=0)*(元データ!$AM$2:$AM$2001&gt;=22)*(元データ!$AM$2:$AM$2001&lt;=30)*(元データ!$E$2:$E$2001="30 申請受付"))</f>
        <v/>
      </c>
      <c r="AQ78" s="192">
        <f>IFERROR(_xlfn.TEXTJOIN(CHAR(10),TRUE,IF((元データ!$AL$2:$AL$2001=1)*(元データ!$AN$2:$AN$2001=1)*(元データ!$AE$2:$AE$2001=$C$77)*(元データ!$AO$2:$AO$2001=0)*(元データ!$AM$2:$AM$2001&gt;=22)*(元データ!$AM$2:$AM$2001&lt;=30)*(元データ!$E$2:$E$2001="30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78" s="191">
        <f>SUMPRODUCT((元データ!$AL$2:$AL$2001=1)*(元データ!$AN$2:$AN$2001=1)*(元データ!$AE$2:$AE$2001=$C$77)*(元データ!$AO$2:$AO$2001=0)*(元データ!$AM$2:$AM$2001&gt;=22)*(元データ!$AM$2:$AM$2001&lt;=30)*(元データ!$E$2:$E$2001="31 ＯＰ確認中"))</f>
        <v/>
      </c>
      <c r="AS78" s="192">
        <f>IFERROR(_xlfn.TEXTJOIN(CHAR(10),TRUE,IF((元データ!$AL$2:$AL$2001=1)*(元データ!$AN$2:$AN$2001=1)*(元データ!$AE$2:$AE$2001=$C$77)*(元データ!$AO$2:$AO$2001=0)*(元データ!$AM$2:$AM$2001&gt;=22)*(元データ!$AM$2:$AM$2001&lt;=30)*(元データ!$E$2:$E$2001="31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78" s="191">
        <f>SUMPRODUCT((元データ!$AL$2:$AL$2001=1)*(元データ!$AN$2:$AN$2001=1)*(元データ!$AE$2:$AE$2001=$C$77)*(元データ!$AO$2:$AO$2001=0)*(元データ!$AM$2:$AM$2001&gt;=22)*(元データ!$AM$2:$AM$2001&lt;=30)*(元データ!$E$2:$E$2001="32 ＳＶ確認中"))</f>
        <v/>
      </c>
      <c r="AU78" s="192">
        <f>IFERROR(_xlfn.TEXTJOIN(CHAR(10),TRUE,IF((元データ!$AL$2:$AL$2001=1)*(元データ!$AN$2:$AN$2001=1)*(元データ!$AE$2:$AE$2001=$C$77)*(元データ!$AO$2:$AO$2001=0)*(元データ!$AM$2:$AM$2001&gt;=22)*(元データ!$AM$2:$AM$2001&lt;=30)*(元データ!$E$2:$E$2001="32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78" s="191">
        <f>SUMPRODUCT((元データ!$AL$2:$AL$2001=1)*(元データ!$AN$2:$AN$2001=1)*(元データ!$AE$2:$AE$2001=$C$77)*(元データ!$AO$2:$AO$2001=0)*(元データ!$AM$2:$AM$2001&gt;=22)*(元データ!$AM$2:$AM$2001&lt;=30)*(元データ!$E$2:$E$2001="40 差戻し"))</f>
        <v/>
      </c>
      <c r="AW78" s="192">
        <f>IFERROR(_xlfn.TEXTJOIN(CHAR(10),TRUE,IF((元データ!$AL$2:$AL$2001=1)*(元データ!$AN$2:$AN$2001=1)*(元データ!$AE$2:$AE$2001=$C$77)*(元データ!$AO$2:$AO$2001=0)*(元データ!$AM$2:$AM$2001&gt;=22)*(元データ!$AM$2:$AM$2001&lt;=30)*(元データ!$E$2:$E$2001="40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78" s="193">
        <f>SUMPRODUCT((元データ!$AL$2:$AL$2001=1)*(元データ!$AN$2:$AN$2001=1)*(元データ!$AE$2:$AE$2001=$C$77)*(元データ!$AO$2:$AO$2001=0)*(元データ!$AM$2:$AM$2001&gt;=31))</f>
        <v/>
      </c>
      <c r="AY78" s="194">
        <f>SUMPRODUCT((元データ!$AL$2:$AL$2001=1)*(元データ!$AN$2:$AN$2001=1)*(元データ!$AE$2:$AE$2001=$C$77)*(元データ!$AO$2:$AO$2001=0)*(元データ!$AM$2:$AM$2001&gt;=31)*(元データ!$E$2:$E$2001="20 確認待ち"))</f>
        <v/>
      </c>
      <c r="AZ78" s="195">
        <f>IFERROR(_xlfn.TEXTJOIN(CHAR(10),TRUE,IF((元データ!$AL$2:$AL$2001=1)*(元データ!$AN$2:$AN$2001=1)*(元データ!$AE$2:$AE$2001=$C$77)*(元データ!$AO$2:$AO$2001=0)*(元データ!$AM$2:$AM$2001&gt;=31)*(元データ!$E$2:$E$2001="20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78" s="194">
        <f>SUMPRODUCT((元データ!$AL$2:$AL$2001=1)*(元データ!$AN$2:$AN$2001=1)*(元データ!$AE$2:$AE$2001=$C$77)*(元データ!$AO$2:$AO$2001=0)*(元データ!$AM$2:$AM$2001&gt;=31)*(元データ!$E$2:$E$2001="30 申請受付"))</f>
        <v/>
      </c>
      <c r="BB78" s="195">
        <f>IFERROR(_xlfn.TEXTJOIN(CHAR(10),TRUE,IF((元データ!$AL$2:$AL$2001=1)*(元データ!$AN$2:$AN$2001=1)*(元データ!$AE$2:$AE$2001=$C$77)*(元データ!$AO$2:$AO$2001=0)*(元データ!$AM$2:$AM$2001&gt;=31)*(元データ!$E$2:$E$2001="30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78" s="194">
        <f>SUMPRODUCT((元データ!$AL$2:$AL$2001=1)*(元データ!$AN$2:$AN$2001=1)*(元データ!$AE$2:$AE$2001=$C$77)*(元データ!$AO$2:$AO$2001=0)*(元データ!$AM$2:$AM$2001&gt;=31)*(元データ!$E$2:$E$2001="31 ＯＰ確認中"))</f>
        <v/>
      </c>
      <c r="BD78" s="195">
        <f>IFERROR(_xlfn.TEXTJOIN(CHAR(10),TRUE,IF((元データ!$AL$2:$AL$2001=1)*(元データ!$AN$2:$AN$2001=1)*(元データ!$AE$2:$AE$2001=$C$77)*(元データ!$AO$2:$AO$2001=0)*(元データ!$AM$2:$AM$2001&gt;=31)*(元データ!$E$2:$E$2001="31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78" s="194">
        <f>SUMPRODUCT((元データ!$AL$2:$AL$2001=1)*(元データ!$AN$2:$AN$2001=1)*(元データ!$AE$2:$AE$2001=$C$77)*(元データ!$AO$2:$AO$2001=0)*(元データ!$AM$2:$AM$2001&gt;=31)*(元データ!$E$2:$E$2001="32 ＳＶ確認中"))</f>
        <v/>
      </c>
      <c r="BF78" s="195">
        <f>IFERROR(_xlfn.TEXTJOIN(CHAR(10),TRUE,IF((元データ!$AL$2:$AL$2001=1)*(元データ!$AN$2:$AN$2001=1)*(元データ!$AE$2:$AE$2001=$C$77)*(元データ!$AO$2:$AO$2001=0)*(元データ!$AM$2:$AM$2001&gt;=31)*(元データ!$E$2:$E$2001="32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78" s="194">
        <f>SUMPRODUCT((元データ!$AL$2:$AL$2001=1)*(元データ!$AN$2:$AN$2001=1)*(元データ!$AE$2:$AE$2001=$C$77)*(元データ!$AO$2:$AO$2001=0)*(元データ!$AM$2:$AM$2001&gt;=31)*(元データ!$E$2:$E$2001="40 差戻し"))</f>
        <v/>
      </c>
      <c r="BH78" s="195">
        <f>IFERROR(_xlfn.TEXTJOIN(CHAR(10),TRUE,IF((元データ!$AL$2:$AL$2001=1)*(元データ!$AN$2:$AN$2001=1)*(元データ!$AE$2:$AE$2001=$C$77)*(元データ!$AO$2:$AO$2001=0)*(元データ!$AM$2:$AM$2001&gt;=31)*(元データ!$E$2:$E$2001="40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79" ht="19.5" customHeight="1" s="87">
      <c r="B79" s="139" t="n"/>
      <c r="C79" s="140" t="inlineStr">
        <is>
          <t>98 年金支給に係る変更</t>
        </is>
      </c>
      <c r="D79" s="141" t="inlineStr">
        <is>
          <t>あり</t>
        </is>
      </c>
      <c r="E79" s="142">
        <f>SUMPRODUCT((元データ!$AL$2:$AL$2001=1)*(元データ!$AN$2:$AN$2001=1)*(元データ!$AE$2:$AE$2001=$C$79)*(元データ!$AO$2:$AO$2001=1))</f>
        <v/>
      </c>
      <c r="F79" s="184">
        <f>SUMPRODUCT((元データ!$AL$2:$AL$2001=1)*(元データ!$AN$2:$AN$2001=1)*(元データ!$AE$2:$AE$2001=$C$79)*(元データ!$AO$2:$AO$2001=1)*(元データ!$AM$2:$AM$2001&lt;=7))</f>
        <v/>
      </c>
      <c r="G79" s="185">
        <f>SUMPRODUCT((元データ!$AL$2:$AL$2001=1)*(元データ!$AN$2:$AN$2001=1)*(元データ!$AE$2:$AE$2001=$C$79)*(元データ!$AO$2:$AO$2001=1)*(元データ!$AM$2:$AM$2001&lt;=7)*(元データ!$E$2:$E$2001="20 確認待ち"))</f>
        <v/>
      </c>
      <c r="H79" s="186">
        <f>IFERROR(_xlfn.TEXTJOIN(CHAR(10),TRUE,IF((元データ!$AL$2:$AL$2001=1)*(元データ!$AN$2:$AN$2001=1)*(元データ!$AE$2:$AE$2001=$C$79)*(元データ!$AO$2:$AO$2001=1)*(元データ!$AM$2:$AM$2001&lt;=7)*(元データ!$E$2:$E$2001="20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79" s="185">
        <f>SUMPRODUCT((元データ!$AL$2:$AL$2001=1)*(元データ!$AN$2:$AN$2001=1)*(元データ!$AE$2:$AE$2001=$C$79)*(元データ!$AO$2:$AO$2001=1)*(元データ!$AM$2:$AM$2001&lt;=7)*(元データ!$E$2:$E$2001="30 申請受付"))</f>
        <v/>
      </c>
      <c r="J79" s="186">
        <f>IFERROR(_xlfn.TEXTJOIN(CHAR(10),TRUE,IF((元データ!$AL$2:$AL$2001=1)*(元データ!$AN$2:$AN$2001=1)*(元データ!$AE$2:$AE$2001=$C$79)*(元データ!$AO$2:$AO$2001=1)*(元データ!$AM$2:$AM$2001&lt;=7)*(元データ!$E$2:$E$2001="30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79" s="185">
        <f>SUMPRODUCT((元データ!$AL$2:$AL$2001=1)*(元データ!$AN$2:$AN$2001=1)*(元データ!$AE$2:$AE$2001=$C$79)*(元データ!$AO$2:$AO$2001=1)*(元データ!$AM$2:$AM$2001&lt;=7)*(元データ!$E$2:$E$2001="31 ＯＰ確認中"))</f>
        <v/>
      </c>
      <c r="L79" s="186">
        <f>IFERROR(_xlfn.TEXTJOIN(CHAR(10),TRUE,IF((元データ!$AL$2:$AL$2001=1)*(元データ!$AN$2:$AN$2001=1)*(元データ!$AE$2:$AE$2001=$C$79)*(元データ!$AO$2:$AO$2001=1)*(元データ!$AM$2:$AM$2001&lt;=7)*(元データ!$E$2:$E$2001="31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79" s="185">
        <f>SUMPRODUCT((元データ!$AL$2:$AL$2001=1)*(元データ!$AN$2:$AN$2001=1)*(元データ!$AE$2:$AE$2001=$C$79)*(元データ!$AO$2:$AO$2001=1)*(元データ!$AM$2:$AM$2001&lt;=7)*(元データ!$E$2:$E$2001="32 ＳＶ確認中"))</f>
        <v/>
      </c>
      <c r="N79" s="186">
        <f>IFERROR(_xlfn.TEXTJOIN(CHAR(10),TRUE,IF((元データ!$AL$2:$AL$2001=1)*(元データ!$AN$2:$AN$2001=1)*(元データ!$AE$2:$AE$2001=$C$79)*(元データ!$AO$2:$AO$2001=1)*(元データ!$AM$2:$AM$2001&lt;=7)*(元データ!$E$2:$E$2001="32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79" s="185">
        <f>SUMPRODUCT((元データ!$AL$2:$AL$2001=1)*(元データ!$AN$2:$AN$2001=1)*(元データ!$AE$2:$AE$2001=$C$79)*(元データ!$AO$2:$AO$2001=1)*(元データ!$AM$2:$AM$2001&lt;=7)*(元データ!$E$2:$E$2001="40 差戻し"))</f>
        <v/>
      </c>
      <c r="P79" s="186">
        <f>IFERROR(_xlfn.TEXTJOIN(CHAR(10),TRUE,IF((元データ!$AL$2:$AL$2001=1)*(元データ!$AN$2:$AN$2001=1)*(元データ!$AE$2:$AE$2001=$C$79)*(元データ!$AO$2:$AO$2001=1)*(元データ!$AM$2:$AM$2001&lt;=7)*(元データ!$E$2:$E$2001="40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79" s="184">
        <f>SUMPRODUCT((元データ!$AL$2:$AL$2001=1)*(元データ!$AN$2:$AN$2001=1)*(元データ!$AE$2:$AE$2001=$C$79)*(元データ!$AO$2:$AO$2001=1)*(元データ!$AM$2:$AM$2001&gt;=8)*(元データ!$AM$2:$AM$2001&lt;=14))</f>
        <v/>
      </c>
      <c r="R79" s="185">
        <f>SUMPRODUCT((元データ!$AL$2:$AL$2001=1)*(元データ!$AN$2:$AN$2001=1)*(元データ!$AE$2:$AE$2001=$C$79)*(元データ!$AO$2:$AO$2001=1)*(元データ!$AM$2:$AM$2001&gt;=8)*(元データ!$AM$2:$AM$2001&lt;=14)*(元データ!$E$2:$E$2001="20 確認待ち"))</f>
        <v/>
      </c>
      <c r="S79" s="186">
        <f>IFERROR(_xlfn.TEXTJOIN(CHAR(10),TRUE,IF((元データ!$AL$2:$AL$2001=1)*(元データ!$AN$2:$AN$2001=1)*(元データ!$AE$2:$AE$2001=$C$79)*(元データ!$AO$2:$AO$2001=1)*(元データ!$AM$2:$AM$2001&gt;=8)*(元データ!$AM$2:$AM$2001&lt;=14)*(元データ!$E$2:$E$2001="20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79" s="185">
        <f>SUMPRODUCT((元データ!$AL$2:$AL$2001=1)*(元データ!$AN$2:$AN$2001=1)*(元データ!$AE$2:$AE$2001=$C$79)*(元データ!$AO$2:$AO$2001=1)*(元データ!$AM$2:$AM$2001&gt;=8)*(元データ!$AM$2:$AM$2001&lt;=14)*(元データ!$E$2:$E$2001="30 申請受付"))</f>
        <v/>
      </c>
      <c r="U79" s="186">
        <f>IFERROR(_xlfn.TEXTJOIN(CHAR(10),TRUE,IF((元データ!$AL$2:$AL$2001=1)*(元データ!$AN$2:$AN$2001=1)*(元データ!$AE$2:$AE$2001=$C$79)*(元データ!$AO$2:$AO$2001=1)*(元データ!$AM$2:$AM$2001&gt;=8)*(元データ!$AM$2:$AM$2001&lt;=14)*(元データ!$E$2:$E$2001="30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79" s="185">
        <f>SUMPRODUCT((元データ!$AL$2:$AL$2001=1)*(元データ!$AN$2:$AN$2001=1)*(元データ!$AE$2:$AE$2001=$C$79)*(元データ!$AO$2:$AO$2001=1)*(元データ!$AM$2:$AM$2001&gt;=8)*(元データ!$AM$2:$AM$2001&lt;=14)*(元データ!$E$2:$E$2001="31 ＯＰ確認中"))</f>
        <v/>
      </c>
      <c r="W79" s="186">
        <f>IFERROR(_xlfn.TEXTJOIN(CHAR(10),TRUE,IF((元データ!$AL$2:$AL$2001=1)*(元データ!$AN$2:$AN$2001=1)*(元データ!$AE$2:$AE$2001=$C$79)*(元データ!$AO$2:$AO$2001=1)*(元データ!$AM$2:$AM$2001&gt;=8)*(元データ!$AM$2:$AM$2001&lt;=14)*(元データ!$E$2:$E$2001="31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79" s="185">
        <f>SUMPRODUCT((元データ!$AL$2:$AL$2001=1)*(元データ!$AN$2:$AN$2001=1)*(元データ!$AE$2:$AE$2001=$C$79)*(元データ!$AO$2:$AO$2001=1)*(元データ!$AM$2:$AM$2001&gt;=8)*(元データ!$AM$2:$AM$2001&lt;=14)*(元データ!$E$2:$E$2001="32 ＳＶ確認中"))</f>
        <v/>
      </c>
      <c r="Y79" s="186">
        <f>IFERROR(_xlfn.TEXTJOIN(CHAR(10),TRUE,IF((元データ!$AL$2:$AL$2001=1)*(元データ!$AN$2:$AN$2001=1)*(元データ!$AE$2:$AE$2001=$C$79)*(元データ!$AO$2:$AO$2001=1)*(元データ!$AM$2:$AM$2001&gt;=8)*(元データ!$AM$2:$AM$2001&lt;=14)*(元データ!$E$2:$E$2001="32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79" s="185">
        <f>SUMPRODUCT((元データ!$AL$2:$AL$2001=1)*(元データ!$AN$2:$AN$2001=1)*(元データ!$AE$2:$AE$2001=$C$79)*(元データ!$AO$2:$AO$2001=1)*(元データ!$AM$2:$AM$2001&gt;=8)*(元データ!$AM$2:$AM$2001&lt;=14)*(元データ!$E$2:$E$2001="40 差戻し"))</f>
        <v/>
      </c>
      <c r="AA79" s="186">
        <f>IFERROR(_xlfn.TEXTJOIN(CHAR(10),TRUE,IF((元データ!$AL$2:$AL$2001=1)*(元データ!$AN$2:$AN$2001=1)*(元データ!$AE$2:$AE$2001=$C$79)*(元データ!$AO$2:$AO$2001=1)*(元データ!$AM$2:$AM$2001&gt;=8)*(元データ!$AM$2:$AM$2001&lt;=14)*(元データ!$E$2:$E$2001="40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79" s="187">
        <f>SUMPRODUCT((元データ!$AL$2:$AL$2001=1)*(元データ!$AN$2:$AN$2001=1)*(元データ!$AE$2:$AE$2001=$C$79)*(元データ!$AO$2:$AO$2001=1)*(元データ!$AM$2:$AM$2001&gt;=15)*(元データ!$AM$2:$AM$2001&lt;=21))</f>
        <v/>
      </c>
      <c r="AC79" s="188">
        <f>SUMPRODUCT((元データ!$AL$2:$AL$2001=1)*(元データ!$AN$2:$AN$2001=1)*(元データ!$AE$2:$AE$2001=$C$79)*(元データ!$AO$2:$AO$2001=1)*(元データ!$AM$2:$AM$2001&gt;=15)*(元データ!$AM$2:$AM$2001&lt;=21)*(元データ!$E$2:$E$2001="20 確認待ち"))</f>
        <v/>
      </c>
      <c r="AD79" s="189">
        <f>IFERROR(_xlfn.TEXTJOIN(CHAR(10),TRUE,IF((元データ!$AL$2:$AL$2001=1)*(元データ!$AN$2:$AN$2001=1)*(元データ!$AE$2:$AE$2001=$C$79)*(元データ!$AO$2:$AO$2001=1)*(元データ!$AM$2:$AM$2001&gt;=15)*(元データ!$AM$2:$AM$2001&lt;=21)*(元データ!$E$2:$E$2001="20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79" s="188">
        <f>SUMPRODUCT((元データ!$AL$2:$AL$2001=1)*(元データ!$AN$2:$AN$2001=1)*(元データ!$AE$2:$AE$2001=$C$79)*(元データ!$AO$2:$AO$2001=1)*(元データ!$AM$2:$AM$2001&gt;=15)*(元データ!$AM$2:$AM$2001&lt;=21)*(元データ!$E$2:$E$2001="30 申請受付"))</f>
        <v/>
      </c>
      <c r="AF79" s="189">
        <f>IFERROR(_xlfn.TEXTJOIN(CHAR(10),TRUE,IF((元データ!$AL$2:$AL$2001=1)*(元データ!$AN$2:$AN$2001=1)*(元データ!$AE$2:$AE$2001=$C$79)*(元データ!$AO$2:$AO$2001=1)*(元データ!$AM$2:$AM$2001&gt;=15)*(元データ!$AM$2:$AM$2001&lt;=21)*(元データ!$E$2:$E$2001="30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79" s="188">
        <f>SUMPRODUCT((元データ!$AL$2:$AL$2001=1)*(元データ!$AN$2:$AN$2001=1)*(元データ!$AE$2:$AE$2001=$C$79)*(元データ!$AO$2:$AO$2001=1)*(元データ!$AM$2:$AM$2001&gt;=15)*(元データ!$AM$2:$AM$2001&lt;=21)*(元データ!$E$2:$E$2001="31 ＯＰ確認中"))</f>
        <v/>
      </c>
      <c r="AH79" s="189">
        <f>IFERROR(_xlfn.TEXTJOIN(CHAR(10),TRUE,IF((元データ!$AL$2:$AL$2001=1)*(元データ!$AN$2:$AN$2001=1)*(元データ!$AE$2:$AE$2001=$C$79)*(元データ!$AO$2:$AO$2001=1)*(元データ!$AM$2:$AM$2001&gt;=15)*(元データ!$AM$2:$AM$2001&lt;=21)*(元データ!$E$2:$E$2001="31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79" s="188">
        <f>SUMPRODUCT((元データ!$AL$2:$AL$2001=1)*(元データ!$AN$2:$AN$2001=1)*(元データ!$AE$2:$AE$2001=$C$79)*(元データ!$AO$2:$AO$2001=1)*(元データ!$AM$2:$AM$2001&gt;=15)*(元データ!$AM$2:$AM$2001&lt;=21)*(元データ!$E$2:$E$2001="32 ＳＶ確認中"))</f>
        <v/>
      </c>
      <c r="AJ79" s="189">
        <f>IFERROR(_xlfn.TEXTJOIN(CHAR(10),TRUE,IF((元データ!$AL$2:$AL$2001=1)*(元データ!$AN$2:$AN$2001=1)*(元データ!$AE$2:$AE$2001=$C$79)*(元データ!$AO$2:$AO$2001=1)*(元データ!$AM$2:$AM$2001&gt;=15)*(元データ!$AM$2:$AM$2001&lt;=21)*(元データ!$E$2:$E$2001="32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79" s="188">
        <f>SUMPRODUCT((元データ!$AL$2:$AL$2001=1)*(元データ!$AN$2:$AN$2001=1)*(元データ!$AE$2:$AE$2001=$C$79)*(元データ!$AO$2:$AO$2001=1)*(元データ!$AM$2:$AM$2001&gt;=15)*(元データ!$AM$2:$AM$2001&lt;=21)*(元データ!$E$2:$E$2001="40 差戻し"))</f>
        <v/>
      </c>
      <c r="AL79" s="189">
        <f>IFERROR(_xlfn.TEXTJOIN(CHAR(10),TRUE,IF((元データ!$AL$2:$AL$2001=1)*(元データ!$AN$2:$AN$2001=1)*(元データ!$AE$2:$AE$2001=$C$79)*(元データ!$AO$2:$AO$2001=1)*(元データ!$AM$2:$AM$2001&gt;=15)*(元データ!$AM$2:$AM$2001&lt;=21)*(元データ!$E$2:$E$2001="40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79" s="190">
        <f>SUMPRODUCT((元データ!$AL$2:$AL$2001=1)*(元データ!$AN$2:$AN$2001=1)*(元データ!$AE$2:$AE$2001=$C$79)*(元データ!$AO$2:$AO$2001=1)*(元データ!$AM$2:$AM$2001&gt;=22)*(元データ!$AM$2:$AM$2001&lt;=30))</f>
        <v/>
      </c>
      <c r="AN79" s="191">
        <f>SUMPRODUCT((元データ!$AL$2:$AL$2001=1)*(元データ!$AN$2:$AN$2001=1)*(元データ!$AE$2:$AE$2001=$C$79)*(元データ!$AO$2:$AO$2001=1)*(元データ!$AM$2:$AM$2001&gt;=22)*(元データ!$AM$2:$AM$2001&lt;=30)*(元データ!$E$2:$E$2001="20 確認待ち"))</f>
        <v/>
      </c>
      <c r="AO79" s="192">
        <f>IFERROR(_xlfn.TEXTJOIN(CHAR(10),TRUE,IF((元データ!$AL$2:$AL$2001=1)*(元データ!$AN$2:$AN$2001=1)*(元データ!$AE$2:$AE$2001=$C$79)*(元データ!$AO$2:$AO$2001=1)*(元データ!$AM$2:$AM$2001&gt;=22)*(元データ!$AM$2:$AM$2001&lt;=30)*(元データ!$E$2:$E$2001="20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79" s="191">
        <f>SUMPRODUCT((元データ!$AL$2:$AL$2001=1)*(元データ!$AN$2:$AN$2001=1)*(元データ!$AE$2:$AE$2001=$C$79)*(元データ!$AO$2:$AO$2001=1)*(元データ!$AM$2:$AM$2001&gt;=22)*(元データ!$AM$2:$AM$2001&lt;=30)*(元データ!$E$2:$E$2001="30 申請受付"))</f>
        <v/>
      </c>
      <c r="AQ79" s="192">
        <f>IFERROR(_xlfn.TEXTJOIN(CHAR(10),TRUE,IF((元データ!$AL$2:$AL$2001=1)*(元データ!$AN$2:$AN$2001=1)*(元データ!$AE$2:$AE$2001=$C$79)*(元データ!$AO$2:$AO$2001=1)*(元データ!$AM$2:$AM$2001&gt;=22)*(元データ!$AM$2:$AM$2001&lt;=30)*(元データ!$E$2:$E$2001="30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79" s="191">
        <f>SUMPRODUCT((元データ!$AL$2:$AL$2001=1)*(元データ!$AN$2:$AN$2001=1)*(元データ!$AE$2:$AE$2001=$C$79)*(元データ!$AO$2:$AO$2001=1)*(元データ!$AM$2:$AM$2001&gt;=22)*(元データ!$AM$2:$AM$2001&lt;=30)*(元データ!$E$2:$E$2001="31 ＯＰ確認中"))</f>
        <v/>
      </c>
      <c r="AS79" s="192">
        <f>IFERROR(_xlfn.TEXTJOIN(CHAR(10),TRUE,IF((元データ!$AL$2:$AL$2001=1)*(元データ!$AN$2:$AN$2001=1)*(元データ!$AE$2:$AE$2001=$C$79)*(元データ!$AO$2:$AO$2001=1)*(元データ!$AM$2:$AM$2001&gt;=22)*(元データ!$AM$2:$AM$2001&lt;=30)*(元データ!$E$2:$E$2001="31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79" s="191">
        <f>SUMPRODUCT((元データ!$AL$2:$AL$2001=1)*(元データ!$AN$2:$AN$2001=1)*(元データ!$AE$2:$AE$2001=$C$79)*(元データ!$AO$2:$AO$2001=1)*(元データ!$AM$2:$AM$2001&gt;=22)*(元データ!$AM$2:$AM$2001&lt;=30)*(元データ!$E$2:$E$2001="32 ＳＶ確認中"))</f>
        <v/>
      </c>
      <c r="AU79" s="192">
        <f>IFERROR(_xlfn.TEXTJOIN(CHAR(10),TRUE,IF((元データ!$AL$2:$AL$2001=1)*(元データ!$AN$2:$AN$2001=1)*(元データ!$AE$2:$AE$2001=$C$79)*(元データ!$AO$2:$AO$2001=1)*(元データ!$AM$2:$AM$2001&gt;=22)*(元データ!$AM$2:$AM$2001&lt;=30)*(元データ!$E$2:$E$2001="32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79" s="191">
        <f>SUMPRODUCT((元データ!$AL$2:$AL$2001=1)*(元データ!$AN$2:$AN$2001=1)*(元データ!$AE$2:$AE$2001=$C$79)*(元データ!$AO$2:$AO$2001=1)*(元データ!$AM$2:$AM$2001&gt;=22)*(元データ!$AM$2:$AM$2001&lt;=30)*(元データ!$E$2:$E$2001="40 差戻し"))</f>
        <v/>
      </c>
      <c r="AW79" s="192">
        <f>IFERROR(_xlfn.TEXTJOIN(CHAR(10),TRUE,IF((元データ!$AL$2:$AL$2001=1)*(元データ!$AN$2:$AN$2001=1)*(元データ!$AE$2:$AE$2001=$C$79)*(元データ!$AO$2:$AO$2001=1)*(元データ!$AM$2:$AM$2001&gt;=22)*(元データ!$AM$2:$AM$2001&lt;=30)*(元データ!$E$2:$E$2001="40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79" s="193">
        <f>SUMPRODUCT((元データ!$AL$2:$AL$2001=1)*(元データ!$AN$2:$AN$2001=1)*(元データ!$AE$2:$AE$2001=$C$79)*(元データ!$AO$2:$AO$2001=1)*(元データ!$AM$2:$AM$2001&gt;=31))</f>
        <v/>
      </c>
      <c r="AY79" s="194">
        <f>SUMPRODUCT((元データ!$AL$2:$AL$2001=1)*(元データ!$AN$2:$AN$2001=1)*(元データ!$AE$2:$AE$2001=$C$79)*(元データ!$AO$2:$AO$2001=1)*(元データ!$AM$2:$AM$2001&gt;=31)*(元データ!$E$2:$E$2001="20 確認待ち"))</f>
        <v/>
      </c>
      <c r="AZ79" s="195">
        <f>IFERROR(_xlfn.TEXTJOIN(CHAR(10),TRUE,IF((元データ!$AL$2:$AL$2001=1)*(元データ!$AN$2:$AN$2001=1)*(元データ!$AE$2:$AE$2001=$C$79)*(元データ!$AO$2:$AO$2001=1)*(元データ!$AM$2:$AM$2001&gt;=31)*(元データ!$E$2:$E$2001="20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79" s="194">
        <f>SUMPRODUCT((元データ!$AL$2:$AL$2001=1)*(元データ!$AN$2:$AN$2001=1)*(元データ!$AE$2:$AE$2001=$C$79)*(元データ!$AO$2:$AO$2001=1)*(元データ!$AM$2:$AM$2001&gt;=31)*(元データ!$E$2:$E$2001="30 申請受付"))</f>
        <v/>
      </c>
      <c r="BB79" s="195">
        <f>IFERROR(_xlfn.TEXTJOIN(CHAR(10),TRUE,IF((元データ!$AL$2:$AL$2001=1)*(元データ!$AN$2:$AN$2001=1)*(元データ!$AE$2:$AE$2001=$C$79)*(元データ!$AO$2:$AO$2001=1)*(元データ!$AM$2:$AM$2001&gt;=31)*(元データ!$E$2:$E$2001="30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79" s="194">
        <f>SUMPRODUCT((元データ!$AL$2:$AL$2001=1)*(元データ!$AN$2:$AN$2001=1)*(元データ!$AE$2:$AE$2001=$C$79)*(元データ!$AO$2:$AO$2001=1)*(元データ!$AM$2:$AM$2001&gt;=31)*(元データ!$E$2:$E$2001="31 ＯＰ確認中"))</f>
        <v/>
      </c>
      <c r="BD79" s="195">
        <f>IFERROR(_xlfn.TEXTJOIN(CHAR(10),TRUE,IF((元データ!$AL$2:$AL$2001=1)*(元データ!$AN$2:$AN$2001=1)*(元データ!$AE$2:$AE$2001=$C$79)*(元データ!$AO$2:$AO$2001=1)*(元データ!$AM$2:$AM$2001&gt;=31)*(元データ!$E$2:$E$2001="31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79" s="194">
        <f>SUMPRODUCT((元データ!$AL$2:$AL$2001=1)*(元データ!$AN$2:$AN$2001=1)*(元データ!$AE$2:$AE$2001=$C$79)*(元データ!$AO$2:$AO$2001=1)*(元データ!$AM$2:$AM$2001&gt;=31)*(元データ!$E$2:$E$2001="32 ＳＶ確認中"))</f>
        <v/>
      </c>
      <c r="BF79" s="195">
        <f>IFERROR(_xlfn.TEXTJOIN(CHAR(10),TRUE,IF((元データ!$AL$2:$AL$2001=1)*(元データ!$AN$2:$AN$2001=1)*(元データ!$AE$2:$AE$2001=$C$79)*(元データ!$AO$2:$AO$2001=1)*(元データ!$AM$2:$AM$2001&gt;=31)*(元データ!$E$2:$E$2001="32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79" s="194">
        <f>SUMPRODUCT((元データ!$AL$2:$AL$2001=1)*(元データ!$AN$2:$AN$2001=1)*(元データ!$AE$2:$AE$2001=$C$79)*(元データ!$AO$2:$AO$2001=1)*(元データ!$AM$2:$AM$2001&gt;=31)*(元データ!$E$2:$E$2001="40 差戻し"))</f>
        <v/>
      </c>
      <c r="BH79" s="195">
        <f>IFERROR(_xlfn.TEXTJOIN(CHAR(10),TRUE,IF((元データ!$AL$2:$AL$2001=1)*(元データ!$AN$2:$AN$2001=1)*(元データ!$AE$2:$AE$2001=$C$79)*(元データ!$AO$2:$AO$2001=1)*(元データ!$AM$2:$AM$2001&gt;=31)*(元データ!$E$2:$E$2001="40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80" ht="19.5" customHeight="1" s="87">
      <c r="B80" s="155" t="n"/>
      <c r="C80" s="156" t="n"/>
      <c r="D80" s="157" t="inlineStr">
        <is>
          <t>なし</t>
        </is>
      </c>
      <c r="E80" s="158">
        <f>SUMPRODUCT((元データ!$AL$2:$AL$2001=1)*(元データ!$AN$2:$AN$2001=1)*(元データ!$AE$2:$AE$2001=$C$79)*(元データ!$AO$2:$AO$2001=0))</f>
        <v/>
      </c>
      <c r="F80" s="196">
        <f>SUMPRODUCT((元データ!$AL$2:$AL$2001=1)*(元データ!$AN$2:$AN$2001=1)*(元データ!$AE$2:$AE$2001=$C$79)*(元データ!$AO$2:$AO$2001=0)*(元データ!$AM$2:$AM$2001&lt;=7))</f>
        <v/>
      </c>
      <c r="G80" s="197">
        <f>SUMPRODUCT((元データ!$AL$2:$AL$2001=1)*(元データ!$AN$2:$AN$2001=1)*(元データ!$AE$2:$AE$2001=$C$79)*(元データ!$AO$2:$AO$2001=0)*(元データ!$AM$2:$AM$2001&lt;=7)*(元データ!$E$2:$E$2001="20 確認待ち"))</f>
        <v/>
      </c>
      <c r="H80" s="198">
        <f>IFERROR(_xlfn.TEXTJOIN(CHAR(10),TRUE,IF((元データ!$AL$2:$AL$2001=1)*(元データ!$AN$2:$AN$2001=1)*(元データ!$AE$2:$AE$2001=$C$79)*(元データ!$AO$2:$AO$2001=0)*(元データ!$AM$2:$AM$2001&lt;=7)*(元データ!$E$2:$E$2001="20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80" s="197">
        <f>SUMPRODUCT((元データ!$AL$2:$AL$2001=1)*(元データ!$AN$2:$AN$2001=1)*(元データ!$AE$2:$AE$2001=$C$79)*(元データ!$AO$2:$AO$2001=0)*(元データ!$AM$2:$AM$2001&lt;=7)*(元データ!$E$2:$E$2001="30 申請受付"))</f>
        <v/>
      </c>
      <c r="J80" s="198">
        <f>IFERROR(_xlfn.TEXTJOIN(CHAR(10),TRUE,IF((元データ!$AL$2:$AL$2001=1)*(元データ!$AN$2:$AN$2001=1)*(元データ!$AE$2:$AE$2001=$C$79)*(元データ!$AO$2:$AO$2001=0)*(元データ!$AM$2:$AM$2001&lt;=7)*(元データ!$E$2:$E$2001="30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80" s="197">
        <f>SUMPRODUCT((元データ!$AL$2:$AL$2001=1)*(元データ!$AN$2:$AN$2001=1)*(元データ!$AE$2:$AE$2001=$C$79)*(元データ!$AO$2:$AO$2001=0)*(元データ!$AM$2:$AM$2001&lt;=7)*(元データ!$E$2:$E$2001="31 ＯＰ確認中"))</f>
        <v/>
      </c>
      <c r="L80" s="198">
        <f>IFERROR(_xlfn.TEXTJOIN(CHAR(10),TRUE,IF((元データ!$AL$2:$AL$2001=1)*(元データ!$AN$2:$AN$2001=1)*(元データ!$AE$2:$AE$2001=$C$79)*(元データ!$AO$2:$AO$2001=0)*(元データ!$AM$2:$AM$2001&lt;=7)*(元データ!$E$2:$E$2001="31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80" s="197">
        <f>SUMPRODUCT((元データ!$AL$2:$AL$2001=1)*(元データ!$AN$2:$AN$2001=1)*(元データ!$AE$2:$AE$2001=$C$79)*(元データ!$AO$2:$AO$2001=0)*(元データ!$AM$2:$AM$2001&lt;=7)*(元データ!$E$2:$E$2001="32 ＳＶ確認中"))</f>
        <v/>
      </c>
      <c r="N80" s="198">
        <f>IFERROR(_xlfn.TEXTJOIN(CHAR(10),TRUE,IF((元データ!$AL$2:$AL$2001=1)*(元データ!$AN$2:$AN$2001=1)*(元データ!$AE$2:$AE$2001=$C$79)*(元データ!$AO$2:$AO$2001=0)*(元データ!$AM$2:$AM$2001&lt;=7)*(元データ!$E$2:$E$2001="32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80" s="197">
        <f>SUMPRODUCT((元データ!$AL$2:$AL$2001=1)*(元データ!$AN$2:$AN$2001=1)*(元データ!$AE$2:$AE$2001=$C$79)*(元データ!$AO$2:$AO$2001=0)*(元データ!$AM$2:$AM$2001&lt;=7)*(元データ!$E$2:$E$2001="40 差戻し"))</f>
        <v/>
      </c>
      <c r="P80" s="198">
        <f>IFERROR(_xlfn.TEXTJOIN(CHAR(10),TRUE,IF((元データ!$AL$2:$AL$2001=1)*(元データ!$AN$2:$AN$2001=1)*(元データ!$AE$2:$AE$2001=$C$79)*(元データ!$AO$2:$AO$2001=0)*(元データ!$AM$2:$AM$2001&lt;=7)*(元データ!$E$2:$E$2001="40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80" s="196">
        <f>SUMPRODUCT((元データ!$AL$2:$AL$2001=1)*(元データ!$AN$2:$AN$2001=1)*(元データ!$AE$2:$AE$2001=$C$79)*(元データ!$AO$2:$AO$2001=0)*(元データ!$AM$2:$AM$2001&gt;=8)*(元データ!$AM$2:$AM$2001&lt;=14))</f>
        <v/>
      </c>
      <c r="R80" s="197">
        <f>SUMPRODUCT((元データ!$AL$2:$AL$2001=1)*(元データ!$AN$2:$AN$2001=1)*(元データ!$AE$2:$AE$2001=$C$79)*(元データ!$AO$2:$AO$2001=0)*(元データ!$AM$2:$AM$2001&gt;=8)*(元データ!$AM$2:$AM$2001&lt;=14)*(元データ!$E$2:$E$2001="20 確認待ち"))</f>
        <v/>
      </c>
      <c r="S80" s="198">
        <f>IFERROR(_xlfn.TEXTJOIN(CHAR(10),TRUE,IF((元データ!$AL$2:$AL$2001=1)*(元データ!$AN$2:$AN$2001=1)*(元データ!$AE$2:$AE$2001=$C$79)*(元データ!$AO$2:$AO$2001=0)*(元データ!$AM$2:$AM$2001&gt;=8)*(元データ!$AM$2:$AM$2001&lt;=14)*(元データ!$E$2:$E$2001="20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80" s="197">
        <f>SUMPRODUCT((元データ!$AL$2:$AL$2001=1)*(元データ!$AN$2:$AN$2001=1)*(元データ!$AE$2:$AE$2001=$C$79)*(元データ!$AO$2:$AO$2001=0)*(元データ!$AM$2:$AM$2001&gt;=8)*(元データ!$AM$2:$AM$2001&lt;=14)*(元データ!$E$2:$E$2001="30 申請受付"))</f>
        <v/>
      </c>
      <c r="U80" s="198">
        <f>IFERROR(_xlfn.TEXTJOIN(CHAR(10),TRUE,IF((元データ!$AL$2:$AL$2001=1)*(元データ!$AN$2:$AN$2001=1)*(元データ!$AE$2:$AE$2001=$C$79)*(元データ!$AO$2:$AO$2001=0)*(元データ!$AM$2:$AM$2001&gt;=8)*(元データ!$AM$2:$AM$2001&lt;=14)*(元データ!$E$2:$E$2001="30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80" s="197">
        <f>SUMPRODUCT((元データ!$AL$2:$AL$2001=1)*(元データ!$AN$2:$AN$2001=1)*(元データ!$AE$2:$AE$2001=$C$79)*(元データ!$AO$2:$AO$2001=0)*(元データ!$AM$2:$AM$2001&gt;=8)*(元データ!$AM$2:$AM$2001&lt;=14)*(元データ!$E$2:$E$2001="31 ＯＰ確認中"))</f>
        <v/>
      </c>
      <c r="W80" s="198">
        <f>IFERROR(_xlfn.TEXTJOIN(CHAR(10),TRUE,IF((元データ!$AL$2:$AL$2001=1)*(元データ!$AN$2:$AN$2001=1)*(元データ!$AE$2:$AE$2001=$C$79)*(元データ!$AO$2:$AO$2001=0)*(元データ!$AM$2:$AM$2001&gt;=8)*(元データ!$AM$2:$AM$2001&lt;=14)*(元データ!$E$2:$E$2001="31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80" s="197">
        <f>SUMPRODUCT((元データ!$AL$2:$AL$2001=1)*(元データ!$AN$2:$AN$2001=1)*(元データ!$AE$2:$AE$2001=$C$79)*(元データ!$AO$2:$AO$2001=0)*(元データ!$AM$2:$AM$2001&gt;=8)*(元データ!$AM$2:$AM$2001&lt;=14)*(元データ!$E$2:$E$2001="32 ＳＶ確認中"))</f>
        <v/>
      </c>
      <c r="Y80" s="198">
        <f>IFERROR(_xlfn.TEXTJOIN(CHAR(10),TRUE,IF((元データ!$AL$2:$AL$2001=1)*(元データ!$AN$2:$AN$2001=1)*(元データ!$AE$2:$AE$2001=$C$79)*(元データ!$AO$2:$AO$2001=0)*(元データ!$AM$2:$AM$2001&gt;=8)*(元データ!$AM$2:$AM$2001&lt;=14)*(元データ!$E$2:$E$2001="32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80" s="197">
        <f>SUMPRODUCT((元データ!$AL$2:$AL$2001=1)*(元データ!$AN$2:$AN$2001=1)*(元データ!$AE$2:$AE$2001=$C$79)*(元データ!$AO$2:$AO$2001=0)*(元データ!$AM$2:$AM$2001&gt;=8)*(元データ!$AM$2:$AM$2001&lt;=14)*(元データ!$E$2:$E$2001="40 差戻し"))</f>
        <v/>
      </c>
      <c r="AA80" s="198">
        <f>IFERROR(_xlfn.TEXTJOIN(CHAR(10),TRUE,IF((元データ!$AL$2:$AL$2001=1)*(元データ!$AN$2:$AN$2001=1)*(元データ!$AE$2:$AE$2001=$C$79)*(元データ!$AO$2:$AO$2001=0)*(元データ!$AM$2:$AM$2001&gt;=8)*(元データ!$AM$2:$AM$2001&lt;=14)*(元データ!$E$2:$E$2001="40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80" s="187">
        <f>SUMPRODUCT((元データ!$AL$2:$AL$2001=1)*(元データ!$AN$2:$AN$2001=1)*(元データ!$AE$2:$AE$2001=$C$79)*(元データ!$AO$2:$AO$2001=0)*(元データ!$AM$2:$AM$2001&gt;=15)*(元データ!$AM$2:$AM$2001&lt;=21))</f>
        <v/>
      </c>
      <c r="AC80" s="188">
        <f>SUMPRODUCT((元データ!$AL$2:$AL$2001=1)*(元データ!$AN$2:$AN$2001=1)*(元データ!$AE$2:$AE$2001=$C$79)*(元データ!$AO$2:$AO$2001=0)*(元データ!$AM$2:$AM$2001&gt;=15)*(元データ!$AM$2:$AM$2001&lt;=21)*(元データ!$E$2:$E$2001="20 確認待ち"))</f>
        <v/>
      </c>
      <c r="AD80" s="189">
        <f>IFERROR(_xlfn.TEXTJOIN(CHAR(10),TRUE,IF((元データ!$AL$2:$AL$2001=1)*(元データ!$AN$2:$AN$2001=1)*(元データ!$AE$2:$AE$2001=$C$79)*(元データ!$AO$2:$AO$2001=0)*(元データ!$AM$2:$AM$2001&gt;=15)*(元データ!$AM$2:$AM$2001&lt;=21)*(元データ!$E$2:$E$2001="20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80" s="188">
        <f>SUMPRODUCT((元データ!$AL$2:$AL$2001=1)*(元データ!$AN$2:$AN$2001=1)*(元データ!$AE$2:$AE$2001=$C$79)*(元データ!$AO$2:$AO$2001=0)*(元データ!$AM$2:$AM$2001&gt;=15)*(元データ!$AM$2:$AM$2001&lt;=21)*(元データ!$E$2:$E$2001="30 申請受付"))</f>
        <v/>
      </c>
      <c r="AF80" s="189">
        <f>IFERROR(_xlfn.TEXTJOIN(CHAR(10),TRUE,IF((元データ!$AL$2:$AL$2001=1)*(元データ!$AN$2:$AN$2001=1)*(元データ!$AE$2:$AE$2001=$C$79)*(元データ!$AO$2:$AO$2001=0)*(元データ!$AM$2:$AM$2001&gt;=15)*(元データ!$AM$2:$AM$2001&lt;=21)*(元データ!$E$2:$E$2001="30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80" s="188">
        <f>SUMPRODUCT((元データ!$AL$2:$AL$2001=1)*(元データ!$AN$2:$AN$2001=1)*(元データ!$AE$2:$AE$2001=$C$79)*(元データ!$AO$2:$AO$2001=0)*(元データ!$AM$2:$AM$2001&gt;=15)*(元データ!$AM$2:$AM$2001&lt;=21)*(元データ!$E$2:$E$2001="31 ＯＰ確認中"))</f>
        <v/>
      </c>
      <c r="AH80" s="189">
        <f>IFERROR(_xlfn.TEXTJOIN(CHAR(10),TRUE,IF((元データ!$AL$2:$AL$2001=1)*(元データ!$AN$2:$AN$2001=1)*(元データ!$AE$2:$AE$2001=$C$79)*(元データ!$AO$2:$AO$2001=0)*(元データ!$AM$2:$AM$2001&gt;=15)*(元データ!$AM$2:$AM$2001&lt;=21)*(元データ!$E$2:$E$2001="31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80" s="188">
        <f>SUMPRODUCT((元データ!$AL$2:$AL$2001=1)*(元データ!$AN$2:$AN$2001=1)*(元データ!$AE$2:$AE$2001=$C$79)*(元データ!$AO$2:$AO$2001=0)*(元データ!$AM$2:$AM$2001&gt;=15)*(元データ!$AM$2:$AM$2001&lt;=21)*(元データ!$E$2:$E$2001="32 ＳＶ確認中"))</f>
        <v/>
      </c>
      <c r="AJ80" s="189">
        <f>IFERROR(_xlfn.TEXTJOIN(CHAR(10),TRUE,IF((元データ!$AL$2:$AL$2001=1)*(元データ!$AN$2:$AN$2001=1)*(元データ!$AE$2:$AE$2001=$C$79)*(元データ!$AO$2:$AO$2001=0)*(元データ!$AM$2:$AM$2001&gt;=15)*(元データ!$AM$2:$AM$2001&lt;=21)*(元データ!$E$2:$E$2001="32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80" s="188">
        <f>SUMPRODUCT((元データ!$AL$2:$AL$2001=1)*(元データ!$AN$2:$AN$2001=1)*(元データ!$AE$2:$AE$2001=$C$79)*(元データ!$AO$2:$AO$2001=0)*(元データ!$AM$2:$AM$2001&gt;=15)*(元データ!$AM$2:$AM$2001&lt;=21)*(元データ!$E$2:$E$2001="40 差戻し"))</f>
        <v/>
      </c>
      <c r="AL80" s="189">
        <f>IFERROR(_xlfn.TEXTJOIN(CHAR(10),TRUE,IF((元データ!$AL$2:$AL$2001=1)*(元データ!$AN$2:$AN$2001=1)*(元データ!$AE$2:$AE$2001=$C$79)*(元データ!$AO$2:$AO$2001=0)*(元データ!$AM$2:$AM$2001&gt;=15)*(元データ!$AM$2:$AM$2001&lt;=21)*(元データ!$E$2:$E$2001="40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80" s="190">
        <f>SUMPRODUCT((元データ!$AL$2:$AL$2001=1)*(元データ!$AN$2:$AN$2001=1)*(元データ!$AE$2:$AE$2001=$C$79)*(元データ!$AO$2:$AO$2001=0)*(元データ!$AM$2:$AM$2001&gt;=22)*(元データ!$AM$2:$AM$2001&lt;=30))</f>
        <v/>
      </c>
      <c r="AN80" s="191">
        <f>SUMPRODUCT((元データ!$AL$2:$AL$2001=1)*(元データ!$AN$2:$AN$2001=1)*(元データ!$AE$2:$AE$2001=$C$79)*(元データ!$AO$2:$AO$2001=0)*(元データ!$AM$2:$AM$2001&gt;=22)*(元データ!$AM$2:$AM$2001&lt;=30)*(元データ!$E$2:$E$2001="20 確認待ち"))</f>
        <v/>
      </c>
      <c r="AO80" s="192">
        <f>IFERROR(_xlfn.TEXTJOIN(CHAR(10),TRUE,IF((元データ!$AL$2:$AL$2001=1)*(元データ!$AN$2:$AN$2001=1)*(元データ!$AE$2:$AE$2001=$C$79)*(元データ!$AO$2:$AO$2001=0)*(元データ!$AM$2:$AM$2001&gt;=22)*(元データ!$AM$2:$AM$2001&lt;=30)*(元データ!$E$2:$E$2001="20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80" s="191">
        <f>SUMPRODUCT((元データ!$AL$2:$AL$2001=1)*(元データ!$AN$2:$AN$2001=1)*(元データ!$AE$2:$AE$2001=$C$79)*(元データ!$AO$2:$AO$2001=0)*(元データ!$AM$2:$AM$2001&gt;=22)*(元データ!$AM$2:$AM$2001&lt;=30)*(元データ!$E$2:$E$2001="30 申請受付"))</f>
        <v/>
      </c>
      <c r="AQ80" s="192">
        <f>IFERROR(_xlfn.TEXTJOIN(CHAR(10),TRUE,IF((元データ!$AL$2:$AL$2001=1)*(元データ!$AN$2:$AN$2001=1)*(元データ!$AE$2:$AE$2001=$C$79)*(元データ!$AO$2:$AO$2001=0)*(元データ!$AM$2:$AM$2001&gt;=22)*(元データ!$AM$2:$AM$2001&lt;=30)*(元データ!$E$2:$E$2001="30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80" s="191">
        <f>SUMPRODUCT((元データ!$AL$2:$AL$2001=1)*(元データ!$AN$2:$AN$2001=1)*(元データ!$AE$2:$AE$2001=$C$79)*(元データ!$AO$2:$AO$2001=0)*(元データ!$AM$2:$AM$2001&gt;=22)*(元データ!$AM$2:$AM$2001&lt;=30)*(元データ!$E$2:$E$2001="31 ＯＰ確認中"))</f>
        <v/>
      </c>
      <c r="AS80" s="192">
        <f>IFERROR(_xlfn.TEXTJOIN(CHAR(10),TRUE,IF((元データ!$AL$2:$AL$2001=1)*(元データ!$AN$2:$AN$2001=1)*(元データ!$AE$2:$AE$2001=$C$79)*(元データ!$AO$2:$AO$2001=0)*(元データ!$AM$2:$AM$2001&gt;=22)*(元データ!$AM$2:$AM$2001&lt;=30)*(元データ!$E$2:$E$2001="31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80" s="191">
        <f>SUMPRODUCT((元データ!$AL$2:$AL$2001=1)*(元データ!$AN$2:$AN$2001=1)*(元データ!$AE$2:$AE$2001=$C$79)*(元データ!$AO$2:$AO$2001=0)*(元データ!$AM$2:$AM$2001&gt;=22)*(元データ!$AM$2:$AM$2001&lt;=30)*(元データ!$E$2:$E$2001="32 ＳＶ確認中"))</f>
        <v/>
      </c>
      <c r="AU80" s="192">
        <f>IFERROR(_xlfn.TEXTJOIN(CHAR(10),TRUE,IF((元データ!$AL$2:$AL$2001=1)*(元データ!$AN$2:$AN$2001=1)*(元データ!$AE$2:$AE$2001=$C$79)*(元データ!$AO$2:$AO$2001=0)*(元データ!$AM$2:$AM$2001&gt;=22)*(元データ!$AM$2:$AM$2001&lt;=30)*(元データ!$E$2:$E$2001="32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80" s="191">
        <f>SUMPRODUCT((元データ!$AL$2:$AL$2001=1)*(元データ!$AN$2:$AN$2001=1)*(元データ!$AE$2:$AE$2001=$C$79)*(元データ!$AO$2:$AO$2001=0)*(元データ!$AM$2:$AM$2001&gt;=22)*(元データ!$AM$2:$AM$2001&lt;=30)*(元データ!$E$2:$E$2001="40 差戻し"))</f>
        <v/>
      </c>
      <c r="AW80" s="192">
        <f>IFERROR(_xlfn.TEXTJOIN(CHAR(10),TRUE,IF((元データ!$AL$2:$AL$2001=1)*(元データ!$AN$2:$AN$2001=1)*(元データ!$AE$2:$AE$2001=$C$79)*(元データ!$AO$2:$AO$2001=0)*(元データ!$AM$2:$AM$2001&gt;=22)*(元データ!$AM$2:$AM$2001&lt;=30)*(元データ!$E$2:$E$2001="40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80" s="193">
        <f>SUMPRODUCT((元データ!$AL$2:$AL$2001=1)*(元データ!$AN$2:$AN$2001=1)*(元データ!$AE$2:$AE$2001=$C$79)*(元データ!$AO$2:$AO$2001=0)*(元データ!$AM$2:$AM$2001&gt;=31))</f>
        <v/>
      </c>
      <c r="AY80" s="194">
        <f>SUMPRODUCT((元データ!$AL$2:$AL$2001=1)*(元データ!$AN$2:$AN$2001=1)*(元データ!$AE$2:$AE$2001=$C$79)*(元データ!$AO$2:$AO$2001=0)*(元データ!$AM$2:$AM$2001&gt;=31)*(元データ!$E$2:$E$2001="20 確認待ち"))</f>
        <v/>
      </c>
      <c r="AZ80" s="195">
        <f>IFERROR(_xlfn.TEXTJOIN(CHAR(10),TRUE,IF((元データ!$AL$2:$AL$2001=1)*(元データ!$AN$2:$AN$2001=1)*(元データ!$AE$2:$AE$2001=$C$79)*(元データ!$AO$2:$AO$2001=0)*(元データ!$AM$2:$AM$2001&gt;=31)*(元データ!$E$2:$E$2001="20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80" s="194">
        <f>SUMPRODUCT((元データ!$AL$2:$AL$2001=1)*(元データ!$AN$2:$AN$2001=1)*(元データ!$AE$2:$AE$2001=$C$79)*(元データ!$AO$2:$AO$2001=0)*(元データ!$AM$2:$AM$2001&gt;=31)*(元データ!$E$2:$E$2001="30 申請受付"))</f>
        <v/>
      </c>
      <c r="BB80" s="195">
        <f>IFERROR(_xlfn.TEXTJOIN(CHAR(10),TRUE,IF((元データ!$AL$2:$AL$2001=1)*(元データ!$AN$2:$AN$2001=1)*(元データ!$AE$2:$AE$2001=$C$79)*(元データ!$AO$2:$AO$2001=0)*(元データ!$AM$2:$AM$2001&gt;=31)*(元データ!$E$2:$E$2001="30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80" s="194">
        <f>SUMPRODUCT((元データ!$AL$2:$AL$2001=1)*(元データ!$AN$2:$AN$2001=1)*(元データ!$AE$2:$AE$2001=$C$79)*(元データ!$AO$2:$AO$2001=0)*(元データ!$AM$2:$AM$2001&gt;=31)*(元データ!$E$2:$E$2001="31 ＯＰ確認中"))</f>
        <v/>
      </c>
      <c r="BD80" s="195">
        <f>IFERROR(_xlfn.TEXTJOIN(CHAR(10),TRUE,IF((元データ!$AL$2:$AL$2001=1)*(元データ!$AN$2:$AN$2001=1)*(元データ!$AE$2:$AE$2001=$C$79)*(元データ!$AO$2:$AO$2001=0)*(元データ!$AM$2:$AM$2001&gt;=31)*(元データ!$E$2:$E$2001="31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80" s="194">
        <f>SUMPRODUCT((元データ!$AL$2:$AL$2001=1)*(元データ!$AN$2:$AN$2001=1)*(元データ!$AE$2:$AE$2001=$C$79)*(元データ!$AO$2:$AO$2001=0)*(元データ!$AM$2:$AM$2001&gt;=31)*(元データ!$E$2:$E$2001="32 ＳＶ確認中"))</f>
        <v/>
      </c>
      <c r="BF80" s="195">
        <f>IFERROR(_xlfn.TEXTJOIN(CHAR(10),TRUE,IF((元データ!$AL$2:$AL$2001=1)*(元データ!$AN$2:$AN$2001=1)*(元データ!$AE$2:$AE$2001=$C$79)*(元データ!$AO$2:$AO$2001=0)*(元データ!$AM$2:$AM$2001&gt;=31)*(元データ!$E$2:$E$2001="32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80" s="194">
        <f>SUMPRODUCT((元データ!$AL$2:$AL$2001=1)*(元データ!$AN$2:$AN$2001=1)*(元データ!$AE$2:$AE$2001=$C$79)*(元データ!$AO$2:$AO$2001=0)*(元データ!$AM$2:$AM$2001&gt;=31)*(元データ!$E$2:$E$2001="40 差戻し"))</f>
        <v/>
      </c>
      <c r="BH80" s="195">
        <f>IFERROR(_xlfn.TEXTJOIN(CHAR(10),TRUE,IF((元データ!$AL$2:$AL$2001=1)*(元データ!$AN$2:$AN$2001=1)*(元データ!$AE$2:$AE$2001=$C$79)*(元データ!$AO$2:$AO$2001=0)*(元データ!$AM$2:$AM$2001&gt;=31)*(元データ!$E$2:$E$2001="40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81" ht="21.75" customHeight="1" s="87">
      <c r="B81" s="171" t="inlineStr">
        <is>
          <t>合計</t>
        </is>
      </c>
      <c r="C81" s="112" t="n"/>
      <c r="D81" s="112" t="n"/>
      <c r="E81" s="131">
        <f>SUMPRODUCT((元データ!$AL$2:$AL$2001=1)*(元データ!$AN$2:$AN$2001=1))</f>
        <v/>
      </c>
      <c r="F81" s="184">
        <f>SUMPRODUCT((元データ!$AL$2:$AL$2001=1)*(元データ!$AN$2:$AN$2001=1)*(元データ!$AE$2:$AE$2001=$C$81)*(元データ!$AO$2:$AO$2001=1)*(元データ!$AM$2:$AM$2001&lt;=7))</f>
        <v/>
      </c>
      <c r="G81" s="185">
        <f>SUMPRODUCT((元データ!$AL$2:$AL$2001=1)*(元データ!$AN$2:$AN$2001=1)*(元データ!$AE$2:$AE$2001=$C$81)*(元データ!$AO$2:$AO$2001=1)*(元データ!$AM$2:$AM$2001&lt;=7)*(元データ!$E$2:$E$2001="20 確認待ち"))</f>
        <v/>
      </c>
      <c r="H81" s="186">
        <f>IFERROR(_xlfn.TEXTJOIN(CHAR(10),TRUE,IF((元データ!$AL$2:$AL$2001=1)*(元データ!$AN$2:$AN$2001=1)*(元データ!$AE$2:$AE$2001=$C$81)*(元データ!$AO$2:$AO$2001=1)*(元データ!$AM$2:$AM$2001&lt;=7)*(元データ!$E$2:$E$2001="20 確認待ち"),元データ!$A$2:$A$2001&amp;IF(元データ!$AP$2:$AP$2001&lt;&gt;"","（"&amp;MID(元データ!$AP$2:$AP$2001,2,100)&amp;")",""),"")),"")</f>
        <v/>
      </c>
      <c r="I81" s="185">
        <f>SUMPRODUCT((元データ!$AL$2:$AL$2001=1)*(元データ!$AN$2:$AN$2001=1)*(元データ!$AE$2:$AE$2001=$C$81)*(元データ!$AO$2:$AO$2001=1)*(元データ!$AM$2:$AM$2001&lt;=7)*(元データ!$E$2:$E$2001="30 申請受付"))</f>
        <v/>
      </c>
      <c r="J81" s="186">
        <f>IFERROR(_xlfn.TEXTJOIN(CHAR(10),TRUE,IF((元データ!$AL$2:$AL$2001=1)*(元データ!$AN$2:$AN$2001=1)*(元データ!$AE$2:$AE$2001=$C$81)*(元データ!$AO$2:$AO$2001=1)*(元データ!$AM$2:$AM$2001&lt;=7)*(元データ!$E$2:$E$2001="30 申請受付"),元データ!$A$2:$A$2001&amp;IF(元データ!$AP$2:$AP$2001&lt;&gt;"","（"&amp;MID(元データ!$AP$2:$AP$2001,2,100)&amp;")",""),"")),"")</f>
        <v/>
      </c>
      <c r="K81" s="185">
        <f>SUMPRODUCT((元データ!$AL$2:$AL$2001=1)*(元データ!$AN$2:$AN$2001=1)*(元データ!$AE$2:$AE$2001=$C$81)*(元データ!$AO$2:$AO$2001=1)*(元データ!$AM$2:$AM$2001&lt;=7)*(元データ!$E$2:$E$2001="31 ＯＰ確認中"))</f>
        <v/>
      </c>
      <c r="L81" s="186">
        <f>IFERROR(_xlfn.TEXTJOIN(CHAR(10),TRUE,IF((元データ!$AL$2:$AL$2001=1)*(元データ!$AN$2:$AN$2001=1)*(元データ!$AE$2:$AE$2001=$C$81)*(元データ!$AO$2:$AO$2001=1)*(元データ!$AM$2:$AM$2001&lt;=7)*(元データ!$E$2:$E$2001="31 ＯＰ確認中"),元データ!$A$2:$A$2001&amp;IF(元データ!$AP$2:$AP$2001&lt;&gt;"","（"&amp;MID(元データ!$AP$2:$AP$2001,2,100)&amp;")",""),"")),"")</f>
        <v/>
      </c>
      <c r="M81" s="185">
        <f>SUMPRODUCT((元データ!$AL$2:$AL$2001=1)*(元データ!$AN$2:$AN$2001=1)*(元データ!$AE$2:$AE$2001=$C$81)*(元データ!$AO$2:$AO$2001=1)*(元データ!$AM$2:$AM$2001&lt;=7)*(元データ!$E$2:$E$2001="32 ＳＶ確認中"))</f>
        <v/>
      </c>
      <c r="N81" s="186">
        <f>IFERROR(_xlfn.TEXTJOIN(CHAR(10),TRUE,IF((元データ!$AL$2:$AL$2001=1)*(元データ!$AN$2:$AN$2001=1)*(元データ!$AE$2:$AE$2001=$C$81)*(元データ!$AO$2:$AO$2001=1)*(元データ!$AM$2:$AM$2001&lt;=7)*(元データ!$E$2:$E$2001="32 ＳＶ確認中"),元データ!$A$2:$A$2001&amp;IF(元データ!$AP$2:$AP$2001&lt;&gt;"","（"&amp;MID(元データ!$AP$2:$AP$2001,2,100)&amp;")",""),"")),"")</f>
        <v/>
      </c>
      <c r="O81" s="185">
        <f>SUMPRODUCT((元データ!$AL$2:$AL$2001=1)*(元データ!$AN$2:$AN$2001=1)*(元データ!$AE$2:$AE$2001=$C$81)*(元データ!$AO$2:$AO$2001=1)*(元データ!$AM$2:$AM$2001&lt;=7)*(元データ!$E$2:$E$2001="40 差戻し"))</f>
        <v/>
      </c>
      <c r="P81" s="186">
        <f>IFERROR(_xlfn.TEXTJOIN(CHAR(10),TRUE,IF((元データ!$AL$2:$AL$2001=1)*(元データ!$AN$2:$AN$2001=1)*(元データ!$AE$2:$AE$2001=$C$81)*(元データ!$AO$2:$AO$2001=1)*(元データ!$AM$2:$AM$2001&lt;=7)*(元データ!$E$2:$E$2001="40 差戻し"),元データ!$A$2:$A$2001&amp;IF(元データ!$AP$2:$AP$2001&lt;&gt;"","（"&amp;MID(元データ!$AP$2:$AP$2001,2,100)&amp;")",""),"")),"")</f>
        <v/>
      </c>
      <c r="Q81" s="184">
        <f>SUMPRODUCT((元データ!$AL$2:$AL$2001=1)*(元データ!$AN$2:$AN$2001=1)*(元データ!$AE$2:$AE$2001=$C$81)*(元データ!$AO$2:$AO$2001=1)*(元データ!$AM$2:$AM$2001&gt;=8)*(元データ!$AM$2:$AM$2001&lt;=14))</f>
        <v/>
      </c>
      <c r="R81" s="185">
        <f>SUMPRODUCT((元データ!$AL$2:$AL$2001=1)*(元データ!$AN$2:$AN$2001=1)*(元データ!$AE$2:$AE$2001=$C$81)*(元データ!$AO$2:$AO$2001=1)*(元データ!$AM$2:$AM$2001&gt;=8)*(元データ!$AM$2:$AM$2001&lt;=14)*(元データ!$E$2:$E$2001="20 確認待ち"))</f>
        <v/>
      </c>
      <c r="S81" s="186">
        <f>IFERROR(_xlfn.TEXTJOIN(CHAR(10),TRUE,IF((元データ!$AL$2:$AL$2001=1)*(元データ!$AN$2:$AN$2001=1)*(元データ!$AE$2:$AE$2001=$C$81)*(元データ!$AO$2:$AO$2001=1)*(元データ!$AM$2:$AM$2001&gt;=8)*(元データ!$AM$2:$AM$2001&lt;=14)*(元データ!$E$2:$E$2001="20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81" s="185">
        <f>SUMPRODUCT((元データ!$AL$2:$AL$2001=1)*(元データ!$AN$2:$AN$2001=1)*(元データ!$AE$2:$AE$2001=$C$81)*(元データ!$AO$2:$AO$2001=1)*(元データ!$AM$2:$AM$2001&gt;=8)*(元データ!$AM$2:$AM$2001&lt;=14)*(元データ!$E$2:$E$2001="30 申請受付"))</f>
        <v/>
      </c>
      <c r="U81" s="186">
        <f>IFERROR(_xlfn.TEXTJOIN(CHAR(10),TRUE,IF((元データ!$AL$2:$AL$2001=1)*(元データ!$AN$2:$AN$2001=1)*(元データ!$AE$2:$AE$2001=$C$81)*(元データ!$AO$2:$AO$2001=1)*(元データ!$AM$2:$AM$2001&gt;=8)*(元データ!$AM$2:$AM$2001&lt;=14)*(元データ!$E$2:$E$2001="30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81" s="185">
        <f>SUMPRODUCT((元データ!$AL$2:$AL$2001=1)*(元データ!$AN$2:$AN$2001=1)*(元データ!$AE$2:$AE$2001=$C$81)*(元データ!$AO$2:$AO$2001=1)*(元データ!$AM$2:$AM$2001&gt;=8)*(元データ!$AM$2:$AM$2001&lt;=14)*(元データ!$E$2:$E$2001="31 ＯＰ確認中"))</f>
        <v/>
      </c>
      <c r="W81" s="186">
        <f>IFERROR(_xlfn.TEXTJOIN(CHAR(10),TRUE,IF((元データ!$AL$2:$AL$2001=1)*(元データ!$AN$2:$AN$2001=1)*(元データ!$AE$2:$AE$2001=$C$81)*(元データ!$AO$2:$AO$2001=1)*(元データ!$AM$2:$AM$2001&gt;=8)*(元データ!$AM$2:$AM$2001&lt;=14)*(元データ!$E$2:$E$2001="31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81" s="185">
        <f>SUMPRODUCT((元データ!$AL$2:$AL$2001=1)*(元データ!$AN$2:$AN$2001=1)*(元データ!$AE$2:$AE$2001=$C$81)*(元データ!$AO$2:$AO$2001=1)*(元データ!$AM$2:$AM$2001&gt;=8)*(元データ!$AM$2:$AM$2001&lt;=14)*(元データ!$E$2:$E$2001="32 ＳＶ確認中"))</f>
        <v/>
      </c>
      <c r="Y81" s="186">
        <f>IFERROR(_xlfn.TEXTJOIN(CHAR(10),TRUE,IF((元データ!$AL$2:$AL$2001=1)*(元データ!$AN$2:$AN$2001=1)*(元データ!$AE$2:$AE$2001=$C$81)*(元データ!$AO$2:$AO$2001=1)*(元データ!$AM$2:$AM$2001&gt;=8)*(元データ!$AM$2:$AM$2001&lt;=14)*(元データ!$E$2:$E$2001="32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81" s="185">
        <f>SUMPRODUCT((元データ!$AL$2:$AL$2001=1)*(元データ!$AN$2:$AN$2001=1)*(元データ!$AE$2:$AE$2001=$C$81)*(元データ!$AO$2:$AO$2001=1)*(元データ!$AM$2:$AM$2001&gt;=8)*(元データ!$AM$2:$AM$2001&lt;=14)*(元データ!$E$2:$E$2001="40 差戻し"))</f>
        <v/>
      </c>
      <c r="AA81" s="186">
        <f>IFERROR(_xlfn.TEXTJOIN(CHAR(10),TRUE,IF((元データ!$AL$2:$AL$2001=1)*(元データ!$AN$2:$AN$2001=1)*(元データ!$AE$2:$AE$2001=$C$81)*(元データ!$AO$2:$AO$2001=1)*(元データ!$AM$2:$AM$2001&gt;=8)*(元データ!$AM$2:$AM$2001&lt;=14)*(元データ!$E$2:$E$2001="40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81" s="187">
        <f>SUMPRODUCT((元データ!$AL$2:$AL$2001=1)*(元データ!$AN$2:$AN$2001=1)*(元データ!$AE$2:$AE$2001=$C$81)*(元データ!$AO$2:$AO$2001=1)*(元データ!$AM$2:$AM$2001&gt;=15)*(元データ!$AM$2:$AM$2001&lt;=21))</f>
        <v/>
      </c>
      <c r="AC81" s="188">
        <f>SUMPRODUCT((元データ!$AL$2:$AL$2001=1)*(元データ!$AN$2:$AN$2001=1)*(元データ!$AE$2:$AE$2001=$C$81)*(元データ!$AO$2:$AO$2001=1)*(元データ!$AM$2:$AM$2001&gt;=15)*(元データ!$AM$2:$AM$2001&lt;=21)*(元データ!$E$2:$E$2001="20 確認待ち"))</f>
        <v/>
      </c>
      <c r="AD81" s="189">
        <f>IFERROR(_xlfn.TEXTJOIN(CHAR(10),TRUE,IF((元データ!$AL$2:$AL$2001=1)*(元データ!$AN$2:$AN$2001=1)*(元データ!$AE$2:$AE$2001=$C$81)*(元データ!$AO$2:$AO$2001=1)*(元データ!$AM$2:$AM$2001&gt;=15)*(元データ!$AM$2:$AM$2001&lt;=21)*(元データ!$E$2:$E$2001="20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81" s="188">
        <f>SUMPRODUCT((元データ!$AL$2:$AL$2001=1)*(元データ!$AN$2:$AN$2001=1)*(元データ!$AE$2:$AE$2001=$C$81)*(元データ!$AO$2:$AO$2001=1)*(元データ!$AM$2:$AM$2001&gt;=15)*(元データ!$AM$2:$AM$2001&lt;=21)*(元データ!$E$2:$E$2001="30 申請受付"))</f>
        <v/>
      </c>
      <c r="AF81" s="189">
        <f>IFERROR(_xlfn.TEXTJOIN(CHAR(10),TRUE,IF((元データ!$AL$2:$AL$2001=1)*(元データ!$AN$2:$AN$2001=1)*(元データ!$AE$2:$AE$2001=$C$81)*(元データ!$AO$2:$AO$2001=1)*(元データ!$AM$2:$AM$2001&gt;=15)*(元データ!$AM$2:$AM$2001&lt;=21)*(元データ!$E$2:$E$2001="30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81" s="188">
        <f>SUMPRODUCT((元データ!$AL$2:$AL$2001=1)*(元データ!$AN$2:$AN$2001=1)*(元データ!$AE$2:$AE$2001=$C$81)*(元データ!$AO$2:$AO$2001=1)*(元データ!$AM$2:$AM$2001&gt;=15)*(元データ!$AM$2:$AM$2001&lt;=21)*(元データ!$E$2:$E$2001="31 ＯＰ確認中"))</f>
        <v/>
      </c>
      <c r="AH81" s="189">
        <f>IFERROR(_xlfn.TEXTJOIN(CHAR(10),TRUE,IF((元データ!$AL$2:$AL$2001=1)*(元データ!$AN$2:$AN$2001=1)*(元データ!$AE$2:$AE$2001=$C$81)*(元データ!$AO$2:$AO$2001=1)*(元データ!$AM$2:$AM$2001&gt;=15)*(元データ!$AM$2:$AM$2001&lt;=21)*(元データ!$E$2:$E$2001="31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81" s="188">
        <f>SUMPRODUCT((元データ!$AL$2:$AL$2001=1)*(元データ!$AN$2:$AN$2001=1)*(元データ!$AE$2:$AE$2001=$C$81)*(元データ!$AO$2:$AO$2001=1)*(元データ!$AM$2:$AM$2001&gt;=15)*(元データ!$AM$2:$AM$2001&lt;=21)*(元データ!$E$2:$E$2001="32 ＳＶ確認中"))</f>
        <v/>
      </c>
      <c r="AJ81" s="189">
        <f>IFERROR(_xlfn.TEXTJOIN(CHAR(10),TRUE,IF((元データ!$AL$2:$AL$2001=1)*(元データ!$AN$2:$AN$2001=1)*(元データ!$AE$2:$AE$2001=$C$81)*(元データ!$AO$2:$AO$2001=1)*(元データ!$AM$2:$AM$2001&gt;=15)*(元データ!$AM$2:$AM$2001&lt;=21)*(元データ!$E$2:$E$2001="32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81" s="188">
        <f>SUMPRODUCT((元データ!$AL$2:$AL$2001=1)*(元データ!$AN$2:$AN$2001=1)*(元データ!$AE$2:$AE$2001=$C$81)*(元データ!$AO$2:$AO$2001=1)*(元データ!$AM$2:$AM$2001&gt;=15)*(元データ!$AM$2:$AM$2001&lt;=21)*(元データ!$E$2:$E$2001="40 差戻し"))</f>
        <v/>
      </c>
      <c r="AL81" s="189">
        <f>IFERROR(_xlfn.TEXTJOIN(CHAR(10),TRUE,IF((元データ!$AL$2:$AL$2001=1)*(元データ!$AN$2:$AN$2001=1)*(元データ!$AE$2:$AE$2001=$C$81)*(元データ!$AO$2:$AO$2001=1)*(元データ!$AM$2:$AM$2001&gt;=15)*(元データ!$AM$2:$AM$2001&lt;=21)*(元データ!$E$2:$E$2001="40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81" s="190">
        <f>SUMPRODUCT((元データ!$AL$2:$AL$2001=1)*(元データ!$AN$2:$AN$2001=1)*(元データ!$AE$2:$AE$2001=$C$81)*(元データ!$AO$2:$AO$2001=1)*(元データ!$AM$2:$AM$2001&gt;=22)*(元データ!$AM$2:$AM$2001&lt;=30))</f>
        <v/>
      </c>
      <c r="AN81" s="191">
        <f>SUMPRODUCT((元データ!$AL$2:$AL$2001=1)*(元データ!$AN$2:$AN$2001=1)*(元データ!$AE$2:$AE$2001=$C$81)*(元データ!$AO$2:$AO$2001=1)*(元データ!$AM$2:$AM$2001&gt;=22)*(元データ!$AM$2:$AM$2001&lt;=30)*(元データ!$E$2:$E$2001="20 確認待ち"))</f>
        <v/>
      </c>
      <c r="AO81" s="192">
        <f>IFERROR(_xlfn.TEXTJOIN(CHAR(10),TRUE,IF((元データ!$AL$2:$AL$2001=1)*(元データ!$AN$2:$AN$2001=1)*(元データ!$AE$2:$AE$2001=$C$81)*(元データ!$AO$2:$AO$2001=1)*(元データ!$AM$2:$AM$2001&gt;=22)*(元データ!$AM$2:$AM$2001&lt;=30)*(元データ!$E$2:$E$2001="20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81" s="191">
        <f>SUMPRODUCT((元データ!$AL$2:$AL$2001=1)*(元データ!$AN$2:$AN$2001=1)*(元データ!$AE$2:$AE$2001=$C$81)*(元データ!$AO$2:$AO$2001=1)*(元データ!$AM$2:$AM$2001&gt;=22)*(元データ!$AM$2:$AM$2001&lt;=30)*(元データ!$E$2:$E$2001="30 申請受付"))</f>
        <v/>
      </c>
      <c r="AQ81" s="192">
        <f>IFERROR(_xlfn.TEXTJOIN(CHAR(10),TRUE,IF((元データ!$AL$2:$AL$2001=1)*(元データ!$AN$2:$AN$2001=1)*(元データ!$AE$2:$AE$2001=$C$81)*(元データ!$AO$2:$AO$2001=1)*(元データ!$AM$2:$AM$2001&gt;=22)*(元データ!$AM$2:$AM$2001&lt;=30)*(元データ!$E$2:$E$2001="30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81" s="191">
        <f>SUMPRODUCT((元データ!$AL$2:$AL$2001=1)*(元データ!$AN$2:$AN$2001=1)*(元データ!$AE$2:$AE$2001=$C$81)*(元データ!$AO$2:$AO$2001=1)*(元データ!$AM$2:$AM$2001&gt;=22)*(元データ!$AM$2:$AM$2001&lt;=30)*(元データ!$E$2:$E$2001="31 ＯＰ確認中"))</f>
        <v/>
      </c>
      <c r="AS81" s="192">
        <f>IFERROR(_xlfn.TEXTJOIN(CHAR(10),TRUE,IF((元データ!$AL$2:$AL$2001=1)*(元データ!$AN$2:$AN$2001=1)*(元データ!$AE$2:$AE$2001=$C$81)*(元データ!$AO$2:$AO$2001=1)*(元データ!$AM$2:$AM$2001&gt;=22)*(元データ!$AM$2:$AM$2001&lt;=30)*(元データ!$E$2:$E$2001="31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81" s="191">
        <f>SUMPRODUCT((元データ!$AL$2:$AL$2001=1)*(元データ!$AN$2:$AN$2001=1)*(元データ!$AE$2:$AE$2001=$C$81)*(元データ!$AO$2:$AO$2001=1)*(元データ!$AM$2:$AM$2001&gt;=22)*(元データ!$AM$2:$AM$2001&lt;=30)*(元データ!$E$2:$E$2001="32 ＳＶ確認中"))</f>
        <v/>
      </c>
      <c r="AU81" s="192">
        <f>IFERROR(_xlfn.TEXTJOIN(CHAR(10),TRUE,IF((元データ!$AL$2:$AL$2001=1)*(元データ!$AN$2:$AN$2001=1)*(元データ!$AE$2:$AE$2001=$C$81)*(元データ!$AO$2:$AO$2001=1)*(元データ!$AM$2:$AM$2001&gt;=22)*(元データ!$AM$2:$AM$2001&lt;=30)*(元データ!$E$2:$E$2001="32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81" s="191">
        <f>SUMPRODUCT((元データ!$AL$2:$AL$2001=1)*(元データ!$AN$2:$AN$2001=1)*(元データ!$AE$2:$AE$2001=$C$81)*(元データ!$AO$2:$AO$2001=1)*(元データ!$AM$2:$AM$2001&gt;=22)*(元データ!$AM$2:$AM$2001&lt;=30)*(元データ!$E$2:$E$2001="40 差戻し"))</f>
        <v/>
      </c>
      <c r="AW81" s="192">
        <f>IFERROR(_xlfn.TEXTJOIN(CHAR(10),TRUE,IF((元データ!$AL$2:$AL$2001=1)*(元データ!$AN$2:$AN$2001=1)*(元データ!$AE$2:$AE$2001=$C$81)*(元データ!$AO$2:$AO$2001=1)*(元データ!$AM$2:$AM$2001&gt;=22)*(元データ!$AM$2:$AM$2001&lt;=30)*(元データ!$E$2:$E$2001="40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81" s="193">
        <f>SUMPRODUCT((元データ!$AL$2:$AL$2001=1)*(元データ!$AN$2:$AN$2001=1)*(元データ!$AE$2:$AE$2001=$C$81)*(元データ!$AO$2:$AO$2001=1)*(元データ!$AM$2:$AM$2001&gt;=31))</f>
        <v/>
      </c>
      <c r="AY81" s="194">
        <f>SUMPRODUCT((元データ!$AL$2:$AL$2001=1)*(元データ!$AN$2:$AN$2001=1)*(元データ!$AE$2:$AE$2001=$C$81)*(元データ!$AO$2:$AO$2001=1)*(元データ!$AM$2:$AM$2001&gt;=31)*(元データ!$E$2:$E$2001="20 確認待ち"))</f>
        <v/>
      </c>
      <c r="AZ81" s="195">
        <f>IFERROR(_xlfn.TEXTJOIN(CHAR(10),TRUE,IF((元データ!$AL$2:$AL$2001=1)*(元データ!$AN$2:$AN$2001=1)*(元データ!$AE$2:$AE$2001=$C$81)*(元データ!$AO$2:$AO$2001=1)*(元データ!$AM$2:$AM$2001&gt;=31)*(元データ!$E$2:$E$2001="20 確認待ち"),元データ!$A$2:$A$2001&amp;IF(元データ!$AP$2:$AP$2001&lt;&gt;"","（"&amp;MID(元データ!$AP$2:$AP$2001,2,100)&amp;")",""),"")),"")</f>
        <v/>
      </c>
      <c r="BA81" s="194">
        <f>SUMPRODUCT((元データ!$AL$2:$AL$2001=1)*(元データ!$AN$2:$AN$2001=1)*(元データ!$AE$2:$AE$2001=$C$81)*(元データ!$AO$2:$AO$2001=1)*(元データ!$AM$2:$AM$2001&gt;=31)*(元データ!$E$2:$E$2001="30 申請受付"))</f>
        <v/>
      </c>
      <c r="BB81" s="195">
        <f>IFERROR(_xlfn.TEXTJOIN(CHAR(10),TRUE,IF((元データ!$AL$2:$AL$2001=1)*(元データ!$AN$2:$AN$2001=1)*(元データ!$AE$2:$AE$2001=$C$81)*(元データ!$AO$2:$AO$2001=1)*(元データ!$AM$2:$AM$2001&gt;=31)*(元データ!$E$2:$E$2001="30 申請受付"),元データ!$A$2:$A$2001&amp;IF(元データ!$AP$2:$AP$2001&lt;&gt;"","（"&amp;MID(元データ!$AP$2:$AP$2001,2,100)&amp;")",""),"")),"")</f>
        <v/>
      </c>
      <c r="BC81" s="194">
        <f>SUMPRODUCT((元データ!$AL$2:$AL$2001=1)*(元データ!$AN$2:$AN$2001=1)*(元データ!$AE$2:$AE$2001=$C$81)*(元データ!$AO$2:$AO$2001=1)*(元データ!$AM$2:$AM$2001&gt;=31)*(元データ!$E$2:$E$2001="31 ＯＰ確認中"))</f>
        <v/>
      </c>
      <c r="BD81" s="195">
        <f>IFERROR(_xlfn.TEXTJOIN(CHAR(10),TRUE,IF((元データ!$AL$2:$AL$2001=1)*(元データ!$AN$2:$AN$2001=1)*(元データ!$AE$2:$AE$2001=$C$81)*(元データ!$AO$2:$AO$2001=1)*(元データ!$AM$2:$AM$2001&gt;=31)*(元データ!$E$2:$E$2001="31 ＯＰ確認中"),元データ!$A$2:$A$2001&amp;IF(元データ!$AP$2:$AP$2001&lt;&gt;"","（"&amp;MID(元データ!$AP$2:$AP$2001,2,100)&amp;")",""),"")),"")</f>
        <v/>
      </c>
      <c r="BE81" s="194">
        <f>SUMPRODUCT((元データ!$AL$2:$AL$2001=1)*(元データ!$AN$2:$AN$2001=1)*(元データ!$AE$2:$AE$2001=$C$81)*(元データ!$AO$2:$AO$2001=1)*(元データ!$AM$2:$AM$2001&gt;=31)*(元データ!$E$2:$E$2001="32 ＳＶ確認中"))</f>
        <v/>
      </c>
      <c r="BF81" s="195">
        <f>IFERROR(_xlfn.TEXTJOIN(CHAR(10),TRUE,IF((元データ!$AL$2:$AL$2001=1)*(元データ!$AN$2:$AN$2001=1)*(元データ!$AE$2:$AE$2001=$C$81)*(元データ!$AO$2:$AO$2001=1)*(元データ!$AM$2:$AM$2001&gt;=31)*(元データ!$E$2:$E$2001="32 ＳＶ確認中"),元データ!$A$2:$A$2001&amp;IF(元データ!$AP$2:$AP$2001&lt;&gt;"","（"&amp;MID(元データ!$AP$2:$AP$2001,2,100)&amp;")",""),"")),"")</f>
        <v/>
      </c>
      <c r="BG81" s="194">
        <f>SUMPRODUCT((元データ!$AL$2:$AL$2001=1)*(元データ!$AN$2:$AN$2001=1)*(元データ!$AE$2:$AE$2001=$C$81)*(元データ!$AO$2:$AO$2001=1)*(元データ!$AM$2:$AM$2001&gt;=31)*(元データ!$E$2:$E$2001="40 差戻し"))</f>
        <v/>
      </c>
      <c r="BH81" s="195">
        <f>IFERROR(_xlfn.TEXTJOIN(CHAR(10),TRUE,IF((元データ!$AL$2:$AL$2001=1)*(元データ!$AN$2:$AN$2001=1)*(元データ!$AE$2:$AE$2001=$C$81)*(元データ!$AO$2:$AO$2001=1)*(元データ!$AM$2:$AM$2001&gt;=31)*(元データ!$E$2:$E$2001="40 差戻し"),元データ!$A$2:$A$2001&amp;IF(元データ!$AP$2:$AP$2001&lt;&gt;"","（"&amp;MID(元データ!$AP$2:$AP$2001,2,100)&amp;")",""),"")),"")</f>
        <v/>
      </c>
    </row>
    <row r="82">
      <c r="F82" s="196">
        <f>SUMPRODUCT((元データ!$AL$2:$AL$2001=1)*(元データ!$AN$2:$AN$2001=1)*(元データ!$AE$2:$AE$2001=$C$81)*(元データ!$AO$2:$AO$2001=0)*(元データ!$AM$2:$AM$2001&lt;=7))</f>
        <v/>
      </c>
      <c r="G82" s="197">
        <f>SUMPRODUCT((元データ!$AL$2:$AL$2001=1)*(元データ!$AN$2:$AN$2001=1)*(元データ!$AE$2:$AE$2001=$C$81)*(元データ!$AO$2:$AO$2001=0)*(元データ!$AM$2:$AM$2001&lt;=7)*(元データ!$E$2:$E$2001="20 確認待ち"))</f>
        <v/>
      </c>
      <c r="H82" s="198">
        <f>IFERROR(_xlfn.TEXTJOIN(CHAR(10),TRUE,IF((元データ!$AL$2:$AL$2001=1)*(元データ!$AN$2:$AN$2001=1)*(元データ!$AE$2:$AE$2001=$C$81)*(元データ!$AO$2:$AO$2001=0)*(元データ!$AM$2:$AM$2001&lt;=7)*(元データ!$E$2:$E$2001="20 確認待ち"),元データ!$A$2:$A$2001&amp;IF(元データ!$AP$2:$AP$2001&lt;&gt;"","（"&amp;MID(元データ!$AP$2:$AP$2001,2,100)&amp;")",""),"")),"")</f>
        <v/>
      </c>
      <c r="I82" s="197">
        <f>SUMPRODUCT((元データ!$AL$2:$AL$2001=1)*(元データ!$AN$2:$AN$2001=1)*(元データ!$AE$2:$AE$2001=$C$81)*(元データ!$AO$2:$AO$2001=0)*(元データ!$AM$2:$AM$2001&lt;=7)*(元データ!$E$2:$E$2001="30 申請受付"))</f>
        <v/>
      </c>
      <c r="J82" s="198">
        <f>IFERROR(_xlfn.TEXTJOIN(CHAR(10),TRUE,IF((元データ!$AL$2:$AL$2001=1)*(元データ!$AN$2:$AN$2001=1)*(元データ!$AE$2:$AE$2001=$C$81)*(元データ!$AO$2:$AO$2001=0)*(元データ!$AM$2:$AM$2001&lt;=7)*(元データ!$E$2:$E$2001="30 申請受付"),元データ!$A$2:$A$2001&amp;IF(元データ!$AP$2:$AP$2001&lt;&gt;"","（"&amp;MID(元データ!$AP$2:$AP$2001,2,100)&amp;")",""),"")),"")</f>
        <v/>
      </c>
      <c r="K82" s="197">
        <f>SUMPRODUCT((元データ!$AL$2:$AL$2001=1)*(元データ!$AN$2:$AN$2001=1)*(元データ!$AE$2:$AE$2001=$C$81)*(元データ!$AO$2:$AO$2001=0)*(元データ!$AM$2:$AM$2001&lt;=7)*(元データ!$E$2:$E$2001="31 ＯＰ確認中"))</f>
        <v/>
      </c>
      <c r="L82" s="198">
        <f>IFERROR(_xlfn.TEXTJOIN(CHAR(10),TRUE,IF((元データ!$AL$2:$AL$2001=1)*(元データ!$AN$2:$AN$2001=1)*(元データ!$AE$2:$AE$2001=$C$81)*(元データ!$AO$2:$AO$2001=0)*(元データ!$AM$2:$AM$2001&lt;=7)*(元データ!$E$2:$E$2001="31 ＯＰ確認中"),元データ!$A$2:$A$2001&amp;IF(元データ!$AP$2:$AP$2001&lt;&gt;"","（"&amp;MID(元データ!$AP$2:$AP$2001,2,100)&amp;")",""),"")),"")</f>
        <v/>
      </c>
      <c r="M82" s="197">
        <f>SUMPRODUCT((元データ!$AL$2:$AL$2001=1)*(元データ!$AN$2:$AN$2001=1)*(元データ!$AE$2:$AE$2001=$C$81)*(元データ!$AO$2:$AO$2001=0)*(元データ!$AM$2:$AM$2001&lt;=7)*(元データ!$E$2:$E$2001="32 ＳＶ確認中"))</f>
        <v/>
      </c>
      <c r="N82" s="198">
        <f>IFERROR(_xlfn.TEXTJOIN(CHAR(10),TRUE,IF((元データ!$AL$2:$AL$2001=1)*(元データ!$AN$2:$AN$2001=1)*(元データ!$AE$2:$AE$2001=$C$81)*(元データ!$AO$2:$AO$2001=0)*(元データ!$AM$2:$AM$2001&lt;=7)*(元データ!$E$2:$E$2001="32 ＳＶ確認中"),元データ!$A$2:$A$2001&amp;IF(元データ!$AP$2:$AP$2001&lt;&gt;"","（"&amp;MID(元データ!$AP$2:$AP$2001,2,100)&amp;")",""),"")),"")</f>
        <v/>
      </c>
      <c r="O82" s="197">
        <f>SUMPRODUCT((元データ!$AL$2:$AL$2001=1)*(元データ!$AN$2:$AN$2001=1)*(元データ!$AE$2:$AE$2001=$C$81)*(元データ!$AO$2:$AO$2001=0)*(元データ!$AM$2:$AM$2001&lt;=7)*(元データ!$E$2:$E$2001="40 差戻し"))</f>
        <v/>
      </c>
      <c r="P82" s="198">
        <f>IFERROR(_xlfn.TEXTJOIN(CHAR(10),TRUE,IF((元データ!$AL$2:$AL$2001=1)*(元データ!$AN$2:$AN$2001=1)*(元データ!$AE$2:$AE$2001=$C$81)*(元データ!$AO$2:$AO$2001=0)*(元データ!$AM$2:$AM$2001&lt;=7)*(元データ!$E$2:$E$2001="40 差戻し"),元データ!$A$2:$A$2001&amp;IF(元データ!$AP$2:$AP$2001&lt;&gt;"","（"&amp;MID(元データ!$AP$2:$AP$2001,2,100)&amp;")",""),"")),"")</f>
        <v/>
      </c>
      <c r="Q82" s="196">
        <f>SUMPRODUCT((元データ!$AL$2:$AL$2001=1)*(元データ!$AN$2:$AN$2001=1)*(元データ!$AE$2:$AE$2001=$C$81)*(元データ!$AO$2:$AO$2001=0)*(元データ!$AM$2:$AM$2001&gt;=8)*(元データ!$AM$2:$AM$2001&lt;=14))</f>
        <v/>
      </c>
      <c r="R82" s="197">
        <f>SUMPRODUCT((元データ!$AL$2:$AL$2001=1)*(元データ!$AN$2:$AN$2001=1)*(元データ!$AE$2:$AE$2001=$C$81)*(元データ!$AO$2:$AO$2001=0)*(元データ!$AM$2:$AM$2001&gt;=8)*(元データ!$AM$2:$AM$2001&lt;=14)*(元データ!$E$2:$E$2001="20 確認待ち"))</f>
        <v/>
      </c>
      <c r="S82" s="198">
        <f>IFERROR(_xlfn.TEXTJOIN(CHAR(10),TRUE,IF((元データ!$AL$2:$AL$2001=1)*(元データ!$AN$2:$AN$2001=1)*(元データ!$AE$2:$AE$2001=$C$81)*(元データ!$AO$2:$AO$2001=0)*(元データ!$AM$2:$AM$2001&gt;=8)*(元データ!$AM$2:$AM$2001&lt;=14)*(元データ!$E$2:$E$2001="20 確認待ち"),元データ!$A$2:$A$2001&amp;IF(元データ!$AP$2:$AP$2001&lt;&gt;"","（"&amp;MID(元データ!$AP$2:$AP$2001,2,100)&amp;")",""),"")),"")</f>
        <v/>
      </c>
      <c r="T82" s="197">
        <f>SUMPRODUCT((元データ!$AL$2:$AL$2001=1)*(元データ!$AN$2:$AN$2001=1)*(元データ!$AE$2:$AE$2001=$C$81)*(元データ!$AO$2:$AO$2001=0)*(元データ!$AM$2:$AM$2001&gt;=8)*(元データ!$AM$2:$AM$2001&lt;=14)*(元データ!$E$2:$E$2001="30 申請受付"))</f>
        <v/>
      </c>
      <c r="U82" s="198">
        <f>IFERROR(_xlfn.TEXTJOIN(CHAR(10),TRUE,IF((元データ!$AL$2:$AL$2001=1)*(元データ!$AN$2:$AN$2001=1)*(元データ!$AE$2:$AE$2001=$C$81)*(元データ!$AO$2:$AO$2001=0)*(元データ!$AM$2:$AM$2001&gt;=8)*(元データ!$AM$2:$AM$2001&lt;=14)*(元データ!$E$2:$E$2001="30 申請受付"),元データ!$A$2:$A$2001&amp;IF(元データ!$AP$2:$AP$2001&lt;&gt;"","（"&amp;MID(元データ!$AP$2:$AP$2001,2,100)&amp;")",""),"")),"")</f>
        <v/>
      </c>
      <c r="V82" s="197">
        <f>SUMPRODUCT((元データ!$AL$2:$AL$2001=1)*(元データ!$AN$2:$AN$2001=1)*(元データ!$AE$2:$AE$2001=$C$81)*(元データ!$AO$2:$AO$2001=0)*(元データ!$AM$2:$AM$2001&gt;=8)*(元データ!$AM$2:$AM$2001&lt;=14)*(元データ!$E$2:$E$2001="31 ＯＰ確認中"))</f>
        <v/>
      </c>
      <c r="W82" s="198">
        <f>IFERROR(_xlfn.TEXTJOIN(CHAR(10),TRUE,IF((元データ!$AL$2:$AL$2001=1)*(元データ!$AN$2:$AN$2001=1)*(元データ!$AE$2:$AE$2001=$C$81)*(元データ!$AO$2:$AO$2001=0)*(元データ!$AM$2:$AM$2001&gt;=8)*(元データ!$AM$2:$AM$2001&lt;=14)*(元データ!$E$2:$E$2001="31 ＯＰ確認中"),元データ!$A$2:$A$2001&amp;IF(元データ!$AP$2:$AP$2001&lt;&gt;"","（"&amp;MID(元データ!$AP$2:$AP$2001,2,100)&amp;")",""),"")),"")</f>
        <v/>
      </c>
      <c r="X82" s="197">
        <f>SUMPRODUCT((元データ!$AL$2:$AL$2001=1)*(元データ!$AN$2:$AN$2001=1)*(元データ!$AE$2:$AE$2001=$C$81)*(元データ!$AO$2:$AO$2001=0)*(元データ!$AM$2:$AM$2001&gt;=8)*(元データ!$AM$2:$AM$2001&lt;=14)*(元データ!$E$2:$E$2001="32 ＳＶ確認中"))</f>
        <v/>
      </c>
      <c r="Y82" s="198">
        <f>IFERROR(_xlfn.TEXTJOIN(CHAR(10),TRUE,IF((元データ!$AL$2:$AL$2001=1)*(元データ!$AN$2:$AN$2001=1)*(元データ!$AE$2:$AE$2001=$C$81)*(元データ!$AO$2:$AO$2001=0)*(元データ!$AM$2:$AM$2001&gt;=8)*(元データ!$AM$2:$AM$2001&lt;=14)*(元データ!$E$2:$E$2001="32 ＳＶ確認中"),元データ!$A$2:$A$2001&amp;IF(元データ!$AP$2:$AP$2001&lt;&gt;"","（"&amp;MID(元データ!$AP$2:$AP$2001,2,100)&amp;")",""),"")),"")</f>
        <v/>
      </c>
      <c r="Z82" s="197">
        <f>SUMPRODUCT((元データ!$AL$2:$AL$2001=1)*(元データ!$AN$2:$AN$2001=1)*(元データ!$AE$2:$AE$2001=$C$81)*(元データ!$AO$2:$AO$2001=0)*(元データ!$AM$2:$AM$2001&gt;=8)*(元データ!$AM$2:$AM$2001&lt;=14)*(元データ!$E$2:$E$2001="40 差戻し"))</f>
        <v/>
      </c>
      <c r="AA82" s="198">
        <f>IFERROR(_xlfn.TEXTJOIN(CHAR(10),TRUE,IF((元データ!$AL$2:$AL$2001=1)*(元データ!$AN$2:$AN$2001=1)*(元データ!$AE$2:$AE$2001=$C$81)*(元データ!$AO$2:$AO$2001=0)*(元データ!$AM$2:$AM$2001&gt;=8)*(元データ!$AM$2:$AM$2001&lt;=14)*(元データ!$E$2:$E$2001="40 差戻し"),元データ!$A$2:$A$2001&amp;IF(元データ!$AP$2:$AP$2001&lt;&gt;"","（"&amp;MID(元データ!$AP$2:$AP$2001,2,100)&amp;")",""),"")),"")</f>
        <v/>
      </c>
      <c r="AB82" s="187">
        <f>SUMPRODUCT((元データ!$AL$2:$AL$2001=1)*(元データ!$AN$2:$AN$2001=1)*(元データ!$AE$2:$AE$2001=$C$81)*(元データ!$AO$2:$AO$2001=0)*(元データ!$AM$2:$AM$2001&gt;=15)*(元データ!$AM$2:$AM$2001&lt;=21))</f>
        <v/>
      </c>
      <c r="AC82" s="188">
        <f>SUMPRODUCT((元データ!$AL$2:$AL$2001=1)*(元データ!$AN$2:$AN$2001=1)*(元データ!$AE$2:$AE$2001=$C$81)*(元データ!$AO$2:$AO$2001=0)*(元データ!$AM$2:$AM$2001&gt;=15)*(元データ!$AM$2:$AM$2001&lt;=21)*(元データ!$E$2:$E$2001="20 確認待ち"))</f>
        <v/>
      </c>
      <c r="AD82" s="189">
        <f>IFERROR(_xlfn.TEXTJOIN(CHAR(10),TRUE,IF((元データ!$AL$2:$AL$2001=1)*(元データ!$AN$2:$AN$2001=1)*(元データ!$AE$2:$AE$2001=$C$81)*(元データ!$AO$2:$AO$2001=0)*(元データ!$AM$2:$AM$2001&gt;=15)*(元データ!$AM$2:$AM$2001&lt;=21)*(元データ!$E$2:$E$2001="20 確認待ち"),元データ!$A$2:$A$2001&amp;IF(元データ!$AP$2:$AP$2001&lt;&gt;"","（"&amp;MID(元データ!$AP$2:$AP$2001,2,100)&amp;")",""),"")),"")</f>
        <v/>
      </c>
      <c r="AE82" s="188">
        <f>SUMPRODUCT((元データ!$AL$2:$AL$2001=1)*(元データ!$AN$2:$AN$2001=1)*(元データ!$AE$2:$AE$2001=$C$81)*(元データ!$AO$2:$AO$2001=0)*(元データ!$AM$2:$AM$2001&gt;=15)*(元データ!$AM$2:$AM$2001&lt;=21)*(元データ!$E$2:$E$2001="30 申請受付"))</f>
        <v/>
      </c>
      <c r="AF82" s="189">
        <f>IFERROR(_xlfn.TEXTJOIN(CHAR(10),TRUE,IF((元データ!$AL$2:$AL$2001=1)*(元データ!$AN$2:$AN$2001=1)*(元データ!$AE$2:$AE$2001=$C$81)*(元データ!$AO$2:$AO$2001=0)*(元データ!$AM$2:$AM$2001&gt;=15)*(元データ!$AM$2:$AM$2001&lt;=21)*(元データ!$E$2:$E$2001="30 申請受付"),元データ!$A$2:$A$2001&amp;IF(元データ!$AP$2:$AP$2001&lt;&gt;"","（"&amp;MID(元データ!$AP$2:$AP$2001,2,100)&amp;")",""),"")),"")</f>
        <v/>
      </c>
      <c r="AG82" s="188">
        <f>SUMPRODUCT((元データ!$AL$2:$AL$2001=1)*(元データ!$AN$2:$AN$2001=1)*(元データ!$AE$2:$AE$2001=$C$81)*(元データ!$AO$2:$AO$2001=0)*(元データ!$AM$2:$AM$2001&gt;=15)*(元データ!$AM$2:$AM$2001&lt;=21)*(元データ!$E$2:$E$2001="31 ＯＰ確認中"))</f>
        <v/>
      </c>
      <c r="AH82" s="189">
        <f>IFERROR(_xlfn.TEXTJOIN(CHAR(10),TRUE,IF((元データ!$AL$2:$AL$2001=1)*(元データ!$AN$2:$AN$2001=1)*(元データ!$AE$2:$AE$2001=$C$81)*(元データ!$AO$2:$AO$2001=0)*(元データ!$AM$2:$AM$2001&gt;=15)*(元データ!$AM$2:$AM$2001&lt;=21)*(元データ!$E$2:$E$2001="31 ＯＰ確認中"),元データ!$A$2:$A$2001&amp;IF(元データ!$AP$2:$AP$2001&lt;&gt;"","（"&amp;MID(元データ!$AP$2:$AP$2001,2,100)&amp;")",""),"")),"")</f>
        <v/>
      </c>
      <c r="AI82" s="188">
        <f>SUMPRODUCT((元データ!$AL$2:$AL$2001=1)*(元データ!$AN$2:$AN$2001=1)*(元データ!$AE$2:$AE$2001=$C$81)*(元データ!$AO$2:$AO$2001=0)*(元データ!$AM$2:$AM$2001&gt;=15)*(元データ!$AM$2:$AM$2001&lt;=21)*(元データ!$E$2:$E$2001="32 ＳＶ確認中"))</f>
        <v/>
      </c>
      <c r="AJ82" s="189">
        <f>IFERROR(_xlfn.TEXTJOIN(CHAR(10),TRUE,IF((元データ!$AL$2:$AL$2001=1)*(元データ!$AN$2:$AN$2001=1)*(元データ!$AE$2:$AE$2001=$C$81)*(元データ!$AO$2:$AO$2001=0)*(元データ!$AM$2:$AM$2001&gt;=15)*(元データ!$AM$2:$AM$2001&lt;=21)*(元データ!$E$2:$E$2001="32 ＳＶ確認中"),元データ!$A$2:$A$2001&amp;IF(元データ!$AP$2:$AP$2001&lt;&gt;"","（"&amp;MID(元データ!$AP$2:$AP$2001,2,100)&amp;")",""),"")),"")</f>
        <v/>
      </c>
      <c r="AK82" s="188">
        <f>SUMPRODUCT((元データ!$AL$2:$AL$2001=1)*(元データ!$AN$2:$AN$2001=1)*(元データ!$AE$2:$AE$2001=$C$81)*(元データ!$AO$2:$AO$2001=0)*(元データ!$AM$2:$AM$2001&gt;=15)*(元データ!$AM$2:$AM$2001&lt;=21)*(元データ!$E$2:$E$2001="40 差戻し"))</f>
        <v/>
      </c>
      <c r="AL82" s="189">
        <f>IFERROR(_xlfn.TEXTJOIN(CHAR(10),TRUE,IF((元データ!$AL$2:$AL$2001=1)*(元データ!$AN$2:$AN$2001=1)*(元データ!$AE$2:$AE$2001=$C$81)*(元データ!$AO$2:$AO$2001=0)*(元データ!$AM$2:$AM$2001&gt;=15)*(元データ!$AM$2:$AM$2001&lt;=21)*(元データ!$E$2:$E$2001="40 差戻し"),元データ!$A$2:$A$2001&amp;IF(元データ!$AP$2:$AP$2001&lt;&gt;"","（"&amp;MID(元データ!$AP$2:$AP$2001,2,100)&amp;")",""),"")),"")</f>
        <v/>
      </c>
      <c r="AM82" s="190">
        <f>SUMPRODUCT((元データ!$AL$2:$AL$2001=1)*(元データ!$AN$2:$AN$2001=1)*(元データ!$AE$2:$AE$2001=$C$81)*(元データ!$AO$2:$AO$2001=0)*(元データ!$AM$2:$AM$2001&gt;=22)*(元データ!$AM$2:$AM$2001&lt;=30))</f>
        <v/>
      </c>
      <c r="AN82" s="191">
        <f>SUMPRODUCT((元データ!$AL$2:$AL$2001=1)*(元データ!$AN$2:$AN$2001=1)*(元データ!$AE$2:$AE$2001=$C$81)*(元データ!$AO$2:$AO$2001=0)*(元データ!$AM$2:$AM$2001&gt;=22)*(元データ!$AM$2:$AM$2001&lt;=30)*(元データ!$E$2:$E$2001="20 確認待ち"))</f>
        <v/>
      </c>
      <c r="AO82" s="192">
        <f>IFERROR(_xlfn.TEXTJOIN(CHAR(10),TRUE,IF((元データ!$AL$2:$AL$2001=1)*(元データ!$AN$2:$AN$2001=1)*(元データ!$AE$2:$AE$2001=$C$81)*(元データ!$AO$2:$AO$2001=0)*(元データ!$AM$2:$AM$2001&gt;=22)*(元データ!$AM$2:$AM$2001&lt;=30)*(元データ!$E$2:$E$2001="20 確認待ち"),元データ!$A$2:$A$2001&amp;IF(元データ!$AP$2:$AP$2001&lt;&gt;"","（"&amp;MID(元データ!$AP$2:$AP$2001,2,100)&amp;")",""),"")),"")</f>
        <v/>
      </c>
      <c r="AP82" s="191">
        <f>SUMPRODUCT((元データ!$AL$2:$AL$2001=1)*(元データ!$AN$2:$AN$2001=1)*(元データ!$AE$2:$AE$2001=$C$81)*(元データ!$AO$2:$AO$2001=0)*(元データ!$AM$2:$AM$2001&gt;=22)*(元データ!$AM$2:$AM$2001&lt;=30)*(元データ!$E$2:$E$2001="30 申請受付"))</f>
        <v/>
      </c>
      <c r="AQ82" s="192">
        <f>IFERROR(_xlfn.TEXTJOIN(CHAR(10),TRUE,IF((元データ!$AL$2:$AL$2001=1)*(元データ!$AN$2:$AN$2001=1)*(元データ!$AE$2:$AE$2001=$C$81)*(元データ!$AO$2:$AO$2001=0)*(元データ!$AM$2:$AM$2001&gt;=22)*(元データ!$AM$2:$AM$2001&lt;=30)*(元データ!$E$2:$E$2001="30 申請受付"),元データ!$A$2:$A$2001&amp;IF(元データ!$AP$2:$AP$2001&lt;&gt;"","（"&amp;MID(元データ!$AP$2:$AP$2001,2,100)&amp;")",""),"")),"")</f>
        <v/>
      </c>
      <c r="AR82" s="191">
        <f>SUMPRODUCT((元データ!$AL$2:$AL$2001=1)*(元データ!$AN$2:$AN$2001=1)*(元データ!$AE$2:$AE$2001=$C$81)*(元データ!$AO$2:$AO$2001=0)*(元データ!$AM$2:$AM$2001&gt;=22)*(元データ!$AM$2:$AM$2001&lt;=30)*(元データ!$E$2:$E$2001="31 ＯＰ確認中"))</f>
        <v/>
      </c>
      <c r="AS82" s="192">
        <f>IFERROR(_xlfn.TEXTJOIN(CHAR(10),TRUE,IF((元データ!$AL$2:$AL$2001=1)*(元データ!$AN$2:$AN$2001=1)*(元データ!$AE$2:$AE$2001=$C$81)*(元データ!$AO$2:$AO$2001=0)*(元データ!$AM$2:$AM$2001&gt;=22)*(元データ!$AM$2:$AM$2001&lt;=30)*(元データ!$E$2:$E$2001="31 ＯＰ確認中"),元データ!$A$2:$A$2001&amp;IF(元データ!$AP$2:$AP$2001&lt;&gt;"","（"&amp;MID(元データ!$AP$2:$AP$2001,2,100)&amp;")",""),"")),"")</f>
        <v/>
      </c>
      <c r="AT82" s="191">
        <f>SUMPRODUCT((元データ!$AL$2:$AL$2001=1)*(元データ!$AN$2:$AN$2001=1)*(元データ!$AE$2:$AE$2001=$C$81)*(元データ!$AO$2:$AO$2001=0)*(元データ!$AM$2:$AM$2001&gt;=22)*(元データ!$AM$2:$AM$2001&lt;=30)*(元データ!$E$2:$E$2001="32 ＳＶ確認中"))</f>
        <v/>
      </c>
      <c r="AU82" s="192">
        <f>IFERROR(_xlfn.TEXTJOIN(CHAR(10),TRUE,IF((元データ!$AL$2:$AL$2001=1)*(元データ!$AN$2:$AN$2001=1)*(元データ!$AE$2:$AE$2001=$C$81)*(元データ!$AO$2:$AO$2001=0)*(元データ!$AM$2:$AM$2001&gt;=22)*(元データ!$AM$2:$AM$2001&lt;=30)*(元データ!$E$2:$E$2001="32 ＳＶ確認中"),元データ!$A$2:$A$2001&amp;IF(元データ!$AP$2:$AP$2001&lt;&gt;"","（"&amp;MID(元データ!$AP$2:$AP$2001,2,100)&amp;")",""),"")),"")</f>
        <v/>
      </c>
      <c r="AV82" s="191">
        <f>SUMPRODUCT((元データ!$AL$2:$AL$2001=1)*(元データ!$AN$2:$AN$2001=1)*(元データ!$AE$2:$AE$2001=$C$81)*(元データ!$AO$2:$AO$2001=0)*(元データ!$AM$2:$AM$2001&gt;=22)*(元データ!$AM$2:$AM$2001&lt;=30)*(元データ!$E$2:$E$2001="40 差戻し"))</f>
        <v/>
      </c>
      <c r="AW82" s="192">
        <f>IFERROR(_xlfn.TEXTJOIN(CHAR(10),TRUE,IF((元データ!$AL$2:$AL$2001=1)*(元データ!$AN$2:$AN$2001=1)*(元データ!$AE$2:$AE$2001=$C$81)*(元データ!$AO$2:$AO$2001=0)*(元データ!$AM$2:$AM$2001&gt;=22)*(元データ!$AM$2:$AM$2001&lt;=30)*(元データ!$E$2:$E$2001="40 差戻し"),元データ!$A$2:$A$2001&amp;IF(元データ!$AP$2:$AP$2001&lt;&gt;"","（"&amp;MID(元データ!$AP$2:$AP$2001,2,100)&amp;")",""),"")),"")</f>
        <v/>
      </c>
      <c r="AX82" s="193">
        <f>SUMPRODUCT((元データ!$AL$2:$AL$2001=1)*(元データ!$AN$2:$AN$2001=1)*(元データ!$AE$2:$AE$2001=$C$81)*(元データ!$AO$2:$AO$2001=0)*(元データ!$AM$2:$AM$2001&gt;=31))</f>
        <v/>
      </c>
      <c r="AY82" s="194">
        <f>SUMPRODUCT((元データ!$AL$2:$AL$2001=1)*(元データ!$AN$2:$AN$2001=1)*(元データ!$AE$2:$AE$2001=$C$81)*(元データ!$AO$2:$AO$2001=0)*(元データ!$AM$2:$AM$2001&gt;=31)*(元データ!$E$2:$E$2001="20 確認待ち"))</f>
        <v/>
      </c>
      <c r="AZ82" s="195">
        <f>IFERROR(_xlfn.TEXTJOIN(CHAR(10),TRUE,IF((元データ!$AL$2:$AL$2001=1)*(元データ!$AN$2:$AN$2001=1)*(元データ!$AE$2:$AE$2001=$C$81)*(元データ!$AO$2:$AO$2001=0)*(元データ!$AM$2:$AM$2001&gt;=31)*(元データ!$E$2:$E$2001="20 確認待ち"),元データ!$A$2:$A$2001&amp;IF(元データ!$AP$2:$AP$2001&lt;&gt;"","（"&amp;MID(元データ!$AP$2:$AP$2001,2,100)&amp;")",""),"")),"")</f>
        <v/>
      </c>
      <c r="BA82" s="194">
        <f>SUMPRODUCT((元データ!$AL$2:$AL$2001=1)*(元データ!$AN$2:$AN$2001=1)*(元データ!$AE$2:$AE$2001=$C$81)*(元データ!$AO$2:$AO$2001=0)*(元データ!$AM$2:$AM$2001&gt;=31)*(元データ!$E$2:$E$2001="30 申請受付"))</f>
        <v/>
      </c>
      <c r="BB82" s="195">
        <f>IFERROR(_xlfn.TEXTJOIN(CHAR(10),TRUE,IF((元データ!$AL$2:$AL$2001=1)*(元データ!$AN$2:$AN$2001=1)*(元データ!$AE$2:$AE$2001=$C$81)*(元データ!$AO$2:$AO$2001=0)*(元データ!$AM$2:$AM$2001&gt;=31)*(元データ!$E$2:$E$2001="30 申請受付"),元データ!$A$2:$A$2001&amp;IF(元データ!$AP$2:$AP$2001&lt;&gt;"","（"&amp;MID(元データ!$AP$2:$AP$2001,2,100)&amp;")",""),"")),"")</f>
        <v/>
      </c>
      <c r="BC82" s="194">
        <f>SUMPRODUCT((元データ!$AL$2:$AL$2001=1)*(元データ!$AN$2:$AN$2001=1)*(元データ!$AE$2:$AE$2001=$C$81)*(元データ!$AO$2:$AO$2001=0)*(元データ!$AM$2:$AM$2001&gt;=31)*(元データ!$E$2:$E$2001="31 ＯＰ確認中"))</f>
        <v/>
      </c>
      <c r="BD82" s="195">
        <f>IFERROR(_xlfn.TEXTJOIN(CHAR(10),TRUE,IF((元データ!$AL$2:$AL$2001=1)*(元データ!$AN$2:$AN$2001=1)*(元データ!$AE$2:$AE$2001=$C$81)*(元データ!$AO$2:$AO$2001=0)*(元データ!$AM$2:$AM$2001&gt;=31)*(元データ!$E$2:$E$2001="31 ＯＰ確認中"),元データ!$A$2:$A$2001&amp;IF(元データ!$AP$2:$AP$2001&lt;&gt;"","（"&amp;MID(元データ!$AP$2:$AP$2001,2,100)&amp;")",""),"")),"")</f>
        <v/>
      </c>
      <c r="BE82" s="194">
        <f>SUMPRODUCT((元データ!$AL$2:$AL$2001=1)*(元データ!$AN$2:$AN$2001=1)*(元データ!$AE$2:$AE$2001=$C$81)*(元データ!$AO$2:$AO$2001=0)*(元データ!$AM$2:$AM$2001&gt;=31)*(元データ!$E$2:$E$2001="32 ＳＶ確認中"))</f>
        <v/>
      </c>
      <c r="BF82" s="195">
        <f>IFERROR(_xlfn.TEXTJOIN(CHAR(10),TRUE,IF((元データ!$AL$2:$AL$2001=1)*(元データ!$AN$2:$AN$2001=1)*(元データ!$AE$2:$AE$2001=$C$81)*(元データ!$AO$2:$AO$2001=0)*(元データ!$AM$2:$AM$2001&gt;=31)*(元データ!$E$2:$E$2001="32 ＳＶ確認中"),元データ!$A$2:$A$2001&amp;IF(元データ!$AP$2:$AP$2001&lt;&gt;"","（"&amp;MID(元データ!$AP$2:$AP$2001,2,100)&amp;")",""),"")),"")</f>
        <v/>
      </c>
      <c r="BG82" s="194">
        <f>SUMPRODUCT((元データ!$AL$2:$AL$2001=1)*(元データ!$AN$2:$AN$2001=1)*(元データ!$AE$2:$AE$2001=$C$81)*(元データ!$AO$2:$AO$2001=0)*(元データ!$AM$2:$AM$2001&gt;=31)*(元データ!$E$2:$E$2001="40 差戻し"))</f>
        <v/>
      </c>
      <c r="BH82" s="195">
        <f>IFERROR(_xlfn.TEXTJOIN(CHAR(10),TRUE,IF((元データ!$AL$2:$AL$2001=1)*(元データ!$AN$2:$AN$2001=1)*(元データ!$AE$2:$AE$2001=$C$81)*(元データ!$AO$2:$AO$2001=0)*(元データ!$AM$2:$AM$2001&gt;=31)*(元データ!$E$2:$E$2001="40 差戻し"),元データ!$A$2:$A$2001&amp;IF(元データ!$AP$2:$AP$2001&lt;&gt;"","（"&amp;MID(元データ!$AP$2:$AP$2001,2,100)&amp;")",""),"")),"")</f>
        <v/>
      </c>
    </row>
    <row r="83" ht="13.5" customHeight="1" s="87">
      <c r="B83" s="173" t="inlineStr">
        <is>
          <t>※ 件数は申請受付番号単位（同一番号の最下行を使用）。経過日数＝TODAY()－申請日。確認済・送付中は集計対象外。ハイライトは申請日から15日以上の案件のみ。TEXTJOIN数式はMicrosoft 365 / Excel 2019以降で動作。</t>
        </is>
      </c>
    </row>
    <row r="86" ht="14" customHeight="1" s="87">
      <c r="B86" s="199" t="inlineStr">
        <is>
          <t>▼ 絞り込みビュー（ステータス×日数帯域）</t>
        </is>
      </c>
    </row>
    <row r="87" ht="28" customHeight="1" s="87">
      <c r="A87" s="221" t="n"/>
      <c r="B87" s="222" t="inlineStr">
        <is>
          <t>ステータス：</t>
        </is>
      </c>
      <c r="C87" s="223" t="inlineStr">
        <is>
          <t>全件</t>
        </is>
      </c>
      <c r="D87" s="222" t="inlineStr">
        <is>
          <t>日数帯域：</t>
        </is>
      </c>
      <c r="E87" s="223" t="inlineStr">
        <is>
          <t>全期間</t>
        </is>
      </c>
      <c r="F87" s="224" t="inlineStr">
        <is>
          <t>← C87でステータス、E87で日数帯域を選択</t>
        </is>
      </c>
      <c r="G87" s="221" t="n"/>
      <c r="H87" s="221" t="n"/>
      <c r="I87" s="221" t="n"/>
    </row>
    <row r="88" ht="22" customHeight="1" s="87">
      <c r="A88" s="221" t="n"/>
      <c r="B88" s="203" t="inlineStr">
        <is>
          <t>優先順位</t>
        </is>
      </c>
      <c r="C88" s="204" t="inlineStr">
        <is>
          <t>事由</t>
        </is>
      </c>
      <c r="D88" s="205" t="inlineStr">
        <is>
          <t>共済</t>
        </is>
      </c>
      <c r="E88" s="204" t="inlineStr">
        <is>
          <t>件数</t>
        </is>
      </c>
      <c r="F88" s="204" t="inlineStr">
        <is>
          <t>申請番号（フラグ）</t>
        </is>
      </c>
      <c r="G88" s="221" t="n"/>
      <c r="H88" s="221" t="n"/>
      <c r="I88" s="221" t="n"/>
    </row>
    <row r="89" ht="20" customHeight="1" s="87">
      <c r="A89" s="221" t="n"/>
      <c r="B89" s="225" t="n"/>
      <c r="C89" s="181" t="inlineStr">
        <is>
          <t>21 出生</t>
        </is>
      </c>
      <c r="D89" s="226" t="inlineStr">
        <is>
          <t>あり</t>
        </is>
      </c>
      <c r="E89" s="227">
        <f>SUMPRODUCT((元データ!$AL$2:$AL$2001=1)*(元データ!$AN$2:$AN$2001=1)*(元データ!$AE$2:$AE$2001=$C$89)*(元データ!$AO$2:$AO$2001=1)*IF($C$87="全件",1,(元データ!$E$2:$E$2001=IF($C$87="確認待ち","20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89" s="209">
        <f>IFERROR(_xlfn.TEXTJOIN(CHAR(10),TRUE,IF((元データ!$AL$2:$AL$2001=1)*(元データ!$AN$2:$AN$2001=1)*(元データ!$AE$2:$AE$2001=$C$89)*(元データ!$AO$2:$AO$2001=1)*IF($C$87="全件",1,(元データ!$E$2:$E$2001=IF($C$87="確認待ち","20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89" s="221" t="n"/>
      <c r="H89" s="221" t="n"/>
      <c r="I89" s="221" t="n"/>
    </row>
    <row r="90" ht="20" customHeight="1" s="87">
      <c r="A90" s="221" t="n"/>
      <c r="B90" s="210" t="n"/>
      <c r="C90" s="211" t="n"/>
      <c r="D90" s="228" t="inlineStr">
        <is>
          <t>なし</t>
        </is>
      </c>
      <c r="E90" s="229">
        <f>SUMPRODUCT((元データ!$AL$2:$AL$2001=1)*(元データ!$AN$2:$AN$2001=1)*(元データ!$AE$2:$AE$2001=$C$89)*(元データ!$AO$2:$AO$2001=0)*IF($C$87="全件",1,(元データ!$E$2:$E$2001=IF($C$87="確認待ち","20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90" s="214">
        <f>IFERROR(_xlfn.TEXTJOIN(CHAR(10),TRUE,IF((元データ!$AL$2:$AL$2001=1)*(元データ!$AN$2:$AN$2001=1)*(元データ!$AE$2:$AE$2001=$C$89)*(元データ!$AO$2:$AO$2001=0)*IF($C$87="全件",1,(元データ!$E$2:$E$2001=IF($C$87="確認待ち","20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90" s="221" t="n"/>
      <c r="H90" s="221" t="n"/>
      <c r="I90" s="221" t="n"/>
    </row>
    <row r="91" ht="20" customHeight="1" s="87">
      <c r="A91" s="221" t="n"/>
      <c r="B91" s="225" t="n"/>
      <c r="C91" s="181" t="inlineStr">
        <is>
          <t>23 結婚</t>
        </is>
      </c>
      <c r="D91" s="226" t="inlineStr">
        <is>
          <t>あり</t>
        </is>
      </c>
      <c r="E91" s="227">
        <f>SUMPRODUCT((元データ!$AL$2:$AL$2001=1)*(元データ!$AN$2:$AN$2001=1)*(元データ!$AE$2:$AE$2001=$C$91)*(元データ!$AO$2:$AO$2001=1)*IF($C$87="全件",1,(元データ!$E$2:$E$2001=IF($C$87="確認待ち","20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91" s="209">
        <f>IFERROR(_xlfn.TEXTJOIN(CHAR(10),TRUE,IF((元データ!$AL$2:$AL$2001=1)*(元データ!$AN$2:$AN$2001=1)*(元データ!$AE$2:$AE$2001=$C$91)*(元データ!$AO$2:$AO$2001=1)*IF($C$87="全件",1,(元データ!$E$2:$E$2001=IF($C$87="確認待ち","20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91" s="221" t="n"/>
      <c r="H91" s="221" t="n"/>
      <c r="I91" s="221" t="n"/>
    </row>
    <row r="92" ht="20" customHeight="1" s="87">
      <c r="A92" s="221" t="n"/>
      <c r="B92" s="210" t="n"/>
      <c r="C92" s="211" t="n"/>
      <c r="D92" s="228" t="inlineStr">
        <is>
          <t>なし</t>
        </is>
      </c>
      <c r="E92" s="229">
        <f>SUMPRODUCT((元データ!$AL$2:$AL$2001=1)*(元データ!$AN$2:$AN$2001=1)*(元データ!$AE$2:$AE$2001=$C$91)*(元データ!$AO$2:$AO$2001=0)*IF($C$87="全件",1,(元データ!$E$2:$E$2001=IF($C$87="確認待ち","20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92" s="214">
        <f>IFERROR(_xlfn.TEXTJOIN(CHAR(10),TRUE,IF((元データ!$AL$2:$AL$2001=1)*(元データ!$AN$2:$AN$2001=1)*(元データ!$AE$2:$AE$2001=$C$91)*(元データ!$AO$2:$AO$2001=0)*IF($C$87="全件",1,(元データ!$E$2:$E$2001=IF($C$87="確認待ち","20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92" s="221" t="n"/>
      <c r="H92" s="221" t="n"/>
      <c r="I92" s="221" t="n"/>
    </row>
    <row r="93" ht="20" customHeight="1" s="87">
      <c r="A93" s="221" t="n"/>
      <c r="B93" s="225" t="n"/>
      <c r="C93" s="181" t="inlineStr">
        <is>
          <t>30 養子縁組</t>
        </is>
      </c>
      <c r="D93" s="226" t="inlineStr">
        <is>
          <t>あり</t>
        </is>
      </c>
      <c r="E93" s="227">
        <f>SUMPRODUCT((元データ!$AL$2:$AL$2001=1)*(元データ!$AN$2:$AN$2001=1)*(元データ!$AE$2:$AE$2001=$C$93)*(元データ!$AO$2:$AO$2001=1)*IF($C$87="全件",1,(元データ!$E$2:$E$2001=IF($C$87="確認待ち","20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93" s="209">
        <f>IFERROR(_xlfn.TEXTJOIN(CHAR(10),TRUE,IF((元データ!$AL$2:$AL$2001=1)*(元データ!$AN$2:$AN$2001=1)*(元データ!$AE$2:$AE$2001=$C$93)*(元データ!$AO$2:$AO$2001=1)*IF($C$87="全件",1,(元データ!$E$2:$E$2001=IF($C$87="確認待ち","20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93" s="221" t="n"/>
      <c r="H93" s="221" t="n"/>
      <c r="I93" s="221" t="n"/>
    </row>
    <row r="94" ht="20" customHeight="1" s="87">
      <c r="A94" s="221" t="n"/>
      <c r="B94" s="210" t="n"/>
      <c r="C94" s="211" t="n"/>
      <c r="D94" s="228" t="inlineStr">
        <is>
          <t>なし</t>
        </is>
      </c>
      <c r="E94" s="229">
        <f>SUMPRODUCT((元データ!$AL$2:$AL$2001=1)*(元データ!$AN$2:$AN$2001=1)*(元データ!$AE$2:$AE$2001=$C$93)*(元データ!$AO$2:$AO$2001=0)*IF($C$87="全件",1,(元データ!$E$2:$E$2001=IF($C$87="確認待ち","20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94" s="214">
        <f>IFERROR(_xlfn.TEXTJOIN(CHAR(10),TRUE,IF((元データ!$AL$2:$AL$2001=1)*(元データ!$AN$2:$AN$2001=1)*(元データ!$AE$2:$AE$2001=$C$93)*(元データ!$AO$2:$AO$2001=0)*IF($C$87="全件",1,(元データ!$E$2:$E$2001=IF($C$87="確認待ち","20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94" s="221" t="n"/>
      <c r="H94" s="221" t="n"/>
      <c r="I94" s="221" t="n"/>
    </row>
    <row r="95" ht="20" customHeight="1" s="87">
      <c r="A95" s="221" t="n"/>
      <c r="B95" s="225" t="n"/>
      <c r="C95" s="181" t="inlineStr">
        <is>
          <t>55 扶養親族の結婚</t>
        </is>
      </c>
      <c r="D95" s="226" t="inlineStr">
        <is>
          <t>あり</t>
        </is>
      </c>
      <c r="E95" s="227">
        <f>SUMPRODUCT((元データ!$AL$2:$AL$2001=1)*(元データ!$AN$2:$AN$2001=1)*(元データ!$AE$2:$AE$2001=$C$95)*(元データ!$AO$2:$AO$2001=1)*IF($C$87="全件",1,(元データ!$E$2:$E$2001=IF($C$87="確認待ち","20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95" s="209">
        <f>IFERROR(_xlfn.TEXTJOIN(CHAR(10),TRUE,IF((元データ!$AL$2:$AL$2001=1)*(元データ!$AN$2:$AN$2001=1)*(元データ!$AE$2:$AE$2001=$C$95)*(元データ!$AO$2:$AO$2001=1)*IF($C$87="全件",1,(元データ!$E$2:$E$2001=IF($C$87="確認待ち","20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95" s="221" t="n"/>
      <c r="H95" s="221" t="n"/>
      <c r="I95" s="221" t="n"/>
    </row>
    <row r="96" ht="20" customHeight="1" s="87">
      <c r="A96" s="221" t="n"/>
      <c r="B96" s="210" t="n"/>
      <c r="C96" s="211" t="n"/>
      <c r="D96" s="228" t="inlineStr">
        <is>
          <t>なし</t>
        </is>
      </c>
      <c r="E96" s="229">
        <f>SUMPRODUCT((元データ!$AL$2:$AL$2001=1)*(元データ!$AN$2:$AN$2001=1)*(元データ!$AE$2:$AE$2001=$C$95)*(元データ!$AO$2:$AO$2001=0)*IF($C$87="全件",1,(元データ!$E$2:$E$2001=IF($C$87="確認待ち","20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96" s="214">
        <f>IFERROR(_xlfn.TEXTJOIN(CHAR(10),TRUE,IF((元データ!$AL$2:$AL$2001=1)*(元データ!$AN$2:$AN$2001=1)*(元データ!$AE$2:$AE$2001=$C$95)*(元データ!$AO$2:$AO$2001=0)*IF($C$87="全件",1,(元データ!$E$2:$E$2001=IF($C$87="確認待ち","20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96" s="221" t="n"/>
      <c r="H96" s="221" t="n"/>
      <c r="I96" s="221" t="n"/>
    </row>
    <row r="97" ht="20" customHeight="1" s="87">
      <c r="A97" s="221" t="n"/>
      <c r="B97" s="225" t="n"/>
      <c r="C97" s="181" t="inlineStr">
        <is>
          <t>22 扶養親族の退職</t>
        </is>
      </c>
      <c r="D97" s="226" t="inlineStr">
        <is>
          <t>あり</t>
        </is>
      </c>
      <c r="E97" s="227">
        <f>SUMPRODUCT((元データ!$AL$2:$AL$2001=1)*(元データ!$AN$2:$AN$2001=1)*(元データ!$AE$2:$AE$2001=$C$97)*(元データ!$AO$2:$AO$2001=1)*IF($C$87="全件",1,(元データ!$E$2:$E$2001=IF($C$87="確認待ち","20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97" s="209">
        <f>IFERROR(_xlfn.TEXTJOIN(CHAR(10),TRUE,IF((元データ!$AL$2:$AL$2001=1)*(元データ!$AN$2:$AN$2001=1)*(元データ!$AE$2:$AE$2001=$C$97)*(元データ!$AO$2:$AO$2001=1)*IF($C$87="全件",1,(元データ!$E$2:$E$2001=IF($C$87="確認待ち","20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97" s="221" t="n"/>
      <c r="H97" s="221" t="n"/>
      <c r="I97" s="221" t="n"/>
    </row>
    <row r="98" ht="20" customHeight="1" s="87">
      <c r="A98" s="221" t="n"/>
      <c r="B98" s="210" t="n"/>
      <c r="C98" s="211" t="n"/>
      <c r="D98" s="228" t="inlineStr">
        <is>
          <t>なし</t>
        </is>
      </c>
      <c r="E98" s="229">
        <f>SUMPRODUCT((元データ!$AL$2:$AL$2001=1)*(元データ!$AN$2:$AN$2001=1)*(元データ!$AE$2:$AE$2001=$C$97)*(元データ!$AO$2:$AO$2001=0)*IF($C$87="全件",1,(元データ!$E$2:$E$2001=IF($C$87="確認待ち","20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98" s="214">
        <f>IFERROR(_xlfn.TEXTJOIN(CHAR(10),TRUE,IF((元データ!$AL$2:$AL$2001=1)*(元データ!$AN$2:$AN$2001=1)*(元データ!$AE$2:$AE$2001=$C$97)*(元データ!$AO$2:$AO$2001=0)*IF($C$87="全件",1,(元データ!$E$2:$E$2001=IF($C$87="確認待ち","20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98" s="221" t="n"/>
      <c r="H98" s="221" t="n"/>
      <c r="I98" s="221" t="n"/>
    </row>
    <row r="99" ht="20" customHeight="1" s="87">
      <c r="A99" s="221" t="n"/>
      <c r="B99" s="225" t="n"/>
      <c r="C99" s="181" t="inlineStr">
        <is>
          <t>24 雇用保険受給終了</t>
        </is>
      </c>
      <c r="D99" s="226" t="inlineStr">
        <is>
          <t>あり</t>
        </is>
      </c>
      <c r="E99" s="227">
        <f>SUMPRODUCT((元データ!$AL$2:$AL$2001=1)*(元データ!$AN$2:$AN$2001=1)*(元データ!$AE$2:$AE$2001=$C$99)*(元データ!$AO$2:$AO$2001=1)*IF($C$87="全件",1,(元データ!$E$2:$E$2001=IF($C$87="確認待ち","20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99" s="209">
        <f>IFERROR(_xlfn.TEXTJOIN(CHAR(10),TRUE,IF((元データ!$AL$2:$AL$2001=1)*(元データ!$AN$2:$AN$2001=1)*(元データ!$AE$2:$AE$2001=$C$99)*(元データ!$AO$2:$AO$2001=1)*IF($C$87="全件",1,(元データ!$E$2:$E$2001=IF($C$87="確認待ち","20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99" s="221" t="n"/>
      <c r="H99" s="221" t="n"/>
      <c r="I99" s="221" t="n"/>
    </row>
    <row r="100" ht="20" customHeight="1" s="87">
      <c r="A100" s="221" t="n"/>
      <c r="B100" s="210" t="n"/>
      <c r="C100" s="211" t="n"/>
      <c r="D100" s="228" t="inlineStr">
        <is>
          <t>なし</t>
        </is>
      </c>
      <c r="E100" s="229">
        <f>SUMPRODUCT((元データ!$AL$2:$AL$2001=1)*(元データ!$AN$2:$AN$2001=1)*(元データ!$AE$2:$AE$2001=$C$99)*(元データ!$AO$2:$AO$2001=0)*IF($C$87="全件",1,(元データ!$E$2:$E$2001=IF($C$87="確認待ち","20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00" s="214">
        <f>IFERROR(_xlfn.TEXTJOIN(CHAR(10),TRUE,IF((元データ!$AL$2:$AL$2001=1)*(元データ!$AN$2:$AN$2001=1)*(元データ!$AE$2:$AE$2001=$C$99)*(元データ!$AO$2:$AO$2001=0)*IF($C$87="全件",1,(元データ!$E$2:$E$2001=IF($C$87="確認待ち","20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00" s="221" t="n"/>
      <c r="H100" s="221" t="n"/>
      <c r="I100" s="221" t="n"/>
    </row>
    <row r="101" ht="20" customHeight="1" s="87">
      <c r="A101" s="221" t="n"/>
      <c r="B101" s="225" t="n"/>
      <c r="C101" s="181" t="inlineStr">
        <is>
          <t>27 収入限度額以下</t>
        </is>
      </c>
      <c r="D101" s="226" t="inlineStr">
        <is>
          <t>あり</t>
        </is>
      </c>
      <c r="E101" s="227">
        <f>SUMPRODUCT((元データ!$AL$2:$AL$2001=1)*(元データ!$AN$2:$AN$2001=1)*(元データ!$AE$2:$AE$2001=$C$101)*(元データ!$AO$2:$AO$2001=1)*IF($C$87="全件",1,(元データ!$E$2:$E$2001=IF($C$87="確認待ち","20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01" s="209">
        <f>IFERROR(_xlfn.TEXTJOIN(CHAR(10),TRUE,IF((元データ!$AL$2:$AL$2001=1)*(元データ!$AN$2:$AN$2001=1)*(元データ!$AE$2:$AE$2001=$C$101)*(元データ!$AO$2:$AO$2001=1)*IF($C$87="全件",1,(元データ!$E$2:$E$2001=IF($C$87="確認待ち","20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01" s="221" t="n"/>
      <c r="H101" s="221" t="n"/>
      <c r="I101" s="221" t="n"/>
    </row>
    <row r="102" ht="20" customHeight="1" s="87">
      <c r="A102" s="221" t="n"/>
      <c r="B102" s="210" t="n"/>
      <c r="C102" s="211" t="n"/>
      <c r="D102" s="228" t="inlineStr">
        <is>
          <t>なし</t>
        </is>
      </c>
      <c r="E102" s="229">
        <f>SUMPRODUCT((元データ!$AL$2:$AL$2001=1)*(元データ!$AN$2:$AN$2001=1)*(元データ!$AE$2:$AE$2001=$C$101)*(元データ!$AO$2:$AO$2001=0)*IF($C$87="全件",1,(元データ!$E$2:$E$2001=IF($C$87="確認待ち","20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02" s="214">
        <f>IFERROR(_xlfn.TEXTJOIN(CHAR(10),TRUE,IF((元データ!$AL$2:$AL$2001=1)*(元データ!$AN$2:$AN$2001=1)*(元データ!$AE$2:$AE$2001=$C$101)*(元データ!$AO$2:$AO$2001=0)*IF($C$87="全件",1,(元データ!$E$2:$E$2001=IF($C$87="確認待ち","20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02" s="221" t="n"/>
      <c r="H102" s="221" t="n"/>
      <c r="I102" s="221" t="n"/>
    </row>
    <row r="103" ht="20" customHeight="1" s="87">
      <c r="A103" s="221" t="n"/>
      <c r="B103" s="225" t="n"/>
      <c r="C103" s="181" t="inlineStr">
        <is>
          <t>25 育休</t>
        </is>
      </c>
      <c r="D103" s="226" t="inlineStr">
        <is>
          <t>あり</t>
        </is>
      </c>
      <c r="E103" s="227">
        <f>SUMPRODUCT((元データ!$AL$2:$AL$2001=1)*(元データ!$AN$2:$AN$2001=1)*(元データ!$AE$2:$AE$2001=$C$103)*(元データ!$AO$2:$AO$2001=1)*IF($C$87="全件",1,(元データ!$E$2:$E$2001=IF($C$87="確認待ち","20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03" s="209">
        <f>IFERROR(_xlfn.TEXTJOIN(CHAR(10),TRUE,IF((元データ!$AL$2:$AL$2001=1)*(元データ!$AN$2:$AN$2001=1)*(元データ!$AE$2:$AE$2001=$C$103)*(元データ!$AO$2:$AO$2001=1)*IF($C$87="全件",1,(元データ!$E$2:$E$2001=IF($C$87="確認待ち","20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03" s="221" t="n"/>
      <c r="H103" s="221" t="n"/>
      <c r="I103" s="221" t="n"/>
    </row>
    <row r="104" ht="20" customHeight="1" s="87">
      <c r="A104" s="221" t="n"/>
      <c r="B104" s="210" t="n"/>
      <c r="C104" s="211" t="n"/>
      <c r="D104" s="228" t="inlineStr">
        <is>
          <t>なし</t>
        </is>
      </c>
      <c r="E104" s="229">
        <f>SUMPRODUCT((元データ!$AL$2:$AL$2001=1)*(元データ!$AN$2:$AN$2001=1)*(元データ!$AE$2:$AE$2001=$C$103)*(元データ!$AO$2:$AO$2001=0)*IF($C$87="全件",1,(元データ!$E$2:$E$2001=IF($C$87="確認待ち","20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04" s="214">
        <f>IFERROR(_xlfn.TEXTJOIN(CHAR(10),TRUE,IF((元データ!$AL$2:$AL$2001=1)*(元データ!$AN$2:$AN$2001=1)*(元データ!$AE$2:$AE$2001=$C$103)*(元データ!$AO$2:$AO$2001=0)*IF($C$87="全件",1,(元データ!$E$2:$E$2001=IF($C$87="確認待ち","20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04" s="221" t="n"/>
      <c r="H104" s="221" t="n"/>
      <c r="I104" s="221" t="n"/>
    </row>
    <row r="105" ht="20" customHeight="1" s="87">
      <c r="A105" s="221" t="n"/>
      <c r="B105" s="225" t="n"/>
      <c r="C105" s="181" t="inlineStr">
        <is>
          <t>26 扶養者の変更</t>
        </is>
      </c>
      <c r="D105" s="226" t="inlineStr">
        <is>
          <t>あり</t>
        </is>
      </c>
      <c r="E105" s="227">
        <f>SUMPRODUCT((元データ!$AL$2:$AL$2001=1)*(元データ!$AN$2:$AN$2001=1)*(元データ!$AE$2:$AE$2001=$C$105)*(元データ!$AO$2:$AO$2001=1)*IF($C$87="全件",1,(元データ!$E$2:$E$2001=IF($C$87="確認待ち","20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05" s="209">
        <f>IFERROR(_xlfn.TEXTJOIN(CHAR(10),TRUE,IF((元データ!$AL$2:$AL$2001=1)*(元データ!$AN$2:$AN$2001=1)*(元データ!$AE$2:$AE$2001=$C$105)*(元データ!$AO$2:$AO$2001=1)*IF($C$87="全件",1,(元データ!$E$2:$E$2001=IF($C$87="確認待ち","20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05" s="221" t="n"/>
      <c r="H105" s="221" t="n"/>
      <c r="I105" s="221" t="n"/>
    </row>
    <row r="106" ht="20" customHeight="1" s="87">
      <c r="A106" s="221" t="n"/>
      <c r="B106" s="210" t="n"/>
      <c r="C106" s="211" t="n"/>
      <c r="D106" s="228" t="inlineStr">
        <is>
          <t>なし</t>
        </is>
      </c>
      <c r="E106" s="229">
        <f>SUMPRODUCT((元データ!$AL$2:$AL$2001=1)*(元データ!$AN$2:$AN$2001=1)*(元データ!$AE$2:$AE$2001=$C$105)*(元データ!$AO$2:$AO$2001=0)*IF($C$87="全件",1,(元データ!$E$2:$E$2001=IF($C$87="確認待ち","20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06" s="214">
        <f>IFERROR(_xlfn.TEXTJOIN(CHAR(10),TRUE,IF((元データ!$AL$2:$AL$2001=1)*(元データ!$AN$2:$AN$2001=1)*(元データ!$AE$2:$AE$2001=$C$105)*(元データ!$AO$2:$AO$2001=0)*IF($C$87="全件",1,(元データ!$E$2:$E$2001=IF($C$87="確認待ち","20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06" s="221" t="n"/>
      <c r="H106" s="221" t="n"/>
      <c r="I106" s="221" t="n"/>
    </row>
    <row r="107" ht="20" customHeight="1" s="87">
      <c r="A107" s="221" t="n"/>
      <c r="B107" s="225" t="n"/>
      <c r="C107" s="181" t="inlineStr">
        <is>
          <t>28 障害程度の変更</t>
        </is>
      </c>
      <c r="D107" s="226" t="inlineStr">
        <is>
          <t>あり</t>
        </is>
      </c>
      <c r="E107" s="227">
        <f>SUMPRODUCT((元データ!$AL$2:$AL$2001=1)*(元データ!$AN$2:$AN$2001=1)*(元データ!$AE$2:$AE$2001=$C$107)*(元データ!$AO$2:$AO$2001=1)*IF($C$87="全件",1,(元データ!$E$2:$E$2001=IF($C$87="確認待ち","20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07" s="209">
        <f>IFERROR(_xlfn.TEXTJOIN(CHAR(10),TRUE,IF((元データ!$AL$2:$AL$2001=1)*(元データ!$AN$2:$AN$2001=1)*(元データ!$AE$2:$AE$2001=$C$107)*(元データ!$AO$2:$AO$2001=1)*IF($C$87="全件",1,(元データ!$E$2:$E$2001=IF($C$87="確認待ち","20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07" s="221" t="n"/>
      <c r="H107" s="221" t="n"/>
      <c r="I107" s="221" t="n"/>
    </row>
    <row r="108" ht="20" customHeight="1" s="87">
      <c r="A108" s="221" t="n"/>
      <c r="B108" s="210" t="n"/>
      <c r="C108" s="211" t="n"/>
      <c r="D108" s="228" t="inlineStr">
        <is>
          <t>なし</t>
        </is>
      </c>
      <c r="E108" s="229">
        <f>SUMPRODUCT((元データ!$AL$2:$AL$2001=1)*(元データ!$AN$2:$AN$2001=1)*(元データ!$AE$2:$AE$2001=$C$107)*(元データ!$AO$2:$AO$2001=0)*IF($C$87="全件",1,(元データ!$E$2:$E$2001=IF($C$87="確認待ち","20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08" s="214">
        <f>IFERROR(_xlfn.TEXTJOIN(CHAR(10),TRUE,IF((元データ!$AL$2:$AL$2001=1)*(元データ!$AN$2:$AN$2001=1)*(元データ!$AE$2:$AE$2001=$C$107)*(元データ!$AO$2:$AO$2001=0)*IF($C$87="全件",1,(元データ!$E$2:$E$2001=IF($C$87="確認待ち","20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08" s="221" t="n"/>
      <c r="H108" s="221" t="n"/>
      <c r="I108" s="221" t="n"/>
    </row>
    <row r="109" ht="20" customHeight="1" s="87">
      <c r="A109" s="221" t="n"/>
      <c r="B109" s="225" t="n"/>
      <c r="C109" s="181" t="inlineStr">
        <is>
          <t>34 廃業</t>
        </is>
      </c>
      <c r="D109" s="226" t="inlineStr">
        <is>
          <t>あり</t>
        </is>
      </c>
      <c r="E109" s="227">
        <f>SUMPRODUCT((元データ!$AL$2:$AL$2001=1)*(元データ!$AN$2:$AN$2001=1)*(元データ!$AE$2:$AE$2001=$C$109)*(元データ!$AO$2:$AO$2001=1)*IF($C$87="全件",1,(元データ!$E$2:$E$2001=IF($C$87="確認待ち","20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09" s="209">
        <f>IFERROR(_xlfn.TEXTJOIN(CHAR(10),TRUE,IF((元データ!$AL$2:$AL$2001=1)*(元データ!$AN$2:$AN$2001=1)*(元データ!$AE$2:$AE$2001=$C$109)*(元データ!$AO$2:$AO$2001=1)*IF($C$87="全件",1,(元データ!$E$2:$E$2001=IF($C$87="確認待ち","20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09" s="221" t="n"/>
      <c r="H109" s="221" t="n"/>
      <c r="I109" s="221" t="n"/>
    </row>
    <row r="110" ht="20" customHeight="1" s="87">
      <c r="A110" s="221" t="n"/>
      <c r="B110" s="210" t="n"/>
      <c r="C110" s="211" t="n"/>
      <c r="D110" s="228" t="inlineStr">
        <is>
          <t>なし</t>
        </is>
      </c>
      <c r="E110" s="229">
        <f>SUMPRODUCT((元データ!$AL$2:$AL$2001=1)*(元データ!$AN$2:$AN$2001=1)*(元データ!$AE$2:$AE$2001=$C$109)*(元データ!$AO$2:$AO$2001=0)*IF($C$87="全件",1,(元データ!$E$2:$E$2001=IF($C$87="確認待ち","20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10" s="214">
        <f>IFERROR(_xlfn.TEXTJOIN(CHAR(10),TRUE,IF((元データ!$AL$2:$AL$2001=1)*(元データ!$AN$2:$AN$2001=1)*(元データ!$AE$2:$AE$2001=$C$109)*(元データ!$AO$2:$AO$2001=0)*IF($C$87="全件",1,(元データ!$E$2:$E$2001=IF($C$87="確認待ち","20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10" s="221" t="n"/>
      <c r="H110" s="221" t="n"/>
      <c r="I110" s="221" t="n"/>
    </row>
    <row r="111" ht="20" customHeight="1" s="87">
      <c r="A111" s="221" t="n"/>
      <c r="B111" s="225" t="n"/>
      <c r="C111" s="181" t="inlineStr">
        <is>
          <t>48 雇用保険受給開始</t>
        </is>
      </c>
      <c r="D111" s="226" t="inlineStr">
        <is>
          <t>あり</t>
        </is>
      </c>
      <c r="E111" s="227">
        <f>SUMPRODUCT((元データ!$AL$2:$AL$2001=1)*(元データ!$AN$2:$AN$2001=1)*(元データ!$AE$2:$AE$2001=$C$111)*(元データ!$AO$2:$AO$2001=1)*IF($C$87="全件",1,(元データ!$E$2:$E$2001=IF($C$87="確認待ち","20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11" s="209">
        <f>IFERROR(_xlfn.TEXTJOIN(CHAR(10),TRUE,IF((元データ!$AL$2:$AL$2001=1)*(元データ!$AN$2:$AN$2001=1)*(元データ!$AE$2:$AE$2001=$C$111)*(元データ!$AO$2:$AO$2001=1)*IF($C$87="全件",1,(元データ!$E$2:$E$2001=IF($C$87="確認待ち","20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11" s="221" t="n"/>
      <c r="H111" s="221" t="n"/>
      <c r="I111" s="221" t="n"/>
    </row>
    <row r="112" ht="20" customHeight="1" s="87">
      <c r="A112" s="221" t="n"/>
      <c r="B112" s="210" t="n"/>
      <c r="C112" s="211" t="n"/>
      <c r="D112" s="228" t="inlineStr">
        <is>
          <t>なし</t>
        </is>
      </c>
      <c r="E112" s="229">
        <f>SUMPRODUCT((元データ!$AL$2:$AL$2001=1)*(元データ!$AN$2:$AN$2001=1)*(元データ!$AE$2:$AE$2001=$C$111)*(元データ!$AO$2:$AO$2001=0)*IF($C$87="全件",1,(元データ!$E$2:$E$2001=IF($C$87="確認待ち","20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12" s="214">
        <f>IFERROR(_xlfn.TEXTJOIN(CHAR(10),TRUE,IF((元データ!$AL$2:$AL$2001=1)*(元データ!$AN$2:$AN$2001=1)*(元データ!$AE$2:$AE$2001=$C$111)*(元データ!$AO$2:$AO$2001=0)*IF($C$87="全件",1,(元データ!$E$2:$E$2001=IF($C$87="確認待ち","20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12" s="221" t="n"/>
      <c r="H112" s="221" t="n"/>
      <c r="I112" s="221" t="n"/>
    </row>
    <row r="113" ht="20" customHeight="1" s="87">
      <c r="A113" s="221" t="n"/>
      <c r="B113" s="225" t="n"/>
      <c r="C113" s="181" t="inlineStr">
        <is>
          <t>97 扶養親族の同別居変更</t>
        </is>
      </c>
      <c r="D113" s="226" t="inlineStr">
        <is>
          <t>あり</t>
        </is>
      </c>
      <c r="E113" s="227">
        <f>SUMPRODUCT((元データ!$AL$2:$AL$2001=1)*(元データ!$AN$2:$AN$2001=1)*(元データ!$AE$2:$AE$2001=$C$113)*(元データ!$AO$2:$AO$2001=1)*IF($C$87="全件",1,(元データ!$E$2:$E$2001=IF($C$87="確認待ち","20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13" s="209">
        <f>IFERROR(_xlfn.TEXTJOIN(CHAR(10),TRUE,IF((元データ!$AL$2:$AL$2001=1)*(元データ!$AN$2:$AN$2001=1)*(元データ!$AE$2:$AE$2001=$C$113)*(元データ!$AO$2:$AO$2001=1)*IF($C$87="全件",1,(元データ!$E$2:$E$2001=IF($C$87="確認待ち","20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13" s="221" t="n"/>
      <c r="H113" s="221" t="n"/>
      <c r="I113" s="221" t="n"/>
    </row>
    <row r="114" ht="20" customHeight="1" s="87">
      <c r="A114" s="221" t="n"/>
      <c r="B114" s="210" t="n"/>
      <c r="C114" s="211" t="n"/>
      <c r="D114" s="228" t="inlineStr">
        <is>
          <t>なし</t>
        </is>
      </c>
      <c r="E114" s="229">
        <f>SUMPRODUCT((元データ!$AL$2:$AL$2001=1)*(元データ!$AN$2:$AN$2001=1)*(元データ!$AE$2:$AE$2001=$C$113)*(元データ!$AO$2:$AO$2001=0)*IF($C$87="全件",1,(元データ!$E$2:$E$2001=IF($C$87="確認待ち","20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14" s="214">
        <f>IFERROR(_xlfn.TEXTJOIN(CHAR(10),TRUE,IF((元データ!$AL$2:$AL$2001=1)*(元データ!$AN$2:$AN$2001=1)*(元データ!$AE$2:$AE$2001=$C$113)*(元データ!$AO$2:$AO$2001=0)*IF($C$87="全件",1,(元データ!$E$2:$E$2001=IF($C$87="確認待ち","20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14" s="221" t="n"/>
      <c r="H114" s="221" t="n"/>
      <c r="I114" s="221" t="n"/>
    </row>
    <row r="115" ht="20" customHeight="1" s="87">
      <c r="A115" s="221" t="n"/>
      <c r="B115" s="225" t="n"/>
      <c r="C115" s="181" t="inlineStr">
        <is>
          <t>31 同居</t>
        </is>
      </c>
      <c r="D115" s="226" t="inlineStr">
        <is>
          <t>あり</t>
        </is>
      </c>
      <c r="E115" s="227">
        <f>SUMPRODUCT((元データ!$AL$2:$AL$2001=1)*(元データ!$AN$2:$AN$2001=1)*(元データ!$AE$2:$AE$2001=$C$115)*(元データ!$AO$2:$AO$2001=1)*IF($C$87="全件",1,(元データ!$E$2:$E$2001=IF($C$87="確認待ち","20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15" s="209">
        <f>IFERROR(_xlfn.TEXTJOIN(CHAR(10),TRUE,IF((元データ!$AL$2:$AL$2001=1)*(元データ!$AN$2:$AN$2001=1)*(元データ!$AE$2:$AE$2001=$C$115)*(元データ!$AO$2:$AO$2001=1)*IF($C$87="全件",1,(元データ!$E$2:$E$2001=IF($C$87="確認待ち","20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15" s="221" t="n"/>
      <c r="H115" s="221" t="n"/>
      <c r="I115" s="221" t="n"/>
    </row>
    <row r="116" ht="20" customHeight="1" s="87">
      <c r="A116" s="221" t="n"/>
      <c r="B116" s="210" t="n"/>
      <c r="C116" s="211" t="n"/>
      <c r="D116" s="228" t="inlineStr">
        <is>
          <t>なし</t>
        </is>
      </c>
      <c r="E116" s="229">
        <f>SUMPRODUCT((元データ!$AL$2:$AL$2001=1)*(元データ!$AN$2:$AN$2001=1)*(元データ!$AE$2:$AE$2001=$C$115)*(元データ!$AO$2:$AO$2001=0)*IF($C$87="全件",1,(元データ!$E$2:$E$2001=IF($C$87="確認待ち","20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16" s="214">
        <f>IFERROR(_xlfn.TEXTJOIN(CHAR(10),TRUE,IF((元データ!$AL$2:$AL$2001=1)*(元データ!$AN$2:$AN$2001=1)*(元データ!$AE$2:$AE$2001=$C$115)*(元データ!$AO$2:$AO$2001=0)*IF($C$87="全件",1,(元データ!$E$2:$E$2001=IF($C$87="確認待ち","20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16" s="221" t="n"/>
      <c r="H116" s="221" t="n"/>
      <c r="I116" s="221" t="n"/>
    </row>
    <row r="117" ht="20" customHeight="1" s="87">
      <c r="A117" s="221" t="n"/>
      <c r="B117" s="225" t="n"/>
      <c r="C117" s="181" t="inlineStr">
        <is>
          <t>99 その他</t>
        </is>
      </c>
      <c r="D117" s="226" t="inlineStr">
        <is>
          <t>あり</t>
        </is>
      </c>
      <c r="E117" s="227">
        <f>SUMPRODUCT((元データ!$AL$2:$AL$2001=1)*(元データ!$AN$2:$AN$2001=1)*(元データ!$AE$2:$AE$2001=$C$117)*(元データ!$AO$2:$AO$2001=1)*IF($C$87="全件",1,(元データ!$E$2:$E$2001=IF($C$87="確認待ち","20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17" s="209">
        <f>IFERROR(_xlfn.TEXTJOIN(CHAR(10),TRUE,IF((元データ!$AL$2:$AL$2001=1)*(元データ!$AN$2:$AN$2001=1)*(元データ!$AE$2:$AE$2001=$C$117)*(元データ!$AO$2:$AO$2001=1)*IF($C$87="全件",1,(元データ!$E$2:$E$2001=IF($C$87="確認待ち","20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17" s="221" t="n"/>
      <c r="H117" s="221" t="n"/>
      <c r="I117" s="221" t="n"/>
    </row>
    <row r="118" ht="20" customHeight="1" s="87">
      <c r="A118" s="221" t="n"/>
      <c r="B118" s="210" t="n"/>
      <c r="C118" s="211" t="n"/>
      <c r="D118" s="228" t="inlineStr">
        <is>
          <t>なし</t>
        </is>
      </c>
      <c r="E118" s="229">
        <f>SUMPRODUCT((元データ!$AL$2:$AL$2001=1)*(元データ!$AN$2:$AN$2001=1)*(元データ!$AE$2:$AE$2001=$C$117)*(元データ!$AO$2:$AO$2001=0)*IF($C$87="全件",1,(元データ!$E$2:$E$2001=IF($C$87="確認待ち","20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18" s="214">
        <f>IFERROR(_xlfn.TEXTJOIN(CHAR(10),TRUE,IF((元データ!$AL$2:$AL$2001=1)*(元データ!$AN$2:$AN$2001=1)*(元データ!$AE$2:$AE$2001=$C$117)*(元データ!$AO$2:$AO$2001=0)*IF($C$87="全件",1,(元データ!$E$2:$E$2001=IF($C$87="確認待ち","20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18" s="221" t="n"/>
      <c r="H118" s="221" t="n"/>
      <c r="I118" s="221" t="n"/>
    </row>
    <row r="119" ht="20" customHeight="1" s="87">
      <c r="A119" s="221" t="n"/>
      <c r="B119" s="225" t="n"/>
      <c r="C119" s="181" t="inlineStr">
        <is>
          <t>03 離婚</t>
        </is>
      </c>
      <c r="D119" s="226" t="inlineStr">
        <is>
          <t>あり</t>
        </is>
      </c>
      <c r="E119" s="227">
        <f>SUMPRODUCT((元データ!$AL$2:$AL$2001=1)*(元データ!$AN$2:$AN$2001=1)*(元データ!$AE$2:$AE$2001=$C$119)*(元データ!$AO$2:$AO$2001=1)*IF($C$87="全件",1,(元データ!$E$2:$E$2001=IF($C$87="確認待ち","20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19" s="209">
        <f>IFERROR(_xlfn.TEXTJOIN(CHAR(10),TRUE,IF((元データ!$AL$2:$AL$2001=1)*(元データ!$AN$2:$AN$2001=1)*(元データ!$AE$2:$AE$2001=$C$119)*(元データ!$AO$2:$AO$2001=1)*IF($C$87="全件",1,(元データ!$E$2:$E$2001=IF($C$87="確認待ち","20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19" s="221" t="n"/>
      <c r="H119" s="221" t="n"/>
      <c r="I119" s="221" t="n"/>
    </row>
    <row r="120" ht="20" customHeight="1" s="87">
      <c r="A120" s="221" t="n"/>
      <c r="B120" s="210" t="n"/>
      <c r="C120" s="211" t="n"/>
      <c r="D120" s="228" t="inlineStr">
        <is>
          <t>なし</t>
        </is>
      </c>
      <c r="E120" s="229">
        <f>SUMPRODUCT((元データ!$AL$2:$AL$2001=1)*(元データ!$AN$2:$AN$2001=1)*(元データ!$AE$2:$AE$2001=$C$119)*(元データ!$AO$2:$AO$2001=0)*IF($C$87="全件",1,(元データ!$E$2:$E$2001=IF($C$87="確認待ち","20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20" s="214">
        <f>IFERROR(_xlfn.TEXTJOIN(CHAR(10),TRUE,IF((元データ!$AL$2:$AL$2001=1)*(元データ!$AN$2:$AN$2001=1)*(元データ!$AE$2:$AE$2001=$C$119)*(元データ!$AO$2:$AO$2001=0)*IF($C$87="全件",1,(元データ!$E$2:$E$2001=IF($C$87="確認待ち","20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20" s="221" t="n"/>
      <c r="H120" s="221" t="n"/>
      <c r="I120" s="221" t="n"/>
    </row>
    <row r="121" ht="20" customHeight="1" s="87">
      <c r="A121" s="221" t="n"/>
      <c r="B121" s="225" t="n"/>
      <c r="C121" s="181" t="inlineStr">
        <is>
          <t>09 死亡</t>
        </is>
      </c>
      <c r="D121" s="226" t="inlineStr">
        <is>
          <t>あり</t>
        </is>
      </c>
      <c r="E121" s="227">
        <f>SUMPRODUCT((元データ!$AL$2:$AL$2001=1)*(元データ!$AN$2:$AN$2001=1)*(元データ!$AE$2:$AE$2001=$C$121)*(元データ!$AO$2:$AO$2001=1)*IF($C$87="全件",1,(元データ!$E$2:$E$2001=IF($C$87="確認待ち","20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21" s="209">
        <f>IFERROR(_xlfn.TEXTJOIN(CHAR(10),TRUE,IF((元データ!$AL$2:$AL$2001=1)*(元データ!$AN$2:$AN$2001=1)*(元データ!$AE$2:$AE$2001=$C$121)*(元データ!$AO$2:$AO$2001=1)*IF($C$87="全件",1,(元データ!$E$2:$E$2001=IF($C$87="確認待ち","20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21" s="221" t="n"/>
      <c r="H121" s="221" t="n"/>
      <c r="I121" s="221" t="n"/>
    </row>
    <row r="122" ht="20" customHeight="1" s="87">
      <c r="A122" s="221" t="n"/>
      <c r="B122" s="210" t="n"/>
      <c r="C122" s="211" t="n"/>
      <c r="D122" s="228" t="inlineStr">
        <is>
          <t>なし</t>
        </is>
      </c>
      <c r="E122" s="229">
        <f>SUMPRODUCT((元データ!$AL$2:$AL$2001=1)*(元データ!$AN$2:$AN$2001=1)*(元データ!$AE$2:$AE$2001=$C$121)*(元データ!$AO$2:$AO$2001=0)*IF($C$87="全件",1,(元データ!$E$2:$E$2001=IF($C$87="確認待ち","20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22" s="214">
        <f>IFERROR(_xlfn.TEXTJOIN(CHAR(10),TRUE,IF((元データ!$AL$2:$AL$2001=1)*(元データ!$AN$2:$AN$2001=1)*(元データ!$AE$2:$AE$2001=$C$121)*(元データ!$AO$2:$AO$2001=0)*IF($C$87="全件",1,(元データ!$E$2:$E$2001=IF($C$87="確認待ち","20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22" s="221" t="n"/>
      <c r="H122" s="221" t="n"/>
      <c r="I122" s="221" t="n"/>
    </row>
    <row r="123" ht="20" customHeight="1" s="87">
      <c r="A123" s="221" t="n"/>
      <c r="B123" s="225" t="n"/>
      <c r="C123" s="181" t="inlineStr">
        <is>
          <t>47 扶養親族の就職</t>
        </is>
      </c>
      <c r="D123" s="226" t="inlineStr">
        <is>
          <t>あり</t>
        </is>
      </c>
      <c r="E123" s="227">
        <f>SUMPRODUCT((元データ!$AL$2:$AL$2001=1)*(元データ!$AN$2:$AN$2001=1)*(元データ!$AE$2:$AE$2001=$C$123)*(元データ!$AO$2:$AO$2001=1)*IF($C$87="全件",1,(元データ!$E$2:$E$2001=IF($C$87="確認待ち","20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23" s="209">
        <f>IFERROR(_xlfn.TEXTJOIN(CHAR(10),TRUE,IF((元データ!$AL$2:$AL$2001=1)*(元データ!$AN$2:$AN$2001=1)*(元データ!$AE$2:$AE$2001=$C$123)*(元データ!$AO$2:$AO$2001=1)*IF($C$87="全件",1,(元データ!$E$2:$E$2001=IF($C$87="確認待ち","20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23" s="221" t="n"/>
      <c r="H123" s="221" t="n"/>
      <c r="I123" s="221" t="n"/>
    </row>
    <row r="124" ht="20" customHeight="1" s="87">
      <c r="A124" s="221" t="n"/>
      <c r="B124" s="210" t="n"/>
      <c r="C124" s="211" t="n"/>
      <c r="D124" s="228" t="inlineStr">
        <is>
          <t>なし</t>
        </is>
      </c>
      <c r="E124" s="229">
        <f>SUMPRODUCT((元データ!$AL$2:$AL$2001=1)*(元データ!$AN$2:$AN$2001=1)*(元データ!$AE$2:$AE$2001=$C$123)*(元データ!$AO$2:$AO$2001=0)*IF($C$87="全件",1,(元データ!$E$2:$E$2001=IF($C$87="確認待ち","20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24" s="214">
        <f>IFERROR(_xlfn.TEXTJOIN(CHAR(10),TRUE,IF((元データ!$AL$2:$AL$2001=1)*(元データ!$AN$2:$AN$2001=1)*(元データ!$AE$2:$AE$2001=$C$123)*(元データ!$AO$2:$AO$2001=0)*IF($C$87="全件",1,(元データ!$E$2:$E$2001=IF($C$87="確認待ち","20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24" s="221" t="n"/>
      <c r="H124" s="221" t="n"/>
      <c r="I124" s="221" t="n"/>
    </row>
    <row r="125" ht="20" customHeight="1" s="87">
      <c r="A125" s="221" t="n"/>
      <c r="B125" s="225" t="n"/>
      <c r="C125" s="181" t="inlineStr">
        <is>
          <t>49 復職</t>
        </is>
      </c>
      <c r="D125" s="226" t="inlineStr">
        <is>
          <t>あり</t>
        </is>
      </c>
      <c r="E125" s="227">
        <f>SUMPRODUCT((元データ!$AL$2:$AL$2001=1)*(元データ!$AN$2:$AN$2001=1)*(元データ!$AE$2:$AE$2001=$C$125)*(元データ!$AO$2:$AO$2001=1)*IF($C$87="全件",1,(元データ!$E$2:$E$2001=IF($C$87="確認待ち","20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25" s="209">
        <f>IFERROR(_xlfn.TEXTJOIN(CHAR(10),TRUE,IF((元データ!$AL$2:$AL$2001=1)*(元データ!$AN$2:$AN$2001=1)*(元データ!$AE$2:$AE$2001=$C$125)*(元データ!$AO$2:$AO$2001=1)*IF($C$87="全件",1,(元データ!$E$2:$E$2001=IF($C$87="確認待ち","20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25" s="221" t="n"/>
      <c r="H125" s="221" t="n"/>
      <c r="I125" s="221" t="n"/>
    </row>
    <row r="126" ht="20" customHeight="1" s="87">
      <c r="A126" s="221" t="n"/>
      <c r="B126" s="210" t="n"/>
      <c r="C126" s="211" t="n"/>
      <c r="D126" s="228" t="inlineStr">
        <is>
          <t>なし</t>
        </is>
      </c>
      <c r="E126" s="229">
        <f>SUMPRODUCT((元データ!$AL$2:$AL$2001=1)*(元データ!$AN$2:$AN$2001=1)*(元データ!$AE$2:$AE$2001=$C$125)*(元データ!$AO$2:$AO$2001=0)*IF($C$87="全件",1,(元データ!$E$2:$E$2001=IF($C$87="確認待ち","20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26" s="214">
        <f>IFERROR(_xlfn.TEXTJOIN(CHAR(10),TRUE,IF((元データ!$AL$2:$AL$2001=1)*(元データ!$AN$2:$AN$2001=1)*(元データ!$AE$2:$AE$2001=$C$125)*(元データ!$AO$2:$AO$2001=0)*IF($C$87="全件",1,(元データ!$E$2:$E$2001=IF($C$87="確認待ち","20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26" s="221" t="n"/>
      <c r="H126" s="221" t="n"/>
      <c r="I126" s="221" t="n"/>
    </row>
    <row r="127" ht="20" customHeight="1" s="87">
      <c r="A127" s="221" t="n"/>
      <c r="B127" s="225" t="n"/>
      <c r="C127" s="181" t="inlineStr">
        <is>
          <t>50 扶養者の変更</t>
        </is>
      </c>
      <c r="D127" s="226" t="inlineStr">
        <is>
          <t>あり</t>
        </is>
      </c>
      <c r="E127" s="227">
        <f>SUMPRODUCT((元データ!$AL$2:$AL$2001=1)*(元データ!$AN$2:$AN$2001=1)*(元データ!$AE$2:$AE$2001=$C$127)*(元データ!$AO$2:$AO$2001=1)*IF($C$87="全件",1,(元データ!$E$2:$E$2001=IF($C$87="確認待ち","20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27" s="209">
        <f>IFERROR(_xlfn.TEXTJOIN(CHAR(10),TRUE,IF((元データ!$AL$2:$AL$2001=1)*(元データ!$AN$2:$AN$2001=1)*(元データ!$AE$2:$AE$2001=$C$127)*(元データ!$AO$2:$AO$2001=1)*IF($C$87="全件",1,(元データ!$E$2:$E$2001=IF($C$87="確認待ち","20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27" s="221" t="n"/>
      <c r="H127" s="221" t="n"/>
      <c r="I127" s="221" t="n"/>
    </row>
    <row r="128" ht="20" customHeight="1" s="87">
      <c r="A128" s="221" t="n"/>
      <c r="B128" s="210" t="n"/>
      <c r="C128" s="211" t="n"/>
      <c r="D128" s="228" t="inlineStr">
        <is>
          <t>なし</t>
        </is>
      </c>
      <c r="E128" s="229">
        <f>SUMPRODUCT((元データ!$AL$2:$AL$2001=1)*(元データ!$AN$2:$AN$2001=1)*(元データ!$AE$2:$AE$2001=$C$127)*(元データ!$AO$2:$AO$2001=0)*IF($C$87="全件",1,(元データ!$E$2:$E$2001=IF($C$87="確認待ち","20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28" s="214">
        <f>IFERROR(_xlfn.TEXTJOIN(CHAR(10),TRUE,IF((元データ!$AL$2:$AL$2001=1)*(元データ!$AN$2:$AN$2001=1)*(元データ!$AE$2:$AE$2001=$C$127)*(元データ!$AO$2:$AO$2001=0)*IF($C$87="全件",1,(元データ!$E$2:$E$2001=IF($C$87="確認待ち","20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28" s="221" t="n"/>
      <c r="H128" s="221" t="n"/>
      <c r="I128" s="221" t="n"/>
    </row>
    <row r="129" ht="20" customHeight="1" s="87">
      <c r="A129" s="221" t="n"/>
      <c r="B129" s="225" t="n"/>
      <c r="C129" s="181" t="inlineStr">
        <is>
          <t>51 収入限度額以上</t>
        </is>
      </c>
      <c r="D129" s="226" t="inlineStr">
        <is>
          <t>あり</t>
        </is>
      </c>
      <c r="E129" s="227">
        <f>SUMPRODUCT((元データ!$AL$2:$AL$2001=1)*(元データ!$AN$2:$AN$2001=1)*(元データ!$AE$2:$AE$2001=$C$129)*(元データ!$AO$2:$AO$2001=1)*IF($C$87="全件",1,(元データ!$E$2:$E$2001=IF($C$87="確認待ち","20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29" s="209">
        <f>IFERROR(_xlfn.TEXTJOIN(CHAR(10),TRUE,IF((元データ!$AL$2:$AL$2001=1)*(元データ!$AN$2:$AN$2001=1)*(元データ!$AE$2:$AE$2001=$C$129)*(元データ!$AO$2:$AO$2001=1)*IF($C$87="全件",1,(元データ!$E$2:$E$2001=IF($C$87="確認待ち","20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29" s="221" t="n"/>
      <c r="H129" s="221" t="n"/>
      <c r="I129" s="221" t="n"/>
    </row>
    <row r="130" ht="20" customHeight="1" s="87">
      <c r="A130" s="221" t="n"/>
      <c r="B130" s="210" t="n"/>
      <c r="C130" s="211" t="n"/>
      <c r="D130" s="228" t="inlineStr">
        <is>
          <t>なし</t>
        </is>
      </c>
      <c r="E130" s="229">
        <f>SUMPRODUCT((元データ!$AL$2:$AL$2001=1)*(元データ!$AN$2:$AN$2001=1)*(元データ!$AE$2:$AE$2001=$C$129)*(元データ!$AO$2:$AO$2001=0)*IF($C$87="全件",1,(元データ!$E$2:$E$2001=IF($C$87="確認待ち","20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30" s="214">
        <f>IFERROR(_xlfn.TEXTJOIN(CHAR(10),TRUE,IF((元データ!$AL$2:$AL$2001=1)*(元データ!$AN$2:$AN$2001=1)*(元データ!$AE$2:$AE$2001=$C$129)*(元データ!$AO$2:$AO$2001=0)*IF($C$87="全件",1,(元データ!$E$2:$E$2001=IF($C$87="確認待ち","20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30" s="221" t="n"/>
      <c r="H130" s="221" t="n"/>
      <c r="I130" s="221" t="n"/>
    </row>
    <row r="131" ht="20" customHeight="1" s="87">
      <c r="A131" s="221" t="n"/>
      <c r="B131" s="225" t="n"/>
      <c r="C131" s="181" t="inlineStr">
        <is>
          <t>54 別居</t>
        </is>
      </c>
      <c r="D131" s="226" t="inlineStr">
        <is>
          <t>あり</t>
        </is>
      </c>
      <c r="E131" s="227">
        <f>SUMPRODUCT((元データ!$AL$2:$AL$2001=1)*(元データ!$AN$2:$AN$2001=1)*(元データ!$AE$2:$AE$2001=$C$131)*(元データ!$AO$2:$AO$2001=1)*IF($C$87="全件",1,(元データ!$E$2:$E$2001=IF($C$87="確認待ち","20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31" s="209">
        <f>IFERROR(_xlfn.TEXTJOIN(CHAR(10),TRUE,IF((元データ!$AL$2:$AL$2001=1)*(元データ!$AN$2:$AN$2001=1)*(元データ!$AE$2:$AE$2001=$C$131)*(元データ!$AO$2:$AO$2001=1)*IF($C$87="全件",1,(元データ!$E$2:$E$2001=IF($C$87="確認待ち","20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31" s="221" t="n"/>
      <c r="H131" s="221" t="n"/>
      <c r="I131" s="221" t="n"/>
    </row>
    <row r="132" ht="20" customHeight="1" s="87">
      <c r="A132" s="221" t="n"/>
      <c r="B132" s="210" t="n"/>
      <c r="C132" s="211" t="n"/>
      <c r="D132" s="228" t="inlineStr">
        <is>
          <t>なし</t>
        </is>
      </c>
      <c r="E132" s="229">
        <f>SUMPRODUCT((元データ!$AL$2:$AL$2001=1)*(元データ!$AN$2:$AN$2001=1)*(元データ!$AE$2:$AE$2001=$C$131)*(元データ!$AO$2:$AO$2001=0)*IF($C$87="全件",1,(元データ!$E$2:$E$2001=IF($C$87="確認待ち","20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32" s="214">
        <f>IFERROR(_xlfn.TEXTJOIN(CHAR(10),TRUE,IF((元データ!$AL$2:$AL$2001=1)*(元データ!$AN$2:$AN$2001=1)*(元データ!$AE$2:$AE$2001=$C$131)*(元データ!$AO$2:$AO$2001=0)*IF($C$87="全件",1,(元データ!$E$2:$E$2001=IF($C$87="確認待ち","20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32" s="221" t="n"/>
      <c r="H132" s="221" t="n"/>
      <c r="I132" s="221" t="n"/>
    </row>
    <row r="133" ht="20" customHeight="1" s="87">
      <c r="A133" s="221" t="n"/>
      <c r="B133" s="225" t="n"/>
      <c r="C133" s="181" t="inlineStr">
        <is>
          <t>98 年金支給に係る変更</t>
        </is>
      </c>
      <c r="D133" s="226" t="inlineStr">
        <is>
          <t>あり</t>
        </is>
      </c>
      <c r="E133" s="227">
        <f>SUMPRODUCT((元データ!$AL$2:$AL$2001=1)*(元データ!$AN$2:$AN$2001=1)*(元データ!$AE$2:$AE$2001=$C$133)*(元データ!$AO$2:$AO$2001=1)*IF($C$87="全件",1,(元データ!$E$2:$E$2001=IF($C$87="確認待ち","20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33" s="209">
        <f>IFERROR(_xlfn.TEXTJOIN(CHAR(10),TRUE,IF((元データ!$AL$2:$AL$2001=1)*(元データ!$AN$2:$AN$2001=1)*(元データ!$AE$2:$AE$2001=$C$133)*(元データ!$AO$2:$AO$2001=1)*IF($C$87="全件",1,(元データ!$E$2:$E$2001=IF($C$87="確認待ち","20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33" s="221" t="n"/>
      <c r="H133" s="221" t="n"/>
      <c r="I133" s="221" t="n"/>
    </row>
    <row r="134" ht="20" customHeight="1" s="87">
      <c r="A134" s="221" t="n"/>
      <c r="B134" s="210" t="n"/>
      <c r="C134" s="211" t="n"/>
      <c r="D134" s="228" t="inlineStr">
        <is>
          <t>なし</t>
        </is>
      </c>
      <c r="E134" s="229">
        <f>SUMPRODUCT((元データ!$AL$2:$AL$2001=1)*(元データ!$AN$2:$AN$2001=1)*(元データ!$AE$2:$AE$2001=$C$133)*(元データ!$AO$2:$AO$2001=0)*IF($C$87="全件",1,(元データ!$E$2:$E$2001=IF($C$87="確認待ち","20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34" s="214">
        <f>IFERROR(_xlfn.TEXTJOIN(CHAR(10),TRUE,IF((元データ!$AL$2:$AL$2001=1)*(元データ!$AN$2:$AN$2001=1)*(元データ!$AE$2:$AE$2001=$C$133)*(元データ!$AO$2:$AO$2001=0)*IF($C$87="全件",1,(元データ!$E$2:$E$2001=IF($C$87="確認待ち","20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34" s="221" t="n"/>
      <c r="H134" s="221" t="n"/>
      <c r="I134" s="221" t="n"/>
    </row>
    <row r="135" ht="20" customHeight="1" s="87">
      <c r="A135" s="221" t="n"/>
      <c r="B135" s="225" t="n"/>
      <c r="C135" s="181" t="inlineStr">
        <is>
          <t>23 本人の結婚</t>
        </is>
      </c>
      <c r="D135" s="226" t="inlineStr">
        <is>
          <t>あり</t>
        </is>
      </c>
      <c r="E135" s="227">
        <f>SUMPRODUCT((元データ!$AL$2:$AL$2001=1)*(元データ!$AN$2:$AN$2001=1)*(元データ!$AE$2:$AE$2001=$C$135)*(元データ!$AO$2:$AO$2001=1)*IF($C$87="全件",1,(元データ!$E$2:$E$2001=IF($C$87="確認待ち","20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35" s="209">
        <f>IFERROR(_xlfn.TEXTJOIN(CHAR(10),TRUE,IF((元データ!$AL$2:$AL$2001=1)*(元データ!$AN$2:$AN$2001=1)*(元データ!$AE$2:$AE$2001=$C$135)*(元データ!$AO$2:$AO$2001=1)*IF($C$87="全件",1,(元データ!$E$2:$E$2001=IF($C$87="確認待ち","20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35" s="221" t="n"/>
      <c r="H135" s="221" t="n"/>
      <c r="I135" s="221" t="n"/>
    </row>
    <row r="136" ht="20" customHeight="1" s="87">
      <c r="A136" s="221" t="n"/>
      <c r="B136" s="210" t="n"/>
      <c r="C136" s="211" t="n"/>
      <c r="D136" s="228" t="inlineStr">
        <is>
          <t>なし</t>
        </is>
      </c>
      <c r="E136" s="229">
        <f>SUMPRODUCT((元データ!$AL$2:$AL$2001=1)*(元データ!$AN$2:$AN$2001=1)*(元データ!$AE$2:$AE$2001=$C$135)*(元データ!$AO$2:$AO$2001=0)*IF($C$87="全件",1,(元データ!$E$2:$E$2001=IF($C$87="確認待ち","20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36" s="214">
        <f>IFERROR(_xlfn.TEXTJOIN(CHAR(10),TRUE,IF((元データ!$AL$2:$AL$2001=1)*(元データ!$AN$2:$AN$2001=1)*(元データ!$AE$2:$AE$2001=$C$135)*(元データ!$AO$2:$AO$2001=0)*IF($C$87="全件",1,(元データ!$E$2:$E$2001=IF($C$87="確認待ち","20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,元データ!$A$2:$A$2001&amp;IF(元データ!$AP$2:$AP$2001&lt;&gt;"","（"&amp;MID(元データ!$AP$2:$AP$2001,2,100)&amp;")",""),"")),"")</f>
        <v/>
      </c>
      <c r="G136" s="221" t="n"/>
      <c r="H136" s="221" t="n"/>
      <c r="I136" s="221" t="n"/>
    </row>
    <row r="137" ht="22" customHeight="1" s="87">
      <c r="A137" s="221" t="n"/>
      <c r="B137" s="230" t="inlineStr">
        <is>
          <t>合計</t>
        </is>
      </c>
      <c r="C137" s="216" t="n"/>
      <c r="D137" s="216" t="n"/>
      <c r="E137" s="231">
        <f>SUMPRODUCT((元データ!$AL$2:$AL$2001=1)*(元データ!$AN$2:$AN$2001=1)*IF($C$87="全件",1,(元データ!$E$2:$E$2001=IF($C$87="確認待ち","20 確認待ち",IF($C$87="申請受付","30 申請受付",IF($C$87="OP確認中","31 ＯＰ確認中",IF($C$87="SV確認中","32 ＳＶ確認中","40 差戻し"))))))*IF($E$87="全期間",1,IF($E$87="7日以内",(元データ!$AM$2:$AM$2001&lt;=7),IF($E$87="8〜14日",(元データ!$AM$2:$AM$2001&gt;=8)*(元データ!$AM$2:$AM$2001&lt;=14),IF($E$87="15〜21日",(元データ!$AM$2:$AM$2001&gt;=15)*(元データ!$AM$2:$AM$2001&lt;=21),IF($E$87="1か月超",(元データ!$AM$2:$AM$2001&gt;=22)*(元データ!$AM$2:$AM$2001&lt;=30),(元データ!$AM$2:$AM$2001&gt;=31)))))))</f>
        <v/>
      </c>
      <c r="F137" s="216" t="n"/>
      <c r="G137" s="221" t="n"/>
      <c r="H137" s="221" t="n"/>
      <c r="I137" s="221" t="n"/>
    </row>
    <row r="138">
      <c r="A138" s="221" t="n"/>
      <c r="B138" s="221" t="n"/>
      <c r="C138" s="221" t="n"/>
      <c r="D138" s="221" t="n"/>
      <c r="E138" s="221" t="n"/>
      <c r="F138" s="221" t="n"/>
      <c r="G138" s="221" t="n"/>
      <c r="H138" s="221" t="n"/>
      <c r="I138" s="221" t="n"/>
    </row>
    <row r="139">
      <c r="A139" s="221" t="n"/>
      <c r="B139" s="221" t="n"/>
      <c r="C139" s="221" t="n"/>
      <c r="D139" s="221" t="n"/>
      <c r="E139" s="221" t="n"/>
      <c r="F139" s="221" t="n"/>
      <c r="G139" s="221" t="n"/>
      <c r="H139" s="221" t="n"/>
      <c r="I139" s="221" t="n"/>
    </row>
    <row r="140">
      <c r="A140" s="221" t="n"/>
      <c r="B140" s="221" t="n"/>
      <c r="C140" s="221" t="n"/>
      <c r="D140" s="221" t="n"/>
      <c r="E140" s="221" t="n"/>
      <c r="F140" s="221" t="n"/>
      <c r="G140" s="221" t="n"/>
      <c r="H140" s="221" t="n"/>
      <c r="I140" s="221" t="n"/>
    </row>
    <row r="141">
      <c r="A141" s="221" t="n"/>
      <c r="B141" s="221" t="n"/>
      <c r="C141" s="221" t="n"/>
      <c r="D141" s="221" t="n"/>
      <c r="E141" s="221" t="n"/>
      <c r="F141" s="221" t="n"/>
      <c r="G141" s="221" t="n"/>
      <c r="H141" s="221" t="n"/>
      <c r="I141" s="221" t="n"/>
    </row>
    <row r="142">
      <c r="A142" s="221" t="n"/>
      <c r="B142" s="221" t="n"/>
      <c r="C142" s="221" t="n"/>
      <c r="D142" s="221" t="n"/>
      <c r="E142" s="221" t="n"/>
      <c r="F142" s="221" t="n"/>
      <c r="G142" s="221" t="n"/>
      <c r="H142" s="221" t="n"/>
      <c r="I142" s="221" t="n"/>
    </row>
    <row r="143">
      <c r="A143" s="221" t="n"/>
      <c r="B143" s="221" t="n"/>
      <c r="C143" s="221" t="n"/>
      <c r="D143" s="221" t="n"/>
      <c r="E143" s="221" t="n"/>
      <c r="F143" s="221" t="n"/>
      <c r="G143" s="221" t="n"/>
      <c r="H143" s="221" t="n"/>
      <c r="I143" s="221" t="n"/>
    </row>
    <row r="144">
      <c r="A144" s="221" t="n"/>
      <c r="B144" s="221" t="n"/>
      <c r="C144" s="221" t="n"/>
      <c r="D144" s="221" t="n"/>
      <c r="E144" s="221" t="n"/>
      <c r="F144" s="221" t="n"/>
      <c r="G144" s="221" t="n"/>
      <c r="H144" s="221" t="n"/>
      <c r="I144" s="221" t="n"/>
    </row>
    <row r="145">
      <c r="A145" s="221" t="n"/>
      <c r="B145" s="221" t="n"/>
      <c r="C145" s="221" t="n"/>
      <c r="D145" s="221" t="n"/>
      <c r="E145" s="221" t="n"/>
      <c r="F145" s="221" t="n"/>
      <c r="G145" s="221" t="n"/>
      <c r="H145" s="221" t="n"/>
      <c r="I145" s="221" t="n"/>
    </row>
    <row r="146">
      <c r="A146" s="221" t="n"/>
      <c r="B146" s="221" t="n"/>
      <c r="C146" s="221" t="n"/>
      <c r="D146" s="221" t="n"/>
      <c r="E146" s="221" t="n"/>
      <c r="F146" s="221" t="n"/>
      <c r="G146" s="221" t="n"/>
      <c r="H146" s="221" t="n"/>
      <c r="I146" s="221" t="n"/>
    </row>
    <row r="147">
      <c r="A147" s="221" t="n"/>
      <c r="B147" s="221" t="n"/>
      <c r="C147" s="221" t="n"/>
      <c r="D147" s="221" t="n"/>
      <c r="E147" s="221" t="n"/>
      <c r="F147" s="221" t="n"/>
      <c r="G147" s="221" t="n"/>
      <c r="H147" s="221" t="n"/>
      <c r="I147" s="221" t="n"/>
    </row>
    <row r="148">
      <c r="A148" s="221" t="n"/>
      <c r="B148" s="221" t="n"/>
      <c r="C148" s="221" t="n"/>
      <c r="D148" s="221" t="n"/>
      <c r="E148" s="221" t="n"/>
      <c r="F148" s="221" t="n"/>
      <c r="G148" s="221" t="n"/>
      <c r="H148" s="221" t="n"/>
      <c r="I148" s="221" t="n"/>
    </row>
    <row r="149">
      <c r="A149" s="221" t="n"/>
      <c r="B149" s="221" t="n"/>
      <c r="C149" s="221" t="n"/>
      <c r="D149" s="221" t="n"/>
      <c r="E149" s="221" t="n"/>
      <c r="F149" s="221" t="n"/>
      <c r="G149" s="221" t="n"/>
      <c r="H149" s="221" t="n"/>
      <c r="I149" s="221" t="n"/>
    </row>
    <row r="150">
      <c r="A150" s="221" t="n"/>
      <c r="B150" s="221" t="n"/>
      <c r="C150" s="221" t="n"/>
      <c r="D150" s="221" t="n"/>
      <c r="E150" s="221" t="n"/>
      <c r="F150" s="221" t="n"/>
      <c r="G150" s="221" t="n"/>
      <c r="H150" s="221" t="n"/>
      <c r="I150" s="221" t="n"/>
    </row>
  </sheetData>
  <mergeCells count="131">
    <mergeCell ref="B2:M2"/>
    <mergeCell ref="C79:C80"/>
    <mergeCell ref="B43:B44"/>
    <mergeCell ref="B16:O16"/>
    <mergeCell ref="B61:B62"/>
    <mergeCell ref="C63:C64"/>
    <mergeCell ref="C121:C122"/>
    <mergeCell ref="B101:B102"/>
    <mergeCell ref="C71:C72"/>
    <mergeCell ref="B117:B118"/>
    <mergeCell ref="C123:C124"/>
    <mergeCell ref="C41:C42"/>
    <mergeCell ref="B11:O11"/>
    <mergeCell ref="C93:C94"/>
    <mergeCell ref="B119:B120"/>
    <mergeCell ref="B37:B38"/>
    <mergeCell ref="C105:C106"/>
    <mergeCell ref="C43:C44"/>
    <mergeCell ref="C57:C58"/>
    <mergeCell ref="B103:B104"/>
    <mergeCell ref="B21:E21"/>
    <mergeCell ref="C10:O10"/>
    <mergeCell ref="B63:B64"/>
    <mergeCell ref="C69:C70"/>
    <mergeCell ref="B15:O15"/>
    <mergeCell ref="B91:B92"/>
    <mergeCell ref="C111:C112"/>
    <mergeCell ref="B97:B98"/>
    <mergeCell ref="B35:B36"/>
    <mergeCell ref="B93:B94"/>
    <mergeCell ref="B77:B78"/>
    <mergeCell ref="C45:C46"/>
    <mergeCell ref="C97:C98"/>
    <mergeCell ref="B67:B68"/>
    <mergeCell ref="B137:D137"/>
    <mergeCell ref="C65:C66"/>
    <mergeCell ref="C109:C110"/>
    <mergeCell ref="C47:C48"/>
    <mergeCell ref="N2:O2"/>
    <mergeCell ref="B69:B70"/>
    <mergeCell ref="F33:P33"/>
    <mergeCell ref="C129:C130"/>
    <mergeCell ref="C6:O6"/>
    <mergeCell ref="B53:B54"/>
    <mergeCell ref="B17:O17"/>
    <mergeCell ref="C51:C52"/>
    <mergeCell ref="B127:B128"/>
    <mergeCell ref="C95:C96"/>
    <mergeCell ref="C131:C132"/>
    <mergeCell ref="B55:B56"/>
    <mergeCell ref="B95:B96"/>
    <mergeCell ref="F20:I20"/>
    <mergeCell ref="B45:B46"/>
    <mergeCell ref="B79:B80"/>
    <mergeCell ref="J20:M20"/>
    <mergeCell ref="C49:C50"/>
    <mergeCell ref="C107:C108"/>
    <mergeCell ref="C101:C102"/>
    <mergeCell ref="AM33:AW33"/>
    <mergeCell ref="B71:B72"/>
    <mergeCell ref="C103:C104"/>
    <mergeCell ref="B131:B132"/>
    <mergeCell ref="C73:C74"/>
    <mergeCell ref="C113:C114"/>
    <mergeCell ref="C8:O8"/>
    <mergeCell ref="B121:B122"/>
    <mergeCell ref="J21:M21"/>
    <mergeCell ref="B73:B74"/>
    <mergeCell ref="C59:C60"/>
    <mergeCell ref="C115:C116"/>
    <mergeCell ref="B105:B106"/>
    <mergeCell ref="B57:B58"/>
    <mergeCell ref="L33:M33"/>
    <mergeCell ref="B107:B108"/>
    <mergeCell ref="N33:O33"/>
    <mergeCell ref="B13:O13"/>
    <mergeCell ref="B49:B50"/>
    <mergeCell ref="C5:O5"/>
    <mergeCell ref="B33:B34"/>
    <mergeCell ref="C91:C92"/>
    <mergeCell ref="B99:B100"/>
    <mergeCell ref="B133:B134"/>
    <mergeCell ref="C39:C40"/>
    <mergeCell ref="AX33:BH33"/>
    <mergeCell ref="B75:B76"/>
    <mergeCell ref="B135:B136"/>
    <mergeCell ref="C77:C78"/>
    <mergeCell ref="B125:B126"/>
    <mergeCell ref="B109:B110"/>
    <mergeCell ref="B47:B48"/>
    <mergeCell ref="C33:C34"/>
    <mergeCell ref="C89:C90"/>
    <mergeCell ref="E33:E34"/>
    <mergeCell ref="C7:O7"/>
    <mergeCell ref="B20:E20"/>
    <mergeCell ref="B111:B112"/>
    <mergeCell ref="Q33:AA33"/>
    <mergeCell ref="C35:C36"/>
    <mergeCell ref="B39:B40"/>
    <mergeCell ref="C75:C76"/>
    <mergeCell ref="C133:C134"/>
    <mergeCell ref="C127:C128"/>
    <mergeCell ref="B12:O12"/>
    <mergeCell ref="C117:C118"/>
    <mergeCell ref="C55:C56"/>
    <mergeCell ref="C99:C100"/>
    <mergeCell ref="C135:C136"/>
    <mergeCell ref="B14:O14"/>
    <mergeCell ref="C67:C68"/>
    <mergeCell ref="D33:D34"/>
    <mergeCell ref="C61:C62"/>
    <mergeCell ref="C119:C120"/>
    <mergeCell ref="B65:B66"/>
    <mergeCell ref="F21:I21"/>
    <mergeCell ref="C125:C126"/>
    <mergeCell ref="B129:B130"/>
    <mergeCell ref="B89:B90"/>
    <mergeCell ref="B123:B124"/>
    <mergeCell ref="B81:D81"/>
    <mergeCell ref="C53:C54"/>
    <mergeCell ref="B51:B52"/>
    <mergeCell ref="C9:O9"/>
    <mergeCell ref="B113:B114"/>
    <mergeCell ref="C81:D81"/>
    <mergeCell ref="H33:I33"/>
    <mergeCell ref="C37:C38"/>
    <mergeCell ref="J33:K33"/>
    <mergeCell ref="B41:B42"/>
    <mergeCell ref="AB33:AL33"/>
    <mergeCell ref="B59:B60"/>
    <mergeCell ref="B115:B116"/>
  </mergeCells>
  <dataValidations count="4">
    <dataValidation sqref="C87" showDropDown="0" showInputMessage="0" showErrorMessage="0" allowBlank="0" type="list">
      <formula1>"全件,確認待ち,申請受付,OP確認中,SV確認中,差戻し"</formula1>
    </dataValidation>
    <dataValidation sqref="E87" showDropDown="0" showInputMessage="0" showErrorMessage="0" allowBlank="0" type="list">
      <formula1>"全期間,7日以内,8〜14日,15〜21日,1か月超,2か月超"</formula1>
    </dataValidation>
    <dataValidation sqref="C87" showDropDown="0" showInputMessage="0" showErrorMessage="0" allowBlank="0" type="list">
      <formula1>"全件,確認待ち,申請受付,OP確認中,SV確認中,差戻し"</formula1>
    </dataValidation>
    <dataValidation sqref="E87" showDropDown="0" showInputMessage="0" showErrorMessage="0" allowBlank="0" type="list">
      <formula1>"全期間,7日以内,8〜14日,15〜21日,1か月超,2か月超"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B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6" min="1" max="1"/>
    <col width="100" customWidth="1" style="86" min="2" max="2"/>
  </cols>
  <sheetData>
    <row r="1" ht="6" customHeight="1" s="87"/>
    <row r="2" ht="30" customHeight="1" s="87">
      <c r="B2" s="174" t="inlineStr">
        <is>
          <t>VBAコード　― 元データ一括クリア ―　設定手順</t>
        </is>
      </c>
    </row>
    <row r="3" ht="18" customHeight="1" s="87">
      <c r="B3" s="175" t="inlineStr">
        <is>
          <t>手順①　Excelでこのファイルを開いた状態で Alt+F11 を押す（VBAエディタが開く）</t>
        </is>
      </c>
    </row>
    <row r="4" ht="18" customHeight="1" s="87">
      <c r="B4" s="175" t="inlineStr">
        <is>
          <t>手順②　メニューバーの「挿入」→「標準モジュール」をクリック</t>
        </is>
      </c>
    </row>
    <row r="5" ht="18" customHeight="1" s="87">
      <c r="B5" s="176" t="inlineStr">
        <is>
          <t>手順③　下のコードをすべてコピーして貼り付ける</t>
        </is>
      </c>
    </row>
    <row r="6" ht="18" customHeight="1" s="87">
      <c r="B6" s="175" t="inlineStr">
        <is>
          <t>手順④　Ctrl+S で保存（「マクロが含まれています」と表示されたら「はい」を選択）</t>
        </is>
      </c>
    </row>
    <row r="7" ht="18" customHeight="1" s="87">
      <c r="B7" s="175" t="inlineStr">
        <is>
          <t>手順⑤　VBAエディタを閉じて「ダッシュボード」シートに戻る</t>
        </is>
      </c>
    </row>
    <row r="8" ht="18" customHeight="1" s="87">
      <c r="B8" s="177" t="inlineStr">
        <is>
          <t>手順⑥　赤いセル「⬛ 元データ一括クリア」を右クリック → 「マクロの登録」→「ClearData」を選択 → OK</t>
        </is>
      </c>
    </row>
    <row r="10" ht="9.75" customHeight="1" s="87"/>
    <row r="11" ht="15.75" customHeight="1" s="87">
      <c r="B11" s="178" t="inlineStr">
        <is>
          <t>▼ コード（下記をすべてコピーしてVBAエディタに貼り付ける）</t>
        </is>
      </c>
    </row>
    <row r="12" ht="15.75" customHeight="1" s="87">
      <c r="B12" s="179" t="inlineStr">
        <is>
          <t>Sub ClearData()</t>
        </is>
      </c>
    </row>
    <row r="13" ht="15.75" customHeight="1" s="87">
      <c r="B13" s="179" t="inlineStr">
        <is>
          <t xml:space="preserve">    Dim ws As Worksheet</t>
        </is>
      </c>
    </row>
    <row r="14" ht="15.75" customHeight="1" s="87">
      <c r="B14" s="179" t="inlineStr">
        <is>
          <t xml:space="preserve">    Dim lastRow As Long</t>
        </is>
      </c>
    </row>
    <row r="15" ht="15.75" customHeight="1" s="87">
      <c r="B15" s="179" t="inlineStr">
        <is>
          <t xml:space="preserve">    Set ws = ThisWorkbook.Sheets("元データ")</t>
        </is>
      </c>
    </row>
    <row r="16" ht="15.75" customHeight="1" s="87">
      <c r="B16" s="179" t="inlineStr">
        <is>
          <t xml:space="preserve">    lastRow = ws.Cells(ws.Rows.Count, 1).End(xlUp).Row</t>
        </is>
      </c>
    </row>
    <row r="17" ht="15.75" customHeight="1" s="87">
      <c r="B17" s="179" t="inlineStr">
        <is>
          <t xml:space="preserve">    If lastRow &lt; 2 Then</t>
        </is>
      </c>
    </row>
    <row r="18" ht="15.75" customHeight="1" s="87">
      <c r="B18" s="179" t="inlineStr">
        <is>
          <t xml:space="preserve">        MsgBox "削除するデータがありません。", vbInformation</t>
        </is>
      </c>
    </row>
    <row r="19" ht="15.75" customHeight="1" s="87">
      <c r="B19" s="179" t="inlineStr">
        <is>
          <t xml:space="preserve">        Exit Sub</t>
        </is>
      </c>
    </row>
    <row r="20" ht="15.75" customHeight="1" s="87">
      <c r="B20" s="179" t="inlineStr">
        <is>
          <t xml:space="preserve">    End If</t>
        </is>
      </c>
    </row>
    <row r="21" ht="15.75" customHeight="1" s="87">
      <c r="B21" s="179" t="inlineStr">
        <is>
          <t xml:space="preserve">    Dim ans As Integer</t>
        </is>
      </c>
    </row>
    <row r="22" ht="15.75" customHeight="1" s="87">
      <c r="B22" s="179" t="inlineStr">
        <is>
          <t xml:space="preserve">    ans = MsgBox("元データの2行目以降（" &amp; lastRow - 1 &amp; "行）を削除します。よろしいですか？", _</t>
        </is>
      </c>
    </row>
    <row r="23" ht="15.75" customHeight="1" s="87">
      <c r="B23" s="179" t="inlineStr">
        <is>
          <t xml:space="preserve">                 vbYesNo + vbQuestion, "一括クリア確認")</t>
        </is>
      </c>
    </row>
    <row r="24" ht="15.75" customHeight="1" s="87">
      <c r="B24" s="179" t="inlineStr">
        <is>
          <t xml:space="preserve">    If ans = vbYes Then</t>
        </is>
      </c>
    </row>
    <row r="25" ht="15.75" customHeight="1" s="87">
      <c r="B25" s="179" t="inlineStr">
        <is>
          <t xml:space="preserve">        ws.Range(ws.Cells(2, 1), ws.Cells(lastRow, 37)).ClearContents</t>
        </is>
      </c>
    </row>
    <row r="26" ht="15.75" customHeight="1" s="87">
      <c r="B26" s="179" t="inlineStr">
        <is>
          <t xml:space="preserve">        MsgBox "削除完了しました。新しいデータを貼り付けてください。", vbInformation</t>
        </is>
      </c>
    </row>
    <row r="27" ht="15.75" customHeight="1" s="87">
      <c r="B27" s="179" t="inlineStr">
        <is>
          <t xml:space="preserve">    End If</t>
        </is>
      </c>
    </row>
    <row r="28" ht="15.75" customHeight="1" s="87">
      <c r="B28" s="179" t="inlineStr">
        <is>
          <t>End Sub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2026-09-25T01:47:29Z</dcterms:created>
  <dcterms:modified xmlns:dcterms="http://purl.org/dc/terms/" xmlns:xsi="http://www.w3.org/2001/XMLSchema-instance" xsi:type="dcterms:W3CDTF">2026-10-01T03:27:34Z</dcterms:modified>
  <cp:revision>0</cp:revision>
</cp:coreProperties>
</file>