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bay\projects\Kaizen\処理件数\"/>
    </mc:Choice>
  </mc:AlternateContent>
  <xr:revisionPtr revIDLastSave="0" documentId="13_ncr:1_{C6785A81-0976-451F-801E-E35D34485BA6}" xr6:coauthVersionLast="47" xr6:coauthVersionMax="47" xr10:uidLastSave="{00000000-0000-0000-0000-000000000000}"/>
  <bookViews>
    <workbookView xWindow="-120" yWindow="-120" windowWidth="29040" windowHeight="15720" tabRatio="737" xr2:uid="{0878BA75-D502-4E88-B846-6BD576F7AA92}"/>
  </bookViews>
  <sheets>
    <sheet name="操作" sheetId="1" r:id="rId1"/>
    <sheet name="一覧_日別" sheetId="3" r:id="rId2"/>
    <sheet name="一覧_週別" sheetId="12" r:id="rId3"/>
    <sheet name="一覧_月別" sheetId="13" r:id="rId4"/>
    <sheet name="照合チェック" sheetId="11" r:id="rId5"/>
    <sheet name="マスタ_業務・標準" sheetId="6" r:id="rId6"/>
    <sheet name="マスタ_担当者" sheetId="7" r:id="rId7"/>
    <sheet name="マスタ保存" sheetId="14" r:id="rId8"/>
    <sheet name="元データ_稼働記録" sheetId="8" r:id="rId9"/>
    <sheet name="元データ_案件件数" sheetId="9" r:id="rId10"/>
    <sheet name="取込ログ" sheetId="10" r:id="rId11"/>
    <sheet name="マクロ保存" sheetId="15" r:id="rId12"/>
  </sheets>
  <functionGroups builtInGroupCount="19"/>
  <definedNames>
    <definedName name="_xlnm._FilterDatabase" localSheetId="3" hidden="1">一覧_月別!$A$6:$K$97</definedName>
    <definedName name="_xlnm._FilterDatabase" localSheetId="2" hidden="1">一覧_週別!$A$6:$AE$97</definedName>
    <definedName name="_xlnm._FilterDatabase" localSheetId="1" hidden="1">一覧_日別!$A$6:$CJ$97</definedName>
    <definedName name="_xlnm._FilterDatabase" localSheetId="4" hidden="1">照合チェック!$A$5:$L$9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4" i="15" l="1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C4" i="13"/>
  <c r="C3" i="13"/>
  <c r="C2" i="13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83" i="12"/>
  <c r="D82" i="12"/>
  <c r="D81" i="12"/>
  <c r="D80" i="12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D55" i="12"/>
  <c r="D54" i="12"/>
  <c r="C4" i="12"/>
  <c r="C3" i="12"/>
  <c r="C2" i="12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C4" i="3"/>
  <c r="C3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ちなーちゅ</author>
  </authors>
  <commentList>
    <comment ref="CJ87" authorId="0" shapeId="0" xr:uid="{3F511B97-5F42-4BCE-92D6-A29DFB8F8BBD}">
      <text>
        <r>
          <rPr>
            <sz val="9"/>
            <color indexed="81"/>
            <rFont val="MS P ゴシック"/>
            <family val="3"/>
            <charset val="128"/>
          </rPr>
          <t xml:space="preserve">照合（ProcessCountとの差3以上）
登録：処理案件数 14 / ProcessCount 10（差 +4）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ちなーちゅ</author>
  </authors>
  <commentList>
    <comment ref="AE87" authorId="0" shapeId="0" xr:uid="{19BC967B-4125-4A3E-9295-0ECDC42BD178}">
      <text>
        <r>
          <rPr>
            <sz val="9"/>
            <color indexed="81"/>
            <rFont val="MS P ゴシック"/>
            <family val="3"/>
            <charset val="128"/>
          </rPr>
          <t xml:space="preserve">照合（ProcessCountとの差3以上）
10/5 登録：処理案件数 14 / ProcessCount 10（差 +4）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ちなーちゅ</author>
  </authors>
  <commentList>
    <comment ref="K87" authorId="0" shapeId="0" xr:uid="{30915DE2-436E-4F2D-959B-AC73D3EBF7DD}">
      <text>
        <r>
          <rPr>
            <sz val="9"/>
            <color indexed="81"/>
            <rFont val="MS P ゴシック"/>
            <family val="3"/>
            <charset val="128"/>
          </rPr>
          <t xml:space="preserve">照合（ProcessCountとの差3以上）
10/5 登録：処理案件数 14 / ProcessCount 10（差 +4）
</t>
        </r>
      </text>
    </comment>
  </commentList>
</comments>
</file>

<file path=xl/sharedStrings.xml><?xml version="1.0" encoding="utf-8"?>
<sst xmlns="http://schemas.openxmlformats.org/spreadsheetml/2006/main" count="34319" uniqueCount="7037">
  <si>
    <t>処理件数 集計ツール</t>
  </si>
  <si>
    <t>■ 手順</t>
  </si>
  <si>
    <t>2. ［① 元ネタ取込］… 元データ_稼働記録 / 元データ_案件件数 にそのまま積み上げ（加工しない）。同じ記録は上書き。取り込んだファイルは「元ネタ\取込済」へ</t>
  </si>
  <si>
    <t>■ 計算方法</t>
  </si>
  <si>
    <t>・件数と時間は 稼働記録（処理案件数・所要時間）がベース。ProcessCount は照合にだけ使う</t>
  </si>
  <si>
    <t>■ 初回・人や業務が増えたとき</t>
  </si>
  <si>
    <t>・「マスタ_担当者」：EID ⇔ CenterStaffKj（新しい EID は取込時に自動追加。B列を入力）</t>
  </si>
  <si>
    <t>■ シート</t>
  </si>
  <si>
    <t>元データ_稼働記録・元データ_案件件数・取込ログ … 取り込んだだけの元データ（グレーのタブ。触らない）</t>
  </si>
  <si>
    <t>大分類</t>
  </si>
  <si>
    <t>業務名</t>
  </si>
  <si>
    <t>標準
(件/時)</t>
  </si>
  <si>
    <t>メモ</t>
  </si>
  <si>
    <t>住居</t>
  </si>
  <si>
    <t>仮の値（手入力で変更）</t>
  </si>
  <si>
    <t>扶養</t>
  </si>
  <si>
    <t>通勤</t>
  </si>
  <si>
    <t>給与口座</t>
  </si>
  <si>
    <t>その他</t>
  </si>
  <si>
    <t>業務名（稼働記録）</t>
  </si>
  <si>
    <t>Status</t>
  </si>
  <si>
    <t>集計対象</t>
  </si>
  <si>
    <t>EID（稼働記録）</t>
  </si>
  <si>
    <t>CenterStaffKj（案件処理件数一覧の氏名）</t>
  </si>
  <si>
    <t>表示名</t>
  </si>
  <si>
    <t>mika.shima</t>
  </si>
  <si>
    <t>島　実加</t>
  </si>
  <si>
    <t>島 実加</t>
  </si>
  <si>
    <t>B列は括弧（役割）の前まででOK。空白の有無・全角半角は区別しません。</t>
  </si>
  <si>
    <t>新しい EID は取込時に自動で追加されます。紐づいていない氏名は「照合チェック」シートの右側に出ます。</t>
  </si>
  <si>
    <t>取込日時</t>
  </si>
  <si>
    <t>ファイル名</t>
  </si>
  <si>
    <t>種別</t>
  </si>
  <si>
    <t>新規行</t>
  </si>
  <si>
    <t>上書き行</t>
  </si>
  <si>
    <t>結果</t>
  </si>
  <si>
    <t>C1：【増】その他</t>
  </si>
  <si>
    <t>登録</t>
  </si>
  <si>
    <t>○</t>
  </si>
  <si>
    <t>C1：【増】出生</t>
  </si>
  <si>
    <t>C1：【増】収入限度額以下</t>
  </si>
  <si>
    <t>C1：【増】心身に著しい障害者</t>
  </si>
  <si>
    <t>C1：【増】扶養者の変更</t>
  </si>
  <si>
    <t>C1：【増】扶養親族の同別居変更</t>
  </si>
  <si>
    <t>C1：【増】扶養親族の退職</t>
  </si>
  <si>
    <t>C1：【増】本人の結婚（扶養なし）</t>
  </si>
  <si>
    <t>C1：【増】税控除のみ</t>
  </si>
  <si>
    <t>C1：【増】育休</t>
  </si>
  <si>
    <t>C1：【増】障害程度の変更</t>
  </si>
  <si>
    <t>C1：【増】雇用保険受給終了</t>
  </si>
  <si>
    <t>C1：【支給額区分の変更】</t>
  </si>
  <si>
    <t>C1：【減】その他</t>
  </si>
  <si>
    <t>C1：【減】別居</t>
  </si>
  <si>
    <t>C1：【減】収入限度額以上</t>
  </si>
  <si>
    <t>C1：【減】復職</t>
  </si>
  <si>
    <t>C1：【減】扶養者の変更</t>
  </si>
  <si>
    <t>C1：【減】扶養親族の就職</t>
  </si>
  <si>
    <t>C1：【減】扶養親族の結婚</t>
  </si>
  <si>
    <t>C1：【減】本人の離婚</t>
  </si>
  <si>
    <t>C1：【減】死亡</t>
  </si>
  <si>
    <t>C1：【減】開業</t>
  </si>
  <si>
    <t>C1：【減】雇用保険受給開始</t>
  </si>
  <si>
    <t>C1：【認定請求】所得照会前</t>
  </si>
  <si>
    <t>C1：【転居】別棟</t>
  </si>
  <si>
    <t>C1：【転居】名義人・扶養親族が名義人</t>
  </si>
  <si>
    <t>C1：【転居】実質家賃</t>
  </si>
  <si>
    <t>C1：【転居】非支給</t>
  </si>
  <si>
    <t>C1：【配同/世帯主変更/住居表示】</t>
  </si>
  <si>
    <t>C1：【額改定届・消滅届】</t>
  </si>
  <si>
    <t>C1：給与口座の振替届の認定作業</t>
  </si>
  <si>
    <t>C1：通勤届（バス含む・RPAあり）</t>
  </si>
  <si>
    <t>C1：通勤届（バス含む・RPAなし）</t>
  </si>
  <si>
    <t>C1：通勤届（交通用具のみ）</t>
  </si>
  <si>
    <t>C1：通勤届（交通用具＋交通機関）</t>
  </si>
  <si>
    <t>C1：通勤届（徒歩のみ）</t>
  </si>
  <si>
    <t>C1：通勤届（鉄道のみ・RPAあり）</t>
  </si>
  <si>
    <t>C1：通勤届（鉄道のみ・RPAなし）</t>
  </si>
  <si>
    <t>C2：【受領作業】仕分け・コピー</t>
  </si>
  <si>
    <t>×</t>
  </si>
  <si>
    <t>C2：【受領作業】住居・給与の入力</t>
  </si>
  <si>
    <t>C2：【受領作業】扶養・児童の入力</t>
  </si>
  <si>
    <t>C2：【受領作業】通勤の入力</t>
  </si>
  <si>
    <t>C2：【発送作業】住居・給与</t>
  </si>
  <si>
    <t>C2：【発送作業】扶養・児童</t>
  </si>
  <si>
    <t>C2：【発送作業】通勤</t>
  </si>
  <si>
    <t>C2：【発送作業】通勤以外</t>
  </si>
  <si>
    <t>C2：【青封筒の準備・封入/頭紙印刷/封筒後処理】</t>
  </si>
  <si>
    <t>C2：その他業務関連作業</t>
  </si>
  <si>
    <t>C2：内部研修</t>
  </si>
  <si>
    <t>C2：業務マニュアル・周知事項等確認</t>
  </si>
  <si>
    <t>C2：業務関連ミーテイング</t>
  </si>
  <si>
    <t>C2：発送準備のダブルチェック</t>
  </si>
  <si>
    <t>D：休憩時間</t>
  </si>
  <si>
    <t>E2：社内業務　ACNトレーニング</t>
  </si>
  <si>
    <t>E2：社内業務　ACNミーティング</t>
  </si>
  <si>
    <t>E2：社内業務　ACN申請/Survey等</t>
  </si>
  <si>
    <t>E2：社内業務　面談</t>
  </si>
  <si>
    <t>担当者</t>
  </si>
  <si>
    <t>日付</t>
  </si>
  <si>
    <t>MatterType</t>
  </si>
  <si>
    <t>処理案件数
(稼働記録)</t>
  </si>
  <si>
    <t>ProcessCount</t>
  </si>
  <si>
    <t>差</t>
  </si>
  <si>
    <t>判定</t>
  </si>
  <si>
    <t>確認メモ（手入力）</t>
  </si>
  <si>
    <t>2026/10/02</t>
  </si>
  <si>
    <t>OK</t>
  </si>
  <si>
    <t>-</t>
  </si>
  <si>
    <t>2026/10/05</t>
  </si>
  <si>
    <t>連番</t>
  </si>
  <si>
    <t>個人連番</t>
  </si>
  <si>
    <t>ユニットID</t>
  </si>
  <si>
    <t>タワーID</t>
  </si>
  <si>
    <t>EID</t>
  </si>
  <si>
    <t>業務ID</t>
  </si>
  <si>
    <t>処理案件数</t>
  </si>
  <si>
    <t>所要時間（分）_</t>
  </si>
  <si>
    <t>任意項目１</t>
  </si>
  <si>
    <t>任意項目２</t>
  </si>
  <si>
    <t>任意項目３</t>
  </si>
  <si>
    <t>作業開始時間_</t>
  </si>
  <si>
    <t>作業終了時間_</t>
  </si>
  <si>
    <t>1件あたり工数_</t>
  </si>
  <si>
    <t>中断時間_</t>
  </si>
  <si>
    <t>中断元連番</t>
  </si>
  <si>
    <t>備考</t>
  </si>
  <si>
    <t>ステータス</t>
  </si>
  <si>
    <t>項目管理ID</t>
  </si>
  <si>
    <t>取込元ファイル</t>
  </si>
  <si>
    <t>9940050601</t>
  </si>
  <si>
    <t>007677</t>
  </si>
  <si>
    <t>C2010080</t>
  </si>
  <si>
    <t>00:07:18</t>
  </si>
  <si>
    <t>08:28:45</t>
  </si>
  <si>
    <t>08:36:03</t>
  </si>
  <si>
    <t>00:00:00</t>
  </si>
  <si>
    <t>9940050601007677C2010080</t>
  </si>
  <si>
    <t>働記録_検索結果_出力データ_20261006_090910.xlsx</t>
  </si>
  <si>
    <t>C2010077</t>
  </si>
  <si>
    <t>00:11:02</t>
  </si>
  <si>
    <t>08:36:05</t>
  </si>
  <si>
    <t>08:47:07</t>
  </si>
  <si>
    <t>9940050601007677C2010077</t>
  </si>
  <si>
    <t>C1010052</t>
  </si>
  <si>
    <t>00:33:57</t>
  </si>
  <si>
    <t>08:47:12</t>
  </si>
  <si>
    <t>09:23:48</t>
  </si>
  <si>
    <t>00:02:39</t>
  </si>
  <si>
    <t>9940050601007677C1010052</t>
  </si>
  <si>
    <t>C2010044</t>
  </si>
  <si>
    <t>01:22:47</t>
  </si>
  <si>
    <t>09:23:54</t>
  </si>
  <si>
    <t>10:46:41</t>
  </si>
  <si>
    <t>9940050601007677C2010044</t>
  </si>
  <si>
    <t>C2010045</t>
  </si>
  <si>
    <t>00:08:36</t>
  </si>
  <si>
    <t>10:46:43</t>
  </si>
  <si>
    <t>10:55:19</t>
  </si>
  <si>
    <t>9940050601007677C2010045</t>
  </si>
  <si>
    <t>E2010014</t>
  </si>
  <si>
    <t>00:20:29</t>
  </si>
  <si>
    <t>10:55:23</t>
  </si>
  <si>
    <t>11:15:52</t>
  </si>
  <si>
    <t>9940050601007677E2010014</t>
  </si>
  <si>
    <t>C1010184</t>
  </si>
  <si>
    <t>00:34:52</t>
  </si>
  <si>
    <t>11:15:58</t>
  </si>
  <si>
    <t>11:50:50</t>
  </si>
  <si>
    <t>9940050601007677C1010184</t>
  </si>
  <si>
    <t>C1010129</t>
  </si>
  <si>
    <t>00:20:35</t>
  </si>
  <si>
    <t>11:50:57</t>
  </si>
  <si>
    <t>12:11:32</t>
  </si>
  <si>
    <t>9940050601007677C1010129</t>
  </si>
  <si>
    <t>D0010004</t>
  </si>
  <si>
    <t>00:45:40</t>
  </si>
  <si>
    <t>12:11:35</t>
  </si>
  <si>
    <t>12:57:15</t>
  </si>
  <si>
    <t>9940050601007677D0010004</t>
  </si>
  <si>
    <t>C2010049</t>
  </si>
  <si>
    <t>01:30:34</t>
  </si>
  <si>
    <t>12:57:20</t>
  </si>
  <si>
    <t>14:27:54</t>
  </si>
  <si>
    <t>9940050601007677C2010049</t>
  </si>
  <si>
    <t>00:28:34</t>
  </si>
  <si>
    <t>14:27:58</t>
  </si>
  <si>
    <t>14:56:32</t>
  </si>
  <si>
    <t>00:28:20</t>
  </si>
  <si>
    <t>14:56:35</t>
  </si>
  <si>
    <t>15:24:55</t>
  </si>
  <si>
    <t>C1010125</t>
  </si>
  <si>
    <t>00:15:03</t>
  </si>
  <si>
    <t>15:25:06</t>
  </si>
  <si>
    <t>15:40:09</t>
  </si>
  <si>
    <t>9940050601007677C1010125</t>
  </si>
  <si>
    <t>C1010186</t>
  </si>
  <si>
    <t>00:10:01</t>
  </si>
  <si>
    <t>15:40:12</t>
  </si>
  <si>
    <t>15:50:13</t>
  </si>
  <si>
    <t>9940050601007677C1010186</t>
  </si>
  <si>
    <t>00:14:22</t>
  </si>
  <si>
    <t>15:50:32</t>
  </si>
  <si>
    <t>16:04:54</t>
  </si>
  <si>
    <t>00:16:02</t>
  </si>
  <si>
    <t>16:05:00</t>
  </si>
  <si>
    <t>16:21:02</t>
  </si>
  <si>
    <t>00:08:39</t>
  </si>
  <si>
    <t>16:21:05</t>
  </si>
  <si>
    <t>16:29:44</t>
  </si>
  <si>
    <t>00:14:54</t>
  </si>
  <si>
    <t>16:29:46</t>
  </si>
  <si>
    <t>16:44:40</t>
  </si>
  <si>
    <t>C1010059</t>
  </si>
  <si>
    <t>00:38:22</t>
  </si>
  <si>
    <t>16:44:46</t>
  </si>
  <si>
    <t>17:23:08</t>
  </si>
  <si>
    <t>9940050601007677C1010059</t>
  </si>
  <si>
    <t>C2010052</t>
  </si>
  <si>
    <t>00:14:01</t>
  </si>
  <si>
    <t>17:23:13</t>
  </si>
  <si>
    <t>17:37:14</t>
  </si>
  <si>
    <t>9940050601007677C2010052</t>
  </si>
  <si>
    <t>C2010079</t>
  </si>
  <si>
    <t>09:00:28</t>
  </si>
  <si>
    <t>09:03:07</t>
  </si>
  <si>
    <t>9940050601007677C2010079</t>
  </si>
  <si>
    <t>C2010088</t>
  </si>
  <si>
    <t>00:46:23</t>
  </si>
  <si>
    <t>08:22:32</t>
  </si>
  <si>
    <t>09:11:49</t>
  </si>
  <si>
    <t>00:02:54</t>
  </si>
  <si>
    <t>9940050601007677C2010088</t>
  </si>
  <si>
    <t>C2010085</t>
  </si>
  <si>
    <t>00:24:05</t>
  </si>
  <si>
    <t>09:12:16</t>
  </si>
  <si>
    <t>09:36:21</t>
  </si>
  <si>
    <t>9940050601007677C2010085</t>
  </si>
  <si>
    <t>C1010041</t>
  </si>
  <si>
    <t>00:23:47</t>
  </si>
  <si>
    <t>09:36:26</t>
  </si>
  <si>
    <t>10:00:13</t>
  </si>
  <si>
    <t>9940050601007677C1010041</t>
  </si>
  <si>
    <t>C1010039</t>
  </si>
  <si>
    <t>10:00:22</t>
  </si>
  <si>
    <t>10:14:23</t>
  </si>
  <si>
    <t>9940050601007677C1010039</t>
  </si>
  <si>
    <t>00:13:13</t>
  </si>
  <si>
    <t>10:15:05</t>
  </si>
  <si>
    <t>10:28:18</t>
  </si>
  <si>
    <t>00:32:09</t>
  </si>
  <si>
    <t>10:28:21</t>
  </si>
  <si>
    <t>11:00:30</t>
  </si>
  <si>
    <t>00:22:00</t>
  </si>
  <si>
    <t>11:00:46</t>
  </si>
  <si>
    <t>11:22:46</t>
  </si>
  <si>
    <t>00:03:53</t>
  </si>
  <si>
    <t>11:23:06</t>
  </si>
  <si>
    <t>11:26:59</t>
  </si>
  <si>
    <t>C1010044</t>
  </si>
  <si>
    <t>00:15:49</t>
  </si>
  <si>
    <t>11:27:02</t>
  </si>
  <si>
    <t>11:42:51</t>
  </si>
  <si>
    <t>9940050601007677C1010044</t>
  </si>
  <si>
    <t>D0010006</t>
  </si>
  <si>
    <t>00:05:33</t>
  </si>
  <si>
    <t>11:42:55</t>
  </si>
  <si>
    <t>11:48:28</t>
  </si>
  <si>
    <t>9940050601007677D0010006</t>
  </si>
  <si>
    <t>00:29:18</t>
  </si>
  <si>
    <t>11:48:35</t>
  </si>
  <si>
    <t>12:17:53</t>
  </si>
  <si>
    <t>00:37:46</t>
  </si>
  <si>
    <t>12:18:03</t>
  </si>
  <si>
    <t>12:55:49</t>
  </si>
  <si>
    <t>C2010062</t>
  </si>
  <si>
    <t>00:48:07</t>
  </si>
  <si>
    <t>12:55:55</t>
  </si>
  <si>
    <t>13:44:02</t>
  </si>
  <si>
    <t>9940050601007677C2010062</t>
  </si>
  <si>
    <t>C2010063</t>
  </si>
  <si>
    <t>00:26:02</t>
  </si>
  <si>
    <t>13:44:10</t>
  </si>
  <si>
    <t>14:10:12</t>
  </si>
  <si>
    <t>9940050601007677C2010063</t>
  </si>
  <si>
    <t>C2010064</t>
  </si>
  <si>
    <t>00:30:01</t>
  </si>
  <si>
    <t>14:10:16</t>
  </si>
  <si>
    <t>14:40:17</t>
  </si>
  <si>
    <t>9940050601007677C2010064</t>
  </si>
  <si>
    <t>00:26:01</t>
  </si>
  <si>
    <t>14:40:23</t>
  </si>
  <si>
    <t>15:06:24</t>
  </si>
  <si>
    <t>00:40:42</t>
  </si>
  <si>
    <t>15:07:24</t>
  </si>
  <si>
    <t>15:48:06</t>
  </si>
  <si>
    <t>00:20:41</t>
  </si>
  <si>
    <t>15:48:08</t>
  </si>
  <si>
    <t>16:08:49</t>
  </si>
  <si>
    <t>00:36:56</t>
  </si>
  <si>
    <t>16:08:51</t>
  </si>
  <si>
    <t>16:45:47</t>
  </si>
  <si>
    <t>00:12:26</t>
  </si>
  <si>
    <t>16:45:58</t>
  </si>
  <si>
    <t>16:58:24</t>
  </si>
  <si>
    <t>00:28:24</t>
  </si>
  <si>
    <t>16:58:34</t>
  </si>
  <si>
    <t>17:38:45</t>
  </si>
  <si>
    <t>00:11:47</t>
  </si>
  <si>
    <t>C2010087</t>
  </si>
  <si>
    <t>09:00:43</t>
  </si>
  <si>
    <t>09:03:37</t>
  </si>
  <si>
    <t>9940050601007677C2010087</t>
  </si>
  <si>
    <t>C2010070</t>
  </si>
  <si>
    <t>17:11:01</t>
  </si>
  <si>
    <t>17:22:48</t>
  </si>
  <si>
    <t>9940050601007677C2010070</t>
  </si>
  <si>
    <t>C2010084</t>
  </si>
  <si>
    <t>00:28:19</t>
  </si>
  <si>
    <t>08:25:32</t>
  </si>
  <si>
    <t>08:53:51</t>
  </si>
  <si>
    <t>9940050601007677C2010084</t>
  </si>
  <si>
    <t>C1010164</t>
  </si>
  <si>
    <t>01:33:04</t>
  </si>
  <si>
    <t>08:54:18</t>
  </si>
  <si>
    <t>10:34:18</t>
  </si>
  <si>
    <t>00:09:18</t>
  </si>
  <si>
    <t>00:06:56</t>
  </si>
  <si>
    <t>9940050601007677C1010164</t>
  </si>
  <si>
    <t>C1010160</t>
  </si>
  <si>
    <t>00:39:59</t>
  </si>
  <si>
    <t>10:34:22</t>
  </si>
  <si>
    <t>11:14:21</t>
  </si>
  <si>
    <t>00:10:00</t>
  </si>
  <si>
    <t>9940050601007677C1010160</t>
  </si>
  <si>
    <t>C1010161</t>
  </si>
  <si>
    <t>00:06:15</t>
  </si>
  <si>
    <t>11:14:23</t>
  </si>
  <si>
    <t>11:20:38</t>
  </si>
  <si>
    <t>9940050601007677C1010161</t>
  </si>
  <si>
    <t>D0010005</t>
  </si>
  <si>
    <t>00:09:31</t>
  </si>
  <si>
    <t>11:20:40</t>
  </si>
  <si>
    <t>11:30:11</t>
  </si>
  <si>
    <t>9940050601007677D0010005</t>
  </si>
  <si>
    <t>C1010162</t>
  </si>
  <si>
    <t>00:25:19</t>
  </si>
  <si>
    <t>11:30:19</t>
  </si>
  <si>
    <t>11:55:38</t>
  </si>
  <si>
    <t>9940050601007677C1010162</t>
  </si>
  <si>
    <t>00:14:09</t>
  </si>
  <si>
    <t>11:55:40</t>
  </si>
  <si>
    <t>12:09:49</t>
  </si>
  <si>
    <t>00:46:31</t>
  </si>
  <si>
    <t>12:09:54</t>
  </si>
  <si>
    <t>12:56:25</t>
  </si>
  <si>
    <t>C2010053</t>
  </si>
  <si>
    <t>01:14:28</t>
  </si>
  <si>
    <t>12:56:28</t>
  </si>
  <si>
    <t>14:10:56</t>
  </si>
  <si>
    <t>9940050601007677C2010053</t>
  </si>
  <si>
    <t>C2010054</t>
  </si>
  <si>
    <t>00:39:35</t>
  </si>
  <si>
    <t>14:10:58</t>
  </si>
  <si>
    <t>14:50:33</t>
  </si>
  <si>
    <t>9940050601007677C2010054</t>
  </si>
  <si>
    <t>00:05:56</t>
  </si>
  <si>
    <t>14:50:40</t>
  </si>
  <si>
    <t>14:56:36</t>
  </si>
  <si>
    <t>00:03:45</t>
  </si>
  <si>
    <t>14:56:38</t>
  </si>
  <si>
    <t>15:00:23</t>
  </si>
  <si>
    <t>15:00:27</t>
  </si>
  <si>
    <t>15:28:46</t>
  </si>
  <si>
    <t>00:09:13</t>
  </si>
  <si>
    <t>15:28:55</t>
  </si>
  <si>
    <t>15:38:08</t>
  </si>
  <si>
    <t>00:28:22</t>
  </si>
  <si>
    <t>15:38:17</t>
  </si>
  <si>
    <t>16:06:39</t>
  </si>
  <si>
    <t>00:09:27</t>
  </si>
  <si>
    <t>00:48:33</t>
  </si>
  <si>
    <t>16:06:43</t>
  </si>
  <si>
    <t>16:55:16</t>
  </si>
  <si>
    <t>00:16:11</t>
  </si>
  <si>
    <t>00:04:41</t>
  </si>
  <si>
    <t>16:55:23</t>
  </si>
  <si>
    <t>17:00:04</t>
  </si>
  <si>
    <t>00:01:14</t>
  </si>
  <si>
    <t>17:00:06</t>
  </si>
  <si>
    <t>17:01:20</t>
  </si>
  <si>
    <t>00:04:50</t>
  </si>
  <si>
    <t>17:01:23</t>
  </si>
  <si>
    <t>17:06:13</t>
  </si>
  <si>
    <t>C2010061</t>
  </si>
  <si>
    <t>00:25:51</t>
  </si>
  <si>
    <t>17:06:16</t>
  </si>
  <si>
    <t>17:32:07</t>
  </si>
  <si>
    <t>9940050601007677C2010061</t>
  </si>
  <si>
    <t>00:01:16</t>
  </si>
  <si>
    <t>17:32:12</t>
  </si>
  <si>
    <t>17:33:28</t>
  </si>
  <si>
    <t>C2010083</t>
  </si>
  <si>
    <t>09:00:18</t>
  </si>
  <si>
    <t>09:07:14</t>
  </si>
  <si>
    <t>9940050601007677C2010083</t>
  </si>
  <si>
    <t>00:21:21</t>
  </si>
  <si>
    <t>08:26:36</t>
  </si>
  <si>
    <t>08:47:57</t>
  </si>
  <si>
    <t>00:12:30</t>
  </si>
  <si>
    <t>08:48:12</t>
  </si>
  <si>
    <t>09:00:42</t>
  </si>
  <si>
    <t>00:05:25</t>
  </si>
  <si>
    <t>09:06:08</t>
  </si>
  <si>
    <t>00:07:07</t>
  </si>
  <si>
    <t>09:06:10</t>
  </si>
  <si>
    <t>09:13:17</t>
  </si>
  <si>
    <t>C1010038</t>
  </si>
  <si>
    <t>00:20:59</t>
  </si>
  <si>
    <t>09:15:43</t>
  </si>
  <si>
    <t>09:36:42</t>
  </si>
  <si>
    <t>9940050601007677C1010038</t>
  </si>
  <si>
    <t>00:29:17</t>
  </si>
  <si>
    <t>09:36:44</t>
  </si>
  <si>
    <t>10:06:01</t>
  </si>
  <si>
    <t>00:11:14</t>
  </si>
  <si>
    <t>10:06:05</t>
  </si>
  <si>
    <t>10:17:19</t>
  </si>
  <si>
    <t>00:17:37</t>
  </si>
  <si>
    <t>10:17:30</t>
  </si>
  <si>
    <t>10:35:07</t>
  </si>
  <si>
    <t>00:14:28</t>
  </si>
  <si>
    <t>10:35:09</t>
  </si>
  <si>
    <t>10:49:37</t>
  </si>
  <si>
    <t>00:15:53</t>
  </si>
  <si>
    <t>10:49:38</t>
  </si>
  <si>
    <t>11:05:31</t>
  </si>
  <si>
    <t>00:04:06</t>
  </si>
  <si>
    <t>11:05:34</t>
  </si>
  <si>
    <t>11:09:40</t>
  </si>
  <si>
    <t>C1010043</t>
  </si>
  <si>
    <t>00:44:51</t>
  </si>
  <si>
    <t>11:09:44</t>
  </si>
  <si>
    <t>11:54:35</t>
  </si>
  <si>
    <t>9940050601007677C1010043</t>
  </si>
  <si>
    <t>00:06:49</t>
  </si>
  <si>
    <t>11:54:38</t>
  </si>
  <si>
    <t>12:01:27</t>
  </si>
  <si>
    <t>00:54:18</t>
  </si>
  <si>
    <t>12:01:41</t>
  </si>
  <si>
    <t>12:55:59</t>
  </si>
  <si>
    <t>01:04:07</t>
  </si>
  <si>
    <t>12:56:03</t>
  </si>
  <si>
    <t>14:00:10</t>
  </si>
  <si>
    <t>00:34:37</t>
  </si>
  <si>
    <t>14:00:12</t>
  </si>
  <si>
    <t>14:34:49</t>
  </si>
  <si>
    <t>00:13:23</t>
  </si>
  <si>
    <t>14:34:52</t>
  </si>
  <si>
    <t>14:48:15</t>
  </si>
  <si>
    <t>00:13:12</t>
  </si>
  <si>
    <t>14:48:17</t>
  </si>
  <si>
    <t>15:01:29</t>
  </si>
  <si>
    <t>00:11:23</t>
  </si>
  <si>
    <t>15:01:33</t>
  </si>
  <si>
    <t>15:12:56</t>
  </si>
  <si>
    <t>00:20:10</t>
  </si>
  <si>
    <t>15:12:58</t>
  </si>
  <si>
    <t>15:33:08</t>
  </si>
  <si>
    <t>00:23:44</t>
  </si>
  <si>
    <t>15:33:10</t>
  </si>
  <si>
    <t>15:56:54</t>
  </si>
  <si>
    <t>00:31:34</t>
  </si>
  <si>
    <t>15:56:56</t>
  </si>
  <si>
    <t>16:28:30</t>
  </si>
  <si>
    <t>00:13:22</t>
  </si>
  <si>
    <t>16:28:32</t>
  </si>
  <si>
    <t>16:41:54</t>
  </si>
  <si>
    <t>00:18:16</t>
  </si>
  <si>
    <t>16:41:57</t>
  </si>
  <si>
    <t>17:00:13</t>
  </si>
  <si>
    <t>00:13:00</t>
  </si>
  <si>
    <t>17:00:17</t>
  </si>
  <si>
    <t>17:13:17</t>
  </si>
  <si>
    <t>00:15:43</t>
  </si>
  <si>
    <t>17:13:23</t>
  </si>
  <si>
    <t>17:29:06</t>
  </si>
  <si>
    <t>00:04:31</t>
  </si>
  <si>
    <t>17:29:14</t>
  </si>
  <si>
    <t>17:33:45</t>
  </si>
  <si>
    <t>00:47:23</t>
  </si>
  <si>
    <t>08:26:04</t>
  </si>
  <si>
    <t>09:16:13</t>
  </si>
  <si>
    <t>00:02:46</t>
  </si>
  <si>
    <t>01:04:06</t>
  </si>
  <si>
    <t>09:17:10</t>
  </si>
  <si>
    <t>10:21:16</t>
  </si>
  <si>
    <t>00:18:07</t>
  </si>
  <si>
    <t>10:21:24</t>
  </si>
  <si>
    <t>10:39:31</t>
  </si>
  <si>
    <t>C1010121</t>
  </si>
  <si>
    <t>00:13:03</t>
  </si>
  <si>
    <t>10:39:37</t>
  </si>
  <si>
    <t>10:52:40</t>
  </si>
  <si>
    <t>9940050601007677C1010121</t>
  </si>
  <si>
    <t>C1010122</t>
  </si>
  <si>
    <t>00:12:55</t>
  </si>
  <si>
    <t>10:52:43</t>
  </si>
  <si>
    <t>11:05:38</t>
  </si>
  <si>
    <t>9940050601007677C1010122</t>
  </si>
  <si>
    <t>00:06:04</t>
  </si>
  <si>
    <t>11:05:40</t>
  </si>
  <si>
    <t>11:11:44</t>
  </si>
  <si>
    <t>C1010053</t>
  </si>
  <si>
    <t>00:54:01</t>
  </si>
  <si>
    <t>11:11:51</t>
  </si>
  <si>
    <t>12:05:52</t>
  </si>
  <si>
    <t>9940050601007677C1010053</t>
  </si>
  <si>
    <t>00:49:36</t>
  </si>
  <si>
    <t>12:05:55</t>
  </si>
  <si>
    <t>12:55:31</t>
  </si>
  <si>
    <t>02:01:14</t>
  </si>
  <si>
    <t>12:55:34</t>
  </si>
  <si>
    <t>14:56:48</t>
  </si>
  <si>
    <t>C2010046</t>
  </si>
  <si>
    <t>01:11:15</t>
  </si>
  <si>
    <t>14:56:50</t>
  </si>
  <si>
    <t>16:08:05</t>
  </si>
  <si>
    <t>9940050601007677C2010046</t>
  </si>
  <si>
    <t>C2010048</t>
  </si>
  <si>
    <t>00:18:04</t>
  </si>
  <si>
    <t>16:08:10</t>
  </si>
  <si>
    <t>16:26:14</t>
  </si>
  <si>
    <t>9940050601007677C2010048</t>
  </si>
  <si>
    <t>00:02:03</t>
  </si>
  <si>
    <t>16:26:21</t>
  </si>
  <si>
    <t>16:28:24</t>
  </si>
  <si>
    <t>00:10:51</t>
  </si>
  <si>
    <t>16:28:29</t>
  </si>
  <si>
    <t>16:39:20</t>
  </si>
  <si>
    <t>00:11:10</t>
  </si>
  <si>
    <t>16:39:23</t>
  </si>
  <si>
    <t>16:50:33</t>
  </si>
  <si>
    <t>00:08:33</t>
  </si>
  <si>
    <t>16:50:40</t>
  </si>
  <si>
    <t>16:59:13</t>
  </si>
  <si>
    <t>00:39:41</t>
  </si>
  <si>
    <t>16:59:17</t>
  </si>
  <si>
    <t>17:38:58</t>
  </si>
  <si>
    <t>09:00:21</t>
  </si>
  <si>
    <t>00:16:42</t>
  </si>
  <si>
    <t>08:26:34</t>
  </si>
  <si>
    <t>08:43:16</t>
  </si>
  <si>
    <t>00:27:23</t>
  </si>
  <si>
    <t>08:43:39</t>
  </si>
  <si>
    <t>09:11:02</t>
  </si>
  <si>
    <t>00:08:58</t>
  </si>
  <si>
    <t>09:11:06</t>
  </si>
  <si>
    <t>09:20:04</t>
  </si>
  <si>
    <t>00:09:01</t>
  </si>
  <si>
    <t>09:20:07</t>
  </si>
  <si>
    <t>09:29:08</t>
  </si>
  <si>
    <t>01:47:38</t>
  </si>
  <si>
    <t>09:29:51</t>
  </si>
  <si>
    <t>11:21:17</t>
  </si>
  <si>
    <t>00:21:32</t>
  </si>
  <si>
    <t>00:03:48</t>
  </si>
  <si>
    <t>00:54:24</t>
  </si>
  <si>
    <t>11:21:24</t>
  </si>
  <si>
    <t>12:15:48</t>
  </si>
  <si>
    <t>00:39:45</t>
  </si>
  <si>
    <t>12:15:52</t>
  </si>
  <si>
    <t>12:55:37</t>
  </si>
  <si>
    <t>01:37:44</t>
  </si>
  <si>
    <t>12:55:41</t>
  </si>
  <si>
    <t>14:33:25</t>
  </si>
  <si>
    <t>14:33:27</t>
  </si>
  <si>
    <t>15:01:46</t>
  </si>
  <si>
    <t>00:33:52</t>
  </si>
  <si>
    <t>15:01:50</t>
  </si>
  <si>
    <t>15:35:42</t>
  </si>
  <si>
    <t>01:00:18</t>
  </si>
  <si>
    <t>15:35:49</t>
  </si>
  <si>
    <t>16:36:07</t>
  </si>
  <si>
    <t>00:47:49</t>
  </si>
  <si>
    <t>16:36:10</t>
  </si>
  <si>
    <t>17:23:59</t>
  </si>
  <si>
    <t>00:23:55</t>
  </si>
  <si>
    <t>00:09:44</t>
  </si>
  <si>
    <t>17:24:29</t>
  </si>
  <si>
    <t>17:34:13</t>
  </si>
  <si>
    <t>10:04:21</t>
  </si>
  <si>
    <t>10:08:09</t>
  </si>
  <si>
    <t>00:21:49</t>
  </si>
  <si>
    <t>08:25:17</t>
  </si>
  <si>
    <t>08:47:06</t>
  </si>
  <si>
    <t>C1010068</t>
  </si>
  <si>
    <t>00:19:55</t>
  </si>
  <si>
    <t>08:47:48</t>
  </si>
  <si>
    <t>09:10:48</t>
  </si>
  <si>
    <t>00:03:05</t>
  </si>
  <si>
    <t>9940050601007677C1010068</t>
  </si>
  <si>
    <t>00:18:20</t>
  </si>
  <si>
    <t>09:10:51</t>
  </si>
  <si>
    <t>09:29:11</t>
  </si>
  <si>
    <t>00:08:19</t>
  </si>
  <si>
    <t>09:29:17</t>
  </si>
  <si>
    <t>09:37:36</t>
  </si>
  <si>
    <t>C1010058</t>
  </si>
  <si>
    <t>00:20:44</t>
  </si>
  <si>
    <t>09:37:50</t>
  </si>
  <si>
    <t>09:58:34</t>
  </si>
  <si>
    <t>9940050601007677C1010058</t>
  </si>
  <si>
    <t>00:04:51</t>
  </si>
  <si>
    <t>09:58:45</t>
  </si>
  <si>
    <t>10:03:36</t>
  </si>
  <si>
    <t>00:21:24</t>
  </si>
  <si>
    <t>10:03:43</t>
  </si>
  <si>
    <t>10:25:07</t>
  </si>
  <si>
    <t>00:24:14</t>
  </si>
  <si>
    <t>10:25:09</t>
  </si>
  <si>
    <t>10:49:23</t>
  </si>
  <si>
    <t>00:21:16</t>
  </si>
  <si>
    <t>10:49:35</t>
  </si>
  <si>
    <t>11:10:51</t>
  </si>
  <si>
    <t>00:37:01</t>
  </si>
  <si>
    <t>11:10:57</t>
  </si>
  <si>
    <t>11:47:58</t>
  </si>
  <si>
    <t>00:05:02</t>
  </si>
  <si>
    <t>11:48:38</t>
  </si>
  <si>
    <t>11:53:40</t>
  </si>
  <si>
    <t>00:17:10</t>
  </si>
  <si>
    <t>11:53:45</t>
  </si>
  <si>
    <t>12:10:55</t>
  </si>
  <si>
    <t>00:03:19</t>
  </si>
  <si>
    <t>12:11:03</t>
  </si>
  <si>
    <t>12:14:22</t>
  </si>
  <si>
    <t>00:42:06</t>
  </si>
  <si>
    <t>12:14:25</t>
  </si>
  <si>
    <t>12:56:31</t>
  </si>
  <si>
    <t>01:08:40</t>
  </si>
  <si>
    <t>12:56:36</t>
  </si>
  <si>
    <t>14:05:16</t>
  </si>
  <si>
    <t>00:16:01</t>
  </si>
  <si>
    <t>14:05:23</t>
  </si>
  <si>
    <t>14:21:24</t>
  </si>
  <si>
    <t>01:23:19</t>
  </si>
  <si>
    <t>14:21:50</t>
  </si>
  <si>
    <t>15:45:09</t>
  </si>
  <si>
    <t>00:16:40</t>
  </si>
  <si>
    <t>00:56:47</t>
  </si>
  <si>
    <t>15:45:14</t>
  </si>
  <si>
    <t>16:42:01</t>
  </si>
  <si>
    <t>00:18:56</t>
  </si>
  <si>
    <t>C1010056</t>
  </si>
  <si>
    <t>00:21:26</t>
  </si>
  <si>
    <t>16:42:07</t>
  </si>
  <si>
    <t>17:03:33</t>
  </si>
  <si>
    <t>9940050601007677C1010056</t>
  </si>
  <si>
    <t>00:27:09</t>
  </si>
  <si>
    <t>17:03:40</t>
  </si>
  <si>
    <t>17:30:49</t>
  </si>
  <si>
    <t>09:00:17</t>
  </si>
  <si>
    <t>09:03:22</t>
  </si>
  <si>
    <t>00:17:02</t>
  </si>
  <si>
    <t>08:26:06</t>
  </si>
  <si>
    <t>08:43:08</t>
  </si>
  <si>
    <t>E2010022</t>
  </si>
  <si>
    <t>00:43:22</t>
  </si>
  <si>
    <t>08:43:26</t>
  </si>
  <si>
    <t>09:33:19</t>
  </si>
  <si>
    <t>00:06:31</t>
  </si>
  <si>
    <t>9940050601007677E2010022</t>
  </si>
  <si>
    <t>C1010042</t>
  </si>
  <si>
    <t>00:37:57</t>
  </si>
  <si>
    <t>09:33:27</t>
  </si>
  <si>
    <t>10:11:24</t>
  </si>
  <si>
    <t>00:18:59</t>
  </si>
  <si>
    <t>9940050601007677C1010042</t>
  </si>
  <si>
    <t>10:11:31</t>
  </si>
  <si>
    <t>10:16:02</t>
  </si>
  <si>
    <t>00:55:37</t>
  </si>
  <si>
    <t>10:16:06</t>
  </si>
  <si>
    <t>11:11:43</t>
  </si>
  <si>
    <t>00:18:32</t>
  </si>
  <si>
    <t>11:12:03</t>
  </si>
  <si>
    <t>11:20:36</t>
  </si>
  <si>
    <t>00:20:02</t>
  </si>
  <si>
    <t>11:20:42</t>
  </si>
  <si>
    <t>11:40:44</t>
  </si>
  <si>
    <t>00:03:21</t>
  </si>
  <si>
    <t>11:41:22</t>
  </si>
  <si>
    <t>11:44:43</t>
  </si>
  <si>
    <t>00:15:41</t>
  </si>
  <si>
    <t>11:44:46</t>
  </si>
  <si>
    <t>12:00:27</t>
  </si>
  <si>
    <t>00:04:39</t>
  </si>
  <si>
    <t>12:00:40</t>
  </si>
  <si>
    <t>12:05:19</t>
  </si>
  <si>
    <t>00:50:33</t>
  </si>
  <si>
    <t>12:05:21</t>
  </si>
  <si>
    <t>12:55:54</t>
  </si>
  <si>
    <t>13:10:00</t>
  </si>
  <si>
    <t>00:12:14</t>
  </si>
  <si>
    <t>13:10:40</t>
  </si>
  <si>
    <t>13:22:54</t>
  </si>
  <si>
    <t>00:54:57</t>
  </si>
  <si>
    <t>13:22:58</t>
  </si>
  <si>
    <t>14:17:55</t>
  </si>
  <si>
    <t>00:27:28</t>
  </si>
  <si>
    <t>00:44:16</t>
  </si>
  <si>
    <t>14:18:00</t>
  </si>
  <si>
    <t>15:02:16</t>
  </si>
  <si>
    <t>00:23:15</t>
  </si>
  <si>
    <t>15:02:20</t>
  </si>
  <si>
    <t>15:25:35</t>
  </si>
  <si>
    <t>00:27:58</t>
  </si>
  <si>
    <t>15:25:37</t>
  </si>
  <si>
    <t>15:53:35</t>
  </si>
  <si>
    <t>00:04:43</t>
  </si>
  <si>
    <t>15:53:42</t>
  </si>
  <si>
    <t>15:58:25</t>
  </si>
  <si>
    <t>00:10:56</t>
  </si>
  <si>
    <t>15:58:28</t>
  </si>
  <si>
    <t>16:09:24</t>
  </si>
  <si>
    <t>00:18:37</t>
  </si>
  <si>
    <t>16:09:27</t>
  </si>
  <si>
    <t>16:28:04</t>
  </si>
  <si>
    <t>00:14:32</t>
  </si>
  <si>
    <t>16:28:07</t>
  </si>
  <si>
    <t>16:42:39</t>
  </si>
  <si>
    <t>00:21:01</t>
  </si>
  <si>
    <t>16:42:40</t>
  </si>
  <si>
    <t>17:03:41</t>
  </si>
  <si>
    <t>00:14:21</t>
  </si>
  <si>
    <t>17:03:43</t>
  </si>
  <si>
    <t>17:18:04</t>
  </si>
  <si>
    <t>17:18:11</t>
  </si>
  <si>
    <t>17:50:20</t>
  </si>
  <si>
    <t>09:00:36</t>
  </si>
  <si>
    <t>09:07:07</t>
  </si>
  <si>
    <t>00:32:37</t>
  </si>
  <si>
    <t>08:27:43</t>
  </si>
  <si>
    <t>09:00:20</t>
  </si>
  <si>
    <t>00:06:30</t>
  </si>
  <si>
    <t>09:00:22</t>
  </si>
  <si>
    <t>09:06:52</t>
  </si>
  <si>
    <t>00:37:17</t>
  </si>
  <si>
    <t>09:07:13</t>
  </si>
  <si>
    <t>09:44:30</t>
  </si>
  <si>
    <t>01:21:26</t>
  </si>
  <si>
    <t>09:44:39</t>
  </si>
  <si>
    <t>11:10:38</t>
  </si>
  <si>
    <t>00:10:11</t>
  </si>
  <si>
    <t>00:04:33</t>
  </si>
  <si>
    <t>00:08:42</t>
  </si>
  <si>
    <t>11:10:43</t>
  </si>
  <si>
    <t>11:19:25</t>
  </si>
  <si>
    <t>00:35:35</t>
  </si>
  <si>
    <t>11:19:36</t>
  </si>
  <si>
    <t>11:55:11</t>
  </si>
  <si>
    <t>00:17:48</t>
  </si>
  <si>
    <t>00:09:02</t>
  </si>
  <si>
    <t>11:55:14</t>
  </si>
  <si>
    <t>12:04:16</t>
  </si>
  <si>
    <t>00:51:20</t>
  </si>
  <si>
    <t>12:04:19</t>
  </si>
  <si>
    <t>12:55:39</t>
  </si>
  <si>
    <t>01:19:44</t>
  </si>
  <si>
    <t>12:55:42</t>
  </si>
  <si>
    <t>14:15:26</t>
  </si>
  <si>
    <t>14:15:30</t>
  </si>
  <si>
    <t>14:34:26</t>
  </si>
  <si>
    <t>01:13:46</t>
  </si>
  <si>
    <t>14:34:30</t>
  </si>
  <si>
    <t>15:48:16</t>
  </si>
  <si>
    <t>00:42:49</t>
  </si>
  <si>
    <t>15:48:25</t>
  </si>
  <si>
    <t>16:31:14</t>
  </si>
  <si>
    <t>00:04:01</t>
  </si>
  <si>
    <t>16:31:19</t>
  </si>
  <si>
    <t>16:35:20</t>
  </si>
  <si>
    <t>00:33:33</t>
  </si>
  <si>
    <t>16:35:27</t>
  </si>
  <si>
    <t>17:09:00</t>
  </si>
  <si>
    <t>00:01:42</t>
  </si>
  <si>
    <t>17:09:03</t>
  </si>
  <si>
    <t>17:10:45</t>
  </si>
  <si>
    <t>00:04:11</t>
  </si>
  <si>
    <t>17:10:47</t>
  </si>
  <si>
    <t>17:14:58</t>
  </si>
  <si>
    <t>00:15:59</t>
  </si>
  <si>
    <t>17:15:02</t>
  </si>
  <si>
    <t>17:31:01</t>
  </si>
  <si>
    <t>10:05:39</t>
  </si>
  <si>
    <t>10:10:12</t>
  </si>
  <si>
    <t>00:29:50</t>
  </si>
  <si>
    <t>08:30:59</t>
  </si>
  <si>
    <t>09:00:49</t>
  </si>
  <si>
    <t>00:00:02</t>
  </si>
  <si>
    <t>09:01:08</t>
  </si>
  <si>
    <t>09:01:10</t>
  </si>
  <si>
    <t>01:03:58</t>
  </si>
  <si>
    <t>09:01:14</t>
  </si>
  <si>
    <t>10:05:12</t>
  </si>
  <si>
    <t>C1010046</t>
  </si>
  <si>
    <t>00:17:55</t>
  </si>
  <si>
    <t>10:06:32</t>
  </si>
  <si>
    <t>10:24:27</t>
  </si>
  <si>
    <t>9940050601007677C1010046</t>
  </si>
  <si>
    <t>00:04:21</t>
  </si>
  <si>
    <t>10:24:44</t>
  </si>
  <si>
    <t>10:29:05</t>
  </si>
  <si>
    <t>00:17:40</t>
  </si>
  <si>
    <t>10:29:16</t>
  </si>
  <si>
    <t>10:46:56</t>
  </si>
  <si>
    <t>00:23:25</t>
  </si>
  <si>
    <t>10:47:11</t>
  </si>
  <si>
    <t>11:10:36</t>
  </si>
  <si>
    <t>C1010045</t>
  </si>
  <si>
    <t>00:22:11</t>
  </si>
  <si>
    <t>11:10:39</t>
  </si>
  <si>
    <t>11:32:50</t>
  </si>
  <si>
    <t>9940050601007677C1010045</t>
  </si>
  <si>
    <t>D0010008</t>
  </si>
  <si>
    <t>00:08:50</t>
  </si>
  <si>
    <t>11:33:00</t>
  </si>
  <si>
    <t>11:41:50</t>
  </si>
  <si>
    <t>9940050601007677D0010008</t>
  </si>
  <si>
    <t>C1010047</t>
  </si>
  <si>
    <t>00:20:20</t>
  </si>
  <si>
    <t>11:42:01</t>
  </si>
  <si>
    <t>12:02:21</t>
  </si>
  <si>
    <t>9940050601007677C1010047</t>
  </si>
  <si>
    <t>00:53:23</t>
  </si>
  <si>
    <t>12:02:23</t>
  </si>
  <si>
    <t>12:55:46</t>
  </si>
  <si>
    <t>00:58:06</t>
  </si>
  <si>
    <t>12:55:58</t>
  </si>
  <si>
    <t>13:54:04</t>
  </si>
  <si>
    <t>01:16:31</t>
  </si>
  <si>
    <t>13:54:06</t>
  </si>
  <si>
    <t>15:10:37</t>
  </si>
  <si>
    <t>C1010048</t>
  </si>
  <si>
    <t>00:55:31</t>
  </si>
  <si>
    <t>15:10:58</t>
  </si>
  <si>
    <t>16:06:29</t>
  </si>
  <si>
    <t>9940050601007677C1010048</t>
  </si>
  <si>
    <t>00:47:54</t>
  </si>
  <si>
    <t>16:06:31</t>
  </si>
  <si>
    <t>16:54:25</t>
  </si>
  <si>
    <t>00:08:14</t>
  </si>
  <si>
    <t>16:54:28</t>
  </si>
  <si>
    <t>17:02:42</t>
  </si>
  <si>
    <t>00:34:13</t>
  </si>
  <si>
    <t>17:02:53</t>
  </si>
  <si>
    <t>17:37:06</t>
  </si>
  <si>
    <t>00:18:34</t>
  </si>
  <si>
    <t>08:28:50</t>
  </si>
  <si>
    <t>08:47:24</t>
  </si>
  <si>
    <t>00:43:47</t>
  </si>
  <si>
    <t>08:47:53</t>
  </si>
  <si>
    <t>09:31:57</t>
  </si>
  <si>
    <t>00:08:45</t>
  </si>
  <si>
    <t>00:00:17</t>
  </si>
  <si>
    <t>00:06:55</t>
  </si>
  <si>
    <t>09:32:00</t>
  </si>
  <si>
    <t>09:38:55</t>
  </si>
  <si>
    <t>01:26:33</t>
  </si>
  <si>
    <t>09:39:00</t>
  </si>
  <si>
    <t>11:05:33</t>
  </si>
  <si>
    <t>00:17:19</t>
  </si>
  <si>
    <t>00:17:54</t>
  </si>
  <si>
    <t>11:05:46</t>
  </si>
  <si>
    <t>11:23:40</t>
  </si>
  <si>
    <t>00:29:16</t>
  </si>
  <si>
    <t>11:23:46</t>
  </si>
  <si>
    <t>11:53:02</t>
  </si>
  <si>
    <t>00:14:38</t>
  </si>
  <si>
    <t>00:06:50</t>
  </si>
  <si>
    <t>11:53:06</t>
  </si>
  <si>
    <t>11:59:56</t>
  </si>
  <si>
    <t>00:04:13</t>
  </si>
  <si>
    <t>11:59:57</t>
  </si>
  <si>
    <t>12:04:10</t>
  </si>
  <si>
    <t>00:51:10</t>
  </si>
  <si>
    <t>12:04:12</t>
  </si>
  <si>
    <t>12:55:22</t>
  </si>
  <si>
    <t>00:53:14</t>
  </si>
  <si>
    <t>12:55:25</t>
  </si>
  <si>
    <t>13:48:39</t>
  </si>
  <si>
    <t>00:26:46</t>
  </si>
  <si>
    <t>13:48:43</t>
  </si>
  <si>
    <t>14:15:29</t>
  </si>
  <si>
    <t>00:56:38</t>
  </si>
  <si>
    <t>14:15:34</t>
  </si>
  <si>
    <t>15:12:12</t>
  </si>
  <si>
    <t>00:28:28</t>
  </si>
  <si>
    <t>15:12:18</t>
  </si>
  <si>
    <t>15:40:46</t>
  </si>
  <si>
    <t>00:20:03</t>
  </si>
  <si>
    <t>15:40:22</t>
  </si>
  <si>
    <t>16:00:25</t>
  </si>
  <si>
    <t>00:32:01</t>
  </si>
  <si>
    <t>16:00:41</t>
  </si>
  <si>
    <t>16:32:42</t>
  </si>
  <si>
    <t>00:11:20</t>
  </si>
  <si>
    <t>16:33:33</t>
  </si>
  <si>
    <t>16:44:53</t>
  </si>
  <si>
    <t>16:44:55</t>
  </si>
  <si>
    <t>16:58:17</t>
  </si>
  <si>
    <t>00:19:59</t>
  </si>
  <si>
    <t>16:58:26</t>
  </si>
  <si>
    <t>17:18:25</t>
  </si>
  <si>
    <t>00:27:48</t>
  </si>
  <si>
    <t>17:18:31</t>
  </si>
  <si>
    <t>17:46:19</t>
  </si>
  <si>
    <t>09:00:12</t>
  </si>
  <si>
    <t>09:00:29</t>
  </si>
  <si>
    <t>00:20:22</t>
  </si>
  <si>
    <t>08:24:09</t>
  </si>
  <si>
    <t>08:44:31</t>
  </si>
  <si>
    <t>E2010018</t>
  </si>
  <si>
    <t>00:12:35</t>
  </si>
  <si>
    <t>08:44:52</t>
  </si>
  <si>
    <t>08:57:27</t>
  </si>
  <si>
    <t>9940050601007677E2010018</t>
  </si>
  <si>
    <t>00:19:23</t>
  </si>
  <si>
    <t>08:57:30</t>
  </si>
  <si>
    <t>09:17:32</t>
  </si>
  <si>
    <t>00:00:39</t>
  </si>
  <si>
    <t>C1010165</t>
  </si>
  <si>
    <t>00:14:10</t>
  </si>
  <si>
    <t>09:17:39</t>
  </si>
  <si>
    <t>09:31:49</t>
  </si>
  <si>
    <t>9940050601007677C1010165</t>
  </si>
  <si>
    <t>00:14:29</t>
  </si>
  <si>
    <t>09:46:26</t>
  </si>
  <si>
    <t>00:08:44</t>
  </si>
  <si>
    <t>09:46:41</t>
  </si>
  <si>
    <t>09:55:25</t>
  </si>
  <si>
    <t>00:07:02</t>
  </si>
  <si>
    <t>09:55:33</t>
  </si>
  <si>
    <t>10:02:35</t>
  </si>
  <si>
    <t>00:17:46</t>
  </si>
  <si>
    <t>10:02:37</t>
  </si>
  <si>
    <t>10:20:23</t>
  </si>
  <si>
    <t>10:20:24</t>
  </si>
  <si>
    <t>11:13:47</t>
  </si>
  <si>
    <t>00:21:22</t>
  </si>
  <si>
    <t>11:13:51</t>
  </si>
  <si>
    <t>11:35:13</t>
  </si>
  <si>
    <t>00:08:24</t>
  </si>
  <si>
    <t>11:35:16</t>
  </si>
  <si>
    <t>11:43:40</t>
  </si>
  <si>
    <t>00:12:23</t>
  </si>
  <si>
    <t>11:43:47</t>
  </si>
  <si>
    <t>11:56:10</t>
  </si>
  <si>
    <t>11:56:14</t>
  </si>
  <si>
    <t>12:04:59</t>
  </si>
  <si>
    <t>00:51:59</t>
  </si>
  <si>
    <t>12:05:01</t>
  </si>
  <si>
    <t>12:57:00</t>
  </si>
  <si>
    <t>01:40:36</t>
  </si>
  <si>
    <t>12:57:03</t>
  </si>
  <si>
    <t>14:37:39</t>
  </si>
  <si>
    <t>00:45:39</t>
  </si>
  <si>
    <t>14:37:46</t>
  </si>
  <si>
    <t>15:23:25</t>
  </si>
  <si>
    <t>01:10:24</t>
  </si>
  <si>
    <t>15:23:31</t>
  </si>
  <si>
    <t>16:33:55</t>
  </si>
  <si>
    <t>00:17:36</t>
  </si>
  <si>
    <t>00:41:02</t>
  </si>
  <si>
    <t>16:34:02</t>
  </si>
  <si>
    <t>17:15:04</t>
  </si>
  <si>
    <t>00:16:10</t>
  </si>
  <si>
    <t>17:15:08</t>
  </si>
  <si>
    <t>17:31:18</t>
  </si>
  <si>
    <t>09:00:32</t>
  </si>
  <si>
    <t>09:01:11</t>
  </si>
  <si>
    <t>00:20:14</t>
  </si>
  <si>
    <t>08:37:27</t>
  </si>
  <si>
    <t>08:57:41</t>
  </si>
  <si>
    <t>01:17:23</t>
  </si>
  <si>
    <t>08:58:00</t>
  </si>
  <si>
    <t>10:23:57</t>
  </si>
  <si>
    <t>00:12:54</t>
  </si>
  <si>
    <t>00:08:34</t>
  </si>
  <si>
    <t>00:35:58</t>
  </si>
  <si>
    <t>10:23:59</t>
  </si>
  <si>
    <t>10:59:57</t>
  </si>
  <si>
    <t>00:18:29</t>
  </si>
  <si>
    <t>11:00:17</t>
  </si>
  <si>
    <t>11:18:46</t>
  </si>
  <si>
    <t>11:19:00</t>
  </si>
  <si>
    <t>11:48:18</t>
  </si>
  <si>
    <t>11:48:20</t>
  </si>
  <si>
    <t>11:54:47</t>
  </si>
  <si>
    <t>12:00:12</t>
  </si>
  <si>
    <t>01:01:14</t>
  </si>
  <si>
    <t>12:00:15</t>
  </si>
  <si>
    <t>13:01:29</t>
  </si>
  <si>
    <t>00:41:56</t>
  </si>
  <si>
    <t>13:01:31</t>
  </si>
  <si>
    <t>13:43:27</t>
  </si>
  <si>
    <t>00:08:41</t>
  </si>
  <si>
    <t>13:43:33</t>
  </si>
  <si>
    <t>13:52:14</t>
  </si>
  <si>
    <t>00:38:35</t>
  </si>
  <si>
    <t>13:52:20</t>
  </si>
  <si>
    <t>14:30:55</t>
  </si>
  <si>
    <t>00:08:23</t>
  </si>
  <si>
    <t>14:31:00</t>
  </si>
  <si>
    <t>14:39:23</t>
  </si>
  <si>
    <t>01:15:17</t>
  </si>
  <si>
    <t>14:39:32</t>
  </si>
  <si>
    <t>15:54:49</t>
  </si>
  <si>
    <t>00:42:26</t>
  </si>
  <si>
    <t>15:54:54</t>
  </si>
  <si>
    <t>16:37:20</t>
  </si>
  <si>
    <t>00:07:13</t>
  </si>
  <si>
    <t>16:37:29</t>
  </si>
  <si>
    <t>16:44:42</t>
  </si>
  <si>
    <t>16:44:44</t>
  </si>
  <si>
    <t>17:19:21</t>
  </si>
  <si>
    <t>00:21:46</t>
  </si>
  <si>
    <t>17:19:24</t>
  </si>
  <si>
    <t>17:41:10</t>
  </si>
  <si>
    <t>09:08:56</t>
  </si>
  <si>
    <t>00:27:24</t>
  </si>
  <si>
    <t>08:25:48</t>
  </si>
  <si>
    <t>08:53:12</t>
  </si>
  <si>
    <t>01:19:28</t>
  </si>
  <si>
    <t>08:53:38</t>
  </si>
  <si>
    <t>10:18:25</t>
  </si>
  <si>
    <t>00:15:54</t>
  </si>
  <si>
    <t>00:05:19</t>
  </si>
  <si>
    <t>00:13:58</t>
  </si>
  <si>
    <t>10:18:28</t>
  </si>
  <si>
    <t>10:32:26</t>
  </si>
  <si>
    <t>00:03:13</t>
  </si>
  <si>
    <t>10:32:30</t>
  </si>
  <si>
    <t>10:35:43</t>
  </si>
  <si>
    <t>00:36:25</t>
  </si>
  <si>
    <t>10:35:46</t>
  </si>
  <si>
    <t>11:12:11</t>
  </si>
  <si>
    <t>00:18:13</t>
  </si>
  <si>
    <t>00:52:06</t>
  </si>
  <si>
    <t>11:12:13</t>
  </si>
  <si>
    <t>01:01:33</t>
  </si>
  <si>
    <t>12:04:21</t>
  </si>
  <si>
    <t>13:05:54</t>
  </si>
  <si>
    <t>C2010068</t>
  </si>
  <si>
    <t>01:36:40</t>
  </si>
  <si>
    <t>13:06:03</t>
  </si>
  <si>
    <t>14:42:43</t>
  </si>
  <si>
    <t>9940050601007677C2010068</t>
  </si>
  <si>
    <t>14:42:51</t>
  </si>
  <si>
    <t>15:00:10</t>
  </si>
  <si>
    <t>00:23:01</t>
  </si>
  <si>
    <t>15:00:14</t>
  </si>
  <si>
    <t>15:23:15</t>
  </si>
  <si>
    <t>00:27:42</t>
  </si>
  <si>
    <t>15:23:47</t>
  </si>
  <si>
    <t>15:51:29</t>
  </si>
  <si>
    <t>00:26:00</t>
  </si>
  <si>
    <t>15:51:32</t>
  </si>
  <si>
    <t>16:17:32</t>
  </si>
  <si>
    <t>00:24:24</t>
  </si>
  <si>
    <t>16:17:49</t>
  </si>
  <si>
    <t>16:42:13</t>
  </si>
  <si>
    <t>16:42:16</t>
  </si>
  <si>
    <t>16:51:14</t>
  </si>
  <si>
    <t>00:24:42</t>
  </si>
  <si>
    <t>16:51:17</t>
  </si>
  <si>
    <t>17:15:59</t>
  </si>
  <si>
    <t>00:20:01</t>
  </si>
  <si>
    <t>17:16:03</t>
  </si>
  <si>
    <t>17:36:04</t>
  </si>
  <si>
    <t>09:00:15</t>
  </si>
  <si>
    <t>09:05:34</t>
  </si>
  <si>
    <t>17:17:01</t>
  </si>
  <si>
    <t>17:34:56</t>
  </si>
  <si>
    <t>00:05:55</t>
  </si>
  <si>
    <t>08:22:12</t>
  </si>
  <si>
    <t>08:28:07</t>
  </si>
  <si>
    <t>00:15:32</t>
  </si>
  <si>
    <t>08:28:09</t>
  </si>
  <si>
    <t>08:43:41</t>
  </si>
  <si>
    <t>00:17:34</t>
  </si>
  <si>
    <t>08:43:44</t>
  </si>
  <si>
    <t>09:01:18</t>
  </si>
  <si>
    <t>00:02:07</t>
  </si>
  <si>
    <t>09:01:20</t>
  </si>
  <si>
    <t>09:03:27</t>
  </si>
  <si>
    <t>01:44:24</t>
  </si>
  <si>
    <t>09:03:50</t>
  </si>
  <si>
    <t>10:48:14</t>
  </si>
  <si>
    <t>00:14:55</t>
  </si>
  <si>
    <t>00:05:17</t>
  </si>
  <si>
    <t>10:48:17</t>
  </si>
  <si>
    <t>10:53:34</t>
  </si>
  <si>
    <t>00:53:32</t>
  </si>
  <si>
    <t>10:53:39</t>
  </si>
  <si>
    <t>11:47:11</t>
  </si>
  <si>
    <t>00:16:17</t>
  </si>
  <si>
    <t>11:47:14</t>
  </si>
  <si>
    <t>12:03:31</t>
  </si>
  <si>
    <t>00:56:53</t>
  </si>
  <si>
    <t>12:03:33</t>
  </si>
  <si>
    <t>13:00:26</t>
  </si>
  <si>
    <t>01:00:11</t>
  </si>
  <si>
    <t>13:00:29</t>
  </si>
  <si>
    <t>14:00:40</t>
  </si>
  <si>
    <t>14:00:45</t>
  </si>
  <si>
    <t>01:58:17</t>
  </si>
  <si>
    <t>14:43:07</t>
  </si>
  <si>
    <t>16:41:24</t>
  </si>
  <si>
    <t>00:23:39</t>
  </si>
  <si>
    <t>16:41:27</t>
  </si>
  <si>
    <t>16:54:50</t>
  </si>
  <si>
    <t>00:06:28</t>
  </si>
  <si>
    <t>16:54:54</t>
  </si>
  <si>
    <t>17:01:22</t>
  </si>
  <si>
    <t>00:15:18</t>
  </si>
  <si>
    <t>17:01:38</t>
  </si>
  <si>
    <t>17:16:56</t>
  </si>
  <si>
    <t>00:38:42</t>
  </si>
  <si>
    <t>08:21:35</t>
  </si>
  <si>
    <t>00:01:21</t>
  </si>
  <si>
    <t>09:00:34</t>
  </si>
  <si>
    <t>09:01:55</t>
  </si>
  <si>
    <t>09:01:57</t>
  </si>
  <si>
    <t>09:11:41</t>
  </si>
  <si>
    <t>00:19:45</t>
  </si>
  <si>
    <t>09:11:59</t>
  </si>
  <si>
    <t>09:31:44</t>
  </si>
  <si>
    <t>00:24:51</t>
  </si>
  <si>
    <t>09:32:05</t>
  </si>
  <si>
    <t>09:56:56</t>
  </si>
  <si>
    <t>09:56:58</t>
  </si>
  <si>
    <t>10:11:20</t>
  </si>
  <si>
    <t>00:17:52</t>
  </si>
  <si>
    <t>10:11:23</t>
  </si>
  <si>
    <t>10:29:15</t>
  </si>
  <si>
    <t>00:33:38</t>
  </si>
  <si>
    <t>10:29:18</t>
  </si>
  <si>
    <t>11:02:56</t>
  </si>
  <si>
    <t>00:07:58</t>
  </si>
  <si>
    <t>11:02:59</t>
  </si>
  <si>
    <t>00:29:33</t>
  </si>
  <si>
    <t>11:11:07</t>
  </si>
  <si>
    <t>11:40:40</t>
  </si>
  <si>
    <t>00:22:09</t>
  </si>
  <si>
    <t>11:41:32</t>
  </si>
  <si>
    <t>12:03:41</t>
  </si>
  <si>
    <t>00:56:34</t>
  </si>
  <si>
    <t>12:03:45</t>
  </si>
  <si>
    <t>13:00:19</t>
  </si>
  <si>
    <t>C2010067</t>
  </si>
  <si>
    <t>01:20:39</t>
  </si>
  <si>
    <t>13:00:25</t>
  </si>
  <si>
    <t>14:21:04</t>
  </si>
  <si>
    <t>9940050601007677C2010067</t>
  </si>
  <si>
    <t>00:19:57</t>
  </si>
  <si>
    <t>14:21:08</t>
  </si>
  <si>
    <t>14:41:05</t>
  </si>
  <si>
    <t>14:41:09</t>
  </si>
  <si>
    <t>15:15:01</t>
  </si>
  <si>
    <t>00:48:39</t>
  </si>
  <si>
    <t>15:15:03</t>
  </si>
  <si>
    <t>16:03:42</t>
  </si>
  <si>
    <t>00:10:05</t>
  </si>
  <si>
    <t>16:03:46</t>
  </si>
  <si>
    <t>16:13:51</t>
  </si>
  <si>
    <t>00:52:00</t>
  </si>
  <si>
    <t>16:13:55</t>
  </si>
  <si>
    <t>17:05:55</t>
  </si>
  <si>
    <t>00:06:05</t>
  </si>
  <si>
    <t>17:05:57</t>
  </si>
  <si>
    <t>17:12:02</t>
  </si>
  <si>
    <t>17:12:04</t>
  </si>
  <si>
    <t>17:13:25</t>
  </si>
  <si>
    <t>17:13:30</t>
  </si>
  <si>
    <t>17:31:06</t>
  </si>
  <si>
    <t>00:33:07</t>
  </si>
  <si>
    <t>08:27:24</t>
  </si>
  <si>
    <t>09:00:31</t>
  </si>
  <si>
    <t>00:01:03</t>
  </si>
  <si>
    <t>09:00:33</t>
  </si>
  <si>
    <t>09:01:36</t>
  </si>
  <si>
    <t>E2010015</t>
  </si>
  <si>
    <t>00:14:58</t>
  </si>
  <si>
    <t>09:02:04</t>
  </si>
  <si>
    <t>09:17:02</t>
  </si>
  <si>
    <t>9940050601007677E2010015</t>
  </si>
  <si>
    <t>00:55:38</t>
  </si>
  <si>
    <t>09:17:14</t>
  </si>
  <si>
    <t>10:12:52</t>
  </si>
  <si>
    <t>00:18:33</t>
  </si>
  <si>
    <t>00:04:15</t>
  </si>
  <si>
    <t>10:12:56</t>
  </si>
  <si>
    <t>10:17:11</t>
  </si>
  <si>
    <t>00:13:46</t>
  </si>
  <si>
    <t>10:31:05</t>
  </si>
  <si>
    <t>00:19:19</t>
  </si>
  <si>
    <t>10:31:08</t>
  </si>
  <si>
    <t>10:50:27</t>
  </si>
  <si>
    <t>01:10:20</t>
  </si>
  <si>
    <t>10:50:34</t>
  </si>
  <si>
    <t>12:00:54</t>
  </si>
  <si>
    <t>01:01:29</t>
  </si>
  <si>
    <t>12:00:56</t>
  </si>
  <si>
    <t>13:02:25</t>
  </si>
  <si>
    <t>04:15:42</t>
  </si>
  <si>
    <t>13:02:39</t>
  </si>
  <si>
    <t>17:18:21</t>
  </si>
  <si>
    <t>00:09:25</t>
  </si>
  <si>
    <t>17:18:28</t>
  </si>
  <si>
    <t>17:27:53</t>
  </si>
  <si>
    <t>00:09:36</t>
  </si>
  <si>
    <t>17:27:58</t>
  </si>
  <si>
    <t>17:37:34</t>
  </si>
  <si>
    <t>00:14:00</t>
  </si>
  <si>
    <t>08:25:50</t>
  </si>
  <si>
    <t>08:39:50</t>
  </si>
  <si>
    <t>08:40:10</t>
  </si>
  <si>
    <t>00:00:46</t>
  </si>
  <si>
    <t>09:01:01</t>
  </si>
  <si>
    <t>02:38:18</t>
  </si>
  <si>
    <t>09:01:06</t>
  </si>
  <si>
    <t>11:39:24</t>
  </si>
  <si>
    <t>00:07:47</t>
  </si>
  <si>
    <t>11:39:28</t>
  </si>
  <si>
    <t>11:47:15</t>
  </si>
  <si>
    <t>00:13:44</t>
  </si>
  <si>
    <t>11:47:18</t>
  </si>
  <si>
    <t>12:01:02</t>
  </si>
  <si>
    <t>01:02:11</t>
  </si>
  <si>
    <t>12:01:05</t>
  </si>
  <si>
    <t>13:03:16</t>
  </si>
  <si>
    <t>00:01:35</t>
  </si>
  <si>
    <t>13:03:23</t>
  </si>
  <si>
    <t>13:04:58</t>
  </si>
  <si>
    <t>00:43:46</t>
  </si>
  <si>
    <t>13:05:07</t>
  </si>
  <si>
    <t>13:48:53</t>
  </si>
  <si>
    <t>00:21:53</t>
  </si>
  <si>
    <t>00:25:42</t>
  </si>
  <si>
    <t>13:48:55</t>
  </si>
  <si>
    <t>14:14:37</t>
  </si>
  <si>
    <t>00:14:04</t>
  </si>
  <si>
    <t>14:14:48</t>
  </si>
  <si>
    <t>14:28:52</t>
  </si>
  <si>
    <t>00:06:08</t>
  </si>
  <si>
    <t>14:28:54</t>
  </si>
  <si>
    <t>14:35:02</t>
  </si>
  <si>
    <t>00:13:24</t>
  </si>
  <si>
    <t>14:35:09</t>
  </si>
  <si>
    <t>14:48:33</t>
  </si>
  <si>
    <t>00:42:02</t>
  </si>
  <si>
    <t>14:48:37</t>
  </si>
  <si>
    <t>15:30:39</t>
  </si>
  <si>
    <t>00:27:02</t>
  </si>
  <si>
    <t>15:30:45</t>
  </si>
  <si>
    <t>15:57:47</t>
  </si>
  <si>
    <t>00:42:23</t>
  </si>
  <si>
    <t>15:58:35</t>
  </si>
  <si>
    <t>16:40:58</t>
  </si>
  <si>
    <t>00:12:46</t>
  </si>
  <si>
    <t>16:41:01</t>
  </si>
  <si>
    <t>16:53:47</t>
  </si>
  <si>
    <t>00:44:52</t>
  </si>
  <si>
    <t>16:53:59</t>
  </si>
  <si>
    <t>17:38:51</t>
  </si>
  <si>
    <t>00:15:01</t>
  </si>
  <si>
    <t>08:30:00</t>
  </si>
  <si>
    <t>08:45:01</t>
  </si>
  <si>
    <t>E2010023</t>
  </si>
  <si>
    <t>00:22:13</t>
  </si>
  <si>
    <t>08:45:38</t>
  </si>
  <si>
    <t>09:08:43</t>
  </si>
  <si>
    <t>00:00:52</t>
  </si>
  <si>
    <t>9940050601007677E2010023</t>
  </si>
  <si>
    <t>00:06:09</t>
  </si>
  <si>
    <t>09:08:46</t>
  </si>
  <si>
    <t>09:14:55</t>
  </si>
  <si>
    <t>09:15:02</t>
  </si>
  <si>
    <t>09:29:03</t>
  </si>
  <si>
    <t>00:28:48</t>
  </si>
  <si>
    <t>09:29:24</t>
  </si>
  <si>
    <t>09:58:12</t>
  </si>
  <si>
    <t>00:14:24</t>
  </si>
  <si>
    <t>00:05:23</t>
  </si>
  <si>
    <t>09:58:40</t>
  </si>
  <si>
    <t>10:04:03</t>
  </si>
  <si>
    <t>00:57:07</t>
  </si>
  <si>
    <t>10:04:08</t>
  </si>
  <si>
    <t>11:01:15</t>
  </si>
  <si>
    <t>00:28:51</t>
  </si>
  <si>
    <t>11:01:22</t>
  </si>
  <si>
    <t>11:30:13</t>
  </si>
  <si>
    <t>00:25:17</t>
  </si>
  <si>
    <t>11:30:15</t>
  </si>
  <si>
    <t>11:55:32</t>
  </si>
  <si>
    <t>00:12:38</t>
  </si>
  <si>
    <t>01:07:04</t>
  </si>
  <si>
    <t>11:55:36</t>
  </si>
  <si>
    <t>13:02:40</t>
  </si>
  <si>
    <t>00:54:07</t>
  </si>
  <si>
    <t>13:02:55</t>
  </si>
  <si>
    <t>13:57:02</t>
  </si>
  <si>
    <t>01:06:43</t>
  </si>
  <si>
    <t>13:57:04</t>
  </si>
  <si>
    <t>15:03:47</t>
  </si>
  <si>
    <t>15:03:50</t>
  </si>
  <si>
    <t>15:33:23</t>
  </si>
  <si>
    <t>00:22:44</t>
  </si>
  <si>
    <t>15:33:28</t>
  </si>
  <si>
    <t>15:56:12</t>
  </si>
  <si>
    <t>00:04:20</t>
  </si>
  <si>
    <t>15:56:15</t>
  </si>
  <si>
    <t>16:00:35</t>
  </si>
  <si>
    <t>00:28:21</t>
  </si>
  <si>
    <t>16:00:39</t>
  </si>
  <si>
    <t>16:29:00</t>
  </si>
  <si>
    <t>00:14:11</t>
  </si>
  <si>
    <t>00:18:14</t>
  </si>
  <si>
    <t>16:29:52</t>
  </si>
  <si>
    <t>16:48:06</t>
  </si>
  <si>
    <t>00:09:22</t>
  </si>
  <si>
    <t>16:48:09</t>
  </si>
  <si>
    <t>16:57:31</t>
  </si>
  <si>
    <t>16:57:35</t>
  </si>
  <si>
    <t>17:15:09</t>
  </si>
  <si>
    <t>00:13:30</t>
  </si>
  <si>
    <t>17:15:15</t>
  </si>
  <si>
    <t>17:28:45</t>
  </si>
  <si>
    <t>00:01:33</t>
  </si>
  <si>
    <t>17:28:59</t>
  </si>
  <si>
    <t>17:30:32</t>
  </si>
  <si>
    <t>00:26:26</t>
  </si>
  <si>
    <t>08:30:57</t>
  </si>
  <si>
    <t>08:57:23</t>
  </si>
  <si>
    <t>00:03:10</t>
  </si>
  <si>
    <t>09:03:43</t>
  </si>
  <si>
    <t>00:03:06</t>
  </si>
  <si>
    <t>09:03:46</t>
  </si>
  <si>
    <t>09:05:28</t>
  </si>
  <si>
    <t>00:20:27</t>
  </si>
  <si>
    <t>09:05:33</t>
  </si>
  <si>
    <t>09:26:00</t>
  </si>
  <si>
    <t>00:09:21</t>
  </si>
  <si>
    <t>09:26:02</t>
  </si>
  <si>
    <t>09:35:23</t>
  </si>
  <si>
    <t>00:18:05</t>
  </si>
  <si>
    <t>09:35:27</t>
  </si>
  <si>
    <t>09:53:32</t>
  </si>
  <si>
    <t>00:05:13</t>
  </si>
  <si>
    <t>09:53:34</t>
  </si>
  <si>
    <t>09:58:47</t>
  </si>
  <si>
    <t>C1010118</t>
  </si>
  <si>
    <t>00:23:36</t>
  </si>
  <si>
    <t>09:59:00</t>
  </si>
  <si>
    <t>10:22:36</t>
  </si>
  <si>
    <t>9940050601007677C1010118</t>
  </si>
  <si>
    <t>00:01:36</t>
  </si>
  <si>
    <t>10:22:40</t>
  </si>
  <si>
    <t>10:24:16</t>
  </si>
  <si>
    <t>00:24:44</t>
  </si>
  <si>
    <t>10:24:19</t>
  </si>
  <si>
    <t>10:49:03</t>
  </si>
  <si>
    <t>00:19:39</t>
  </si>
  <si>
    <t>10:49:06</t>
  </si>
  <si>
    <t>11:08:45</t>
  </si>
  <si>
    <t>00:07:54</t>
  </si>
  <si>
    <t>11:08:48</t>
  </si>
  <si>
    <t>11:16:42</t>
  </si>
  <si>
    <t>00:01:18</t>
  </si>
  <si>
    <t>11:16:45</t>
  </si>
  <si>
    <t>11:18:03</t>
  </si>
  <si>
    <t>00:41:54</t>
  </si>
  <si>
    <t>11:18:09</t>
  </si>
  <si>
    <t>12:00:03</t>
  </si>
  <si>
    <t>00:57:22</t>
  </si>
  <si>
    <t>12:00:08</t>
  </si>
  <si>
    <t>12:57:30</t>
  </si>
  <si>
    <t>00:39:49</t>
  </si>
  <si>
    <t>12:57:34</t>
  </si>
  <si>
    <t>13:37:23</t>
  </si>
  <si>
    <t>00:44:07</t>
  </si>
  <si>
    <t>13:37:26</t>
  </si>
  <si>
    <t>15:00:07</t>
  </si>
  <si>
    <t>00:38:34</t>
  </si>
  <si>
    <t>00:53:01</t>
  </si>
  <si>
    <t>15:00:15</t>
  </si>
  <si>
    <t>15:53:16</t>
  </si>
  <si>
    <t>00:14:26</t>
  </si>
  <si>
    <t>15:53:59</t>
  </si>
  <si>
    <t>16:08:25</t>
  </si>
  <si>
    <t>00:51:23</t>
  </si>
  <si>
    <t>16:08:34</t>
  </si>
  <si>
    <t>16:59:57</t>
  </si>
  <si>
    <t>00:38:21</t>
  </si>
  <si>
    <t>17:00:05</t>
  </si>
  <si>
    <t>17:38:26</t>
  </si>
  <si>
    <t>09:03:35</t>
  </si>
  <si>
    <t>14:04:01</t>
  </si>
  <si>
    <t>14:42:35</t>
  </si>
  <si>
    <t>00:35:45</t>
  </si>
  <si>
    <t>08:26:50</t>
  </si>
  <si>
    <t>09:02:35</t>
  </si>
  <si>
    <t>09:02:37</t>
  </si>
  <si>
    <t>09:13:57</t>
  </si>
  <si>
    <t>01:07:27</t>
  </si>
  <si>
    <t>09:15:17</t>
  </si>
  <si>
    <t>10:22:44</t>
  </si>
  <si>
    <t>00:33:44</t>
  </si>
  <si>
    <t>00:54:34</t>
  </si>
  <si>
    <t>10:23:18</t>
  </si>
  <si>
    <t>11:17:52</t>
  </si>
  <si>
    <t>00:27:17</t>
  </si>
  <si>
    <t>00:37:07</t>
  </si>
  <si>
    <t>11:19:08</t>
  </si>
  <si>
    <t>11:56:15</t>
  </si>
  <si>
    <t>00:04:37</t>
  </si>
  <si>
    <t>11:56:30</t>
  </si>
  <si>
    <t>12:01:07</t>
  </si>
  <si>
    <t>00:59:02</t>
  </si>
  <si>
    <t>12:01:10</t>
  </si>
  <si>
    <t>13:00:12</t>
  </si>
  <si>
    <t>13:00:17</t>
  </si>
  <si>
    <t>13:09:18</t>
  </si>
  <si>
    <t>01:36:42</t>
  </si>
  <si>
    <t>13:09:45</t>
  </si>
  <si>
    <t>14:46:27</t>
  </si>
  <si>
    <t>00:32:14</t>
  </si>
  <si>
    <t>00:18:12</t>
  </si>
  <si>
    <t>14:46:40</t>
  </si>
  <si>
    <t>15:04:52</t>
  </si>
  <si>
    <t>01:30:29</t>
  </si>
  <si>
    <t>15:04:57</t>
  </si>
  <si>
    <t>16:35:26</t>
  </si>
  <si>
    <t>00:18:06</t>
  </si>
  <si>
    <t>00:11:55</t>
  </si>
  <si>
    <t>16:35:29</t>
  </si>
  <si>
    <t>16:47:24</t>
  </si>
  <si>
    <t>00:34:35</t>
  </si>
  <si>
    <t>16:47:31</t>
  </si>
  <si>
    <t>17:22:06</t>
  </si>
  <si>
    <t>00:17:18</t>
  </si>
  <si>
    <t>00:11:53</t>
  </si>
  <si>
    <t>17:22:15</t>
  </si>
  <si>
    <t>17:34:08</t>
  </si>
  <si>
    <t>00:22:14</t>
  </si>
  <si>
    <t>08:21:28</t>
  </si>
  <si>
    <t>08:43:42</t>
  </si>
  <si>
    <t>C2010078</t>
  </si>
  <si>
    <t>00:12:03</t>
  </si>
  <si>
    <t>08:44:07</t>
  </si>
  <si>
    <t>08:56:10</t>
  </si>
  <si>
    <t>9940050601007677C2010078</t>
  </si>
  <si>
    <t>00:03:54</t>
  </si>
  <si>
    <t>08:56:13</t>
  </si>
  <si>
    <t>09:00:07</t>
  </si>
  <si>
    <t>00:05:03</t>
  </si>
  <si>
    <t>09:00:08</t>
  </si>
  <si>
    <t>09:05:11</t>
  </si>
  <si>
    <t>00:10:45</t>
  </si>
  <si>
    <t>09:05:15</t>
  </si>
  <si>
    <t>09:16:00</t>
  </si>
  <si>
    <t>01:33:41</t>
  </si>
  <si>
    <t>09:16:06</t>
  </si>
  <si>
    <t>10:49:47</t>
  </si>
  <si>
    <t>00:19:03</t>
  </si>
  <si>
    <t>10:49:53</t>
  </si>
  <si>
    <t>11:08:56</t>
  </si>
  <si>
    <t>00:05:05</t>
  </si>
  <si>
    <t>11:08:58</t>
  </si>
  <si>
    <t>11:14:03</t>
  </si>
  <si>
    <t>00:21:05</t>
  </si>
  <si>
    <t>11:14:11</t>
  </si>
  <si>
    <t>11:35:18</t>
  </si>
  <si>
    <t>11:38:24</t>
  </si>
  <si>
    <t>C1010060</t>
  </si>
  <si>
    <t>00:22:03</t>
  </si>
  <si>
    <t>11:38:29</t>
  </si>
  <si>
    <t>12:00:32</t>
  </si>
  <si>
    <t>9940050601007677C1010060</t>
  </si>
  <si>
    <t>00:59:56</t>
  </si>
  <si>
    <t>12:00:34</t>
  </si>
  <si>
    <t>13:00:30</t>
  </si>
  <si>
    <t>01:13:02</t>
  </si>
  <si>
    <t>13:00:36</t>
  </si>
  <si>
    <t>14:13:38</t>
  </si>
  <si>
    <t>14:13:42</t>
  </si>
  <si>
    <t>14:19:15</t>
  </si>
  <si>
    <t>C1010062</t>
  </si>
  <si>
    <t>00:23:59</t>
  </si>
  <si>
    <t>14:19:20</t>
  </si>
  <si>
    <t>14:43:19</t>
  </si>
  <si>
    <t>9940050601007677C1010062</t>
  </si>
  <si>
    <t>01:05:03</t>
  </si>
  <si>
    <t>14:43:31</t>
  </si>
  <si>
    <t>15:48:34</t>
  </si>
  <si>
    <t>00:16:44</t>
  </si>
  <si>
    <t>15:48:43</t>
  </si>
  <si>
    <t>16:05:27</t>
  </si>
  <si>
    <t>00:06:27</t>
  </si>
  <si>
    <t>16:05:31</t>
  </si>
  <si>
    <t>16:11:58</t>
  </si>
  <si>
    <t>00:45:46</t>
  </si>
  <si>
    <t>16:12:02</t>
  </si>
  <si>
    <t>16:57:48</t>
  </si>
  <si>
    <t>00:21:59</t>
  </si>
  <si>
    <t>16:57:51</t>
  </si>
  <si>
    <t>17:19:50</t>
  </si>
  <si>
    <t>00:12:57</t>
  </si>
  <si>
    <t>17:20:02</t>
  </si>
  <si>
    <t>17:32:59</t>
  </si>
  <si>
    <t>00:15:20</t>
  </si>
  <si>
    <t>08:25:01</t>
  </si>
  <si>
    <t>08:40:21</t>
  </si>
  <si>
    <t>00:19:37</t>
  </si>
  <si>
    <t>08:40:50</t>
  </si>
  <si>
    <t>09:00:27</t>
  </si>
  <si>
    <t>00:00:43</t>
  </si>
  <si>
    <t>C2010081</t>
  </si>
  <si>
    <t>00:02:58</t>
  </si>
  <si>
    <t>09:01:16</t>
  </si>
  <si>
    <t>09:04:14</t>
  </si>
  <si>
    <t>9940050601007677C2010081</t>
  </si>
  <si>
    <t>00:31:56</t>
  </si>
  <si>
    <t>09:04:19</t>
  </si>
  <si>
    <t>09:36:15</t>
  </si>
  <si>
    <t>00:09:04</t>
  </si>
  <si>
    <t>09:36:27</t>
  </si>
  <si>
    <t>09:45:31</t>
  </si>
  <si>
    <t>00:40:59</t>
  </si>
  <si>
    <t>09:45:40</t>
  </si>
  <si>
    <t>10:26:39</t>
  </si>
  <si>
    <t>00:05:42</t>
  </si>
  <si>
    <t>10:26:45</t>
  </si>
  <si>
    <t>10:32:27</t>
  </si>
  <si>
    <t>10:32:36</t>
  </si>
  <si>
    <t>10:48:35</t>
  </si>
  <si>
    <t>00:10:02</t>
  </si>
  <si>
    <t>10:48:38</t>
  </si>
  <si>
    <t>10:58:40</t>
  </si>
  <si>
    <t>00:14:18</t>
  </si>
  <si>
    <t>10:58:50</t>
  </si>
  <si>
    <t>11:13:08</t>
  </si>
  <si>
    <t>C1010069</t>
  </si>
  <si>
    <t>00:27:13</t>
  </si>
  <si>
    <t>11:13:16</t>
  </si>
  <si>
    <t>11:40:29</t>
  </si>
  <si>
    <t>9940050601007677C1010069</t>
  </si>
  <si>
    <t>00:20:30</t>
  </si>
  <si>
    <t>11:40:34</t>
  </si>
  <si>
    <t>12:01:04</t>
  </si>
  <si>
    <t>01:00:55</t>
  </si>
  <si>
    <t>13:02:02</t>
  </si>
  <si>
    <t>00:38:00</t>
  </si>
  <si>
    <t>13:02:05</t>
  </si>
  <si>
    <t>13:40:05</t>
  </si>
  <si>
    <t>00:48:22</t>
  </si>
  <si>
    <t>13:40:09</t>
  </si>
  <si>
    <t>14:28:31</t>
  </si>
  <si>
    <t>14:28:34</t>
  </si>
  <si>
    <t>14:38:35</t>
  </si>
  <si>
    <t>00:26:45</t>
  </si>
  <si>
    <t>14:38:58</t>
  </si>
  <si>
    <t>15:05:43</t>
  </si>
  <si>
    <t>00:17:01</t>
  </si>
  <si>
    <t>15:05:49</t>
  </si>
  <si>
    <t>15:22:50</t>
  </si>
  <si>
    <t>C1010116</t>
  </si>
  <si>
    <t>00:11:31</t>
  </si>
  <si>
    <t>15:23:26</t>
  </si>
  <si>
    <t>15:34:57</t>
  </si>
  <si>
    <t>9940050601007677C1010116</t>
  </si>
  <si>
    <t>00:04:19</t>
  </si>
  <si>
    <t>15:35:07</t>
  </si>
  <si>
    <t>15:39:26</t>
  </si>
  <si>
    <t>00:16:13</t>
  </si>
  <si>
    <t>15:39:36</t>
  </si>
  <si>
    <t>15:55:49</t>
  </si>
  <si>
    <t>00:10:22</t>
  </si>
  <si>
    <t>15:55:53</t>
  </si>
  <si>
    <t>16:06:15</t>
  </si>
  <si>
    <t>00:30:06</t>
  </si>
  <si>
    <t>16:06:17</t>
  </si>
  <si>
    <t>16:36:23</t>
  </si>
  <si>
    <t>00:02:10</t>
  </si>
  <si>
    <t>16:36:26</t>
  </si>
  <si>
    <t>16:38:36</t>
  </si>
  <si>
    <t>16:38:39</t>
  </si>
  <si>
    <t>16:51:36</t>
  </si>
  <si>
    <t>00:31:23</t>
  </si>
  <si>
    <t>16:51:41</t>
  </si>
  <si>
    <t>17:23:04</t>
  </si>
  <si>
    <t>17:23:07</t>
  </si>
  <si>
    <t>17:30:09</t>
  </si>
  <si>
    <t>00:19:50</t>
  </si>
  <si>
    <t>08:28:44</t>
  </si>
  <si>
    <t>08:48:34</t>
  </si>
  <si>
    <t>08:48:53</t>
  </si>
  <si>
    <t>09:00:13</t>
  </si>
  <si>
    <t>00:04:47</t>
  </si>
  <si>
    <t>09:05:02</t>
  </si>
  <si>
    <t>09:05:04</t>
  </si>
  <si>
    <t>09:09:24</t>
  </si>
  <si>
    <t>00:18:02</t>
  </si>
  <si>
    <t>09:09:33</t>
  </si>
  <si>
    <t>09:27:35</t>
  </si>
  <si>
    <t>00:23:26</t>
  </si>
  <si>
    <t>09:27:48</t>
  </si>
  <si>
    <t>09:51:14</t>
  </si>
  <si>
    <t>00:11:43</t>
  </si>
  <si>
    <t>00:18:45</t>
  </si>
  <si>
    <t>09:51:25</t>
  </si>
  <si>
    <t>10:10:10</t>
  </si>
  <si>
    <t>00:04:56</t>
  </si>
  <si>
    <t>10:10:20</t>
  </si>
  <si>
    <t>10:15:16</t>
  </si>
  <si>
    <t>00:04:48</t>
  </si>
  <si>
    <t>10:15:20</t>
  </si>
  <si>
    <t>10:20:08</t>
  </si>
  <si>
    <t>00:09:19</t>
  </si>
  <si>
    <t>10:20:17</t>
  </si>
  <si>
    <t>10:29:36</t>
  </si>
  <si>
    <t>00:41:33</t>
  </si>
  <si>
    <t>10:29:41</t>
  </si>
  <si>
    <t>11:11:14</t>
  </si>
  <si>
    <t>00:13:51</t>
  </si>
  <si>
    <t>00:07:59</t>
  </si>
  <si>
    <t>11:11:19</t>
  </si>
  <si>
    <t>11:19:18</t>
  </si>
  <si>
    <t>00:12:58</t>
  </si>
  <si>
    <t>11:19:22</t>
  </si>
  <si>
    <t>11:32:20</t>
  </si>
  <si>
    <t>00:21:02</t>
  </si>
  <si>
    <t>11:32:28</t>
  </si>
  <si>
    <t>11:53:30</t>
  </si>
  <si>
    <t>00:07:46</t>
  </si>
  <si>
    <t>11:53:33</t>
  </si>
  <si>
    <t>12:01:19</t>
  </si>
  <si>
    <t>00:59:07</t>
  </si>
  <si>
    <t>12:01:22</t>
  </si>
  <si>
    <t>01:38:06</t>
  </si>
  <si>
    <t>13:00:35</t>
  </si>
  <si>
    <t>14:38:41</t>
  </si>
  <si>
    <t>00:20:58</t>
  </si>
  <si>
    <t>14:38:52</t>
  </si>
  <si>
    <t>14:59:50</t>
  </si>
  <si>
    <t>C1010127</t>
  </si>
  <si>
    <t>00:16:18</t>
  </si>
  <si>
    <t>14:59:53</t>
  </si>
  <si>
    <t>15:16:11</t>
  </si>
  <si>
    <t>9940050601007677C1010127</t>
  </si>
  <si>
    <t>00:38:46</t>
  </si>
  <si>
    <t>15:16:20</t>
  </si>
  <si>
    <t>15:55:06</t>
  </si>
  <si>
    <t>C1010057</t>
  </si>
  <si>
    <t>15:55:14</t>
  </si>
  <si>
    <t>16:47:13</t>
  </si>
  <si>
    <t>9940050601007677C1010057</t>
  </si>
  <si>
    <t>00:13:43</t>
  </si>
  <si>
    <t>16:47:16</t>
  </si>
  <si>
    <t>17:00:59</t>
  </si>
  <si>
    <t>00:34:58</t>
  </si>
  <si>
    <t>17:01:06</t>
  </si>
  <si>
    <t>00:30:13</t>
  </si>
  <si>
    <t>08:47:17</t>
  </si>
  <si>
    <t>09:17:30</t>
  </si>
  <si>
    <t>00:46:54</t>
  </si>
  <si>
    <t>09:17:42</t>
  </si>
  <si>
    <t>10:04:36</t>
  </si>
  <si>
    <t>00:15:38</t>
  </si>
  <si>
    <t>C2010102</t>
  </si>
  <si>
    <t>10:04:45</t>
  </si>
  <si>
    <t>10:10:02</t>
  </si>
  <si>
    <t>9940050601007677C2010102</t>
  </si>
  <si>
    <t>01:21:44</t>
  </si>
  <si>
    <t>10:10:07</t>
  </si>
  <si>
    <t>11:31:51</t>
  </si>
  <si>
    <t>00:20:26</t>
  </si>
  <si>
    <t>11:31:58</t>
  </si>
  <si>
    <t>11:34:44</t>
  </si>
  <si>
    <t>00:04:57</t>
  </si>
  <si>
    <t>11:34:48</t>
  </si>
  <si>
    <t>11:39:45</t>
  </si>
  <si>
    <t>11:39:51</t>
  </si>
  <si>
    <t>11:52:54</t>
  </si>
  <si>
    <t>00:13:29</t>
  </si>
  <si>
    <t>11:53:05</t>
  </si>
  <si>
    <t>12:06:34</t>
  </si>
  <si>
    <t>00:52:36</t>
  </si>
  <si>
    <t>12:06:37</t>
  </si>
  <si>
    <t>12:59:13</t>
  </si>
  <si>
    <t>00:54:41</t>
  </si>
  <si>
    <t>12:59:18</t>
  </si>
  <si>
    <t>13:53:59</t>
  </si>
  <si>
    <t>00:26:19</t>
  </si>
  <si>
    <t>13:54:01</t>
  </si>
  <si>
    <t>14:20:20</t>
  </si>
  <si>
    <t>00:54:28</t>
  </si>
  <si>
    <t>14:20:22</t>
  </si>
  <si>
    <t>15:14:50</t>
  </si>
  <si>
    <t>00:51:15</t>
  </si>
  <si>
    <t>15:15:06</t>
  </si>
  <si>
    <t>16:06:21</t>
  </si>
  <si>
    <t>00:17:05</t>
  </si>
  <si>
    <t>00:12:07</t>
  </si>
  <si>
    <t>16:06:33</t>
  </si>
  <si>
    <t>16:18:40</t>
  </si>
  <si>
    <t>16:18:54</t>
  </si>
  <si>
    <t>16:30:57</t>
  </si>
  <si>
    <t>00:22:25</t>
  </si>
  <si>
    <t>16:31:06</t>
  </si>
  <si>
    <t>16:53:31</t>
  </si>
  <si>
    <t>00:43:10</t>
  </si>
  <si>
    <t>16:53:52</t>
  </si>
  <si>
    <t>17:37:02</t>
  </si>
  <si>
    <t>17:37:05</t>
  </si>
  <si>
    <t>17:53:04</t>
  </si>
  <si>
    <t>17:53:15</t>
  </si>
  <si>
    <t>17:57:21</t>
  </si>
  <si>
    <t>00:11:16</t>
  </si>
  <si>
    <t>08:29:52</t>
  </si>
  <si>
    <t>08:41:08</t>
  </si>
  <si>
    <t>C2010082</t>
  </si>
  <si>
    <t>00:09:24</t>
  </si>
  <si>
    <t>08:41:36</t>
  </si>
  <si>
    <t>08:51:00</t>
  </si>
  <si>
    <t>9940050601007677C2010082</t>
  </si>
  <si>
    <t>00:09:17</t>
  </si>
  <si>
    <t>08:51:03</t>
  </si>
  <si>
    <t>00:02:50</t>
  </si>
  <si>
    <t>09:03:12</t>
  </si>
  <si>
    <t>C1010037</t>
  </si>
  <si>
    <t>00:41:15</t>
  </si>
  <si>
    <t>09:03:20</t>
  </si>
  <si>
    <t>09:44:35</t>
  </si>
  <si>
    <t>00:06:52</t>
  </si>
  <si>
    <t>9940050601007677C1010037</t>
  </si>
  <si>
    <t>00:22:07</t>
  </si>
  <si>
    <t>09:44:40</t>
  </si>
  <si>
    <t>10:06:47</t>
  </si>
  <si>
    <t>00:11:04</t>
  </si>
  <si>
    <t>00:42:42</t>
  </si>
  <si>
    <t>10:06:56</t>
  </si>
  <si>
    <t>00:11:01</t>
  </si>
  <si>
    <t>10:50:37</t>
  </si>
  <si>
    <t>11:01:38</t>
  </si>
  <si>
    <t>00:29:30</t>
  </si>
  <si>
    <t>11:02:15</t>
  </si>
  <si>
    <t>11:31:45</t>
  </si>
  <si>
    <t>00:01:15</t>
  </si>
  <si>
    <t>11:31:47</t>
  </si>
  <si>
    <t>11:33:02</t>
  </si>
  <si>
    <t>00:08:06</t>
  </si>
  <si>
    <t>11:33:04</t>
  </si>
  <si>
    <t>11:41:10</t>
  </si>
  <si>
    <t>00:07:56</t>
  </si>
  <si>
    <t>11:41:12</t>
  </si>
  <si>
    <t>11:49:08</t>
  </si>
  <si>
    <t>00:12:39</t>
  </si>
  <si>
    <t>11:49:15</t>
  </si>
  <si>
    <t>12:01:54</t>
  </si>
  <si>
    <t>00:58:27</t>
  </si>
  <si>
    <t>12:01:57</t>
  </si>
  <si>
    <t>13:00:24</t>
  </si>
  <si>
    <t>01:00:30</t>
  </si>
  <si>
    <t>14:00:56</t>
  </si>
  <si>
    <t>14:00:58</t>
  </si>
  <si>
    <t>14:23:59</t>
  </si>
  <si>
    <t>C2010055</t>
  </si>
  <si>
    <t>00:16:04</t>
  </si>
  <si>
    <t>14:24:21</t>
  </si>
  <si>
    <t>14:40:25</t>
  </si>
  <si>
    <t>9940050601007677C2010055</t>
  </si>
  <si>
    <t>C2010057</t>
  </si>
  <si>
    <t>00:21:19</t>
  </si>
  <si>
    <t>14:40:30</t>
  </si>
  <si>
    <t>15:01:49</t>
  </si>
  <si>
    <t>9940050601007677C2010057</t>
  </si>
  <si>
    <t>01:54:59</t>
  </si>
  <si>
    <t>15:01:55</t>
  </si>
  <si>
    <t>16:56:54</t>
  </si>
  <si>
    <t>00:11:30</t>
  </si>
  <si>
    <t>00:19:27</t>
  </si>
  <si>
    <t>16:56:58</t>
  </si>
  <si>
    <t>17:16:25</t>
  </si>
  <si>
    <t>00:11:17</t>
  </si>
  <si>
    <t>17:16:28</t>
  </si>
  <si>
    <t>17:27:45</t>
  </si>
  <si>
    <t>00:21:48</t>
  </si>
  <si>
    <t>17:27:52</t>
  </si>
  <si>
    <t>17:49:40</t>
  </si>
  <si>
    <t>00:21:03</t>
  </si>
  <si>
    <t>08:25:38</t>
  </si>
  <si>
    <t>08:46:41</t>
  </si>
  <si>
    <t>00:53:57</t>
  </si>
  <si>
    <t>08:47:04</t>
  </si>
  <si>
    <t>09:42:24</t>
  </si>
  <si>
    <t>00:10:47</t>
  </si>
  <si>
    <t>00:01:23</t>
  </si>
  <si>
    <t>09:42:27</t>
  </si>
  <si>
    <t>10:08:28</t>
  </si>
  <si>
    <t>00:04:28</t>
  </si>
  <si>
    <t>10:08:36</t>
  </si>
  <si>
    <t>10:13:04</t>
  </si>
  <si>
    <t>01:18:20</t>
  </si>
  <si>
    <t>10:13:08</t>
  </si>
  <si>
    <t>11:31:28</t>
  </si>
  <si>
    <t>00:26:07</t>
  </si>
  <si>
    <t>00:03:59</t>
  </si>
  <si>
    <t>11:31:30</t>
  </si>
  <si>
    <t>11:35:29</t>
  </si>
  <si>
    <t>00:05:24</t>
  </si>
  <si>
    <t>11:35:32</t>
  </si>
  <si>
    <t>11:40:56</t>
  </si>
  <si>
    <t>C1010119</t>
  </si>
  <si>
    <t>00:18:41</t>
  </si>
  <si>
    <t>11:41:02</t>
  </si>
  <si>
    <t>11:59:43</t>
  </si>
  <si>
    <t>9940050601007677C1010119</t>
  </si>
  <si>
    <t>00:57:20</t>
  </si>
  <si>
    <t>11:59:45</t>
  </si>
  <si>
    <t>12:57:05</t>
  </si>
  <si>
    <t>00:29:13</t>
  </si>
  <si>
    <t>12:57:19</t>
  </si>
  <si>
    <t>13:26:32</t>
  </si>
  <si>
    <t>13:26:36</t>
  </si>
  <si>
    <t>13:40:34</t>
  </si>
  <si>
    <t>00:13:01</t>
  </si>
  <si>
    <t>13:40:36</t>
  </si>
  <si>
    <t>13:53:37</t>
  </si>
  <si>
    <t>00:38:40</t>
  </si>
  <si>
    <t>13:54:02</t>
  </si>
  <si>
    <t>14:32:42</t>
  </si>
  <si>
    <t>02:03:36</t>
  </si>
  <si>
    <t>14:32:45</t>
  </si>
  <si>
    <t>16:36:21</t>
  </si>
  <si>
    <t>00:08:00</t>
  </si>
  <si>
    <t>16:36:24</t>
  </si>
  <si>
    <t>16:44:24</t>
  </si>
  <si>
    <t>C1010117</t>
  </si>
  <si>
    <t>00:08:15</t>
  </si>
  <si>
    <t>16:44:33</t>
  </si>
  <si>
    <t>16:52:48</t>
  </si>
  <si>
    <t>9940050601007677C1010117</t>
  </si>
  <si>
    <t>00:30:25</t>
  </si>
  <si>
    <t>16:52:50</t>
  </si>
  <si>
    <t>17:23:15</t>
  </si>
  <si>
    <t>00:25:22</t>
  </si>
  <si>
    <t>17:23:21</t>
  </si>
  <si>
    <t>17:48:43</t>
  </si>
  <si>
    <t>00:32:02</t>
  </si>
  <si>
    <t>08:28:35</t>
  </si>
  <si>
    <t>09:00:37</t>
  </si>
  <si>
    <t>00:03:18</t>
  </si>
  <si>
    <t>09:00:39</t>
  </si>
  <si>
    <t>09:03:57</t>
  </si>
  <si>
    <t>01:06:50</t>
  </si>
  <si>
    <t>09:04:31</t>
  </si>
  <si>
    <t>10:11:21</t>
  </si>
  <si>
    <t>00:16:43</t>
  </si>
  <si>
    <t>00:22:28</t>
  </si>
  <si>
    <t>10:11:53</t>
  </si>
  <si>
    <t>10:34:21</t>
  </si>
  <si>
    <t>00:30:34</t>
  </si>
  <si>
    <t>10:34:31</t>
  </si>
  <si>
    <t>11:05:05</t>
  </si>
  <si>
    <t>00:15:17</t>
  </si>
  <si>
    <t>11:05:10</t>
  </si>
  <si>
    <t>11:06:25</t>
  </si>
  <si>
    <t>00:26:33</t>
  </si>
  <si>
    <t>11:06:28</t>
  </si>
  <si>
    <t>11:33:01</t>
  </si>
  <si>
    <t>00:13:16</t>
  </si>
  <si>
    <t>00:05:27</t>
  </si>
  <si>
    <t>11:38:31</t>
  </si>
  <si>
    <t>11:38:35</t>
  </si>
  <si>
    <t>12:02:34</t>
  </si>
  <si>
    <t>00:12:00</t>
  </si>
  <si>
    <t>00:59:45</t>
  </si>
  <si>
    <t>12:02:37</t>
  </si>
  <si>
    <t>13:02:22</t>
  </si>
  <si>
    <t>00:52:10</t>
  </si>
  <si>
    <t>13:02:38</t>
  </si>
  <si>
    <t>13:54:48</t>
  </si>
  <si>
    <t>00:17:23</t>
  </si>
  <si>
    <t>00:01:40</t>
  </si>
  <si>
    <t>13:54:55</t>
  </si>
  <si>
    <t>13:56:35</t>
  </si>
  <si>
    <t>13:56:39</t>
  </si>
  <si>
    <t>14:14:31</t>
  </si>
  <si>
    <t>00:04:30</t>
  </si>
  <si>
    <t>14:14:34</t>
  </si>
  <si>
    <t>14:19:04</t>
  </si>
  <si>
    <t>00:17:04</t>
  </si>
  <si>
    <t>14:19:07</t>
  </si>
  <si>
    <t>14:36:11</t>
  </si>
  <si>
    <t>00:18:38</t>
  </si>
  <si>
    <t>14:36:36</t>
  </si>
  <si>
    <t>14:55:14</t>
  </si>
  <si>
    <t>00:35:32</t>
  </si>
  <si>
    <t>14:55:18</t>
  </si>
  <si>
    <t>16:08:42</t>
  </si>
  <si>
    <t>00:37:52</t>
  </si>
  <si>
    <t>16:08:46</t>
  </si>
  <si>
    <t>16:10:09</t>
  </si>
  <si>
    <t>01:10:00</t>
  </si>
  <si>
    <t>16:10:14</t>
  </si>
  <si>
    <t>17:20:14</t>
  </si>
  <si>
    <t>00:23:20</t>
  </si>
  <si>
    <t>00:25:39</t>
  </si>
  <si>
    <t>17:20:29</t>
  </si>
  <si>
    <t>17:46:08</t>
  </si>
  <si>
    <t>E2010021</t>
  </si>
  <si>
    <t>14:55:36</t>
  </si>
  <si>
    <t>9940050601007677E2010021</t>
  </si>
  <si>
    <t>00:29:41</t>
  </si>
  <si>
    <t>08:25:51</t>
  </si>
  <si>
    <t>08:55:32</t>
  </si>
  <si>
    <t>08:56:07</t>
  </si>
  <si>
    <t>10:05:32</t>
  </si>
  <si>
    <t>00:05:12</t>
  </si>
  <si>
    <t>10:05:36</t>
  </si>
  <si>
    <t>10:10:48</t>
  </si>
  <si>
    <t>00:55:41</t>
  </si>
  <si>
    <t>10:10:51</t>
  </si>
  <si>
    <t>11:06:32</t>
  </si>
  <si>
    <t>00:01:20</t>
  </si>
  <si>
    <t>11:06:35</t>
  </si>
  <si>
    <t>11:07:55</t>
  </si>
  <si>
    <t>00:52:18</t>
  </si>
  <si>
    <t>11:07:58</t>
  </si>
  <si>
    <t>12:00:16</t>
  </si>
  <si>
    <t>00:17:26</t>
  </si>
  <si>
    <t>01:00:44</t>
  </si>
  <si>
    <t>12:00:20</t>
  </si>
  <si>
    <t>13:01:04</t>
  </si>
  <si>
    <t>02:54:23</t>
  </si>
  <si>
    <t>13:01:22</t>
  </si>
  <si>
    <t>16:30:20</t>
  </si>
  <si>
    <t>00:05:07</t>
  </si>
  <si>
    <t>16:30:22</t>
  </si>
  <si>
    <t>00:13:35</t>
  </si>
  <si>
    <t>16:35:43</t>
  </si>
  <si>
    <t>16:49:18</t>
  </si>
  <si>
    <t>E2010030</t>
  </si>
  <si>
    <t>16:49:27</t>
  </si>
  <si>
    <t>17:05:20</t>
  </si>
  <si>
    <t>9940050601007677E2010030</t>
  </si>
  <si>
    <t>00:30:42</t>
  </si>
  <si>
    <t>17:05:31</t>
  </si>
  <si>
    <t>17:36:13</t>
  </si>
  <si>
    <t>00:15:21</t>
  </si>
  <si>
    <t>00:03:38</t>
  </si>
  <si>
    <t>17:36:27</t>
  </si>
  <si>
    <t>17:40:05</t>
  </si>
  <si>
    <t>00:34:28</t>
  </si>
  <si>
    <t>17:40:09</t>
  </si>
  <si>
    <t>18:14:37</t>
  </si>
  <si>
    <t>00:17:14</t>
  </si>
  <si>
    <t>09:00:19</t>
  </si>
  <si>
    <t>09:08:15</t>
  </si>
  <si>
    <t>14:11:08</t>
  </si>
  <si>
    <t>14:45:43</t>
  </si>
  <si>
    <t>00:20:51</t>
  </si>
  <si>
    <t>08:26:59</t>
  </si>
  <si>
    <t>08:47:50</t>
  </si>
  <si>
    <t>00:08:13</t>
  </si>
  <si>
    <t>08:48:06</t>
  </si>
  <si>
    <t>08:56:19</t>
  </si>
  <si>
    <t>00:59:13</t>
  </si>
  <si>
    <t>08:56:30</t>
  </si>
  <si>
    <t>09:58:11</t>
  </si>
  <si>
    <t>00:19:44</t>
  </si>
  <si>
    <t>00:02:28</t>
  </si>
  <si>
    <t>00:34:40</t>
  </si>
  <si>
    <t>09:58:15</t>
  </si>
  <si>
    <t>10:32:55</t>
  </si>
  <si>
    <t>00:17:20</t>
  </si>
  <si>
    <t>10:32:57</t>
  </si>
  <si>
    <t>10:37:30</t>
  </si>
  <si>
    <t>00:41:04</t>
  </si>
  <si>
    <t>10:37:38</t>
  </si>
  <si>
    <t>11:18:42</t>
  </si>
  <si>
    <t>00:13:41</t>
  </si>
  <si>
    <t>00:07:27</t>
  </si>
  <si>
    <t>11:32:53</t>
  </si>
  <si>
    <t>11:40:20</t>
  </si>
  <si>
    <t>00:08:29</t>
  </si>
  <si>
    <t>11:40:32</t>
  </si>
  <si>
    <t>11:49:01</t>
  </si>
  <si>
    <t>11:49:03</t>
  </si>
  <si>
    <t>12:00:50</t>
  </si>
  <si>
    <t>12:00:53</t>
  </si>
  <si>
    <t>12:59:55</t>
  </si>
  <si>
    <t>01:27:54</t>
  </si>
  <si>
    <t>13:00:07</t>
  </si>
  <si>
    <t>14:28:01</t>
  </si>
  <si>
    <t>14:28:06</t>
  </si>
  <si>
    <t>14:50:06</t>
  </si>
  <si>
    <t>00:20:16</t>
  </si>
  <si>
    <t>14:50:09</t>
  </si>
  <si>
    <t>15:10:25</t>
  </si>
  <si>
    <t>00:14:27</t>
  </si>
  <si>
    <t>15:10:27</t>
  </si>
  <si>
    <t>15:24:54</t>
  </si>
  <si>
    <t>00:26:21</t>
  </si>
  <si>
    <t>15:24:57</t>
  </si>
  <si>
    <t>15:51:18</t>
  </si>
  <si>
    <t>00:30:19</t>
  </si>
  <si>
    <t>15:51:25</t>
  </si>
  <si>
    <t>16:21:44</t>
  </si>
  <si>
    <t>16:21:47</t>
  </si>
  <si>
    <t>16:33:30</t>
  </si>
  <si>
    <t>00:12:05</t>
  </si>
  <si>
    <t>16:33:40</t>
  </si>
  <si>
    <t>16:45:45</t>
  </si>
  <si>
    <t>00:58:44</t>
  </si>
  <si>
    <t>16:45:50</t>
  </si>
  <si>
    <t>17:44:34</t>
  </si>
  <si>
    <t>09:02:46</t>
  </si>
  <si>
    <t>00:25:56</t>
  </si>
  <si>
    <t>11:09:29</t>
  </si>
  <si>
    <t>11:35:25</t>
  </si>
  <si>
    <t>11:35:50</t>
  </si>
  <si>
    <t>11:57:14</t>
  </si>
  <si>
    <t>00:10:42</t>
  </si>
  <si>
    <t>00:08:25</t>
  </si>
  <si>
    <t>11:57:19</t>
  </si>
  <si>
    <t>12:05:44</t>
  </si>
  <si>
    <t>00:57:27</t>
  </si>
  <si>
    <t>12:05:46</t>
  </si>
  <si>
    <t>13:03:13</t>
  </si>
  <si>
    <t>00:35:29</t>
  </si>
  <si>
    <t>13:03:56</t>
  </si>
  <si>
    <t>13:39:25</t>
  </si>
  <si>
    <t>00:11:06</t>
  </si>
  <si>
    <t>13:39:32</t>
  </si>
  <si>
    <t>13:50:38</t>
  </si>
  <si>
    <t>01:43:24</t>
  </si>
  <si>
    <t>13:50:41</t>
  </si>
  <si>
    <t>15:34:05</t>
  </si>
  <si>
    <t>00:04:08</t>
  </si>
  <si>
    <t>15:34:08</t>
  </si>
  <si>
    <t>15:38:16</t>
  </si>
  <si>
    <t>00:53:08</t>
  </si>
  <si>
    <t>15:38:28</t>
  </si>
  <si>
    <t>16:31:36</t>
  </si>
  <si>
    <t>00:17:43</t>
  </si>
  <si>
    <t>00:00:59</t>
  </si>
  <si>
    <t>16:31:42</t>
  </si>
  <si>
    <t>16:32:41</t>
  </si>
  <si>
    <t>00:39:15</t>
  </si>
  <si>
    <t>16:32:47</t>
  </si>
  <si>
    <t>00:13:05</t>
  </si>
  <si>
    <t>17:12:05</t>
  </si>
  <si>
    <t>17:13:19</t>
  </si>
  <si>
    <t>00:23:49</t>
  </si>
  <si>
    <t>17:13:22</t>
  </si>
  <si>
    <t>17:37:11</t>
  </si>
  <si>
    <t>00:11:54</t>
  </si>
  <si>
    <t>00:06:53</t>
  </si>
  <si>
    <t>17:37:27</t>
  </si>
  <si>
    <t>17:44:20</t>
  </si>
  <si>
    <t>08:29:27</t>
  </si>
  <si>
    <t>08:51:34</t>
  </si>
  <si>
    <t>00:31:31</t>
  </si>
  <si>
    <t>08:52:03</t>
  </si>
  <si>
    <t>09:26:06</t>
  </si>
  <si>
    <t>00:06:18</t>
  </si>
  <si>
    <t>00:02:32</t>
  </si>
  <si>
    <t>00:02:45</t>
  </si>
  <si>
    <t>09:26:09</t>
  </si>
  <si>
    <t>09:28:54</t>
  </si>
  <si>
    <t>00:22:20</t>
  </si>
  <si>
    <t>09:28:58</t>
  </si>
  <si>
    <t>09:51:18</t>
  </si>
  <si>
    <t>00:04:32</t>
  </si>
  <si>
    <t>09:51:21</t>
  </si>
  <si>
    <t>09:55:53</t>
  </si>
  <si>
    <t>00:26:56</t>
  </si>
  <si>
    <t>09:55:57</t>
  </si>
  <si>
    <t>10:22:53</t>
  </si>
  <si>
    <t>00:11:50</t>
  </si>
  <si>
    <t>10:22:55</t>
  </si>
  <si>
    <t>10:34:45</t>
  </si>
  <si>
    <t>00:12:16</t>
  </si>
  <si>
    <t>10:34:47</t>
  </si>
  <si>
    <t>10:47:03</t>
  </si>
  <si>
    <t>00:15:06</t>
  </si>
  <si>
    <t>10:47:14</t>
  </si>
  <si>
    <t>11:02:20</t>
  </si>
  <si>
    <t>00:37:26</t>
  </si>
  <si>
    <t>11:02:33</t>
  </si>
  <si>
    <t>11:39:59</t>
  </si>
  <si>
    <t>00:18:43</t>
  </si>
  <si>
    <t>00:04:52</t>
  </si>
  <si>
    <t>11:40:02</t>
  </si>
  <si>
    <t>11:44:54</t>
  </si>
  <si>
    <t>00:11:07</t>
  </si>
  <si>
    <t>11:45:11</t>
  </si>
  <si>
    <t>11:56:18</t>
  </si>
  <si>
    <t>00:04:38</t>
  </si>
  <si>
    <t>11:56:27</t>
  </si>
  <si>
    <t>01:02:19</t>
  </si>
  <si>
    <t>13:03:29</t>
  </si>
  <si>
    <t>13:03:37</t>
  </si>
  <si>
    <t>13:26:05</t>
  </si>
  <si>
    <t>00:05:15</t>
  </si>
  <si>
    <t>13:26:07</t>
  </si>
  <si>
    <t>13:31:22</t>
  </si>
  <si>
    <t>13:31:24</t>
  </si>
  <si>
    <t>13:43:47</t>
  </si>
  <si>
    <t>01:07:18</t>
  </si>
  <si>
    <t>13:43:56</t>
  </si>
  <si>
    <t>14:51:14</t>
  </si>
  <si>
    <t>00:22:26</t>
  </si>
  <si>
    <t>14:51:16</t>
  </si>
  <si>
    <t>15:00:06</t>
  </si>
  <si>
    <t>00:14:51</t>
  </si>
  <si>
    <t>00:07:26</t>
  </si>
  <si>
    <t>00:41:53</t>
  </si>
  <si>
    <t>15:15:07</t>
  </si>
  <si>
    <t>15:57:00</t>
  </si>
  <si>
    <t>00:07:57</t>
  </si>
  <si>
    <t>15:57:02</t>
  </si>
  <si>
    <t>16:04:59</t>
  </si>
  <si>
    <t>00:19:13</t>
  </si>
  <si>
    <t>16:05:02</t>
  </si>
  <si>
    <t>16:24:15</t>
  </si>
  <si>
    <t>16:24:21</t>
  </si>
  <si>
    <t>16:25:54</t>
  </si>
  <si>
    <t>00:21:23</t>
  </si>
  <si>
    <t>16:25:58</t>
  </si>
  <si>
    <t>16:47:21</t>
  </si>
  <si>
    <t>00:01:48</t>
  </si>
  <si>
    <t>16:47:33</t>
  </si>
  <si>
    <t>16:49:21</t>
  </si>
  <si>
    <t>16:49:23</t>
  </si>
  <si>
    <t>17:01:17</t>
  </si>
  <si>
    <t>00:02:04</t>
  </si>
  <si>
    <t>17:01:19</t>
  </si>
  <si>
    <t>17:03:23</t>
  </si>
  <si>
    <t>17:03:31</t>
  </si>
  <si>
    <t>17:17:15</t>
  </si>
  <si>
    <t>00:12:48</t>
  </si>
  <si>
    <t>17:17:28</t>
  </si>
  <si>
    <t>17:30:16</t>
  </si>
  <si>
    <t>09:00:23</t>
  </si>
  <si>
    <t>09:02:55</t>
  </si>
  <si>
    <t>00:19:10</t>
  </si>
  <si>
    <t>08:47:55</t>
  </si>
  <si>
    <t>00:04:22</t>
  </si>
  <si>
    <t>08:48:17</t>
  </si>
  <si>
    <t>08:52:39</t>
  </si>
  <si>
    <t>00:04:58</t>
  </si>
  <si>
    <t>08:52:44</t>
  </si>
  <si>
    <t>08:57:42</t>
  </si>
  <si>
    <t>02:14:21</t>
  </si>
  <si>
    <t>08:57:46</t>
  </si>
  <si>
    <t>11:15:21</t>
  </si>
  <si>
    <t>00:22:24</t>
  </si>
  <si>
    <t>00:03:14</t>
  </si>
  <si>
    <t>00:07:23</t>
  </si>
  <si>
    <t>11:15:25</t>
  </si>
  <si>
    <t>11:22:48</t>
  </si>
  <si>
    <t>00:32:26</t>
  </si>
  <si>
    <t>11:22:52</t>
  </si>
  <si>
    <t>11:55:18</t>
  </si>
  <si>
    <t>00:06:44</t>
  </si>
  <si>
    <t>11:55:21</t>
  </si>
  <si>
    <t>12:02:05</t>
  </si>
  <si>
    <t>00:57:47</t>
  </si>
  <si>
    <t>12:02:07</t>
  </si>
  <si>
    <t>12:59:54</t>
  </si>
  <si>
    <t>02:12:06</t>
  </si>
  <si>
    <t>13:00:08</t>
  </si>
  <si>
    <t>15:12:14</t>
  </si>
  <si>
    <t>00:03:30</t>
  </si>
  <si>
    <t>15:12:16</t>
  </si>
  <si>
    <t>15:15:46</t>
  </si>
  <si>
    <t>00:33:01</t>
  </si>
  <si>
    <t>15:15:49</t>
  </si>
  <si>
    <t>15:48:50</t>
  </si>
  <si>
    <t>00:28:45</t>
  </si>
  <si>
    <t>15:49:43</t>
  </si>
  <si>
    <t>16:18:28</t>
  </si>
  <si>
    <t>01:20:42</t>
  </si>
  <si>
    <t>16:18:30</t>
  </si>
  <si>
    <t>17:39:12</t>
  </si>
  <si>
    <t>00:40:21</t>
  </si>
  <si>
    <t>17:39:14</t>
  </si>
  <si>
    <t>17:44:37</t>
  </si>
  <si>
    <t>09:03:32</t>
  </si>
  <si>
    <t>00:08:18</t>
  </si>
  <si>
    <t>08:32:17</t>
  </si>
  <si>
    <t>08:40:35</t>
  </si>
  <si>
    <t>08:40:39</t>
  </si>
  <si>
    <t>08:50:40</t>
  </si>
  <si>
    <t>00:42:30</t>
  </si>
  <si>
    <t>08:51:09</t>
  </si>
  <si>
    <t>09:42:48</t>
  </si>
  <si>
    <t>00:08:30</t>
  </si>
  <si>
    <t>00:09:09</t>
  </si>
  <si>
    <t>00:04:00</t>
  </si>
  <si>
    <t>09:42:52</t>
  </si>
  <si>
    <t>09:46:52</t>
  </si>
  <si>
    <t>09:46:57</t>
  </si>
  <si>
    <t>10:39:33</t>
  </si>
  <si>
    <t>00:10:31</t>
  </si>
  <si>
    <t>10:39:38</t>
  </si>
  <si>
    <t>11:34:02</t>
  </si>
  <si>
    <t>00:13:36</t>
  </si>
  <si>
    <t>00:07:22</t>
  </si>
  <si>
    <t>11:34:11</t>
  </si>
  <si>
    <t>11:41:33</t>
  </si>
  <si>
    <t>00:13:38</t>
  </si>
  <si>
    <t>11:41:38</t>
  </si>
  <si>
    <t>11:55:16</t>
  </si>
  <si>
    <t>00:07:43</t>
  </si>
  <si>
    <t>12:03:01</t>
  </si>
  <si>
    <t>00:56:44</t>
  </si>
  <si>
    <t>12:03:06</t>
  </si>
  <si>
    <t>12:59:50</t>
  </si>
  <si>
    <t>01:11:28</t>
  </si>
  <si>
    <t>13:00:05</t>
  </si>
  <si>
    <t>14:11:33</t>
  </si>
  <si>
    <t>14:11:35</t>
  </si>
  <si>
    <t>14:20:19</t>
  </si>
  <si>
    <t>01:36:01</t>
  </si>
  <si>
    <t>14:20:21</t>
  </si>
  <si>
    <t>15:56:22</t>
  </si>
  <si>
    <t>00:21:00</t>
  </si>
  <si>
    <t>15:57:07</t>
  </si>
  <si>
    <t>16:18:07</t>
  </si>
  <si>
    <t>00:15:27</t>
  </si>
  <si>
    <t>16:18:11</t>
  </si>
  <si>
    <t>16:33:38</t>
  </si>
  <si>
    <t>16:33:44</t>
  </si>
  <si>
    <t>16:55:47</t>
  </si>
  <si>
    <t>00:36:22</t>
  </si>
  <si>
    <t>16:55:49</t>
  </si>
  <si>
    <t>17:32:11</t>
  </si>
  <si>
    <t>09:09:36</t>
  </si>
  <si>
    <t>00:23:51</t>
  </si>
  <si>
    <t>13:51:50</t>
  </si>
  <si>
    <t>14:15:41</t>
  </si>
  <si>
    <t>00:06:29</t>
  </si>
  <si>
    <t>14:16:06</t>
  </si>
  <si>
    <t>14:22:35</t>
  </si>
  <si>
    <t>01:04:12</t>
  </si>
  <si>
    <t>14:22:38</t>
  </si>
  <si>
    <t>15:26:50</t>
  </si>
  <si>
    <t>00:16:03</t>
  </si>
  <si>
    <t>15:26:53</t>
  </si>
  <si>
    <t>15:29:38</t>
  </si>
  <si>
    <t>15:29:41</t>
  </si>
  <si>
    <t>15:33:54</t>
  </si>
  <si>
    <t>C2010074</t>
  </si>
  <si>
    <t>00:56:35</t>
  </si>
  <si>
    <t>15:34:07</t>
  </si>
  <si>
    <t>16:30:42</t>
  </si>
  <si>
    <t>9940050601007677C2010074</t>
  </si>
  <si>
    <t>00:10:26</t>
  </si>
  <si>
    <t>16:30:53</t>
  </si>
  <si>
    <t>16:41:19</t>
  </si>
  <si>
    <t>00:08:49</t>
  </si>
  <si>
    <t>16:41:23</t>
  </si>
  <si>
    <t>16:50:12</t>
  </si>
  <si>
    <t>00:24:13</t>
  </si>
  <si>
    <t>16:50:20</t>
  </si>
  <si>
    <t>17:14:33</t>
  </si>
  <si>
    <t>00:00:29</t>
  </si>
  <si>
    <t>17:14:40</t>
  </si>
  <si>
    <t>00:30:23</t>
  </si>
  <si>
    <t>08:00:24</t>
  </si>
  <si>
    <t>08:30:47</t>
  </si>
  <si>
    <t>00:28:04</t>
  </si>
  <si>
    <t>08:31:11</t>
  </si>
  <si>
    <t>08:59:15</t>
  </si>
  <si>
    <t>00:14:02</t>
  </si>
  <si>
    <t>00:08:03</t>
  </si>
  <si>
    <t>08:59:41</t>
  </si>
  <si>
    <t>09:08:04</t>
  </si>
  <si>
    <t>00:00:20</t>
  </si>
  <si>
    <t>00:27:32</t>
  </si>
  <si>
    <t>09:08:27</t>
  </si>
  <si>
    <t>09:35:59</t>
  </si>
  <si>
    <t>00:20:24</t>
  </si>
  <si>
    <t>09:36:16</t>
  </si>
  <si>
    <t>09:56:40</t>
  </si>
  <si>
    <t>09:56:45</t>
  </si>
  <si>
    <t>10:00:30</t>
  </si>
  <si>
    <t>00:23:42</t>
  </si>
  <si>
    <t>10:00:34</t>
  </si>
  <si>
    <t>00:11:51</t>
  </si>
  <si>
    <t>10:24:35</t>
  </si>
  <si>
    <t>10:27:45</t>
  </si>
  <si>
    <t>00:55:39</t>
  </si>
  <si>
    <t>10:27:49</t>
  </si>
  <si>
    <t>11:23:28</t>
  </si>
  <si>
    <t>00:13:55</t>
  </si>
  <si>
    <t>00:10:13</t>
  </si>
  <si>
    <t>11:23:31</t>
  </si>
  <si>
    <t>11:33:44</t>
  </si>
  <si>
    <t>00:25:03</t>
  </si>
  <si>
    <t>11:33:49</t>
  </si>
  <si>
    <t>11:58:52</t>
  </si>
  <si>
    <t>00:12:32</t>
  </si>
  <si>
    <t>00:02:36</t>
  </si>
  <si>
    <t>11:58:57</t>
  </si>
  <si>
    <t>12:01:33</t>
  </si>
  <si>
    <t>12:01:35</t>
  </si>
  <si>
    <t>13:01:53</t>
  </si>
  <si>
    <t>00:48:15</t>
  </si>
  <si>
    <t>13:01:59</t>
  </si>
  <si>
    <t>13:50:14</t>
  </si>
  <si>
    <t>00:16:05</t>
  </si>
  <si>
    <t>13:50:20</t>
  </si>
  <si>
    <t>13:51:38</t>
  </si>
  <si>
    <t>00:15:55</t>
  </si>
  <si>
    <t>08:26:42</t>
  </si>
  <si>
    <t>08:42:37</t>
  </si>
  <si>
    <t>08:42:44</t>
  </si>
  <si>
    <t>08:52:45</t>
  </si>
  <si>
    <t>00:10:16</t>
  </si>
  <si>
    <t>08:53:18</t>
  </si>
  <si>
    <t>09:05:40</t>
  </si>
  <si>
    <t>00:02:06</t>
  </si>
  <si>
    <t>00:26:54</t>
  </si>
  <si>
    <t>09:06:23</t>
  </si>
  <si>
    <t>09:33:17</t>
  </si>
  <si>
    <t>00:15:57</t>
  </si>
  <si>
    <t>09:33:25</t>
  </si>
  <si>
    <t>09:49:22</t>
  </si>
  <si>
    <t>00:46:00</t>
  </si>
  <si>
    <t>09:49:24</t>
  </si>
  <si>
    <t>10:35:24</t>
  </si>
  <si>
    <t>00:05:37</t>
  </si>
  <si>
    <t>10:35:26</t>
  </si>
  <si>
    <t>10:41:03</t>
  </si>
  <si>
    <t>01:11:16</t>
  </si>
  <si>
    <t>10:41:09</t>
  </si>
  <si>
    <t>11:52:25</t>
  </si>
  <si>
    <t>00:23:45</t>
  </si>
  <si>
    <t>00:06:40</t>
  </si>
  <si>
    <t>11:52:28</t>
  </si>
  <si>
    <t>11:59:08</t>
  </si>
  <si>
    <t>00:59:57</t>
  </si>
  <si>
    <t>11:59:11</t>
  </si>
  <si>
    <t>12:59:08</t>
  </si>
  <si>
    <t>01:01:28</t>
  </si>
  <si>
    <t>14:00:46</t>
  </si>
  <si>
    <t>14:00:47</t>
  </si>
  <si>
    <t>14:17:48</t>
  </si>
  <si>
    <t>00:44:40</t>
  </si>
  <si>
    <t>14:18:05</t>
  </si>
  <si>
    <t>15:02:45</t>
  </si>
  <si>
    <t>00:40:20</t>
  </si>
  <si>
    <t>15:02:52</t>
  </si>
  <si>
    <t>15:43:12</t>
  </si>
  <si>
    <t>00:42:33</t>
  </si>
  <si>
    <t>15:43:15</t>
  </si>
  <si>
    <t>16:25:48</t>
  </si>
  <si>
    <t>00:46:30</t>
  </si>
  <si>
    <t>17:12:28</t>
  </si>
  <si>
    <t>00:21:42</t>
  </si>
  <si>
    <t>17:12:37</t>
  </si>
  <si>
    <t>17:34:19</t>
  </si>
  <si>
    <t>09:02:23</t>
  </si>
  <si>
    <t>08:25:44</t>
  </si>
  <si>
    <t>08:43:03</t>
  </si>
  <si>
    <t>00:16:58</t>
  </si>
  <si>
    <t>08:43:22</t>
  </si>
  <si>
    <t>00:03:43</t>
  </si>
  <si>
    <t>09:04:06</t>
  </si>
  <si>
    <t>00:16:48</t>
  </si>
  <si>
    <t>09:04:15</t>
  </si>
  <si>
    <t>09:21:03</t>
  </si>
  <si>
    <t>01:04:04</t>
  </si>
  <si>
    <t>09:21:08</t>
  </si>
  <si>
    <t>10:25:12</t>
  </si>
  <si>
    <t>00:05:35</t>
  </si>
  <si>
    <t>10:25:15</t>
  </si>
  <si>
    <t>10:30:50</t>
  </si>
  <si>
    <t>00:36:47</t>
  </si>
  <si>
    <t>10:30:55</t>
  </si>
  <si>
    <t>11:07:42</t>
  </si>
  <si>
    <t>11:07:45</t>
  </si>
  <si>
    <t>11:35:27</t>
  </si>
  <si>
    <t>11:35:45</t>
  </si>
  <si>
    <t>12:04:09</t>
  </si>
  <si>
    <t>00:56:37</t>
  </si>
  <si>
    <t>12:04:14</t>
  </si>
  <si>
    <t>13:00:51</t>
  </si>
  <si>
    <t>00:37:43</t>
  </si>
  <si>
    <t>13:00:57</t>
  </si>
  <si>
    <t>13:38:40</t>
  </si>
  <si>
    <t>00:18:52</t>
  </si>
  <si>
    <t>00:34:02</t>
  </si>
  <si>
    <t>13:38:41</t>
  </si>
  <si>
    <t>14:12:43</t>
  </si>
  <si>
    <t>00:17:16</t>
  </si>
  <si>
    <t>14:13:20</t>
  </si>
  <si>
    <t>14:30:36</t>
  </si>
  <si>
    <t>14:30:40</t>
  </si>
  <si>
    <t>14:40:41</t>
  </si>
  <si>
    <t>14:40:53</t>
  </si>
  <si>
    <t>15:26:33</t>
  </si>
  <si>
    <t>00:22:50</t>
  </si>
  <si>
    <t>00:04:09</t>
  </si>
  <si>
    <t>15:26:35</t>
  </si>
  <si>
    <t>15:30:44</t>
  </si>
  <si>
    <t>15:30:51</t>
  </si>
  <si>
    <t>16:24:52</t>
  </si>
  <si>
    <t>00:27:01</t>
  </si>
  <si>
    <t>00:47:45</t>
  </si>
  <si>
    <t>16:25:26</t>
  </si>
  <si>
    <t>17:13:11</t>
  </si>
  <si>
    <t>00:17:47</t>
  </si>
  <si>
    <t>17:31:09</t>
  </si>
  <si>
    <t>00:26:14</t>
  </si>
  <si>
    <t>08:53:13</t>
  </si>
  <si>
    <t>00:44:15</t>
  </si>
  <si>
    <t>08:53:32</t>
  </si>
  <si>
    <t>09:38:36</t>
  </si>
  <si>
    <t>00:00:49</t>
  </si>
  <si>
    <t>00:16:26</t>
  </si>
  <si>
    <t>09:38:42</t>
  </si>
  <si>
    <t>09:55:08</t>
  </si>
  <si>
    <t>00:04:54</t>
  </si>
  <si>
    <t>09:55:12</t>
  </si>
  <si>
    <t>10:00:06</t>
  </si>
  <si>
    <t>00:15:08</t>
  </si>
  <si>
    <t>10:00:09</t>
  </si>
  <si>
    <t>10:15:17</t>
  </si>
  <si>
    <t>10:15:21</t>
  </si>
  <si>
    <t>10:29:21</t>
  </si>
  <si>
    <t>00:15:26</t>
  </si>
  <si>
    <t>10:29:47</t>
  </si>
  <si>
    <t>10:45:13</t>
  </si>
  <si>
    <t>00:18:01</t>
  </si>
  <si>
    <t>10:45:16</t>
  </si>
  <si>
    <t>11:03:17</t>
  </si>
  <si>
    <t>00:08:28</t>
  </si>
  <si>
    <t>11:03:49</t>
  </si>
  <si>
    <t>11:12:17</t>
  </si>
  <si>
    <t>00:13:33</t>
  </si>
  <si>
    <t>11:12:22</t>
  </si>
  <si>
    <t>11:25:55</t>
  </si>
  <si>
    <t>11:25:58</t>
  </si>
  <si>
    <t>11:38:28</t>
  </si>
  <si>
    <t>11:50:44</t>
  </si>
  <si>
    <t>00:09:23</t>
  </si>
  <si>
    <t>11:50:46</t>
  </si>
  <si>
    <t>12:00:09</t>
  </si>
  <si>
    <t>00:59:30</t>
  </si>
  <si>
    <t>12:00:11</t>
  </si>
  <si>
    <t>12:59:41</t>
  </si>
  <si>
    <t>00:28:58</t>
  </si>
  <si>
    <t>12:59:44</t>
  </si>
  <si>
    <t>13:28:42</t>
  </si>
  <si>
    <t>00:08:02</t>
  </si>
  <si>
    <t>13:28:46</t>
  </si>
  <si>
    <t>13:36:48</t>
  </si>
  <si>
    <t>00:14:57</t>
  </si>
  <si>
    <t>13:36:50</t>
  </si>
  <si>
    <t>13:51:47</t>
  </si>
  <si>
    <t>00:46:26</t>
  </si>
  <si>
    <t>13:51:51</t>
  </si>
  <si>
    <t>14:38:17</t>
  </si>
  <si>
    <t>01:17:02</t>
  </si>
  <si>
    <t>14:38:19</t>
  </si>
  <si>
    <t>15:55:21</t>
  </si>
  <si>
    <t>00:38:23</t>
  </si>
  <si>
    <t>15:55:30</t>
  </si>
  <si>
    <t>16:33:53</t>
  </si>
  <si>
    <t>00:10:49</t>
  </si>
  <si>
    <t>16:34:00</t>
  </si>
  <si>
    <t>16:44:49</t>
  </si>
  <si>
    <t>00:00:55</t>
  </si>
  <si>
    <t>16:45:48</t>
  </si>
  <si>
    <t>16:56:51</t>
  </si>
  <si>
    <t>00:33:37</t>
  </si>
  <si>
    <t>17:30:31</t>
  </si>
  <si>
    <t>09:01:21</t>
  </si>
  <si>
    <t>00:06:20</t>
  </si>
  <si>
    <t>08:32:04</t>
  </si>
  <si>
    <t>01:22:19</t>
  </si>
  <si>
    <t>08:32:07</t>
  </si>
  <si>
    <t>09:55:29</t>
  </si>
  <si>
    <t>09:55:34</t>
  </si>
  <si>
    <t>10:17:41</t>
  </si>
  <si>
    <t>00:05:38</t>
  </si>
  <si>
    <t>10:17:44</t>
  </si>
  <si>
    <t>10:23:22</t>
  </si>
  <si>
    <t>00:39:47</t>
  </si>
  <si>
    <t>10:23:26</t>
  </si>
  <si>
    <t>11:03:13</t>
  </si>
  <si>
    <t>00:19:54</t>
  </si>
  <si>
    <t>00:35:20</t>
  </si>
  <si>
    <t>11:03:18</t>
  </si>
  <si>
    <t>11:38:38</t>
  </si>
  <si>
    <t>00:11:26</t>
  </si>
  <si>
    <t>11:38:41</t>
  </si>
  <si>
    <t>11:50:07</t>
  </si>
  <si>
    <t>00:11:15</t>
  </si>
  <si>
    <t>11:50:21</t>
  </si>
  <si>
    <t>12:01:36</t>
  </si>
  <si>
    <t>01:00:22</t>
  </si>
  <si>
    <t>12:01:38</t>
  </si>
  <si>
    <t>13:02:00</t>
  </si>
  <si>
    <t>01:35:00</t>
  </si>
  <si>
    <t>13:02:14</t>
  </si>
  <si>
    <t>14:37:14</t>
  </si>
  <si>
    <t>00:28:40</t>
  </si>
  <si>
    <t>14:37:20</t>
  </si>
  <si>
    <t>15:06:00</t>
  </si>
  <si>
    <t>01:37:19</t>
  </si>
  <si>
    <t>15:06:02</t>
  </si>
  <si>
    <t>16:43:21</t>
  </si>
  <si>
    <t>00:24:20</t>
  </si>
  <si>
    <t>00:08:08</t>
  </si>
  <si>
    <t>16:43:35</t>
  </si>
  <si>
    <t>16:51:43</t>
  </si>
  <si>
    <t>00:21:36</t>
  </si>
  <si>
    <t>16:51:49</t>
  </si>
  <si>
    <t>00:11:33</t>
  </si>
  <si>
    <t>17:13:36</t>
  </si>
  <si>
    <t>17:25:09</t>
  </si>
  <si>
    <t>00:04:29</t>
  </si>
  <si>
    <t>17:25:11</t>
  </si>
  <si>
    <t>17:29:40</t>
  </si>
  <si>
    <t>09:00:14</t>
  </si>
  <si>
    <t>09:01:17</t>
  </si>
  <si>
    <t>08:31:46</t>
  </si>
  <si>
    <t>08:52:47</t>
  </si>
  <si>
    <t>00:07:44</t>
  </si>
  <si>
    <t>08:53:04</t>
  </si>
  <si>
    <t>09:00:48</t>
  </si>
  <si>
    <t>00:02:17</t>
  </si>
  <si>
    <t>09:00:51</t>
  </si>
  <si>
    <t>09:03:08</t>
  </si>
  <si>
    <t>09:03:13</t>
  </si>
  <si>
    <t>09:07:43</t>
  </si>
  <si>
    <t>09:07:50</t>
  </si>
  <si>
    <t>09:46:11</t>
  </si>
  <si>
    <t>00:12:47</t>
  </si>
  <si>
    <t>C1010067</t>
  </si>
  <si>
    <t>09:46:16</t>
  </si>
  <si>
    <t>10:07:16</t>
  </si>
  <si>
    <t>9940050601007677C1010067</t>
  </si>
  <si>
    <t>00:03:27</t>
  </si>
  <si>
    <t>10:07:18</t>
  </si>
  <si>
    <t>10:10:45</t>
  </si>
  <si>
    <t>00:21:30</t>
  </si>
  <si>
    <t>10:10:54</t>
  </si>
  <si>
    <t>10:32:24</t>
  </si>
  <si>
    <t>00:23:22</t>
  </si>
  <si>
    <t>10:32:31</t>
  </si>
  <si>
    <t>10:55:53</t>
  </si>
  <si>
    <t>00:11:41</t>
  </si>
  <si>
    <t>10:55:56</t>
  </si>
  <si>
    <t>11:07:39</t>
  </si>
  <si>
    <t>11:15:45</t>
  </si>
  <si>
    <t>11:26:53</t>
  </si>
  <si>
    <t>11:27:11</t>
  </si>
  <si>
    <t>11:30:54</t>
  </si>
  <si>
    <t>00:06:23</t>
  </si>
  <si>
    <t>11:30:57</t>
  </si>
  <si>
    <t>11:37:20</t>
  </si>
  <si>
    <t>11:37:27</t>
  </si>
  <si>
    <t>11:50:05</t>
  </si>
  <si>
    <t>00:10:08</t>
  </si>
  <si>
    <t>11:50:14</t>
  </si>
  <si>
    <t>12:00:22</t>
  </si>
  <si>
    <t>01:00:53</t>
  </si>
  <si>
    <t>12:00:24</t>
  </si>
  <si>
    <t>13:01:38</t>
  </si>
  <si>
    <t>00:00:21</t>
  </si>
  <si>
    <t>02:39:54</t>
  </si>
  <si>
    <t>13:01:45</t>
  </si>
  <si>
    <t>15:41:39</t>
  </si>
  <si>
    <t>01:15:10</t>
  </si>
  <si>
    <t>15:41:46</t>
  </si>
  <si>
    <t>17:00:58</t>
  </si>
  <si>
    <t>00:37:35</t>
  </si>
  <si>
    <t>00:04:02</t>
  </si>
  <si>
    <t>17:01:11</t>
  </si>
  <si>
    <t>17:25:00</t>
  </si>
  <si>
    <t>00:13:34</t>
  </si>
  <si>
    <t>17:25:04</t>
  </si>
  <si>
    <t>17:38:38</t>
  </si>
  <si>
    <t>13:01:12</t>
  </si>
  <si>
    <t>13:01:33</t>
  </si>
  <si>
    <t>15:42:56</t>
  </si>
  <si>
    <t>15:46:58</t>
  </si>
  <si>
    <t>00:23:03</t>
  </si>
  <si>
    <t>08:25:22</t>
  </si>
  <si>
    <t>08:48:25</t>
  </si>
  <si>
    <t>08:48:47</t>
  </si>
  <si>
    <t>08:58:48</t>
  </si>
  <si>
    <t>00:01:08</t>
  </si>
  <si>
    <t>08:59:05</t>
  </si>
  <si>
    <t>00:02:08</t>
  </si>
  <si>
    <t>09:02:22</t>
  </si>
  <si>
    <t>09:02:26</t>
  </si>
  <si>
    <t>09:40:26</t>
  </si>
  <si>
    <t>09:40:30</t>
  </si>
  <si>
    <t>09:54:31</t>
  </si>
  <si>
    <t>09:55:26</t>
  </si>
  <si>
    <t>10:12:31</t>
  </si>
  <si>
    <t>00:05:34</t>
  </si>
  <si>
    <t>10:12:35</t>
  </si>
  <si>
    <t>10:18:09</t>
  </si>
  <si>
    <t>00:40:00</t>
  </si>
  <si>
    <t>10:18:15</t>
  </si>
  <si>
    <t>10:58:15</t>
  </si>
  <si>
    <t>00:20:00</t>
  </si>
  <si>
    <t>01:02:20</t>
  </si>
  <si>
    <t>10:58:17</t>
  </si>
  <si>
    <t>12:00:37</t>
  </si>
  <si>
    <t>00:59:54</t>
  </si>
  <si>
    <t>12:00:39</t>
  </si>
  <si>
    <t>13:00:33</t>
  </si>
  <si>
    <t>00:55:48</t>
  </si>
  <si>
    <t>13:00:55</t>
  </si>
  <si>
    <t>13:56:43</t>
  </si>
  <si>
    <t>00:27:54</t>
  </si>
  <si>
    <t>13:56:45</t>
  </si>
  <si>
    <t>14:08:59</t>
  </si>
  <si>
    <t>00:25:10</t>
  </si>
  <si>
    <t>14:09:11</t>
  </si>
  <si>
    <t>14:34:21</t>
  </si>
  <si>
    <t>00:21:37</t>
  </si>
  <si>
    <t>14:34:23</t>
  </si>
  <si>
    <t>14:56:00</t>
  </si>
  <si>
    <t>00:31:20</t>
  </si>
  <si>
    <t>14:56:08</t>
  </si>
  <si>
    <t>15:27:28</t>
  </si>
  <si>
    <t>15:27:55</t>
  </si>
  <si>
    <t>15:42:17</t>
  </si>
  <si>
    <t>00:20:08</t>
  </si>
  <si>
    <t>15:42:21</t>
  </si>
  <si>
    <t>16:02:29</t>
  </si>
  <si>
    <t>00:07:17</t>
  </si>
  <si>
    <t>16:02:38</t>
  </si>
  <si>
    <t>16:09:55</t>
  </si>
  <si>
    <t>00:29:48</t>
  </si>
  <si>
    <t>16:10:06</t>
  </si>
  <si>
    <t>16:39:54</t>
  </si>
  <si>
    <t>16:40:09</t>
  </si>
  <si>
    <t>16:58:54</t>
  </si>
  <si>
    <t>00:17:35</t>
  </si>
  <si>
    <t>16:59:25</t>
  </si>
  <si>
    <t>17:17:00</t>
  </si>
  <si>
    <t>00:19:05</t>
  </si>
  <si>
    <t>17:17:02</t>
  </si>
  <si>
    <t>17:36:07</t>
  </si>
  <si>
    <t>00:27:41</t>
  </si>
  <si>
    <t>08:32:51</t>
  </si>
  <si>
    <t>09:01:42</t>
  </si>
  <si>
    <t>00:03:08</t>
  </si>
  <si>
    <t>09:01:44</t>
  </si>
  <si>
    <t>09:04:52</t>
  </si>
  <si>
    <t>01:29:48</t>
  </si>
  <si>
    <t>09:05:12</t>
  </si>
  <si>
    <t>10:35:00</t>
  </si>
  <si>
    <t>00:44:54</t>
  </si>
  <si>
    <t>00:09:50</t>
  </si>
  <si>
    <t>10:35:16</t>
  </si>
  <si>
    <t>10:45:06</t>
  </si>
  <si>
    <t>01:11:55</t>
  </si>
  <si>
    <t>10:45:17</t>
  </si>
  <si>
    <t>11:57:12</t>
  </si>
  <si>
    <t>00:14:23</t>
  </si>
  <si>
    <t>11:57:16</t>
  </si>
  <si>
    <t>11:59:20</t>
  </si>
  <si>
    <t>00:58:18</t>
  </si>
  <si>
    <t>11:59:38</t>
  </si>
  <si>
    <t>12:57:56</t>
  </si>
  <si>
    <t>01:00:01</t>
  </si>
  <si>
    <t>12:58:00</t>
  </si>
  <si>
    <t>13:58:01</t>
  </si>
  <si>
    <t>00:39:34</t>
  </si>
  <si>
    <t>13:58:06</t>
  </si>
  <si>
    <t>14:37:40</t>
  </si>
  <si>
    <t>01:20:23</t>
  </si>
  <si>
    <t>14:37:49</t>
  </si>
  <si>
    <t>15:58:12</t>
  </si>
  <si>
    <t>00:20:33</t>
  </si>
  <si>
    <t>15:58:22</t>
  </si>
  <si>
    <t>16:18:55</t>
  </si>
  <si>
    <t>00:13:52</t>
  </si>
  <si>
    <t>16:18:59</t>
  </si>
  <si>
    <t>16:32:51</t>
  </si>
  <si>
    <t>01:09:01</t>
  </si>
  <si>
    <t>16:32:58</t>
  </si>
  <si>
    <t>17:41:59</t>
  </si>
  <si>
    <t>00:13:48</t>
  </si>
  <si>
    <t>00:06:07</t>
  </si>
  <si>
    <t>17:42:13</t>
  </si>
  <si>
    <t>17:48:20</t>
  </si>
  <si>
    <t>08:25:18</t>
  </si>
  <si>
    <t>08:46:21</t>
  </si>
  <si>
    <t>00:50:17</t>
  </si>
  <si>
    <t>08:46:56</t>
  </si>
  <si>
    <t>09:40:14</t>
  </si>
  <si>
    <t>00:06:17</t>
  </si>
  <si>
    <t>00:03:01</t>
  </si>
  <si>
    <t>00:17:12</t>
  </si>
  <si>
    <t>09:40:22</t>
  </si>
  <si>
    <t>09:57:34</t>
  </si>
  <si>
    <t>09:57:36</t>
  </si>
  <si>
    <t>10:08:21</t>
  </si>
  <si>
    <t>10:08:24</t>
  </si>
  <si>
    <t>10:19:13</t>
  </si>
  <si>
    <t>10:19:16</t>
  </si>
  <si>
    <t>10:27:44</t>
  </si>
  <si>
    <t>10:27:46</t>
  </si>
  <si>
    <t>10:35:12</t>
  </si>
  <si>
    <t>10:46:13</t>
  </si>
  <si>
    <t>00:22:39</t>
  </si>
  <si>
    <t>10:46:50</t>
  </si>
  <si>
    <t>00:07:36</t>
  </si>
  <si>
    <t>11:09:32</t>
  </si>
  <si>
    <t>11:17:08</t>
  </si>
  <si>
    <t>00:05:59</t>
  </si>
  <si>
    <t>11:17:11</t>
  </si>
  <si>
    <t>11:23:10</t>
  </si>
  <si>
    <t>00:12:50</t>
  </si>
  <si>
    <t>11:23:14</t>
  </si>
  <si>
    <t>11:36:04</t>
  </si>
  <si>
    <t>00:12:45</t>
  </si>
  <si>
    <t>11:36:09</t>
  </si>
  <si>
    <t>11:48:54</t>
  </si>
  <si>
    <t>00:09:06</t>
  </si>
  <si>
    <t>11:48:57</t>
  </si>
  <si>
    <t>11:58:03</t>
  </si>
  <si>
    <t>00:01:50</t>
  </si>
  <si>
    <t>11:58:05</t>
  </si>
  <si>
    <t>11:59:55</t>
  </si>
  <si>
    <t>00:59:46</t>
  </si>
  <si>
    <t>12:59:43</t>
  </si>
  <si>
    <t>00:36:24</t>
  </si>
  <si>
    <t>12:59:46</t>
  </si>
  <si>
    <t>13:36:10</t>
  </si>
  <si>
    <t>00:08:55</t>
  </si>
  <si>
    <t>13:36:12</t>
  </si>
  <si>
    <t>13:45:07</t>
  </si>
  <si>
    <t>00:31:01</t>
  </si>
  <si>
    <t>13:45:08</t>
  </si>
  <si>
    <t>14:16:09</t>
  </si>
  <si>
    <t>00:00:48</t>
  </si>
  <si>
    <t>14:16:42</t>
  </si>
  <si>
    <t>14:17:30</t>
  </si>
  <si>
    <t>14:17:38</t>
  </si>
  <si>
    <t>15:14:15</t>
  </si>
  <si>
    <t>00:46:12</t>
  </si>
  <si>
    <t>15:14:17</t>
  </si>
  <si>
    <t>16:00:29</t>
  </si>
  <si>
    <t>16:00:32</t>
  </si>
  <si>
    <t>16:05:13</t>
  </si>
  <si>
    <t>16:05:17</t>
  </si>
  <si>
    <t>16:29:12</t>
  </si>
  <si>
    <t>00:31:10</t>
  </si>
  <si>
    <t>16:29:14</t>
  </si>
  <si>
    <t>17:00:24</t>
  </si>
  <si>
    <t>00:27:30</t>
  </si>
  <si>
    <t>17:00:28</t>
  </si>
  <si>
    <t>17:28:04</t>
  </si>
  <si>
    <t>17:36:49</t>
  </si>
  <si>
    <t>09:00:01</t>
  </si>
  <si>
    <t>09:03:02</t>
  </si>
  <si>
    <t>00:11:22</t>
  </si>
  <si>
    <t>08:26:38</t>
  </si>
  <si>
    <t>08:38:00</t>
  </si>
  <si>
    <t>00:50:53</t>
  </si>
  <si>
    <t>08:38:18</t>
  </si>
  <si>
    <t>09:30:10</t>
  </si>
  <si>
    <t>00:34:05</t>
  </si>
  <si>
    <t>09:30:23</t>
  </si>
  <si>
    <t>10:04:28</t>
  </si>
  <si>
    <t>10:04:32</t>
  </si>
  <si>
    <t>10:10:06</t>
  </si>
  <si>
    <t>01:22:48</t>
  </si>
  <si>
    <t>10:10:11</t>
  </si>
  <si>
    <t>11:32:59</t>
  </si>
  <si>
    <t>00:16:34</t>
  </si>
  <si>
    <t>C2010098</t>
  </si>
  <si>
    <t>00:06:01</t>
  </si>
  <si>
    <t>11:33:12</t>
  </si>
  <si>
    <t>11:39:13</t>
  </si>
  <si>
    <t>9940050601007677C2010098</t>
  </si>
  <si>
    <t>00:12:59</t>
  </si>
  <si>
    <t>11:39:19</t>
  </si>
  <si>
    <t>11:52:18</t>
  </si>
  <si>
    <t>11:52:38</t>
  </si>
  <si>
    <t>12:00:01</t>
  </si>
  <si>
    <t>00:59:55</t>
  </si>
  <si>
    <t>12:00:04</t>
  </si>
  <si>
    <t>12:59:59</t>
  </si>
  <si>
    <t>00:39:42</t>
  </si>
  <si>
    <t>13:00:03</t>
  </si>
  <si>
    <t>13:39:45</t>
  </si>
  <si>
    <t>00:50:05</t>
  </si>
  <si>
    <t>13:39:48</t>
  </si>
  <si>
    <t>14:29:53</t>
  </si>
  <si>
    <t>14:29:56</t>
  </si>
  <si>
    <t>14:39:57</t>
  </si>
  <si>
    <t>00:02:29</t>
  </si>
  <si>
    <t>14:40:26</t>
  </si>
  <si>
    <t>14:42:55</t>
  </si>
  <si>
    <t>00:12:41</t>
  </si>
  <si>
    <t>14:43:04</t>
  </si>
  <si>
    <t>14:55:45</t>
  </si>
  <si>
    <t>00:00:51</t>
  </si>
  <si>
    <t>14:55:52</t>
  </si>
  <si>
    <t>14:56:43</t>
  </si>
  <si>
    <t>00:27:43</t>
  </si>
  <si>
    <t>14:56:47</t>
  </si>
  <si>
    <t>15:24:30</t>
  </si>
  <si>
    <t>00:10:29</t>
  </si>
  <si>
    <t>15:24:33</t>
  </si>
  <si>
    <t>15:35:02</t>
  </si>
  <si>
    <t>00:35:33</t>
  </si>
  <si>
    <t>15:35:10</t>
  </si>
  <si>
    <t>16:10:43</t>
  </si>
  <si>
    <t>00:41:11</t>
  </si>
  <si>
    <t>16:10:58</t>
  </si>
  <si>
    <t>16:52:09</t>
  </si>
  <si>
    <t>16:52:21</t>
  </si>
  <si>
    <t>17:05:34</t>
  </si>
  <si>
    <t>17:05:49</t>
  </si>
  <si>
    <t>17:24:59</t>
  </si>
  <si>
    <t>00:06:46</t>
  </si>
  <si>
    <t>17:25:05</t>
  </si>
  <si>
    <t>17:31:51</t>
  </si>
  <si>
    <t>00:13:07</t>
  </si>
  <si>
    <t>08:27:46</t>
  </si>
  <si>
    <t>08:40:53</t>
  </si>
  <si>
    <t>08:40:01</t>
  </si>
  <si>
    <t>09:00:03</t>
  </si>
  <si>
    <t>00:02:01</t>
  </si>
  <si>
    <t>09:00:09</t>
  </si>
  <si>
    <t>09:02:10</t>
  </si>
  <si>
    <t>09:02:51</t>
  </si>
  <si>
    <t>09:30:39</t>
  </si>
  <si>
    <t>00:14:42</t>
  </si>
  <si>
    <t>09:30:44</t>
  </si>
  <si>
    <t>09:45:26</t>
  </si>
  <si>
    <t>09:45:41</t>
  </si>
  <si>
    <t>10:07:05</t>
  </si>
  <si>
    <t>C1010126</t>
  </si>
  <si>
    <t>00:27:03</t>
  </si>
  <si>
    <t>10:07:19</t>
  </si>
  <si>
    <t>9940050601007677C1010126</t>
  </si>
  <si>
    <t>00:36:13</t>
  </si>
  <si>
    <t>10:34:27</t>
  </si>
  <si>
    <t>11:10:40</t>
  </si>
  <si>
    <t>00:10:50</t>
  </si>
  <si>
    <t>11:10:45</t>
  </si>
  <si>
    <t>11:21:35</t>
  </si>
  <si>
    <t>00:12:31</t>
  </si>
  <si>
    <t>11:21:43</t>
  </si>
  <si>
    <t>11:34:14</t>
  </si>
  <si>
    <t>11:34:20</t>
  </si>
  <si>
    <t>11:42:06</t>
  </si>
  <si>
    <t>00:10:04</t>
  </si>
  <si>
    <t>11:42:11</t>
  </si>
  <si>
    <t>11:52:15</t>
  </si>
  <si>
    <t>11:52:20</t>
  </si>
  <si>
    <t>00:59:32</t>
  </si>
  <si>
    <t>13:00:39</t>
  </si>
  <si>
    <t>01:26:44</t>
  </si>
  <si>
    <t>13:00:44</t>
  </si>
  <si>
    <t>14:27:28</t>
  </si>
  <si>
    <t>14:27:47</t>
  </si>
  <si>
    <t>14:39:47</t>
  </si>
  <si>
    <t>14:39:50</t>
  </si>
  <si>
    <t>14:48:05</t>
  </si>
  <si>
    <t>00:12:49</t>
  </si>
  <si>
    <t>14:48:07</t>
  </si>
  <si>
    <t>15:00:56</t>
  </si>
  <si>
    <t>00:05:01</t>
  </si>
  <si>
    <t>15:00:58</t>
  </si>
  <si>
    <t>15:05:59</t>
  </si>
  <si>
    <t>15:06:20</t>
  </si>
  <si>
    <t>15:23:36</t>
  </si>
  <si>
    <t>00:12:13</t>
  </si>
  <si>
    <t>15:23:39</t>
  </si>
  <si>
    <t>15:35:52</t>
  </si>
  <si>
    <t>00:12:01</t>
  </si>
  <si>
    <t>15:35:56</t>
  </si>
  <si>
    <t>15:47:57</t>
  </si>
  <si>
    <t>15:48:21</t>
  </si>
  <si>
    <t>15:52:51</t>
  </si>
  <si>
    <t>00:12:29</t>
  </si>
  <si>
    <t>15:52:54</t>
  </si>
  <si>
    <t>16:05:23</t>
  </si>
  <si>
    <t>16:05:26</t>
  </si>
  <si>
    <t>16:11:46</t>
  </si>
  <si>
    <t>00:09:47</t>
  </si>
  <si>
    <t>16:11:49</t>
  </si>
  <si>
    <t>16:21:36</t>
  </si>
  <si>
    <t>00:07:10</t>
  </si>
  <si>
    <t>16:21:39</t>
  </si>
  <si>
    <t>16:28:49</t>
  </si>
  <si>
    <t>16:28:53</t>
  </si>
  <si>
    <t>16:50:46</t>
  </si>
  <si>
    <t>16:50:55</t>
  </si>
  <si>
    <t>16:55:57</t>
  </si>
  <si>
    <t>00:34:03</t>
  </si>
  <si>
    <t>16:56:18</t>
  </si>
  <si>
    <t>17:30:21</t>
  </si>
  <si>
    <t>09:08:16</t>
  </si>
  <si>
    <t>09:13:14</t>
  </si>
  <si>
    <t>00:42:44</t>
  </si>
  <si>
    <t>09:11:19</t>
  </si>
  <si>
    <t>00:39:22</t>
  </si>
  <si>
    <t>09:11:39</t>
  </si>
  <si>
    <t>09:51:01</t>
  </si>
  <si>
    <t>09:51:04</t>
  </si>
  <si>
    <t>09:55:37</t>
  </si>
  <si>
    <t>00:10:12</t>
  </si>
  <si>
    <t>09:55:42</t>
  </si>
  <si>
    <t>10:05:54</t>
  </si>
  <si>
    <t>00:36:01</t>
  </si>
  <si>
    <t>10:05:57</t>
  </si>
  <si>
    <t>10:41:58</t>
  </si>
  <si>
    <t>00:25:59</t>
  </si>
  <si>
    <t>10:42:41</t>
  </si>
  <si>
    <t>11:08:40</t>
  </si>
  <si>
    <t>11:08:42</t>
  </si>
  <si>
    <t>11:13:43</t>
  </si>
  <si>
    <t>00:17:39</t>
  </si>
  <si>
    <t>11:13:48</t>
  </si>
  <si>
    <t>11:31:27</t>
  </si>
  <si>
    <t>00:32:55</t>
  </si>
  <si>
    <t>11:31:31</t>
  </si>
  <si>
    <t>12:04:26</t>
  </si>
  <si>
    <t>00:56:11</t>
  </si>
  <si>
    <t>12:04:29</t>
  </si>
  <si>
    <t>13:00:40</t>
  </si>
  <si>
    <t>02:15:19</t>
  </si>
  <si>
    <t>13:00:47</t>
  </si>
  <si>
    <t>15:16:06</t>
  </si>
  <si>
    <t>15:16:13</t>
  </si>
  <si>
    <t>15:36:12</t>
  </si>
  <si>
    <t>00:24:18</t>
  </si>
  <si>
    <t>15:36:19</t>
  </si>
  <si>
    <t>16:00:37</t>
  </si>
  <si>
    <t>00:27:53</t>
  </si>
  <si>
    <t>16:28:34</t>
  </si>
  <si>
    <t>00:14:47</t>
  </si>
  <si>
    <t>16:28:38</t>
  </si>
  <si>
    <t>16:43:25</t>
  </si>
  <si>
    <t>00:32:19</t>
  </si>
  <si>
    <t>16:43:51</t>
  </si>
  <si>
    <t>17:16:10</t>
  </si>
  <si>
    <t>00:16:51</t>
  </si>
  <si>
    <t>17:16:12</t>
  </si>
  <si>
    <t>17:33:03</t>
  </si>
  <si>
    <t>17:33:05</t>
  </si>
  <si>
    <t>17:41:38</t>
  </si>
  <si>
    <t>00:22:06</t>
  </si>
  <si>
    <t>08:51:33</t>
  </si>
  <si>
    <t>01:58:29</t>
  </si>
  <si>
    <t>08:51:53</t>
  </si>
  <si>
    <t>10:53:48</t>
  </si>
  <si>
    <t>00:03:26</t>
  </si>
  <si>
    <t>00:02:15</t>
  </si>
  <si>
    <t>10:53:54</t>
  </si>
  <si>
    <t>10:56:09</t>
  </si>
  <si>
    <t>00:11:32</t>
  </si>
  <si>
    <t>10:56:13</t>
  </si>
  <si>
    <t>11:07:48</t>
  </si>
  <si>
    <t>11:16:46</t>
  </si>
  <si>
    <t>00:38:11</t>
  </si>
  <si>
    <t>11:16:54</t>
  </si>
  <si>
    <t>11:55:05</t>
  </si>
  <si>
    <t>00:05:18</t>
  </si>
  <si>
    <t>11:55:19</t>
  </si>
  <si>
    <t>01:02:00</t>
  </si>
  <si>
    <t>12:00:42</t>
  </si>
  <si>
    <t>13:02:42</t>
  </si>
  <si>
    <t>13:02:46</t>
  </si>
  <si>
    <t>14:00:06</t>
  </si>
  <si>
    <t>00:25:01</t>
  </si>
  <si>
    <t>14:00:09</t>
  </si>
  <si>
    <t>14:25:10</t>
  </si>
  <si>
    <t>14:25:12</t>
  </si>
  <si>
    <t>14:35:12</t>
  </si>
  <si>
    <t>14:35:42</t>
  </si>
  <si>
    <t>14:42:12</t>
  </si>
  <si>
    <t>01:30:57</t>
  </si>
  <si>
    <t>14:42:16</t>
  </si>
  <si>
    <t>16:13:13</t>
  </si>
  <si>
    <t>00:17:17</t>
  </si>
  <si>
    <t>16:13:21</t>
  </si>
  <si>
    <t>16:30:38</t>
  </si>
  <si>
    <t>00:28:46</t>
  </si>
  <si>
    <t>16:30:41</t>
  </si>
  <si>
    <t>16:59:27</t>
  </si>
  <si>
    <t>00:00:27</t>
  </si>
  <si>
    <t>16:59:47</t>
  </si>
  <si>
    <t>17:00:14</t>
  </si>
  <si>
    <t>00:15:36</t>
  </si>
  <si>
    <t>17:15:53</t>
  </si>
  <si>
    <t>17:32:51</t>
  </si>
  <si>
    <t>00:12:18</t>
  </si>
  <si>
    <t>08:28:38</t>
  </si>
  <si>
    <t>08:40:56</t>
  </si>
  <si>
    <t>08:40:59</t>
  </si>
  <si>
    <t>08:47:00</t>
  </si>
  <si>
    <t>01:16:25</t>
  </si>
  <si>
    <t>08:47:19</t>
  </si>
  <si>
    <t>10:05:48</t>
  </si>
  <si>
    <t>00:07:38</t>
  </si>
  <si>
    <t>10:31:15</t>
  </si>
  <si>
    <t>00:08:47</t>
  </si>
  <si>
    <t>10:31:18</t>
  </si>
  <si>
    <t>10:40:05</t>
  </si>
  <si>
    <t>10:40:09</t>
  </si>
  <si>
    <t>11:04:00</t>
  </si>
  <si>
    <t>00:42:22</t>
  </si>
  <si>
    <t>11:04:02</t>
  </si>
  <si>
    <t>11:46:24</t>
  </si>
  <si>
    <t>11:46:26</t>
  </si>
  <si>
    <t>11:51:45</t>
  </si>
  <si>
    <t>11:51:48</t>
  </si>
  <si>
    <t>11:59:35</t>
  </si>
  <si>
    <t>00:00:34</t>
  </si>
  <si>
    <t>11:59:37</t>
  </si>
  <si>
    <t>01:00:21</t>
  </si>
  <si>
    <t>12:00:14</t>
  </si>
  <si>
    <t>00:30:04</t>
  </si>
  <si>
    <t>13:00:43</t>
  </si>
  <si>
    <t>13:30:47</t>
  </si>
  <si>
    <t>13:30:49</t>
  </si>
  <si>
    <t>13:35:50</t>
  </si>
  <si>
    <t>00:23:13</t>
  </si>
  <si>
    <t>13:36:06</t>
  </si>
  <si>
    <t>13:59:19</t>
  </si>
  <si>
    <t>00:42:14</t>
  </si>
  <si>
    <t>13:59:25</t>
  </si>
  <si>
    <t>14:41:39</t>
  </si>
  <si>
    <t>C2010058</t>
  </si>
  <si>
    <t>00:56:04</t>
  </si>
  <si>
    <t>14:41:41</t>
  </si>
  <si>
    <t>15:37:45</t>
  </si>
  <si>
    <t>9940050601007677C2010058</t>
  </si>
  <si>
    <t>00:11:12</t>
  </si>
  <si>
    <t>15:37:47</t>
  </si>
  <si>
    <t>15:48:59</t>
  </si>
  <si>
    <t>00:43:42</t>
  </si>
  <si>
    <t>15:49:05</t>
  </si>
  <si>
    <t>16:32:50</t>
  </si>
  <si>
    <t>16:47:28</t>
  </si>
  <si>
    <t>00:24:35</t>
  </si>
  <si>
    <t>16:47:38</t>
  </si>
  <si>
    <t>17:12:13</t>
  </si>
  <si>
    <t>00:18:09</t>
  </si>
  <si>
    <t>17:12:46</t>
  </si>
  <si>
    <t>17:30:55</t>
  </si>
  <si>
    <t>00:09:05</t>
  </si>
  <si>
    <t>17:31:00</t>
  </si>
  <si>
    <t>00:03:12</t>
  </si>
  <si>
    <t>08:24:06</t>
  </si>
  <si>
    <t>08:27:18</t>
  </si>
  <si>
    <t>00:03:57</t>
  </si>
  <si>
    <t>08:27:23</t>
  </si>
  <si>
    <t>08:31:20</t>
  </si>
  <si>
    <t>00:27:05</t>
  </si>
  <si>
    <t>08:31:22</t>
  </si>
  <si>
    <t>08:58:27</t>
  </si>
  <si>
    <t>01:05:44</t>
  </si>
  <si>
    <t>08:58:34</t>
  </si>
  <si>
    <t>10:04:18</t>
  </si>
  <si>
    <t>00:13:09</t>
  </si>
  <si>
    <t>10:04:20</t>
  </si>
  <si>
    <t>10:09:33</t>
  </si>
  <si>
    <t>10:09:35</t>
  </si>
  <si>
    <t>10:14:50</t>
  </si>
  <si>
    <t>00:29:08</t>
  </si>
  <si>
    <t>10:14:53</t>
  </si>
  <si>
    <t>10:44:01</t>
  </si>
  <si>
    <t>00:14:34</t>
  </si>
  <si>
    <t>00:16:57</t>
  </si>
  <si>
    <t>10:44:08</t>
  </si>
  <si>
    <t>11:01:05</t>
  </si>
  <si>
    <t>00:19:02</t>
  </si>
  <si>
    <t>11:01:21</t>
  </si>
  <si>
    <t>11:20:23</t>
  </si>
  <si>
    <t>00:23:05</t>
  </si>
  <si>
    <t>11:20:27</t>
  </si>
  <si>
    <t>11:43:32</t>
  </si>
  <si>
    <t>00:16:39</t>
  </si>
  <si>
    <t>11:43:37</t>
  </si>
  <si>
    <t>01:01:18</t>
  </si>
  <si>
    <t>00:35:54</t>
  </si>
  <si>
    <t>13:37:39</t>
  </si>
  <si>
    <t>C2010059</t>
  </si>
  <si>
    <t>00:52:14</t>
  </si>
  <si>
    <t>13:37:44</t>
  </si>
  <si>
    <t>14:29:58</t>
  </si>
  <si>
    <t>9940050601007677C2010059</t>
  </si>
  <si>
    <t>14:30:03</t>
  </si>
  <si>
    <t>14:47:55</t>
  </si>
  <si>
    <t>C1010163</t>
  </si>
  <si>
    <t>00:57:59</t>
  </si>
  <si>
    <t>14:48:00</t>
  </si>
  <si>
    <t>15:45:59</t>
  </si>
  <si>
    <t>9940050601007677C1010163</t>
  </si>
  <si>
    <t>15:46:01</t>
  </si>
  <si>
    <t>15:54:00</t>
  </si>
  <si>
    <t>00:46:24</t>
  </si>
  <si>
    <t>15:54:03</t>
  </si>
  <si>
    <t>16:40:27</t>
  </si>
  <si>
    <t>00:11:36</t>
  </si>
  <si>
    <t>00:03:33</t>
  </si>
  <si>
    <t>16:40:30</t>
  </si>
  <si>
    <t>16:44:03</t>
  </si>
  <si>
    <t>16:44:06</t>
  </si>
  <si>
    <t>16:57:11</t>
  </si>
  <si>
    <t>00:21:27</t>
  </si>
  <si>
    <t>16:57:16</t>
  </si>
  <si>
    <t>17:18:43</t>
  </si>
  <si>
    <t>17:18:47</t>
  </si>
  <si>
    <t>17:30:40</t>
  </si>
  <si>
    <t>08:30:23</t>
  </si>
  <si>
    <t>08:54:07</t>
  </si>
  <si>
    <t>00:28:14</t>
  </si>
  <si>
    <t>08:54:36</t>
  </si>
  <si>
    <t>09:23:07</t>
  </si>
  <si>
    <t>00:08:54</t>
  </si>
  <si>
    <t>09:23:09</t>
  </si>
  <si>
    <t>09:32:03</t>
  </si>
  <si>
    <t>09:32:09</t>
  </si>
  <si>
    <t>09:44:59</t>
  </si>
  <si>
    <t>09:45:01</t>
  </si>
  <si>
    <t>10:05:34</t>
  </si>
  <si>
    <t>00:34:33</t>
  </si>
  <si>
    <t>00:19:01</t>
  </si>
  <si>
    <t>10:40:13</t>
  </si>
  <si>
    <t>10:59:14</t>
  </si>
  <si>
    <t>00:05:32</t>
  </si>
  <si>
    <t>10:59:45</t>
  </si>
  <si>
    <t>11:05:17</t>
  </si>
  <si>
    <t>00:14:44</t>
  </si>
  <si>
    <t>11:05:20</t>
  </si>
  <si>
    <t>11:20:04</t>
  </si>
  <si>
    <t>00:16:00</t>
  </si>
  <si>
    <t>11:20:07</t>
  </si>
  <si>
    <t>11:36:07</t>
  </si>
  <si>
    <t>00:14:05</t>
  </si>
  <si>
    <t>11:36:37</t>
  </si>
  <si>
    <t>11:50:42</t>
  </si>
  <si>
    <t>11:50:45</t>
  </si>
  <si>
    <t>11:55:09</t>
  </si>
  <si>
    <t>01:03:08</t>
  </si>
  <si>
    <t>12:01:51</t>
  </si>
  <si>
    <t>13:04:59</t>
  </si>
  <si>
    <t>00:57:52</t>
  </si>
  <si>
    <t>13:05:16</t>
  </si>
  <si>
    <t>14:03:08</t>
  </si>
  <si>
    <t>00:09:54</t>
  </si>
  <si>
    <t>14:03:11</t>
  </si>
  <si>
    <t>14:13:05</t>
  </si>
  <si>
    <t>00:11:00</t>
  </si>
  <si>
    <t>14:13:10</t>
  </si>
  <si>
    <t>14:24:10</t>
  </si>
  <si>
    <t>00:05:31</t>
  </si>
  <si>
    <t>14:24:13</t>
  </si>
  <si>
    <t>14:29:44</t>
  </si>
  <si>
    <t>14:30:00</t>
  </si>
  <si>
    <t>14:45:17</t>
  </si>
  <si>
    <t>00:08:01</t>
  </si>
  <si>
    <t>14:45:22</t>
  </si>
  <si>
    <t>14:53:23</t>
  </si>
  <si>
    <t>00:23:41</t>
  </si>
  <si>
    <t>14:53:55</t>
  </si>
  <si>
    <t>15:17:36</t>
  </si>
  <si>
    <t>00:13:47</t>
  </si>
  <si>
    <t>15:17:37</t>
  </si>
  <si>
    <t>15:31:24</t>
  </si>
  <si>
    <t>00:06:22</t>
  </si>
  <si>
    <t>15:31:27</t>
  </si>
  <si>
    <t>15:37:49</t>
  </si>
  <si>
    <t>00:15:09</t>
  </si>
  <si>
    <t>15:37:53</t>
  </si>
  <si>
    <t>15:53:02</t>
  </si>
  <si>
    <t>00:34:34</t>
  </si>
  <si>
    <t>15:53:09</t>
  </si>
  <si>
    <t>16:27:43</t>
  </si>
  <si>
    <t>16:28:28</t>
  </si>
  <si>
    <t>16:44:27</t>
  </si>
  <si>
    <t>00:15:40</t>
  </si>
  <si>
    <t>16:44:50</t>
  </si>
  <si>
    <t>17:00:30</t>
  </si>
  <si>
    <t>00:31:06</t>
  </si>
  <si>
    <t>17:00:34</t>
  </si>
  <si>
    <t>17:31:40</t>
  </si>
  <si>
    <t>08:30:25</t>
  </si>
  <si>
    <t>08:53:23</t>
  </si>
  <si>
    <t>09:16:08</t>
  </si>
  <si>
    <t>00:00:19</t>
  </si>
  <si>
    <t>09:16:52</t>
  </si>
  <si>
    <t>09:27:34</t>
  </si>
  <si>
    <t>09:27:40</t>
  </si>
  <si>
    <t>09:49:12</t>
  </si>
  <si>
    <t>00:19:08</t>
  </si>
  <si>
    <t>09:49:18</t>
  </si>
  <si>
    <t>10:08:26</t>
  </si>
  <si>
    <t>00:26:06</t>
  </si>
  <si>
    <t>10:08:37</t>
  </si>
  <si>
    <t>10:34:43</t>
  </si>
  <si>
    <t>00:19:38</t>
  </si>
  <si>
    <t>10:34:49</t>
  </si>
  <si>
    <t>10:54:27</t>
  </si>
  <si>
    <t>00:09:49</t>
  </si>
  <si>
    <t>10:54:30</t>
  </si>
  <si>
    <t>11:00:12</t>
  </si>
  <si>
    <t>00:36:58</t>
  </si>
  <si>
    <t>11:37:15</t>
  </si>
  <si>
    <t>00:23:53</t>
  </si>
  <si>
    <t>11:37:18</t>
  </si>
  <si>
    <t>12:01:11</t>
  </si>
  <si>
    <t>00:56:10</t>
  </si>
  <si>
    <t>12:01:14</t>
  </si>
  <si>
    <t>12:57:24</t>
  </si>
  <si>
    <t>01:06:15</t>
  </si>
  <si>
    <t>14:06:10</t>
  </si>
  <si>
    <t>00:35:39</t>
  </si>
  <si>
    <t>14:06:21</t>
  </si>
  <si>
    <t>14:42:00</t>
  </si>
  <si>
    <t>00:18:36</t>
  </si>
  <si>
    <t>14:42:03</t>
  </si>
  <si>
    <t>15:00:39</t>
  </si>
  <si>
    <t>00:07:01</t>
  </si>
  <si>
    <t>15:00:43</t>
  </si>
  <si>
    <t>15:07:44</t>
  </si>
  <si>
    <t>15:08:08</t>
  </si>
  <si>
    <t>15:24:26</t>
  </si>
  <si>
    <t>00:08:43</t>
  </si>
  <si>
    <t>15:33:13</t>
  </si>
  <si>
    <t>15:33:39</t>
  </si>
  <si>
    <t>15:45:29</t>
  </si>
  <si>
    <t>00:07:14</t>
  </si>
  <si>
    <t>15:45:31</t>
  </si>
  <si>
    <t>15:52:45</t>
  </si>
  <si>
    <t>00:03:25</t>
  </si>
  <si>
    <t>15:52:48</t>
  </si>
  <si>
    <t>15:56:13</t>
  </si>
  <si>
    <t>00:13:14</t>
  </si>
  <si>
    <t>15:56:16</t>
  </si>
  <si>
    <t>16:09:30</t>
  </si>
  <si>
    <t>00:03:22</t>
  </si>
  <si>
    <t>16:09:32</t>
  </si>
  <si>
    <t>16:12:54</t>
  </si>
  <si>
    <t>00:10:20</t>
  </si>
  <si>
    <t>16:12:59</t>
  </si>
  <si>
    <t>16:23:19</t>
  </si>
  <si>
    <t>00:16:33</t>
  </si>
  <si>
    <t>16:23:22</t>
  </si>
  <si>
    <t>16:39:55</t>
  </si>
  <si>
    <t>00:31:29</t>
  </si>
  <si>
    <t>16:39:57</t>
  </si>
  <si>
    <t>17:11:26</t>
  </si>
  <si>
    <t>00:30:55</t>
  </si>
  <si>
    <t>17:11:30</t>
  </si>
  <si>
    <t>17:42:25</t>
  </si>
  <si>
    <t>08:29:33</t>
  </si>
  <si>
    <t>08:41:47</t>
  </si>
  <si>
    <t>00:16:22</t>
  </si>
  <si>
    <t>08:41:48</t>
  </si>
  <si>
    <t>08:58:10</t>
  </si>
  <si>
    <t>08:58:16</t>
  </si>
  <si>
    <t>09:10:31</t>
  </si>
  <si>
    <t>00:00:58</t>
  </si>
  <si>
    <t>00:16:32</t>
  </si>
  <si>
    <t>09:10:36</t>
  </si>
  <si>
    <t>09:27:08</t>
  </si>
  <si>
    <t>09:27:10</t>
  </si>
  <si>
    <t>09:42:01</t>
  </si>
  <si>
    <t>00:10:30</t>
  </si>
  <si>
    <t>09:42:05</t>
  </si>
  <si>
    <t>09:52:35</t>
  </si>
  <si>
    <t>00:21:56</t>
  </si>
  <si>
    <t>09:52:39</t>
  </si>
  <si>
    <t>10:14:35</t>
  </si>
  <si>
    <t>00:32:34</t>
  </si>
  <si>
    <t>10:14:42</t>
  </si>
  <si>
    <t>10:51:26</t>
  </si>
  <si>
    <t>00:04:10</t>
  </si>
  <si>
    <t>10:51:32</t>
  </si>
  <si>
    <t>11:01:32</t>
  </si>
  <si>
    <t>11:01:34</t>
  </si>
  <si>
    <t>11:09:58</t>
  </si>
  <si>
    <t>00:17:57</t>
  </si>
  <si>
    <t>11:10:02</t>
  </si>
  <si>
    <t>11:27:59</t>
  </si>
  <si>
    <t>11:28:02</t>
  </si>
  <si>
    <t>00:16:14</t>
  </si>
  <si>
    <t>11:44:52</t>
  </si>
  <si>
    <t>12:01:06</t>
  </si>
  <si>
    <t>01:02:30</t>
  </si>
  <si>
    <t>12:01:08</t>
  </si>
  <si>
    <t>13:03:38</t>
  </si>
  <si>
    <t>00:37:21</t>
  </si>
  <si>
    <t>13:03:40</t>
  </si>
  <si>
    <t>13:41:01</t>
  </si>
  <si>
    <t>00:09:41</t>
  </si>
  <si>
    <t>13:41:05</t>
  </si>
  <si>
    <t>13:50:46</t>
  </si>
  <si>
    <t>13:50:50</t>
  </si>
  <si>
    <t>14:21:51</t>
  </si>
  <si>
    <t>00:04:27</t>
  </si>
  <si>
    <t>14:22:17</t>
  </si>
  <si>
    <t>14:26:44</t>
  </si>
  <si>
    <t>14:26:48</t>
  </si>
  <si>
    <t>14:38:51</t>
  </si>
  <si>
    <t>00:29:07</t>
  </si>
  <si>
    <t>15:08:05</t>
  </si>
  <si>
    <t>00:11:19</t>
  </si>
  <si>
    <t>15:08:13</t>
  </si>
  <si>
    <t>15:19:32</t>
  </si>
  <si>
    <t>00:10:27</t>
  </si>
  <si>
    <t>15:19:36</t>
  </si>
  <si>
    <t>15:30:03</t>
  </si>
  <si>
    <t>00:17:06</t>
  </si>
  <si>
    <t>15:30:11</t>
  </si>
  <si>
    <t>15:47:17</t>
  </si>
  <si>
    <t>00:04:16</t>
  </si>
  <si>
    <t>15:47:19</t>
  </si>
  <si>
    <t>15:51:35</t>
  </si>
  <si>
    <t>00:08:53</t>
  </si>
  <si>
    <t>15:51:40</t>
  </si>
  <si>
    <t>16:00:33</t>
  </si>
  <si>
    <t>16:00:36</t>
  </si>
  <si>
    <t>16:09:37</t>
  </si>
  <si>
    <t>00:39:13</t>
  </si>
  <si>
    <t>16:10:08</t>
  </si>
  <si>
    <t>16:49:30</t>
  </si>
  <si>
    <t>17:01:46</t>
  </si>
  <si>
    <t>00:11:48</t>
  </si>
  <si>
    <t>17:01:50</t>
  </si>
  <si>
    <t>17:13:38</t>
  </si>
  <si>
    <t>00:14:56</t>
  </si>
  <si>
    <t>17:13:44</t>
  </si>
  <si>
    <t>17:28:40</t>
  </si>
  <si>
    <t>00:01:38</t>
  </si>
  <si>
    <t>17:28:43</t>
  </si>
  <si>
    <t>10:17:51</t>
  </si>
  <si>
    <t>10:22:01</t>
  </si>
  <si>
    <t>00:24:15</t>
  </si>
  <si>
    <t>16:59:36</t>
  </si>
  <si>
    <t>17:23:51</t>
  </si>
  <si>
    <t>00:05:53</t>
  </si>
  <si>
    <t>17:23:55</t>
  </si>
  <si>
    <t>17:29:48</t>
  </si>
  <si>
    <t>08:26:31</t>
  </si>
  <si>
    <t>08:35:29</t>
  </si>
  <si>
    <t>01:59:17</t>
  </si>
  <si>
    <t>08:35:39</t>
  </si>
  <si>
    <t>00:19:53</t>
  </si>
  <si>
    <t>00:00:13</t>
  </si>
  <si>
    <t>10:42:11</t>
  </si>
  <si>
    <t>00:34:39</t>
  </si>
  <si>
    <t>10:42:22</t>
  </si>
  <si>
    <t>11:17:01</t>
  </si>
  <si>
    <t>00:09:37</t>
  </si>
  <si>
    <t>11:17:04</t>
  </si>
  <si>
    <t>11:26:41</t>
  </si>
  <si>
    <t>00:37:24</t>
  </si>
  <si>
    <t>11:26:47</t>
  </si>
  <si>
    <t>12:04:11</t>
  </si>
  <si>
    <t>00:58:14</t>
  </si>
  <si>
    <t>12:04:24</t>
  </si>
  <si>
    <t>13:02:57</t>
  </si>
  <si>
    <t>13:56:58</t>
  </si>
  <si>
    <t>00:13:28</t>
  </si>
  <si>
    <t>13:57:01</t>
  </si>
  <si>
    <t>14:10:29</t>
  </si>
  <si>
    <t>00:43:44</t>
  </si>
  <si>
    <t>14:10:31</t>
  </si>
  <si>
    <t>14:54:15</t>
  </si>
  <si>
    <t>00:31:04</t>
  </si>
  <si>
    <t>14:54:18</t>
  </si>
  <si>
    <t>15:25:22</t>
  </si>
  <si>
    <t>00:47:02</t>
  </si>
  <si>
    <t>15:25:32</t>
  </si>
  <si>
    <t>16:12:34</t>
  </si>
  <si>
    <t>00:23:31</t>
  </si>
  <si>
    <t>00:03:42</t>
  </si>
  <si>
    <t>16:12:40</t>
  </si>
  <si>
    <t>16:16:22</t>
  </si>
  <si>
    <t>00:28:56</t>
  </si>
  <si>
    <t>16:16:25</t>
  </si>
  <si>
    <t>16:45:21</t>
  </si>
  <si>
    <t>16:45:23</t>
  </si>
  <si>
    <t>16:59:32</t>
  </si>
  <si>
    <t>09:00:30</t>
  </si>
  <si>
    <t>00:16:55</t>
  </si>
  <si>
    <t>08:27:57</t>
  </si>
  <si>
    <t>08:45:10</t>
  </si>
  <si>
    <t>08:56:00</t>
  </si>
  <si>
    <t>00:01:47</t>
  </si>
  <si>
    <t>08:56:02</t>
  </si>
  <si>
    <t>08:57:49</t>
  </si>
  <si>
    <t>01:31:47</t>
  </si>
  <si>
    <t>08:57:54</t>
  </si>
  <si>
    <t>10:30:04</t>
  </si>
  <si>
    <t>00:09:11</t>
  </si>
  <si>
    <t>00:00:23</t>
  </si>
  <si>
    <t>00:37:05</t>
  </si>
  <si>
    <t>10:30:08</t>
  </si>
  <si>
    <t>11:07:13</t>
  </si>
  <si>
    <t>00:12:22</t>
  </si>
  <si>
    <t>11:07:16</t>
  </si>
  <si>
    <t>11:15:13</t>
  </si>
  <si>
    <t>00:12:24</t>
  </si>
  <si>
    <t>11:15:50</t>
  </si>
  <si>
    <t>11:28:14</t>
  </si>
  <si>
    <t>11:28:17</t>
  </si>
  <si>
    <t>11:37:21</t>
  </si>
  <si>
    <t>00:01:59</t>
  </si>
  <si>
    <t>11:37:23</t>
  </si>
  <si>
    <t>11:39:22</t>
  </si>
  <si>
    <t>11:39:25</t>
  </si>
  <si>
    <t>11:55:42</t>
  </si>
  <si>
    <t>00:08:09</t>
  </si>
  <si>
    <t>11:55:45</t>
  </si>
  <si>
    <t>11:59:03</t>
  </si>
  <si>
    <t>11:59:06</t>
  </si>
  <si>
    <t>12:58:38</t>
  </si>
  <si>
    <t>00:36:03</t>
  </si>
  <si>
    <t>12:58:40</t>
  </si>
  <si>
    <t>13:34:43</t>
  </si>
  <si>
    <t>00:10:59</t>
  </si>
  <si>
    <t>13:34:45</t>
  </si>
  <si>
    <t>13:45:44</t>
  </si>
  <si>
    <t>13:45:46</t>
  </si>
  <si>
    <t>14:11:05</t>
  </si>
  <si>
    <t>C2010117</t>
  </si>
  <si>
    <t>01:45:27</t>
  </si>
  <si>
    <t>14:11:07</t>
  </si>
  <si>
    <t>15:56:34</t>
  </si>
  <si>
    <t>9940050601007677C2010117</t>
  </si>
  <si>
    <t>15:56:37</t>
  </si>
  <si>
    <t>16:01:25</t>
  </si>
  <si>
    <t>00:32:16</t>
  </si>
  <si>
    <t>16:01:35</t>
  </si>
  <si>
    <t>16:33:51</t>
  </si>
  <si>
    <t>00:11:28</t>
  </si>
  <si>
    <t>16:33:56</t>
  </si>
  <si>
    <t>16:45:24</t>
  </si>
  <si>
    <t>00:15:52</t>
  </si>
  <si>
    <t>16:45:26</t>
  </si>
  <si>
    <t>17:01:18</t>
  </si>
  <si>
    <t>00:28:05</t>
  </si>
  <si>
    <t>17:01:32</t>
  </si>
  <si>
    <t>17:29:37</t>
  </si>
  <si>
    <t>09:00:50</t>
  </si>
  <si>
    <t>00:30:35</t>
  </si>
  <si>
    <t>08:27:07</t>
  </si>
  <si>
    <t>00:47:22</t>
  </si>
  <si>
    <t>08:58:07</t>
  </si>
  <si>
    <t>09:49:51</t>
  </si>
  <si>
    <t>00:05:49</t>
  </si>
  <si>
    <t>09:49:56</t>
  </si>
  <si>
    <t>09:55:45</t>
  </si>
  <si>
    <t>01:16:34</t>
  </si>
  <si>
    <t>09:55:50</t>
  </si>
  <si>
    <t>11:12:24</t>
  </si>
  <si>
    <t>00:19:09</t>
  </si>
  <si>
    <t>11:12:28</t>
  </si>
  <si>
    <t>11:22:04</t>
  </si>
  <si>
    <t>00:25:36</t>
  </si>
  <si>
    <t>11:22:12</t>
  </si>
  <si>
    <t>11:47:48</t>
  </si>
  <si>
    <t>00:14:13</t>
  </si>
  <si>
    <t>11:47:50</t>
  </si>
  <si>
    <t>12:02:03</t>
  </si>
  <si>
    <t>01:00:32</t>
  </si>
  <si>
    <t>12:02:06</t>
  </si>
  <si>
    <t>00:34:16</t>
  </si>
  <si>
    <t>13:02:44</t>
  </si>
  <si>
    <t>13:37:00</t>
  </si>
  <si>
    <t>13:37:10</t>
  </si>
  <si>
    <t>13:42:01</t>
  </si>
  <si>
    <t>00:47:28</t>
  </si>
  <si>
    <t>13:42:05</t>
  </si>
  <si>
    <t>14:29:33</t>
  </si>
  <si>
    <t>00:01:39</t>
  </si>
  <si>
    <t>14:29:36</t>
  </si>
  <si>
    <t>14:31:15</t>
  </si>
  <si>
    <t>14:31:18</t>
  </si>
  <si>
    <t>14:40:55</t>
  </si>
  <si>
    <t>14:40:58</t>
  </si>
  <si>
    <t>15:02:19</t>
  </si>
  <si>
    <t>01:22:03</t>
  </si>
  <si>
    <t>15:02:22</t>
  </si>
  <si>
    <t>16:24:25</t>
  </si>
  <si>
    <t>00:27:21</t>
  </si>
  <si>
    <t>16:24:36</t>
  </si>
  <si>
    <t>16:26:18</t>
  </si>
  <si>
    <t>16:26:32</t>
  </si>
  <si>
    <t>16:53:18</t>
  </si>
  <si>
    <t>00:13:39</t>
  </si>
  <si>
    <t>16:53:21</t>
  </si>
  <si>
    <t>17:07:00</t>
  </si>
  <si>
    <t>00:22:54</t>
  </si>
  <si>
    <t>17:07:12</t>
  </si>
  <si>
    <t>17:30:06</t>
  </si>
  <si>
    <t>09:00:11</t>
  </si>
  <si>
    <t>09:04:33</t>
  </si>
  <si>
    <t>00:10:34</t>
  </si>
  <si>
    <t>08:25:09</t>
  </si>
  <si>
    <t>08:35:43</t>
  </si>
  <si>
    <t>00:26:11</t>
  </si>
  <si>
    <t>08:35:49</t>
  </si>
  <si>
    <t>09:02:00</t>
  </si>
  <si>
    <t>00:05:14</t>
  </si>
  <si>
    <t>00:00:01</t>
  </si>
  <si>
    <t>09:02:02</t>
  </si>
  <si>
    <t>09:02:03</t>
  </si>
  <si>
    <t>00:24:21</t>
  </si>
  <si>
    <t>09:11:38</t>
  </si>
  <si>
    <t>00:08:07</t>
  </si>
  <si>
    <t>00:21:10</t>
  </si>
  <si>
    <t>09:36:12</t>
  </si>
  <si>
    <t>09:57:22</t>
  </si>
  <si>
    <t>00:19:49</t>
  </si>
  <si>
    <t>09:57:25</t>
  </si>
  <si>
    <t>10:17:14</t>
  </si>
  <si>
    <t>00:22:04</t>
  </si>
  <si>
    <t>10:39:23</t>
  </si>
  <si>
    <t>10:39:25</t>
  </si>
  <si>
    <t>10:43:34</t>
  </si>
  <si>
    <t>00:47:32</t>
  </si>
  <si>
    <t>10:43:37</t>
  </si>
  <si>
    <t>11:31:09</t>
  </si>
  <si>
    <t>00:15:51</t>
  </si>
  <si>
    <t>00:10:03</t>
  </si>
  <si>
    <t>11:31:11</t>
  </si>
  <si>
    <t>11:41:14</t>
  </si>
  <si>
    <t>11:41:20</t>
  </si>
  <si>
    <t>11:59:58</t>
  </si>
  <si>
    <t>00:58:45</t>
  </si>
  <si>
    <t>12:58:48</t>
  </si>
  <si>
    <t>00:38:27</t>
  </si>
  <si>
    <t>12:58:51</t>
  </si>
  <si>
    <t>13:37:18</t>
  </si>
  <si>
    <t>00:31:40</t>
  </si>
  <si>
    <t>13:37:20</t>
  </si>
  <si>
    <t>14:09:00</t>
  </si>
  <si>
    <t>00:23:11</t>
  </si>
  <si>
    <t>14:09:02</t>
  </si>
  <si>
    <t>14:32:13</t>
  </si>
  <si>
    <t>00:33:55</t>
  </si>
  <si>
    <t>14:32:16</t>
  </si>
  <si>
    <t>15:06:11</t>
  </si>
  <si>
    <t>15:06:16</t>
  </si>
  <si>
    <t>15:22:16</t>
  </si>
  <si>
    <t>15:22:20</t>
  </si>
  <si>
    <t>16:15:52</t>
  </si>
  <si>
    <t>00:17:51</t>
  </si>
  <si>
    <t>16:15:58</t>
  </si>
  <si>
    <t>16:27:00</t>
  </si>
  <si>
    <t>16:27:13</t>
  </si>
  <si>
    <t>16:40:07</t>
  </si>
  <si>
    <t>00:20:39</t>
  </si>
  <si>
    <t>16:40:10</t>
  </si>
  <si>
    <t>17:00:49</t>
  </si>
  <si>
    <t>00:19:00</t>
  </si>
  <si>
    <t>17:19:59</t>
  </si>
  <si>
    <t>00:09:56</t>
  </si>
  <si>
    <t>17:20:30</t>
  </si>
  <si>
    <t>17:30:26</t>
  </si>
  <si>
    <t>00:24:38</t>
  </si>
  <si>
    <t>08:30:17</t>
  </si>
  <si>
    <t>08:54:55</t>
  </si>
  <si>
    <t>00:05:06</t>
  </si>
  <si>
    <t>08:55:22</t>
  </si>
  <si>
    <t>C2010101</t>
  </si>
  <si>
    <t>00:00:22</t>
  </si>
  <si>
    <t>09:00:53</t>
  </si>
  <si>
    <t>9940050601007677C2010101</t>
  </si>
  <si>
    <t>09:01:13</t>
  </si>
  <si>
    <t>09:29:27</t>
  </si>
  <si>
    <t>00:29:09</t>
  </si>
  <si>
    <t>09:29:30</t>
  </si>
  <si>
    <t>09:58:39</t>
  </si>
  <si>
    <t>09:58:42</t>
  </si>
  <si>
    <t>00:17:00</t>
  </si>
  <si>
    <t>10:02:38</t>
  </si>
  <si>
    <t>10:19:38</t>
  </si>
  <si>
    <t>00:16:08</t>
  </si>
  <si>
    <t>10:19:41</t>
  </si>
  <si>
    <t>10:35:49</t>
  </si>
  <si>
    <t>10:35:52</t>
  </si>
  <si>
    <t>10:56:55</t>
  </si>
  <si>
    <t>10:56:15</t>
  </si>
  <si>
    <t>11:16:16</t>
  </si>
  <si>
    <t>00:09:30</t>
  </si>
  <si>
    <t>11:17:00</t>
  </si>
  <si>
    <t>11:26:30</t>
  </si>
  <si>
    <t>11:26:35</t>
  </si>
  <si>
    <t>11:42:38</t>
  </si>
  <si>
    <t>11:42:41</t>
  </si>
  <si>
    <t>01:00:05</t>
  </si>
  <si>
    <t>11:59:48</t>
  </si>
  <si>
    <t>12:59:53</t>
  </si>
  <si>
    <t>00:34:57</t>
  </si>
  <si>
    <t>13:00:00</t>
  </si>
  <si>
    <t>13:34:57</t>
  </si>
  <si>
    <t>00:08:38</t>
  </si>
  <si>
    <t>13:35:42</t>
  </si>
  <si>
    <t>13:44:20</t>
  </si>
  <si>
    <t>00:36:59</t>
  </si>
  <si>
    <t>13:44:23</t>
  </si>
  <si>
    <t>14:21:22</t>
  </si>
  <si>
    <t>14:21:40</t>
  </si>
  <si>
    <t>14:29:49</t>
  </si>
  <si>
    <t>14:29:51</t>
  </si>
  <si>
    <t>15:27:38</t>
  </si>
  <si>
    <t>00:40:05</t>
  </si>
  <si>
    <t>15:27:52</t>
  </si>
  <si>
    <t>16:07:57</t>
  </si>
  <si>
    <t>16:08:02</t>
  </si>
  <si>
    <t>16:25:08</t>
  </si>
  <si>
    <t>16:30:27</t>
  </si>
  <si>
    <t>16:31:01</t>
  </si>
  <si>
    <t>16:58:42</t>
  </si>
  <si>
    <t>00:27:40</t>
  </si>
  <si>
    <t>16:58:57</t>
  </si>
  <si>
    <t>17:26:37</t>
  </si>
  <si>
    <t>00:10:57</t>
  </si>
  <si>
    <t>17:26:45</t>
  </si>
  <si>
    <t>17:37:42</t>
  </si>
  <si>
    <t>08:30:15</t>
  </si>
  <si>
    <t>09:00:40</t>
  </si>
  <si>
    <t>09:06:41</t>
  </si>
  <si>
    <t>00:13:54</t>
  </si>
  <si>
    <t>09:06:48</t>
  </si>
  <si>
    <t>09:20:42</t>
  </si>
  <si>
    <t>00:43:11</t>
  </si>
  <si>
    <t>09:20:45</t>
  </si>
  <si>
    <t>10:03:56</t>
  </si>
  <si>
    <t>00:03:35</t>
  </si>
  <si>
    <t>10:03:58</t>
  </si>
  <si>
    <t>10:07:33</t>
  </si>
  <si>
    <t>01:10:41</t>
  </si>
  <si>
    <t>10:07:36</t>
  </si>
  <si>
    <t>11:18:17</t>
  </si>
  <si>
    <t>00:10:06</t>
  </si>
  <si>
    <t>11:18:19</t>
  </si>
  <si>
    <t>11:24:50</t>
  </si>
  <si>
    <t>00:10:58</t>
  </si>
  <si>
    <t>11:24:56</t>
  </si>
  <si>
    <t>11:35:54</t>
  </si>
  <si>
    <t>00:07:41</t>
  </si>
  <si>
    <t>11:35:56</t>
  </si>
  <si>
    <t>00:16:35</t>
  </si>
  <si>
    <t>11:43:51</t>
  </si>
  <si>
    <t>12:00:26</t>
  </si>
  <si>
    <t>01:02:01</t>
  </si>
  <si>
    <t>12:00:29</t>
  </si>
  <si>
    <t>13:02:30</t>
  </si>
  <si>
    <t>00:33:00</t>
  </si>
  <si>
    <t>13:02:34</t>
  </si>
  <si>
    <t>13:35:34</t>
  </si>
  <si>
    <t>13:35:37</t>
  </si>
  <si>
    <t>13:37:27</t>
  </si>
  <si>
    <t>13:37:29</t>
  </si>
  <si>
    <t>14:09:30</t>
  </si>
  <si>
    <t>01:04:01</t>
  </si>
  <si>
    <t>14:10:40</t>
  </si>
  <si>
    <t>15:14:41</t>
  </si>
  <si>
    <t>15:16:08</t>
  </si>
  <si>
    <t>15:36:52</t>
  </si>
  <si>
    <t>00:35:01</t>
  </si>
  <si>
    <t>15:37:00</t>
  </si>
  <si>
    <t>16:12:01</t>
  </si>
  <si>
    <t>00:41:32</t>
  </si>
  <si>
    <t>16:12:42</t>
  </si>
  <si>
    <t>16:54:14</t>
  </si>
  <si>
    <t>00:37:32</t>
  </si>
  <si>
    <t>16:54:19</t>
  </si>
  <si>
    <t>01:27:58</t>
  </si>
  <si>
    <t>09:13:49</t>
  </si>
  <si>
    <t>11:40:31</t>
  </si>
  <si>
    <t>00:43:59</t>
  </si>
  <si>
    <t>00:19:25</t>
  </si>
  <si>
    <t>11:40:49</t>
  </si>
  <si>
    <t>12:00:17</t>
  </si>
  <si>
    <t>12:58:23</t>
  </si>
  <si>
    <t>00:56:19</t>
  </si>
  <si>
    <t>12:58:27</t>
  </si>
  <si>
    <t>13:54:46</t>
  </si>
  <si>
    <t>13:54:49</t>
  </si>
  <si>
    <t>14:54:35</t>
  </si>
  <si>
    <t>01:05:49</t>
  </si>
  <si>
    <t>14:54:48</t>
  </si>
  <si>
    <t>16:00:44</t>
  </si>
  <si>
    <t>16:18:45</t>
  </si>
  <si>
    <t>00:14:20</t>
  </si>
  <si>
    <t>16:19:18</t>
  </si>
  <si>
    <t>16:33:41</t>
  </si>
  <si>
    <t>16:45:01</t>
  </si>
  <si>
    <t>C1010120</t>
  </si>
  <si>
    <t>00:36:18</t>
  </si>
  <si>
    <t>16:45:30</t>
  </si>
  <si>
    <t>17:21:48</t>
  </si>
  <si>
    <t>9940050601007677C1010120</t>
  </si>
  <si>
    <t>17:21:57</t>
  </si>
  <si>
    <t>17:31:41</t>
  </si>
  <si>
    <t>09:53:33</t>
  </si>
  <si>
    <t>10:00:02</t>
  </si>
  <si>
    <t>00:52:15</t>
  </si>
  <si>
    <t>10:00:05</t>
  </si>
  <si>
    <t>10:52:20</t>
  </si>
  <si>
    <t>08:20:25</t>
  </si>
  <si>
    <t>08:40:28</t>
  </si>
  <si>
    <t>00:20:13</t>
  </si>
  <si>
    <t>08:40:30</t>
  </si>
  <si>
    <t>00:01:04</t>
  </si>
  <si>
    <t>09:00:44</t>
  </si>
  <si>
    <t>09:01:48</t>
  </si>
  <si>
    <t>00:06:34</t>
  </si>
  <si>
    <t>09:01:52</t>
  </si>
  <si>
    <t>09:08:26</t>
  </si>
  <si>
    <t>09:09:05</t>
  </si>
  <si>
    <t>09:24:26</t>
  </si>
  <si>
    <t>00:36:17</t>
  </si>
  <si>
    <t>09:24:38</t>
  </si>
  <si>
    <t>10:00:55</t>
  </si>
  <si>
    <t>E2010013</t>
  </si>
  <si>
    <t>00:29:42</t>
  </si>
  <si>
    <t>10:01:00</t>
  </si>
  <si>
    <t>10:30:42</t>
  </si>
  <si>
    <t>9940050601007677E2010013</t>
  </si>
  <si>
    <t>00:24:25</t>
  </si>
  <si>
    <t>10:55:33</t>
  </si>
  <si>
    <t>00:25:09</t>
  </si>
  <si>
    <t>10:55:39</t>
  </si>
  <si>
    <t>11:20:48</t>
  </si>
  <si>
    <t>00:23:02</t>
  </si>
  <si>
    <t>11:20:51</t>
  </si>
  <si>
    <t>11:43:53</t>
  </si>
  <si>
    <t>11:44:13</t>
  </si>
  <si>
    <t>00:20:36</t>
  </si>
  <si>
    <t>11:49:05</t>
  </si>
  <si>
    <t>12:09:41</t>
  </si>
  <si>
    <t>00:46:39</t>
  </si>
  <si>
    <t>12:09:45</t>
  </si>
  <si>
    <t>12:56:24</t>
  </si>
  <si>
    <t>00:41:01</t>
  </si>
  <si>
    <t>13:37:32</t>
  </si>
  <si>
    <t>00:09:48</t>
  </si>
  <si>
    <t>13:38:29</t>
  </si>
  <si>
    <t>13:48:17</t>
  </si>
  <si>
    <t>00:39:01</t>
  </si>
  <si>
    <t>13:48:19</t>
  </si>
  <si>
    <t>14:27:20</t>
  </si>
  <si>
    <t>00:12:43</t>
  </si>
  <si>
    <t>14:27:55</t>
  </si>
  <si>
    <t>14:40:38</t>
  </si>
  <si>
    <t>00:35:36</t>
  </si>
  <si>
    <t>14:40:50</t>
  </si>
  <si>
    <t>15:16:26</t>
  </si>
  <si>
    <t>00:14:52</t>
  </si>
  <si>
    <t>15:16:30</t>
  </si>
  <si>
    <t>15:31:22</t>
  </si>
  <si>
    <t>00:42:51</t>
  </si>
  <si>
    <t>15:31:25</t>
  </si>
  <si>
    <t>16:14:16</t>
  </si>
  <si>
    <t>16:14:20</t>
  </si>
  <si>
    <t>16:30:13</t>
  </si>
  <si>
    <t>16:30:17</t>
  </si>
  <si>
    <t>16:43:18</t>
  </si>
  <si>
    <t>00:13:26</t>
  </si>
  <si>
    <t>16:43:57</t>
  </si>
  <si>
    <t>16:57:23</t>
  </si>
  <si>
    <t>16:57:29</t>
  </si>
  <si>
    <t>17:00:19</t>
  </si>
  <si>
    <t>17:16:42</t>
  </si>
  <si>
    <t>00:07:04</t>
  </si>
  <si>
    <t>17:16:46</t>
  </si>
  <si>
    <t>17:23:50</t>
  </si>
  <si>
    <t>00:06:41</t>
  </si>
  <si>
    <t>17:23:54</t>
  </si>
  <si>
    <t>17:30:35</t>
  </si>
  <si>
    <t>00:13:53</t>
  </si>
  <si>
    <t>08:25:08</t>
  </si>
  <si>
    <t>08:39:01</t>
  </si>
  <si>
    <t>00:11:45</t>
  </si>
  <si>
    <t>08:39:48</t>
  </si>
  <si>
    <t>08:51:36</t>
  </si>
  <si>
    <t>09:11:13</t>
  </si>
  <si>
    <t>00:06:51</t>
  </si>
  <si>
    <t>09:11:17</t>
  </si>
  <si>
    <t>09:18:08</t>
  </si>
  <si>
    <t>00:31:12</t>
  </si>
  <si>
    <t>09:18:11</t>
  </si>
  <si>
    <t>09:49:23</t>
  </si>
  <si>
    <t>00:10:24</t>
  </si>
  <si>
    <t>09:49:27</t>
  </si>
  <si>
    <t>09:59:04</t>
  </si>
  <si>
    <t>00:04:42</t>
  </si>
  <si>
    <t>09:59:10</t>
  </si>
  <si>
    <t>10:03:52</t>
  </si>
  <si>
    <t>00:29:32</t>
  </si>
  <si>
    <t>10:03:59</t>
  </si>
  <si>
    <t>10:33:31</t>
  </si>
  <si>
    <t>00:05:54</t>
  </si>
  <si>
    <t>01:03:17</t>
  </si>
  <si>
    <t>10:33:33</t>
  </si>
  <si>
    <t>11:36:50</t>
  </si>
  <si>
    <t>11:36:53</t>
  </si>
  <si>
    <t>11:43:00</t>
  </si>
  <si>
    <t>11:43:04</t>
  </si>
  <si>
    <t>12:00:18</t>
  </si>
  <si>
    <t>01:02:14</t>
  </si>
  <si>
    <t>12:00:21</t>
  </si>
  <si>
    <t>13:02:35</t>
  </si>
  <si>
    <t>13:02:37</t>
  </si>
  <si>
    <t>13:30:01</t>
  </si>
  <si>
    <t>00:07:11</t>
  </si>
  <si>
    <t>13:30:05</t>
  </si>
  <si>
    <t>13:37:16</t>
  </si>
  <si>
    <t>02:05:20</t>
  </si>
  <si>
    <t>13:38:19</t>
  </si>
  <si>
    <t>15:43:39</t>
  </si>
  <si>
    <t>00:14:36</t>
  </si>
  <si>
    <t>15:43:47</t>
  </si>
  <si>
    <t>15:58:23</t>
  </si>
  <si>
    <t>00:11:37</t>
  </si>
  <si>
    <t>16:10:02</t>
  </si>
  <si>
    <t>16:10:45</t>
  </si>
  <si>
    <t>16:21:46</t>
  </si>
  <si>
    <t>00:20:45</t>
  </si>
  <si>
    <t>16:22:53</t>
  </si>
  <si>
    <t>16:43:38</t>
  </si>
  <si>
    <t>16:43:42</t>
  </si>
  <si>
    <t>16:58:29</t>
  </si>
  <si>
    <t>00:31:26</t>
  </si>
  <si>
    <t>16:58:32</t>
  </si>
  <si>
    <t>17:29:58</t>
  </si>
  <si>
    <t>08:28:26</t>
  </si>
  <si>
    <t>08:39:40</t>
  </si>
  <si>
    <t>08:52:14</t>
  </si>
  <si>
    <t>00:22:22</t>
  </si>
  <si>
    <t>08:52:46</t>
  </si>
  <si>
    <t>09:19:06</t>
  </si>
  <si>
    <t>00:03:58</t>
  </si>
  <si>
    <t>09:19:09</t>
  </si>
  <si>
    <t>09:41:05</t>
  </si>
  <si>
    <t>00:28:59</t>
  </si>
  <si>
    <t>09:41:10</t>
  </si>
  <si>
    <t>10:10:09</t>
  </si>
  <si>
    <t>10:15:02</t>
  </si>
  <si>
    <t>10:15:07</t>
  </si>
  <si>
    <t>10:35:34</t>
  </si>
  <si>
    <t>00:30:36</t>
  </si>
  <si>
    <t>10:35:48</t>
  </si>
  <si>
    <t>11:06:24</t>
  </si>
  <si>
    <t>11:06:29</t>
  </si>
  <si>
    <t>11:18:20</t>
  </si>
  <si>
    <t>00:19:47</t>
  </si>
  <si>
    <t>11:38:33</t>
  </si>
  <si>
    <t>01:03:01</t>
  </si>
  <si>
    <t>12:00:19</t>
  </si>
  <si>
    <t>13:03:20</t>
  </si>
  <si>
    <t>01:33:08</t>
  </si>
  <si>
    <t>14:36:31</t>
  </si>
  <si>
    <t>00:47:47</t>
  </si>
  <si>
    <t>14:36:34</t>
  </si>
  <si>
    <t>15:24:21</t>
  </si>
  <si>
    <t>01:05:43</t>
  </si>
  <si>
    <t>15:24:23</t>
  </si>
  <si>
    <t>16:30:06</t>
  </si>
  <si>
    <t>16:30:09</t>
  </si>
  <si>
    <t>16:44:29</t>
  </si>
  <si>
    <t>16:44:37</t>
  </si>
  <si>
    <t>16:59:45</t>
  </si>
  <si>
    <t>16:59:52</t>
  </si>
  <si>
    <t>17:29:22</t>
  </si>
  <si>
    <t>00:02:52</t>
  </si>
  <si>
    <t>17:29:26</t>
  </si>
  <si>
    <t>17:32:18</t>
  </si>
  <si>
    <t>09:04:27</t>
  </si>
  <si>
    <t>14:24:32</t>
  </si>
  <si>
    <t>15:00:35</t>
  </si>
  <si>
    <t>17:10:55</t>
  </si>
  <si>
    <t>17:31:57</t>
  </si>
  <si>
    <t>02:03:19</t>
  </si>
  <si>
    <t>15:00:45</t>
  </si>
  <si>
    <t>17:04:04</t>
  </si>
  <si>
    <t>00:06:45</t>
  </si>
  <si>
    <t>17:04:07</t>
  </si>
  <si>
    <t>17:10:52</t>
  </si>
  <si>
    <t>01:00:37</t>
  </si>
  <si>
    <t>11:54:03</t>
  </si>
  <si>
    <t>12:54:40</t>
  </si>
  <si>
    <t>01:28:17</t>
  </si>
  <si>
    <t>14:24:16</t>
  </si>
  <si>
    <t>00:04:12</t>
  </si>
  <si>
    <t>14:57:35</t>
  </si>
  <si>
    <t>15:01:47</t>
  </si>
  <si>
    <t>16:59:20</t>
  </si>
  <si>
    <t>17:19:53</t>
  </si>
  <si>
    <t>10:52:27</t>
  </si>
  <si>
    <t>11:32:09</t>
  </si>
  <si>
    <t>13:44:18</t>
  </si>
  <si>
    <t>14:20:31</t>
  </si>
  <si>
    <t>00:07:15</t>
  </si>
  <si>
    <t>00:28:08</t>
  </si>
  <si>
    <t>14:20:36</t>
  </si>
  <si>
    <t>14:48:44</t>
  </si>
  <si>
    <t>00:04:45</t>
  </si>
  <si>
    <t>14:48:47</t>
  </si>
  <si>
    <t>14:53:32</t>
  </si>
  <si>
    <t>00:49:34</t>
  </si>
  <si>
    <t>09:47:56</t>
  </si>
  <si>
    <t>10:52:18</t>
  </si>
  <si>
    <t>00:14:48</t>
  </si>
  <si>
    <t>00:12:44</t>
  </si>
  <si>
    <t>08:56:36</t>
  </si>
  <si>
    <t>09:12:52</t>
  </si>
  <si>
    <t>00:03:32</t>
  </si>
  <si>
    <t>00:17:11</t>
  </si>
  <si>
    <t>09:13:09</t>
  </si>
  <si>
    <t>09:30:20</t>
  </si>
  <si>
    <t>09:30:27</t>
  </si>
  <si>
    <t>09:47:27</t>
  </si>
  <si>
    <t>13:03:02</t>
  </si>
  <si>
    <t>13:22:05</t>
  </si>
  <si>
    <t>00:08:46</t>
  </si>
  <si>
    <t>13:22:08</t>
  </si>
  <si>
    <t>13:30:54</t>
  </si>
  <si>
    <t>13:30:56</t>
  </si>
  <si>
    <t>13:43:57</t>
  </si>
  <si>
    <t>01:57:19</t>
  </si>
  <si>
    <t>15:01:58</t>
  </si>
  <si>
    <t>09:00:25</t>
  </si>
  <si>
    <t>14:53:34</t>
  </si>
  <si>
    <t>14:57:32</t>
  </si>
  <si>
    <t>17:19:56</t>
  </si>
  <si>
    <t>17:32:22</t>
  </si>
  <si>
    <t>08:26:40</t>
  </si>
  <si>
    <t>10:00:04</t>
  </si>
  <si>
    <t>10:14:52</t>
  </si>
  <si>
    <t>11:32:15</t>
  </si>
  <si>
    <t>11:39:58</t>
  </si>
  <si>
    <t>01:02:53</t>
  </si>
  <si>
    <t>12:00:06</t>
  </si>
  <si>
    <t>13:02:59</t>
  </si>
  <si>
    <t>16:25:10</t>
  </si>
  <si>
    <t>16:02:25</t>
  </si>
  <si>
    <t>16:12:41</t>
  </si>
  <si>
    <t>00:12:19</t>
  </si>
  <si>
    <t>16:12:43</t>
  </si>
  <si>
    <t>16:25:02</t>
  </si>
  <si>
    <t>00:10:17</t>
  </si>
  <si>
    <t>09:22:44</t>
  </si>
  <si>
    <t>09:33:01</t>
  </si>
  <si>
    <t>09:22:43</t>
  </si>
  <si>
    <t>09:33:03</t>
  </si>
  <si>
    <t>09:40:17</t>
  </si>
  <si>
    <t>00:10:18</t>
  </si>
  <si>
    <t>09:45:45</t>
  </si>
  <si>
    <t>09:56:03</t>
  </si>
  <si>
    <t>00:17:33</t>
  </si>
  <si>
    <t>14:36:08</t>
  </si>
  <si>
    <t>14:53:41</t>
  </si>
  <si>
    <t>00:13:27</t>
  </si>
  <si>
    <t>15:17:07</t>
  </si>
  <si>
    <t>15:30:34</t>
  </si>
  <si>
    <t>00:19:22</t>
  </si>
  <si>
    <t>15:50:06</t>
  </si>
  <si>
    <t>00:17:08</t>
  </si>
  <si>
    <t>16:57:58</t>
  </si>
  <si>
    <t>17:15:06</t>
  </si>
  <si>
    <t>00:12:08</t>
  </si>
  <si>
    <t>15:50:08</t>
  </si>
  <si>
    <t>16:02:16</t>
  </si>
  <si>
    <t>00:16:46</t>
  </si>
  <si>
    <t>17:31:55</t>
  </si>
  <si>
    <t>00:32:46</t>
  </si>
  <si>
    <t>13:01:17</t>
  </si>
  <si>
    <t>13:34:03</t>
  </si>
  <si>
    <t>C2010056</t>
  </si>
  <si>
    <t>13:34:06</t>
  </si>
  <si>
    <t>13:52:11</t>
  </si>
  <si>
    <t>9940050601007677C2010056</t>
  </si>
  <si>
    <t>00:43:36</t>
  </si>
  <si>
    <t>13:52:15</t>
  </si>
  <si>
    <t>14:35:51</t>
  </si>
  <si>
    <t>14:53:49</t>
  </si>
  <si>
    <t>15:17:02</t>
  </si>
  <si>
    <t>02:03:06</t>
  </si>
  <si>
    <t>09:57:31</t>
  </si>
  <si>
    <t>00:43:51</t>
  </si>
  <si>
    <t>08:25:39</t>
  </si>
  <si>
    <t>09:09:30</t>
  </si>
  <si>
    <t>00:05:21</t>
  </si>
  <si>
    <t>09:40:19</t>
  </si>
  <si>
    <t>09:56:06</t>
  </si>
  <si>
    <t>09:57:29</t>
  </si>
  <si>
    <t>16:44:10</t>
  </si>
  <si>
    <t>16:57:54</t>
  </si>
  <si>
    <t>01:00:34</t>
  </si>
  <si>
    <t>13:01:13</t>
  </si>
  <si>
    <t>00:08:35</t>
  </si>
  <si>
    <t>08:27:21</t>
  </si>
  <si>
    <t>08:35:56</t>
  </si>
  <si>
    <t>00:30:40</t>
  </si>
  <si>
    <t>08:36:14</t>
  </si>
  <si>
    <t>09:06:54</t>
  </si>
  <si>
    <t>09:06:59</t>
  </si>
  <si>
    <t>09:07:00</t>
  </si>
  <si>
    <t>00:09:53</t>
  </si>
  <si>
    <t>09:07:05</t>
  </si>
  <si>
    <t>09:16:58</t>
  </si>
  <si>
    <t>00:12:40</t>
  </si>
  <si>
    <t>09:17:05</t>
  </si>
  <si>
    <t>09:29:45</t>
  </si>
  <si>
    <t>09:29:52</t>
  </si>
  <si>
    <t>09:48:21</t>
  </si>
  <si>
    <t>00:19:30</t>
  </si>
  <si>
    <t>09:48:23</t>
  </si>
  <si>
    <t>10:07:53</t>
  </si>
  <si>
    <t>00:19:43</t>
  </si>
  <si>
    <t>10:07:56</t>
  </si>
  <si>
    <t>10:27:39</t>
  </si>
  <si>
    <t>10:27:42</t>
  </si>
  <si>
    <t>11:13:42</t>
  </si>
  <si>
    <t>00:01:57</t>
  </si>
  <si>
    <t>11:13:49</t>
  </si>
  <si>
    <t>11:15:46</t>
  </si>
  <si>
    <t>00:08:22</t>
  </si>
  <si>
    <t>11:15:49</t>
  </si>
  <si>
    <t>11:24:11</t>
  </si>
  <si>
    <t>00:15:15</t>
  </si>
  <si>
    <t>11:24:17</t>
  </si>
  <si>
    <t>11:39:32</t>
  </si>
  <si>
    <t>00:06:37</t>
  </si>
  <si>
    <t>11:39:36</t>
  </si>
  <si>
    <t>11:46:13</t>
  </si>
  <si>
    <t>00:19:52</t>
  </si>
  <si>
    <t>11:46:17</t>
  </si>
  <si>
    <t>12:06:09</t>
  </si>
  <si>
    <t>12:06:13</t>
  </si>
  <si>
    <t>13:08:33</t>
  </si>
  <si>
    <t>00:28:15</t>
  </si>
  <si>
    <t>13:08:47</t>
  </si>
  <si>
    <t>13:37:02</t>
  </si>
  <si>
    <t>00:09:03</t>
  </si>
  <si>
    <t>13:37:06</t>
  </si>
  <si>
    <t>13:46:09</t>
  </si>
  <si>
    <t>13:46:12</t>
  </si>
  <si>
    <t>14:01:18</t>
  </si>
  <si>
    <t>02:00:02</t>
  </si>
  <si>
    <t>14:01:30</t>
  </si>
  <si>
    <t>16:01:32</t>
  </si>
  <si>
    <t>00:25:13</t>
  </si>
  <si>
    <t>16:01:56</t>
  </si>
  <si>
    <t>16:27:09</t>
  </si>
  <si>
    <t>16:27:17</t>
  </si>
  <si>
    <t>16:40:24</t>
  </si>
  <si>
    <t>00:22:59</t>
  </si>
  <si>
    <t>16:40:33</t>
  </si>
  <si>
    <t>17:03:32</t>
  </si>
  <si>
    <t>17:03:37</t>
  </si>
  <si>
    <t>17:30:38</t>
  </si>
  <si>
    <t>08:24:54</t>
  </si>
  <si>
    <t>08:41:55</t>
  </si>
  <si>
    <t>08:42:17</t>
  </si>
  <si>
    <t>08:58:11</t>
  </si>
  <si>
    <t>00:06:12</t>
  </si>
  <si>
    <t>08:58:17</t>
  </si>
  <si>
    <t>09:04:29</t>
  </si>
  <si>
    <t>00:58:43</t>
  </si>
  <si>
    <t>09:04:37</t>
  </si>
  <si>
    <t>10:03:20</t>
  </si>
  <si>
    <t>00:07:21</t>
  </si>
  <si>
    <t>10:03:27</t>
  </si>
  <si>
    <t>00:45:10</t>
  </si>
  <si>
    <t>10:10:55</t>
  </si>
  <si>
    <t>10:56:05</t>
  </si>
  <si>
    <t>00:22:35</t>
  </si>
  <si>
    <t>00:03:02</t>
  </si>
  <si>
    <t>10:56:18</t>
  </si>
  <si>
    <t>10:59:20</t>
  </si>
  <si>
    <t>00:51:05</t>
  </si>
  <si>
    <t>10:59:27</t>
  </si>
  <si>
    <t>11:50:32</t>
  </si>
  <si>
    <t>00:09:43</t>
  </si>
  <si>
    <t>11:50:35</t>
  </si>
  <si>
    <t>00:59:41</t>
  </si>
  <si>
    <t>13:00:01</t>
  </si>
  <si>
    <t>00:30:31</t>
  </si>
  <si>
    <t>13:30:36</t>
  </si>
  <si>
    <t>13:30:39</t>
  </si>
  <si>
    <t>13:50:59</t>
  </si>
  <si>
    <t>C2010050</t>
  </si>
  <si>
    <t>00:49:11</t>
  </si>
  <si>
    <t>13:51:02</t>
  </si>
  <si>
    <t>14:40:13</t>
  </si>
  <si>
    <t>9940050601007677C2010050</t>
  </si>
  <si>
    <t>00:25:35</t>
  </si>
  <si>
    <t>14:40:19</t>
  </si>
  <si>
    <t>15:05:54</t>
  </si>
  <si>
    <t>01:40:56</t>
  </si>
  <si>
    <t>15:06:04</t>
  </si>
  <si>
    <t>16:47:00</t>
  </si>
  <si>
    <t>00:23:52</t>
  </si>
  <si>
    <t>16:47:11</t>
  </si>
  <si>
    <t>17:11:03</t>
  </si>
  <si>
    <t>17:11:06</t>
  </si>
  <si>
    <t>00:02:27</t>
  </si>
  <si>
    <t>17:31:56</t>
  </si>
  <si>
    <t>17:34:23</t>
  </si>
  <si>
    <t>08:27:09</t>
  </si>
  <si>
    <t>08:49:08</t>
  </si>
  <si>
    <t>08:49:16</t>
  </si>
  <si>
    <t>09:04:35</t>
  </si>
  <si>
    <t>00:22:10</t>
  </si>
  <si>
    <t>09:27:14</t>
  </si>
  <si>
    <t>00:16:25</t>
  </si>
  <si>
    <t>09:27:23</t>
  </si>
  <si>
    <t>09:43:48</t>
  </si>
  <si>
    <t>09:43:50</t>
  </si>
  <si>
    <t>09:49:13</t>
  </si>
  <si>
    <t>09:49:19</t>
  </si>
  <si>
    <t>10:26:16</t>
  </si>
  <si>
    <t>00:48:14</t>
  </si>
  <si>
    <t>10:26:22</t>
  </si>
  <si>
    <t>11:14:36</t>
  </si>
  <si>
    <t>11:14:40</t>
  </si>
  <si>
    <t>11:22:54</t>
  </si>
  <si>
    <t>11:44:10</t>
  </si>
  <si>
    <t>11:44:17</t>
  </si>
  <si>
    <t>00:59:53</t>
  </si>
  <si>
    <t>12:01:16</t>
  </si>
  <si>
    <t>13:01:09</t>
  </si>
  <si>
    <t>00:45:33</t>
  </si>
  <si>
    <t>13:46:46</t>
  </si>
  <si>
    <t>13:46:49</t>
  </si>
  <si>
    <t>14:33:28</t>
  </si>
  <si>
    <t>01:01:34</t>
  </si>
  <si>
    <t>14:33:31</t>
  </si>
  <si>
    <t>15:35:05</t>
  </si>
  <si>
    <t>00:14:08</t>
  </si>
  <si>
    <t>15:35:18</t>
  </si>
  <si>
    <t>15:49:26</t>
  </si>
  <si>
    <t>15:50:02</t>
  </si>
  <si>
    <t>16:30:01</t>
  </si>
  <si>
    <t>16:30:07</t>
  </si>
  <si>
    <t>16:51:56</t>
  </si>
  <si>
    <t>16:52:01</t>
  </si>
  <si>
    <t>17:04:11</t>
  </si>
  <si>
    <t>17:17:24</t>
  </si>
  <si>
    <t>17:17:34</t>
  </si>
  <si>
    <t>17:49:08</t>
  </si>
  <si>
    <t>10:00:26</t>
  </si>
  <si>
    <t>10:12:13</t>
  </si>
  <si>
    <t>08:28:59</t>
  </si>
  <si>
    <t>08:41:54</t>
  </si>
  <si>
    <t>00:17:59</t>
  </si>
  <si>
    <t>08:41:58</t>
  </si>
  <si>
    <t>08:59:57</t>
  </si>
  <si>
    <t>00:07:37</t>
  </si>
  <si>
    <t>09:02:25</t>
  </si>
  <si>
    <t>09:10:02</t>
  </si>
  <si>
    <t>09:10:15</t>
  </si>
  <si>
    <t>09:25:16</t>
  </si>
  <si>
    <t>00:08:37</t>
  </si>
  <si>
    <t>09:25:47</t>
  </si>
  <si>
    <t>09:34:24</t>
  </si>
  <si>
    <t>09:34:31</t>
  </si>
  <si>
    <t>09:47:55</t>
  </si>
  <si>
    <t>00:26:22</t>
  </si>
  <si>
    <t>09:47:57</t>
  </si>
  <si>
    <t>10:14:19</t>
  </si>
  <si>
    <t>00:05:50</t>
  </si>
  <si>
    <t>10:14:22</t>
  </si>
  <si>
    <t>10:20:12</t>
  </si>
  <si>
    <t>00:16:38</t>
  </si>
  <si>
    <t>10:20:22</t>
  </si>
  <si>
    <t>10:37:00</t>
  </si>
  <si>
    <t>10:37:03</t>
  </si>
  <si>
    <t>10:54:17</t>
  </si>
  <si>
    <t>10:54:21</t>
  </si>
  <si>
    <t>11:11:05</t>
  </si>
  <si>
    <t>11:11:10</t>
  </si>
  <si>
    <t>11:19:34</t>
  </si>
  <si>
    <t>11:24:49</t>
  </si>
  <si>
    <t>11:24:55</t>
  </si>
  <si>
    <t>11:37:35</t>
  </si>
  <si>
    <t>00:25:31</t>
  </si>
  <si>
    <t>11:37:43</t>
  </si>
  <si>
    <t>12:03:14</t>
  </si>
  <si>
    <t>00:58:07</t>
  </si>
  <si>
    <t>12:03:16</t>
  </si>
  <si>
    <t>13:01:23</t>
  </si>
  <si>
    <t>14:03:29</t>
  </si>
  <si>
    <t>00:51:14</t>
  </si>
  <si>
    <t>14:03:38</t>
  </si>
  <si>
    <t>14:54:52</t>
  </si>
  <si>
    <t>14:54:56</t>
  </si>
  <si>
    <t>15:00:46</t>
  </si>
  <si>
    <t>00:45:20</t>
  </si>
  <si>
    <t>15:01:05</t>
  </si>
  <si>
    <t>15:46:25</t>
  </si>
  <si>
    <t>15:46:30</t>
  </si>
  <si>
    <t>15:55:12</t>
  </si>
  <si>
    <t>15:55:32</t>
  </si>
  <si>
    <t>00:13:21</t>
  </si>
  <si>
    <t>16:07:16</t>
  </si>
  <si>
    <t>16:20:37</t>
  </si>
  <si>
    <t>00:47:11</t>
  </si>
  <si>
    <t>16:20:43</t>
  </si>
  <si>
    <t>17:07:54</t>
  </si>
  <si>
    <t>00:07:52</t>
  </si>
  <si>
    <t>17:07:58</t>
  </si>
  <si>
    <t>17:36:43</t>
  </si>
  <si>
    <t>00:29:22</t>
  </si>
  <si>
    <t>08:31:10</t>
  </si>
  <si>
    <t>09:02:09</t>
  </si>
  <si>
    <t>C2010086</t>
  </si>
  <si>
    <t>00:58:42</t>
  </si>
  <si>
    <t>09:02:11</t>
  </si>
  <si>
    <t>10:00:53</t>
  </si>
  <si>
    <t>9940050601007677C2010086</t>
  </si>
  <si>
    <t>10:00:54</t>
  </si>
  <si>
    <t>10:22:50</t>
  </si>
  <si>
    <t>11:00:19</t>
  </si>
  <si>
    <t>00:41:28</t>
  </si>
  <si>
    <t>11:00:25</t>
  </si>
  <si>
    <t>11:41:53</t>
  </si>
  <si>
    <t>11:43:22</t>
  </si>
  <si>
    <t>11:52:08</t>
  </si>
  <si>
    <t>00:07:50</t>
  </si>
  <si>
    <t>11:52:57</t>
  </si>
  <si>
    <t>12:00:47</t>
  </si>
  <si>
    <t>00:59:08</t>
  </si>
  <si>
    <t>12:00:52</t>
  </si>
  <si>
    <t>01:01:26</t>
  </si>
  <si>
    <t>13:00:11</t>
  </si>
  <si>
    <t>14:01:37</t>
  </si>
  <si>
    <t>C2010065</t>
  </si>
  <si>
    <t>14:01:41</t>
  </si>
  <si>
    <t>14:30:59</t>
  </si>
  <si>
    <t>9940050601007677C2010065</t>
  </si>
  <si>
    <t>14:31:09</t>
  </si>
  <si>
    <t>15:02:10</t>
  </si>
  <si>
    <t>00:20:17</t>
  </si>
  <si>
    <t>15:02:59</t>
  </si>
  <si>
    <t>15:23:16</t>
  </si>
  <si>
    <t>00:43:00</t>
  </si>
  <si>
    <t>15:23:19</t>
  </si>
  <si>
    <t>16:06:19</t>
  </si>
  <si>
    <t>00:18:57</t>
  </si>
  <si>
    <t>16:06:23</t>
  </si>
  <si>
    <t>16:25:20</t>
  </si>
  <si>
    <t>16:25:24</t>
  </si>
  <si>
    <t>16:38:47</t>
  </si>
  <si>
    <t>16:38:55</t>
  </si>
  <si>
    <t>00:23:48</t>
  </si>
  <si>
    <t>16:40:13</t>
  </si>
  <si>
    <t>17:04:01</t>
  </si>
  <si>
    <t>00:29:35</t>
  </si>
  <si>
    <t>17:33:46</t>
  </si>
  <si>
    <t>00:34:41</t>
  </si>
  <si>
    <t>08:24:48</t>
  </si>
  <si>
    <t>08:59:29</t>
  </si>
  <si>
    <t>00:05:20</t>
  </si>
  <si>
    <t>08:59:31</t>
  </si>
  <si>
    <t>09:04:51</t>
  </si>
  <si>
    <t>C2010003</t>
  </si>
  <si>
    <t>02:54:32</t>
  </si>
  <si>
    <t>12:00:05</t>
  </si>
  <si>
    <t>9940050601007677C2010003</t>
  </si>
  <si>
    <t>D0010003</t>
  </si>
  <si>
    <t>01:01:19</t>
  </si>
  <si>
    <t>12:00:10</t>
  </si>
  <si>
    <t>9940050601007677D0010003</t>
  </si>
  <si>
    <t>00:43:14</t>
  </si>
  <si>
    <t>13:01:44</t>
  </si>
  <si>
    <t>13:44:58</t>
  </si>
  <si>
    <t>00:35:18</t>
  </si>
  <si>
    <t>13:45:00</t>
  </si>
  <si>
    <t>14:20:18</t>
  </si>
  <si>
    <t>C2010066</t>
  </si>
  <si>
    <t>01:32:18</t>
  </si>
  <si>
    <t>15:52:39</t>
  </si>
  <si>
    <t>9940050601007677C2010066</t>
  </si>
  <si>
    <t>15:52:42</t>
  </si>
  <si>
    <t>16:00:43</t>
  </si>
  <si>
    <t>00:23:10</t>
  </si>
  <si>
    <t>16:00:52</t>
  </si>
  <si>
    <t>16:24:02</t>
  </si>
  <si>
    <t>16:24:38</t>
  </si>
  <si>
    <t>16:39:44</t>
  </si>
  <si>
    <t>C1010040</t>
  </si>
  <si>
    <t>00:35:25</t>
  </si>
  <si>
    <t>16:39:50</t>
  </si>
  <si>
    <t>9940050601007677C1010040</t>
  </si>
  <si>
    <t>00:14:06</t>
  </si>
  <si>
    <t>17:15:20</t>
  </si>
  <si>
    <t>00:15:11</t>
  </si>
  <si>
    <t>08:45:11</t>
  </si>
  <si>
    <t>00:32:52</t>
  </si>
  <si>
    <t>09:19:13</t>
  </si>
  <si>
    <t>09:19:22</t>
  </si>
  <si>
    <t>10:04:16</t>
  </si>
  <si>
    <t>00:04:26</t>
  </si>
  <si>
    <t>10:08:44</t>
  </si>
  <si>
    <t>10:08:51</t>
  </si>
  <si>
    <t>10:16:12</t>
  </si>
  <si>
    <t>10:16:24</t>
  </si>
  <si>
    <t>10:31:02</t>
  </si>
  <si>
    <t>10:31:06</t>
  </si>
  <si>
    <t>10:40:12</t>
  </si>
  <si>
    <t>10:40:18</t>
  </si>
  <si>
    <t>10:50:31</t>
  </si>
  <si>
    <t>00:01:13</t>
  </si>
  <si>
    <t>10:51:01</t>
  </si>
  <si>
    <t>10:52:14</t>
  </si>
  <si>
    <t>11:01:48</t>
  </si>
  <si>
    <t>00:09:32</t>
  </si>
  <si>
    <t>11:01:50</t>
  </si>
  <si>
    <t>11:11:22</t>
  </si>
  <si>
    <t>00:24:11</t>
  </si>
  <si>
    <t>11:11:25</t>
  </si>
  <si>
    <t>11:35:36</t>
  </si>
  <si>
    <t>11:35:40</t>
  </si>
  <si>
    <t>11:44:24</t>
  </si>
  <si>
    <t>00:06:54</t>
  </si>
  <si>
    <t>11:44:36</t>
  </si>
  <si>
    <t>11:51:30</t>
  </si>
  <si>
    <t>11:51:35</t>
  </si>
  <si>
    <t>11:59:59</t>
  </si>
  <si>
    <t>01:01:23</t>
  </si>
  <si>
    <t>12:00:02</t>
  </si>
  <si>
    <t>13:01:25</t>
  </si>
  <si>
    <t>00:36:42</t>
  </si>
  <si>
    <t>13:38:20</t>
  </si>
  <si>
    <t>13:38:22</t>
  </si>
  <si>
    <t>14:19:55</t>
  </si>
  <si>
    <t>01:42:53</t>
  </si>
  <si>
    <t>14:20:06</t>
  </si>
  <si>
    <t>16:02:59</t>
  </si>
  <si>
    <t>00:16:41</t>
  </si>
  <si>
    <t>16:03:03</t>
  </si>
  <si>
    <t>16:19:44</t>
  </si>
  <si>
    <t>00:50:57</t>
  </si>
  <si>
    <t>16:19:47</t>
  </si>
  <si>
    <t>17:10:44</t>
  </si>
  <si>
    <t>00:16:59</t>
  </si>
  <si>
    <t>00:19:15</t>
  </si>
  <si>
    <t>17:10:48</t>
  </si>
  <si>
    <t>17:30:03</t>
  </si>
  <si>
    <t>00:25:21</t>
  </si>
  <si>
    <t>08:28:41</t>
  </si>
  <si>
    <t>08:54:02</t>
  </si>
  <si>
    <t>01:33:09</t>
  </si>
  <si>
    <t>08:54:06</t>
  </si>
  <si>
    <t>10:27:15</t>
  </si>
  <si>
    <t>00:31:03</t>
  </si>
  <si>
    <t>10:27:19</t>
  </si>
  <si>
    <t>10:30:57</t>
  </si>
  <si>
    <t>10:31:17</t>
  </si>
  <si>
    <t>10:44:22</t>
  </si>
  <si>
    <t>10:44:24</t>
  </si>
  <si>
    <t>10:53:17</t>
  </si>
  <si>
    <t>00:07:33</t>
  </si>
  <si>
    <t>10:53:20</t>
  </si>
  <si>
    <t>11:00:53</t>
  </si>
  <si>
    <t>11:00:55</t>
  </si>
  <si>
    <t>11:30:08</t>
  </si>
  <si>
    <t>12:02:17</t>
  </si>
  <si>
    <t>00:58:05</t>
  </si>
  <si>
    <t>12:02:50</t>
  </si>
  <si>
    <t>00:26:10</t>
  </si>
  <si>
    <t>13:00:58</t>
  </si>
  <si>
    <t>13:27:08</t>
  </si>
  <si>
    <t>13:27:13</t>
  </si>
  <si>
    <t>13:38:00</t>
  </si>
  <si>
    <t>13:38:05</t>
  </si>
  <si>
    <t>14:14:08</t>
  </si>
  <si>
    <t>14:14:13</t>
  </si>
  <si>
    <t>14:26:13</t>
  </si>
  <si>
    <t>00:34:18</t>
  </si>
  <si>
    <t>14:26:16</t>
  </si>
  <si>
    <t>15:00:34</t>
  </si>
  <si>
    <t>15:27:40</t>
  </si>
  <si>
    <t>00:26:49</t>
  </si>
  <si>
    <t>15:29:49</t>
  </si>
  <si>
    <t>15:56:38</t>
  </si>
  <si>
    <t>15:56:42</t>
  </si>
  <si>
    <t>00:53:51</t>
  </si>
  <si>
    <t>16:16:29</t>
  </si>
  <si>
    <t>17:10:20</t>
  </si>
  <si>
    <t>00:09:15</t>
  </si>
  <si>
    <t>17:10:31</t>
  </si>
  <si>
    <t>17:19:46</t>
  </si>
  <si>
    <t>17:34:59</t>
  </si>
  <si>
    <t>00:30:28</t>
  </si>
  <si>
    <t>08:21:53</t>
  </si>
  <si>
    <t>08:52:21</t>
  </si>
  <si>
    <t>01:07:43</t>
  </si>
  <si>
    <t>08:52:24</t>
  </si>
  <si>
    <t>10:00:07</t>
  </si>
  <si>
    <t>00:16:54</t>
  </si>
  <si>
    <t>10:17:03</t>
  </si>
  <si>
    <t>10:17:10</t>
  </si>
  <si>
    <t>10:19:46</t>
  </si>
  <si>
    <t>01:44:52</t>
  </si>
  <si>
    <t>10:19:48</t>
  </si>
  <si>
    <t>12:04:40</t>
  </si>
  <si>
    <t>00:57:51</t>
  </si>
  <si>
    <t>12:04:42</t>
  </si>
  <si>
    <t>13:02:33</t>
  </si>
  <si>
    <t>00:58:33</t>
  </si>
  <si>
    <t>14:01:13</t>
  </si>
  <si>
    <t>00:56:25</t>
  </si>
  <si>
    <t>14:01:19</t>
  </si>
  <si>
    <t>14:57:44</t>
  </si>
  <si>
    <t>00:18:48</t>
  </si>
  <si>
    <t>00:18:44</t>
  </si>
  <si>
    <t>14:57:46</t>
  </si>
  <si>
    <t>00:48:02</t>
  </si>
  <si>
    <t>15:16:34</t>
  </si>
  <si>
    <t>16:04:36</t>
  </si>
  <si>
    <t>00:24:01</t>
  </si>
  <si>
    <t>00:39:08</t>
  </si>
  <si>
    <t>16:05:04</t>
  </si>
  <si>
    <t>16:44:12</t>
  </si>
  <si>
    <t>16:44:18</t>
  </si>
  <si>
    <t>17:02:32</t>
  </si>
  <si>
    <t>00:08:31</t>
  </si>
  <si>
    <t>17:02:35</t>
  </si>
  <si>
    <t>00:11:49</t>
  </si>
  <si>
    <t>17:23:18</t>
  </si>
  <si>
    <t>17:31:16</t>
  </si>
  <si>
    <t>17:31:23</t>
  </si>
  <si>
    <t>08:20:58</t>
  </si>
  <si>
    <t>09:30:58</t>
  </si>
  <si>
    <t>00:25:25</t>
  </si>
  <si>
    <t>09:30:11</t>
  </si>
  <si>
    <t>09:55:36</t>
  </si>
  <si>
    <t>09:56:20</t>
  </si>
  <si>
    <t>10:19:33</t>
  </si>
  <si>
    <t>10:19:45</t>
  </si>
  <si>
    <t>10:49:30</t>
  </si>
  <si>
    <t>01:15:45</t>
  </si>
  <si>
    <t>10:49:34</t>
  </si>
  <si>
    <t>00:55:08</t>
  </si>
  <si>
    <t>12:05:26</t>
  </si>
  <si>
    <t>13:00:34</t>
  </si>
  <si>
    <t>00:52:51</t>
  </si>
  <si>
    <t>13:00:41</t>
  </si>
  <si>
    <t>13:53:32</t>
  </si>
  <si>
    <t>13:53:36</t>
  </si>
  <si>
    <t>14:52:49</t>
  </si>
  <si>
    <t>14:52:52</t>
  </si>
  <si>
    <t>15:00:28</t>
  </si>
  <si>
    <t>00:40:11</t>
  </si>
  <si>
    <t>15:00:30</t>
  </si>
  <si>
    <t>15:40:41</t>
  </si>
  <si>
    <t>15:40:01</t>
  </si>
  <si>
    <t>15:58:03</t>
  </si>
  <si>
    <t>15:58:27</t>
  </si>
  <si>
    <t>16:22:16</t>
  </si>
  <si>
    <t>16:22:20</t>
  </si>
  <si>
    <t>16:23:06</t>
  </si>
  <si>
    <t>00:13:40</t>
  </si>
  <si>
    <t>16:23:08</t>
  </si>
  <si>
    <t>16:36:48</t>
  </si>
  <si>
    <t>00:16:06</t>
  </si>
  <si>
    <t>16:36:54</t>
  </si>
  <si>
    <t>16:53:00</t>
  </si>
  <si>
    <t>16:53:06</t>
  </si>
  <si>
    <t>17:14:43</t>
  </si>
  <si>
    <t>00:31:24</t>
  </si>
  <si>
    <t>17:14:46</t>
  </si>
  <si>
    <t>17:46:10</t>
  </si>
  <si>
    <t>10:32:19</t>
  </si>
  <si>
    <t>10:42:45</t>
  </si>
  <si>
    <t>00:09:57</t>
  </si>
  <si>
    <t>08:25:54</t>
  </si>
  <si>
    <t>08:35:51</t>
  </si>
  <si>
    <t>08:35:53</t>
  </si>
  <si>
    <t>08:46:27</t>
  </si>
  <si>
    <t>01:09:12</t>
  </si>
  <si>
    <t>08:46:30</t>
  </si>
  <si>
    <t>09:57:44</t>
  </si>
  <si>
    <t>00:34:36</t>
  </si>
  <si>
    <t>00:02:02</t>
  </si>
  <si>
    <t>00:26:20</t>
  </si>
  <si>
    <t>09:57:48</t>
  </si>
  <si>
    <t>10:24:08</t>
  </si>
  <si>
    <t>10:24:12</t>
  </si>
  <si>
    <t>10:54:43</t>
  </si>
  <si>
    <t>00:30:59</t>
  </si>
  <si>
    <t>10:54:45</t>
  </si>
  <si>
    <t>11:25:44</t>
  </si>
  <si>
    <t>00:08:59</t>
  </si>
  <si>
    <t>11:25:46</t>
  </si>
  <si>
    <t>11:34:45</t>
  </si>
  <si>
    <t>00:58:48</t>
  </si>
  <si>
    <t>12:01:12</t>
  </si>
  <si>
    <t>00:32:12</t>
  </si>
  <si>
    <t>13:00:04</t>
  </si>
  <si>
    <t>13:32:16</t>
  </si>
  <si>
    <t>00:17:50</t>
  </si>
  <si>
    <t>13:32:18</t>
  </si>
  <si>
    <t>13:50:08</t>
  </si>
  <si>
    <t>13:50:11</t>
  </si>
  <si>
    <t>14:00:13</t>
  </si>
  <si>
    <t>14:00:17</t>
  </si>
  <si>
    <t>14:42:47</t>
  </si>
  <si>
    <t>00:20:09</t>
  </si>
  <si>
    <t>15:03:00</t>
  </si>
  <si>
    <t>15:03:02</t>
  </si>
  <si>
    <t>15:29:13</t>
  </si>
  <si>
    <t>00:42:56</t>
  </si>
  <si>
    <t>15:29:16</t>
  </si>
  <si>
    <t>16:12:12</t>
  </si>
  <si>
    <t>00:21:13</t>
  </si>
  <si>
    <t>16:12:15</t>
  </si>
  <si>
    <t>16:33:28</t>
  </si>
  <si>
    <t>00:31:27</t>
  </si>
  <si>
    <t>17:05:05</t>
  </si>
  <si>
    <t>00:25:44</t>
  </si>
  <si>
    <t>17:05:10</t>
  </si>
  <si>
    <t>17:30:54</t>
  </si>
  <si>
    <t>01:33:24</t>
  </si>
  <si>
    <t>09:54:22</t>
  </si>
  <si>
    <t>09:40:41</t>
  </si>
  <si>
    <t>09:54:42</t>
  </si>
  <si>
    <t>00:07:49</t>
  </si>
  <si>
    <t>09:55:00</t>
  </si>
  <si>
    <t>10:02:49</t>
  </si>
  <si>
    <t>00:08:26</t>
  </si>
  <si>
    <t>10:02:51</t>
  </si>
  <si>
    <t>10:11:17</t>
  </si>
  <si>
    <t>00:20:53</t>
  </si>
  <si>
    <t>10:32:13</t>
  </si>
  <si>
    <t>00:18:46</t>
  </si>
  <si>
    <t>10:32:17</t>
  </si>
  <si>
    <t>10:51:03</t>
  </si>
  <si>
    <t>00:56:31</t>
  </si>
  <si>
    <t>10:51:08</t>
  </si>
  <si>
    <t>11:47:39</t>
  </si>
  <si>
    <t>11:40:48</t>
  </si>
  <si>
    <t>11:48:12</t>
  </si>
  <si>
    <t>12:04:47</t>
  </si>
  <si>
    <t>12:04:49</t>
  </si>
  <si>
    <t>13:01:00</t>
  </si>
  <si>
    <t>13:01:06</t>
  </si>
  <si>
    <t>13:50:40</t>
  </si>
  <si>
    <t>13:50:42</t>
  </si>
  <si>
    <t>14:04:43</t>
  </si>
  <si>
    <t>01:04:30</t>
  </si>
  <si>
    <t>14:05:10</t>
  </si>
  <si>
    <t>15:09:40</t>
  </si>
  <si>
    <t>15:09:43</t>
  </si>
  <si>
    <t>15:22:53</t>
  </si>
  <si>
    <t>15:31:30</t>
  </si>
  <si>
    <t>15:31:32</t>
  </si>
  <si>
    <t>00:27:33</t>
  </si>
  <si>
    <t>15:51:27</t>
  </si>
  <si>
    <t>16:19:00</t>
  </si>
  <si>
    <t>16:19:14</t>
  </si>
  <si>
    <t>16:20:17</t>
  </si>
  <si>
    <t>16:20:22</t>
  </si>
  <si>
    <t>16:26:30</t>
  </si>
  <si>
    <t>16:34:21</t>
  </si>
  <si>
    <t>00:24:53</t>
  </si>
  <si>
    <t>16:34:25</t>
  </si>
  <si>
    <t>16:59:18</t>
  </si>
  <si>
    <t>00:01:29</t>
  </si>
  <si>
    <t>16:59:21</t>
  </si>
  <si>
    <t>17:00:50</t>
  </si>
  <si>
    <t>17:00:54</t>
  </si>
  <si>
    <t>17:03:52</t>
  </si>
  <si>
    <t>00:24:28</t>
  </si>
  <si>
    <t>17:03:58</t>
  </si>
  <si>
    <t>17:28:26</t>
  </si>
  <si>
    <t>17:28:30</t>
  </si>
  <si>
    <t>17:33:26</t>
  </si>
  <si>
    <t>17:33:31</t>
  </si>
  <si>
    <t>17:40:12</t>
  </si>
  <si>
    <t>00:38:01</t>
  </si>
  <si>
    <t>08:25:21</t>
  </si>
  <si>
    <t>09:09:28</t>
  </si>
  <si>
    <t>09:17:29</t>
  </si>
  <si>
    <t>00:42:35</t>
  </si>
  <si>
    <t>09:18:03</t>
  </si>
  <si>
    <t>10:00:38</t>
  </si>
  <si>
    <t>10:00:40</t>
  </si>
  <si>
    <t>10:25:00</t>
  </si>
  <si>
    <t>00:57:46</t>
  </si>
  <si>
    <t>10:25:11</t>
  </si>
  <si>
    <t>11:22:57</t>
  </si>
  <si>
    <t>00:42:11</t>
  </si>
  <si>
    <t>11:23:07</t>
  </si>
  <si>
    <t>12:05:18</t>
  </si>
  <si>
    <t>00:56:08</t>
  </si>
  <si>
    <t>00:48:38</t>
  </si>
  <si>
    <t>13:01:35</t>
  </si>
  <si>
    <t>13:50:13</t>
  </si>
  <si>
    <t>13:50:15</t>
  </si>
  <si>
    <t>13:55:00</t>
  </si>
  <si>
    <t>00:05:29</t>
  </si>
  <si>
    <t>13:55:08</t>
  </si>
  <si>
    <t>14:00:37</t>
  </si>
  <si>
    <t>14:01:10</t>
  </si>
  <si>
    <t>14:22:20</t>
  </si>
  <si>
    <t>14:22:26</t>
  </si>
  <si>
    <t>14:53:21</t>
  </si>
  <si>
    <t>14:54:00</t>
  </si>
  <si>
    <t>15:24:01</t>
  </si>
  <si>
    <t>00:22:34</t>
  </si>
  <si>
    <t>15:24:03</t>
  </si>
  <si>
    <t>15:46:37</t>
  </si>
  <si>
    <t>15:46:40</t>
  </si>
  <si>
    <t>16:17:33</t>
  </si>
  <si>
    <t>00:06:33</t>
  </si>
  <si>
    <t>00:03:16</t>
  </si>
  <si>
    <t>16:17:36</t>
  </si>
  <si>
    <t>16:20:52</t>
  </si>
  <si>
    <t>00:28:36</t>
  </si>
  <si>
    <t>16:20:57</t>
  </si>
  <si>
    <t>16:49:33</t>
  </si>
  <si>
    <t>00:25:05</t>
  </si>
  <si>
    <t>16:49:35</t>
  </si>
  <si>
    <t>00:45:23</t>
  </si>
  <si>
    <t>18:00:06</t>
  </si>
  <si>
    <t>16:03:54</t>
  </si>
  <si>
    <t>16:10:27</t>
  </si>
  <si>
    <t>01:02:37</t>
  </si>
  <si>
    <t>08:22:46</t>
  </si>
  <si>
    <t>09:25:23</t>
  </si>
  <si>
    <t>09:02:31</t>
  </si>
  <si>
    <t>09:25:32</t>
  </si>
  <si>
    <t>09:26:27</t>
  </si>
  <si>
    <t>09:53:00</t>
  </si>
  <si>
    <t>00:33:36</t>
  </si>
  <si>
    <t>09:53:56</t>
  </si>
  <si>
    <t>11:02:35</t>
  </si>
  <si>
    <t>00:35:03</t>
  </si>
  <si>
    <t>11:02:39</t>
  </si>
  <si>
    <t>11:38:11</t>
  </si>
  <si>
    <t>11:38:14</t>
  </si>
  <si>
    <t>11:41:57</t>
  </si>
  <si>
    <t>00:59:58</t>
  </si>
  <si>
    <t>12:02:26</t>
  </si>
  <si>
    <t>13:02:24</t>
  </si>
  <si>
    <t>00:43:15</t>
  </si>
  <si>
    <t>13:02:28</t>
  </si>
  <si>
    <t>13:45:43</t>
  </si>
  <si>
    <t>14:01:22</t>
  </si>
  <si>
    <t>14:01:25</t>
  </si>
  <si>
    <t>14:05:22</t>
  </si>
  <si>
    <t>02:05:06</t>
  </si>
  <si>
    <t>14:05:31</t>
  </si>
  <si>
    <t>16:10:37</t>
  </si>
  <si>
    <t>00:01:01</t>
  </si>
  <si>
    <t>16:11:44</t>
  </si>
  <si>
    <t>01:24:08</t>
  </si>
  <si>
    <t>16:11:51</t>
  </si>
  <si>
    <t>17:35:59</t>
  </si>
  <si>
    <t>17:36:02</t>
  </si>
  <si>
    <t>17:39:10</t>
  </si>
  <si>
    <t>00:08:51</t>
  </si>
  <si>
    <t>17:39:16</t>
  </si>
  <si>
    <t>17:48:07</t>
  </si>
  <si>
    <t>17:48:10</t>
  </si>
  <si>
    <t>18:00:50</t>
  </si>
  <si>
    <t>10:35:05</t>
  </si>
  <si>
    <t>08:29:13</t>
  </si>
  <si>
    <t>08:47:42</t>
  </si>
  <si>
    <t>00:46:34</t>
  </si>
  <si>
    <t>08:47:46</t>
  </si>
  <si>
    <t>09:39:49</t>
  </si>
  <si>
    <t>00:18:10</t>
  </si>
  <si>
    <t>09:39:52</t>
  </si>
  <si>
    <t>09:58:02</t>
  </si>
  <si>
    <t>00:39:17</t>
  </si>
  <si>
    <t>09:58:04</t>
  </si>
  <si>
    <t>10:37:21</t>
  </si>
  <si>
    <t>10:37:25</t>
  </si>
  <si>
    <t>10:58:51</t>
  </si>
  <si>
    <t>10:58:59</t>
  </si>
  <si>
    <t>11:20:58</t>
  </si>
  <si>
    <t>00:44:22</t>
  </si>
  <si>
    <t>11:21:01</t>
  </si>
  <si>
    <t>12:05:23</t>
  </si>
  <si>
    <t>00:56:29</t>
  </si>
  <si>
    <t>12:05:25</t>
  </si>
  <si>
    <t>13:01:54</t>
  </si>
  <si>
    <t>01:12:45</t>
  </si>
  <si>
    <t>13:01:58</t>
  </si>
  <si>
    <t>14:14:43</t>
  </si>
  <si>
    <t>14:14:47</t>
  </si>
  <si>
    <t>14:20:08</t>
  </si>
  <si>
    <t>00:28:01</t>
  </si>
  <si>
    <t>14:20:11</t>
  </si>
  <si>
    <t>14:48:12</t>
  </si>
  <si>
    <t>00:30:05</t>
  </si>
  <si>
    <t>14:48:31</t>
  </si>
  <si>
    <t>15:56:26</t>
  </si>
  <si>
    <t>00:37:50</t>
  </si>
  <si>
    <t>00:29:45</t>
  </si>
  <si>
    <t>15:56:30</t>
  </si>
  <si>
    <t>16:26:15</t>
  </si>
  <si>
    <t>00:09:46</t>
  </si>
  <si>
    <t>16:26:20</t>
  </si>
  <si>
    <t>16:36:06</t>
  </si>
  <si>
    <t>16:36:17</t>
  </si>
  <si>
    <t>00:02:23</t>
  </si>
  <si>
    <t>16:59:40</t>
  </si>
  <si>
    <t>17:02:03</t>
  </si>
  <si>
    <t>00:28:06</t>
  </si>
  <si>
    <t>17:02:10</t>
  </si>
  <si>
    <t>09:05:44</t>
  </si>
  <si>
    <t>E2010024</t>
  </si>
  <si>
    <t>9940050601007677E2010024</t>
  </si>
  <si>
    <t>08:27:50</t>
  </si>
  <si>
    <t>08:45:09</t>
  </si>
  <si>
    <t>08:50:45</t>
  </si>
  <si>
    <t>00:02:47</t>
  </si>
  <si>
    <t>00:02:38</t>
  </si>
  <si>
    <t>08:50:47</t>
  </si>
  <si>
    <t>08:53:25</t>
  </si>
  <si>
    <t>00:37:09</t>
  </si>
  <si>
    <t>08:53:29</t>
  </si>
  <si>
    <t>10:10:00</t>
  </si>
  <si>
    <t>09:40:08</t>
  </si>
  <si>
    <t>10:10:43</t>
  </si>
  <si>
    <t>10:46:22</t>
  </si>
  <si>
    <t>10:46:24</t>
  </si>
  <si>
    <t>10:50:51</t>
  </si>
  <si>
    <t>00:48:00</t>
  </si>
  <si>
    <t>10:50:56</t>
  </si>
  <si>
    <t>11:38:56</t>
  </si>
  <si>
    <t>11:38:59</t>
  </si>
  <si>
    <t>11:57:55</t>
  </si>
  <si>
    <t>00:57:10</t>
  </si>
  <si>
    <t>11:57:57</t>
  </si>
  <si>
    <t>12:55:07</t>
  </si>
  <si>
    <t>01:10:34</t>
  </si>
  <si>
    <t>12:55:11</t>
  </si>
  <si>
    <t>14:05:45</t>
  </si>
  <si>
    <t>00:29:15</t>
  </si>
  <si>
    <t>14:05:49</t>
  </si>
  <si>
    <t>14:35:04</t>
  </si>
  <si>
    <t>14:35:23</t>
  </si>
  <si>
    <t>14:44:07</t>
  </si>
  <si>
    <t>02:58:04</t>
  </si>
  <si>
    <t>14:44:17</t>
  </si>
  <si>
    <t>17:42:21</t>
  </si>
  <si>
    <t>09:39:40</t>
  </si>
  <si>
    <t>00:25:48</t>
  </si>
  <si>
    <t>08:25:59</t>
  </si>
  <si>
    <t>08:51:47</t>
  </si>
  <si>
    <t>00:28:55</t>
  </si>
  <si>
    <t>08:51:57</t>
  </si>
  <si>
    <t>09:20:52</t>
  </si>
  <si>
    <t>00:15:16</t>
  </si>
  <si>
    <t>09:20:59</t>
  </si>
  <si>
    <t>00:06:00</t>
  </si>
  <si>
    <t>09:42:26</t>
  </si>
  <si>
    <t>00:16:23</t>
  </si>
  <si>
    <t>09:42:34</t>
  </si>
  <si>
    <t>09:58:57</t>
  </si>
  <si>
    <t>09:59:01</t>
  </si>
  <si>
    <t>10:32:45</t>
  </si>
  <si>
    <t>10:51:09</t>
  </si>
  <si>
    <t>10:51:10</t>
  </si>
  <si>
    <t>10:51:48</t>
  </si>
  <si>
    <t>11:36:55</t>
  </si>
  <si>
    <t>11:37:04</t>
  </si>
  <si>
    <t>11:53:55</t>
  </si>
  <si>
    <t>00:04:18</t>
  </si>
  <si>
    <t>11:53:57</t>
  </si>
  <si>
    <t>11:58:15</t>
  </si>
  <si>
    <t>01:03:14</t>
  </si>
  <si>
    <t>11:58:18</t>
  </si>
  <si>
    <t>13:01:32</t>
  </si>
  <si>
    <t>00:53:47</t>
  </si>
  <si>
    <t>13:01:34</t>
  </si>
  <si>
    <t>13:55:21</t>
  </si>
  <si>
    <t>C2010047</t>
  </si>
  <si>
    <t>00:25:00</t>
  </si>
  <si>
    <t>13:55:24</t>
  </si>
  <si>
    <t>14:20:24</t>
  </si>
  <si>
    <t>9940050601007677C2010047</t>
  </si>
  <si>
    <t>01:00:31</t>
  </si>
  <si>
    <t>14:20:27</t>
  </si>
  <si>
    <t>15:20:58</t>
  </si>
  <si>
    <t>00:22:15</t>
  </si>
  <si>
    <t>15:21:04</t>
  </si>
  <si>
    <t>15:43:19</t>
  </si>
  <si>
    <t>00:31:09</t>
  </si>
  <si>
    <t>15:43:22</t>
  </si>
  <si>
    <t>16:14:31</t>
  </si>
  <si>
    <t>16:14:35</t>
  </si>
  <si>
    <t>16:29:09</t>
  </si>
  <si>
    <t>00:10:15</t>
  </si>
  <si>
    <t>16:30:15</t>
  </si>
  <si>
    <t>C1010054</t>
  </si>
  <si>
    <t>00:04:03</t>
  </si>
  <si>
    <t>16:40:46</t>
  </si>
  <si>
    <t>9940050601007677C1010054</t>
  </si>
  <si>
    <t>16:45:02</t>
  </si>
  <si>
    <t>16:54:03</t>
  </si>
  <si>
    <t>16:55:02</t>
  </si>
  <si>
    <t>17:34:42</t>
  </si>
  <si>
    <t>00:20:56</t>
  </si>
  <si>
    <t>17:05:13</t>
  </si>
  <si>
    <t>17:26:09</t>
  </si>
  <si>
    <t>00:18:11</t>
  </si>
  <si>
    <t>08:23:44</t>
  </si>
  <si>
    <t>08:42:00</t>
  </si>
  <si>
    <t>08:54:08</t>
  </si>
  <si>
    <t>01:15:53</t>
  </si>
  <si>
    <t>08:54:19</t>
  </si>
  <si>
    <t>10:40:06</t>
  </si>
  <si>
    <t>00:29:54</t>
  </si>
  <si>
    <t>00:35:13</t>
  </si>
  <si>
    <t>10:40:15</t>
  </si>
  <si>
    <t>11:15:28</t>
  </si>
  <si>
    <t>00:11:44</t>
  </si>
  <si>
    <t>00:13:49</t>
  </si>
  <si>
    <t>11:15:30</t>
  </si>
  <si>
    <t>11:29:19</t>
  </si>
  <si>
    <t>11:29:34</t>
  </si>
  <si>
    <t>11:54:09</t>
  </si>
  <si>
    <t>11:54:45</t>
  </si>
  <si>
    <t>12:01:30</t>
  </si>
  <si>
    <t>00:56:20</t>
  </si>
  <si>
    <t>12:01:32</t>
  </si>
  <si>
    <t>12:57:52</t>
  </si>
  <si>
    <t>01:04:36</t>
  </si>
  <si>
    <t>12:57:55</t>
  </si>
  <si>
    <t>14:02:31</t>
  </si>
  <si>
    <t>00:35:40</t>
  </si>
  <si>
    <t>14:03:09</t>
  </si>
  <si>
    <t>14:38:49</t>
  </si>
  <si>
    <t>00:29:01</t>
  </si>
  <si>
    <t>14:38:55</t>
  </si>
  <si>
    <t>16:08:32</t>
  </si>
  <si>
    <t>01:00:36</t>
  </si>
  <si>
    <t>01:11:35</t>
  </si>
  <si>
    <t>16:08:38</t>
  </si>
  <si>
    <t>17:21:12</t>
  </si>
  <si>
    <t>17:21:15</t>
  </si>
  <si>
    <t>17:29:44</t>
  </si>
  <si>
    <t>17:29:47</t>
  </si>
  <si>
    <t>17:30:46</t>
  </si>
  <si>
    <t>10:00:19</t>
  </si>
  <si>
    <t>10:30:13</t>
  </si>
  <si>
    <t>14:58:59</t>
  </si>
  <si>
    <t>15:59:35</t>
  </si>
  <si>
    <t>16:23:09</t>
  </si>
  <si>
    <t>16:24:08</t>
  </si>
  <si>
    <t>00:19:17</t>
  </si>
  <si>
    <t>08:23:20</t>
  </si>
  <si>
    <t>08:42:42</t>
  </si>
  <si>
    <t>09:20:41</t>
  </si>
  <si>
    <t>00:01:46</t>
  </si>
  <si>
    <t>00:39:05</t>
  </si>
  <si>
    <t>09:20:48</t>
  </si>
  <si>
    <t>09:59:53</t>
  </si>
  <si>
    <t>00:19:33</t>
  </si>
  <si>
    <t>00:04:35</t>
  </si>
  <si>
    <t>10:04:44</t>
  </si>
  <si>
    <t>10:04:49</t>
  </si>
  <si>
    <t>10:16:33</t>
  </si>
  <si>
    <t>00:25:33</t>
  </si>
  <si>
    <t>10:16:37</t>
  </si>
  <si>
    <t>10:56:59</t>
  </si>
  <si>
    <t>00:14:49</t>
  </si>
  <si>
    <t>10:57:02</t>
  </si>
  <si>
    <t>11:19:52</t>
  </si>
  <si>
    <t>11:19:55</t>
  </si>
  <si>
    <t>11:56:37</t>
  </si>
  <si>
    <t>11:56:51</t>
  </si>
  <si>
    <t>00:55:55</t>
  </si>
  <si>
    <t>12:06:38</t>
  </si>
  <si>
    <t>13:02:36</t>
  </si>
  <si>
    <t>13:41:51</t>
  </si>
  <si>
    <t>00:59:15</t>
  </si>
  <si>
    <t>13:41:54</t>
  </si>
  <si>
    <t>00:48:20</t>
  </si>
  <si>
    <t>14:41:13</t>
  </si>
  <si>
    <t>15:29:33</t>
  </si>
  <si>
    <t>00:12:56</t>
  </si>
  <si>
    <t>15:42:37</t>
  </si>
  <si>
    <t>00:11:58</t>
  </si>
  <si>
    <t>15:42:41</t>
  </si>
  <si>
    <t>15:54:39</t>
  </si>
  <si>
    <t>15:54:41</t>
  </si>
  <si>
    <t>16:09:10</t>
  </si>
  <si>
    <t>16:09:11</t>
  </si>
  <si>
    <t>16:35:12</t>
  </si>
  <si>
    <t>00:19:04</t>
  </si>
  <si>
    <t>16:35:14</t>
  </si>
  <si>
    <t>16:54:18</t>
  </si>
  <si>
    <t>16:54:22</t>
  </si>
  <si>
    <t>17:03:35</t>
  </si>
  <si>
    <t>17:03:39</t>
  </si>
  <si>
    <t>17:23:38</t>
  </si>
  <si>
    <t>00:07:25</t>
  </si>
  <si>
    <t>17:23:41</t>
  </si>
  <si>
    <t>10:31:22</t>
  </si>
  <si>
    <t>10:46:11</t>
  </si>
  <si>
    <t>稼働記録</t>
  </si>
  <si>
    <t>EnforceDate</t>
  </si>
  <si>
    <t>EnforceCenterStaffId</t>
  </si>
  <si>
    <t>CenterStaffKj</t>
  </si>
  <si>
    <t>2026/10/06</t>
  </si>
  <si>
    <t>30024096</t>
  </si>
  <si>
    <t>三浦　美穂(１次・OP)</t>
  </si>
  <si>
    <t>2</t>
  </si>
  <si>
    <t>案件処理件数一覧_20261006.xls</t>
  </si>
  <si>
    <t>4</t>
  </si>
  <si>
    <t>10019099</t>
  </si>
  <si>
    <t>小林　千夏(３次・管理)</t>
  </si>
  <si>
    <t>確認済締処理登録</t>
  </si>
  <si>
    <t>5</t>
  </si>
  <si>
    <t>12</t>
  </si>
  <si>
    <t>36</t>
  </si>
  <si>
    <t>22</t>
  </si>
  <si>
    <t>10025010</t>
  </si>
  <si>
    <t>市丸　澄伶(３次・管理)</t>
  </si>
  <si>
    <t>8</t>
  </si>
  <si>
    <t>20008200</t>
  </si>
  <si>
    <t>大場　恵美(２次・SV)</t>
  </si>
  <si>
    <t>ＳＶ承認</t>
  </si>
  <si>
    <t>1</t>
  </si>
  <si>
    <t>20008313</t>
  </si>
  <si>
    <t>田中　知奈(２次・SV)</t>
  </si>
  <si>
    <t>7</t>
  </si>
  <si>
    <t>20009346</t>
  </si>
  <si>
    <t>小野　史織(２次・SV)</t>
  </si>
  <si>
    <t>17</t>
  </si>
  <si>
    <t>20022032</t>
  </si>
  <si>
    <t>栗城 由香(２次・SV)</t>
  </si>
  <si>
    <t>3</t>
  </si>
  <si>
    <t>13</t>
  </si>
  <si>
    <t>20023056</t>
  </si>
  <si>
    <t>西村 美里(２次・SV)</t>
  </si>
  <si>
    <t>30008200</t>
  </si>
  <si>
    <t>大場　恵美(１次・OP)</t>
  </si>
  <si>
    <t>30008304</t>
  </si>
  <si>
    <t>兼田　真由美(１次・OP)</t>
  </si>
  <si>
    <t>30008305</t>
  </si>
  <si>
    <t>島　実加(１次・OP)</t>
  </si>
  <si>
    <t>10</t>
  </si>
  <si>
    <t>30011389</t>
  </si>
  <si>
    <t>問合せ(八木)</t>
  </si>
  <si>
    <t>30016544</t>
  </si>
  <si>
    <t>問合せ(藤本)</t>
  </si>
  <si>
    <t>30019592</t>
  </si>
  <si>
    <t>問合せ(穂満)</t>
  </si>
  <si>
    <t>6</t>
  </si>
  <si>
    <t>26</t>
  </si>
  <si>
    <t>19</t>
  </si>
  <si>
    <t>21</t>
  </si>
  <si>
    <t>30008313</t>
  </si>
  <si>
    <t>田中　知奈(１次・OP)</t>
  </si>
  <si>
    <t>30009346</t>
  </si>
  <si>
    <t>小野　史織(１次・OP)</t>
  </si>
  <si>
    <t>30012433</t>
  </si>
  <si>
    <t>伊藤　由紀子(１次・OP)</t>
  </si>
  <si>
    <t>2026/10/01</t>
  </si>
  <si>
    <t>25</t>
  </si>
  <si>
    <t>20008304</t>
  </si>
  <si>
    <t>兼田　真由美(２次・SV)</t>
  </si>
  <si>
    <t>11</t>
  </si>
  <si>
    <t>20012433</t>
  </si>
  <si>
    <t>伊藤　由紀子(２次・SV)</t>
  </si>
  <si>
    <t>20019099</t>
  </si>
  <si>
    <t>小林　千夏(２次・SV)</t>
  </si>
  <si>
    <t>15</t>
  </si>
  <si>
    <t>9</t>
  </si>
  <si>
    <t>33333333</t>
  </si>
  <si>
    <t>ＯＰ</t>
  </si>
  <si>
    <t>案件処理件数</t>
  </si>
  <si>
    <t>② 照合チェック（稼働記録の処理案件数 vs 案件処理件数一覧の ProcessCount）</t>
  </si>
  <si>
    <t>曜日</t>
  </si>
  <si>
    <t>キー</t>
  </si>
  <si>
    <t>金</t>
  </si>
  <si>
    <t>mika.shima|46297|住居|登録</t>
  </si>
  <si>
    <t>mika.shima|46297|扶養|登録</t>
  </si>
  <si>
    <t>mika.shima|46297|給与口座|登録</t>
  </si>
  <si>
    <t>月</t>
  </si>
  <si>
    <t>▲ 差3以上</t>
  </si>
  <si>
    <t>mika.shima|46300|通勤|登録</t>
  </si>
  <si>
    <t>照合した日：2026/10/02～2026/10/05（ProcessCount を取り込んだ日だけ）　差＝処理案件数－ProcessCount（片方にしかない場合は 0 として計算）</t>
  </si>
  <si>
    <t>■ CenterStaffKj が未入力の EID（照合されません）</t>
  </si>
  <si>
    <t>なし</t>
  </si>
  <si>
    <t>■ マスタ_担当者に紐づいていない氏名（件数データ）</t>
  </si>
  <si>
    <t>三浦　美穂</t>
  </si>
  <si>
    <t>小林　千夏</t>
  </si>
  <si>
    <t>市丸　澄伶</t>
  </si>
  <si>
    <t>大場　恵美</t>
  </si>
  <si>
    <t>田中　知奈</t>
  </si>
  <si>
    <t>小野　史織</t>
  </si>
  <si>
    <t>栗城 由香</t>
  </si>
  <si>
    <t>西村 美里</t>
  </si>
  <si>
    <t>兼田　真由美</t>
  </si>
  <si>
    <t>問合せ</t>
  </si>
  <si>
    <t>伊藤　由紀子</t>
  </si>
  <si>
    <t>4月</t>
  </si>
  <si>
    <t>5月</t>
  </si>
  <si>
    <t>6月</t>
  </si>
  <si>
    <t>7月</t>
  </si>
  <si>
    <t>8月</t>
  </si>
  <si>
    <t>9月</t>
  </si>
  <si>
    <t>10月</t>
  </si>
  <si>
    <t>4/3
(金)</t>
  </si>
  <si>
    <t>4/6
(月)</t>
  </si>
  <si>
    <t>4/7
(火)</t>
  </si>
  <si>
    <t>4/8
(水)</t>
  </si>
  <si>
    <t>4/10
(金)</t>
  </si>
  <si>
    <t>4/14
(火)</t>
  </si>
  <si>
    <t>4/15
(水)</t>
  </si>
  <si>
    <t>4/17
(金)</t>
  </si>
  <si>
    <t>4/20
(月)</t>
  </si>
  <si>
    <t>4/21
(火)</t>
  </si>
  <si>
    <t>4/22
(水)</t>
  </si>
  <si>
    <t>4/24
(金)</t>
  </si>
  <si>
    <t>4/27
(月)</t>
  </si>
  <si>
    <t>4/28
(火)</t>
  </si>
  <si>
    <t>5/1
(金)</t>
  </si>
  <si>
    <t>5/8
(金)</t>
  </si>
  <si>
    <t>5/11
(月)</t>
  </si>
  <si>
    <t>5/12
(火)</t>
  </si>
  <si>
    <t>5/13
(水)</t>
  </si>
  <si>
    <t>5/15
(金)</t>
  </si>
  <si>
    <t>5/18
(月)</t>
  </si>
  <si>
    <t>5/19
(火)</t>
  </si>
  <si>
    <t>5/20
(水)</t>
  </si>
  <si>
    <t>5/22
(金)</t>
  </si>
  <si>
    <t>5/25
(月)</t>
  </si>
  <si>
    <t>5/26
(火)</t>
  </si>
  <si>
    <t>5/27
(水)</t>
  </si>
  <si>
    <t>5/29
(金)</t>
  </si>
  <si>
    <t>6/1
(月)</t>
  </si>
  <si>
    <t>6/2
(火)</t>
  </si>
  <si>
    <t>6/3
(水)</t>
  </si>
  <si>
    <t>6/5
(金)</t>
  </si>
  <si>
    <t>6/8
(月)</t>
  </si>
  <si>
    <t>6/9
(火)</t>
  </si>
  <si>
    <t>6/12
(金)</t>
  </si>
  <si>
    <t>6/15
(月)</t>
  </si>
  <si>
    <t>6/16
(火)</t>
  </si>
  <si>
    <t>6/17
(水)</t>
  </si>
  <si>
    <t>6/19
(金)</t>
  </si>
  <si>
    <t>6/24
(水)</t>
  </si>
  <si>
    <t>6/25
(木)</t>
  </si>
  <si>
    <t>6/26
(金)</t>
  </si>
  <si>
    <t>6/29
(月)</t>
  </si>
  <si>
    <t>6/30
(火)</t>
  </si>
  <si>
    <t>7/1
(水)</t>
  </si>
  <si>
    <t>7/3
(金)</t>
  </si>
  <si>
    <t>7/7
(火)</t>
  </si>
  <si>
    <t>7/8
(水)</t>
  </si>
  <si>
    <t>7/13
(月)</t>
  </si>
  <si>
    <t>7/14
(火)</t>
  </si>
  <si>
    <t>7/15
(水)</t>
  </si>
  <si>
    <t>7/17
(金)</t>
  </si>
  <si>
    <t>7/21
(火)</t>
  </si>
  <si>
    <t>7/22
(水)</t>
  </si>
  <si>
    <t>7/24
(金)</t>
  </si>
  <si>
    <t>7/27
(月)</t>
  </si>
  <si>
    <t>7/28
(火)</t>
  </si>
  <si>
    <t>7/29
(水)</t>
  </si>
  <si>
    <t>7/31
(金)</t>
  </si>
  <si>
    <t>8/4
(火)</t>
  </si>
  <si>
    <t>8/5
(水)</t>
  </si>
  <si>
    <t>8/7
(金)</t>
  </si>
  <si>
    <t>8/17
(月)</t>
  </si>
  <si>
    <t>8/18
(火)</t>
  </si>
  <si>
    <t>8/21
(金)</t>
  </si>
  <si>
    <t>8/25
(火)</t>
  </si>
  <si>
    <t>8/26
(水)</t>
  </si>
  <si>
    <t>8/28
(金)</t>
  </si>
  <si>
    <t>9/2
(水)</t>
  </si>
  <si>
    <t>9/4
(金)</t>
  </si>
  <si>
    <t>9/7
(月)</t>
  </si>
  <si>
    <t>9/8
(火)</t>
  </si>
  <si>
    <t>9/9
(水)</t>
  </si>
  <si>
    <t>9/11
(金)</t>
  </si>
  <si>
    <t>9/14
(月)</t>
  </si>
  <si>
    <t>9/15
(火)</t>
  </si>
  <si>
    <t>9/16
(水)</t>
  </si>
  <si>
    <t>9/18
(金)</t>
  </si>
  <si>
    <t>9/25
(金)</t>
  </si>
  <si>
    <t>9/28
(月)</t>
  </si>
  <si>
    <t>9/29
(火)</t>
  </si>
  <si>
    <t>9/30
(水)</t>
  </si>
  <si>
    <t>10/2
(金)</t>
  </si>
  <si>
    <t>10/5
(月)</t>
  </si>
  <si>
    <t>■ 島 実加（mika.shima）</t>
  </si>
  <si>
    <t>住居 計</t>
  </si>
  <si>
    <t>扶養 計</t>
  </si>
  <si>
    <t>通勤 計</t>
  </si>
  <si>
    <t>給与口座 計</t>
  </si>
  <si>
    <t>■ 一覧の色分け（標準に対する比率）</t>
  </si>
  <si>
    <t>赤：標準の</t>
  </si>
  <si>
    <t>未満</t>
  </si>
  <si>
    <t>緑：標準の</t>
  </si>
  <si>
    <t>以上（その間は黄）</t>
  </si>
  <si>
    <t>・日別 ＝ その日の処理案件数 ÷ 所要時間 ／ 週別・月別 ＝ 数字が入っている日の 日別件/時 の平均（週は月曜はじまり）</t>
  </si>
  <si>
    <t>一覧_日別・一覧_週別・一覧_月別 … 見る ／ 照合チェック … ②の結果（確認メモは再実行しても残る）</t>
  </si>
  <si>
    <t>2026年</t>
  </si>
  <si>
    <t>3/30週</t>
  </si>
  <si>
    <t>4/6週</t>
  </si>
  <si>
    <t>4/13週</t>
  </si>
  <si>
    <t>4/20週</t>
  </si>
  <si>
    <t>4/27週</t>
  </si>
  <si>
    <t>5/4週</t>
  </si>
  <si>
    <t>5/11週</t>
  </si>
  <si>
    <t>5/18週</t>
  </si>
  <si>
    <t>5/25週</t>
  </si>
  <si>
    <t>6/1週</t>
  </si>
  <si>
    <t>6/8週</t>
  </si>
  <si>
    <t>6/15週</t>
  </si>
  <si>
    <t>6/22週</t>
  </si>
  <si>
    <t>6/29週</t>
  </si>
  <si>
    <t>7/6週</t>
  </si>
  <si>
    <t>7/13週</t>
  </si>
  <si>
    <t>7/20週</t>
  </si>
  <si>
    <t>7/27週</t>
  </si>
  <si>
    <t>8/3週</t>
  </si>
  <si>
    <t>8/17週</t>
  </si>
  <si>
    <t>8/24週</t>
  </si>
  <si>
    <t>8/31週</t>
  </si>
  <si>
    <t>9/7週</t>
  </si>
  <si>
    <t>9/14週</t>
  </si>
  <si>
    <t>9/21週</t>
  </si>
  <si>
    <t>9/28週</t>
  </si>
  <si>
    <t>10/5週</t>
  </si>
  <si>
    <t>3月</t>
  </si>
  <si>
    <t>大分類の標準
（件/時）</t>
  </si>
  <si>
    <t>■ このシートの使い方</t>
  </si>
  <si>
    <t>■ マスタのバックアップ</t>
  </si>
  <si>
    <t>・③ 集計のたびに「マスタ保存」シートへ自動で保存（マスタの件数が前回より減っているときは、消えた可能性があるので保存しない）</t>
  </si>
  <si>
    <t>・マスタを消してしまった・壊れたときは［マスタを復元］で保存した時点に戻す。件数を意図して減らしたときは［マスタを保存］で保存し直す</t>
  </si>
  <si>
    <t>マスタ_業務・標準・マスタ_担当者 … 手入力 ／ マスタ保存 … マスタのバックアップ（触らない）</t>
  </si>
  <si>
    <t>オレンジ枠：ProcessCountとの差3以上（コメント）</t>
  </si>
  <si>
    <t>マスタ保存（③ 集計のたびに自動保存／操作シートの［マスタを保存］で手動保存）　※このシートは触らない。元に戻すときは［マスタを復元］</t>
  </si>
  <si>
    <t>保存日時</t>
  </si>
  <si>
    <t>業務名の件数</t>
  </si>
  <si>
    <t>担当者の件数</t>
  </si>
  <si>
    <t>（復元用）</t>
  </si>
  <si>
    <t>■ マスタ_業務・標準</t>
  </si>
  <si>
    <t>■ マスタ_担当者</t>
  </si>
  <si>
    <t>参考値：全データ平均（2日分・2026/04/03～10/05）</t>
  </si>
  <si>
    <t>参考値：全データ平均（10日分・2026/04/03～10/05）</t>
  </si>
  <si>
    <t>参考値：全データ平均（11日分・2026/04/03～10/05）</t>
  </si>
  <si>
    <t>参考値：全データ平均（1日分・2026/04/03～10/05）</t>
  </si>
  <si>
    <t>参考値：全データ平均（20日分・2026/04/03～10/05）</t>
  </si>
  <si>
    <t>参考値：全データ平均（4日分・2026/04/03～10/05）</t>
  </si>
  <si>
    <t>参考値：全データ平均（21日分・2026/04/03～10/05）</t>
  </si>
  <si>
    <t>参考値：全データ平均（6日分・2026/04/03～10/05）</t>
  </si>
  <si>
    <t>参考値：全データ平均（9日分・2026/04/03～10/05）</t>
  </si>
  <si>
    <t>参考値：全データ平均（5日分・2026/04/03～10/05）</t>
  </si>
  <si>
    <t>参考値：全データ平均（22日分・2026/04/03～10/05）</t>
  </si>
  <si>
    <t>参考値：全データ平均（18日分・2026/04/03～10/05）</t>
  </si>
  <si>
    <t>参考値：全データ平均（8日分・2026/04/03～10/05）</t>
  </si>
  <si>
    <t>参考値：全データ平均（31日分・2026/04/03～10/05）</t>
  </si>
  <si>
    <t>参考値：全データ平均（12日分・2026/04/03～10/05）</t>
  </si>
  <si>
    <t>参考値：全データ平均（13日分・2026/04/03～10/05）</t>
  </si>
  <si>
    <t>参考値：全データ平均（15日分・2026/04/03～10/05）</t>
  </si>
  <si>
    <t>参考値：全データ平均（26日分・2026/04/03～10/05）</t>
  </si>
  <si>
    <t>参考値：全データ平均（14日分・2026/04/03～10/05）</t>
  </si>
  <si>
    <t>参考値：全データ平均（23日分・2026/04/03～10/05）</t>
  </si>
  <si>
    <t>表示名（一覧の行名）</t>
  </si>
  <si>
    <t>工程</t>
  </si>
  <si>
    <t>MatterType
（大分類）</t>
  </si>
  <si>
    <t>業務の標準
（件/時）</t>
  </si>
  <si>
    <t>大分類
（MatterType）</t>
  </si>
  <si>
    <t>A～I列：業務ID ごとの設定（1行＝1業務ID）。新しい業務IDは取込時に自動追加（A・B列がオレンジ＝要確認）</t>
  </si>
  <si>
    <t>　C列 表示名＝一覧の行名。同じ工程・同じ表示名の業務IDは一覧で1行に合算（分けたいときは表示名を変える）</t>
  </si>
  <si>
    <t>　D列 工程＝1次確認／2次確認など。一覧の合計表・個人別の区分になる</t>
  </si>
  <si>
    <t>　E～G列：MatterType（大分類）・Status（照合用）・集計対象（× は件/時に入れない：休憩・会議など）</t>
  </si>
  <si>
    <t>　H列＝業務の標準（件/時）。空欄なら一覧の明細行は色なし</t>
  </si>
  <si>
    <t>K～N列：工程×大分類ごとの標準（一覧の「○○ 計」の行の色分けに使用）</t>
  </si>
  <si>
    <t>黄色セルが手入力欄。標準・比率の変更は一覧に即反映。工程・表示名・大分類を直したら ③ 集計 をやり直す</t>
  </si>
  <si>
    <t>1次確認</t>
  </si>
  <si>
    <t>参考値：全データ平均（47日分・2026/04/03～10/05）</t>
  </si>
  <si>
    <t>2次確認</t>
  </si>
  <si>
    <t>2次確認の標準（未入力）</t>
  </si>
  <si>
    <t>1. 稼働記録（働記録_検索結果_出力データ_*.xlsx）と 案件処理件数一覧（*.xls）を「元ネタ」フォルダ直下に置く（何ファイルでも可）</t>
  </si>
  <si>
    <t>3. ［② 照合チェック］… 稼働記録の処理案件数 と ProcessCount を 人×日×MatterType×Status で比べ、差が3以上を表示（ProcessCount を取り込んだ日だけ）</t>
  </si>
  <si>
    <t>　　　　あわせて マスタの未入力（CenterStaffKj・MatterType・工程）も表示。必要ならマスタを直してから次へ</t>
  </si>
  <si>
    <t>4. ［③ 集計］… 「一覧_日別」「一覧_週別」「一覧_月別」に出力。上＝工程別の全員の処理件数 合計表、下＝個人別の 件/時（標準との比較で色分け）</t>
  </si>
  <si>
    <t>・色 ＝ 標準に対する比率：赤 90%未満／黄 90%以上110%未満／緑 110%以上（比率は「マスタ_業務・標準」Q2・Q3 で変更可）。オレンジ枠 ＝ ProcessCount との差3以上</t>
  </si>
  <si>
    <t>・標準は「マスタ_業務・標準」1枚で入力：業務＝H列、工程×大分類＝K～N列（空欄の行は色なし）</t>
  </si>
  <si>
    <t>・「マスタ_業務・標準」：業務ID ごとに 表示名・工程（1次確認／2次確認…）・MatterType・Status・集計対象・標準（新しい業務IDは自動追加。オレンジの行を確認）</t>
  </si>
  <si>
    <t>　同じ工程・同じ表示名の業務IDは一覧で1行に合算。分けて見たいときは表示名を変える</t>
  </si>
  <si>
    <t>■ MatterType が未設定の業務ID（集計対象○）</t>
  </si>
  <si>
    <t>■ 工程が未設定の業務ID（集計対象○）</t>
  </si>
  <si>
    <t>日別一覧（上：全員の処理件数 合計／下：個人別 件/時）</t>
  </si>
  <si>
    <t>値＝合計表＝その日の処理件数／個人別＝その日の件/時（処理案件数÷所要時間）　「-」（グレー）＝数字なし</t>
  </si>
  <si>
    <t>色の見方
（個人別）</t>
  </si>
  <si>
    <t>標準は
D列</t>
  </si>
  <si>
    <t>■ 全員の処理件数 合計：1次確認（件数）</t>
  </si>
  <si>
    <t>■ 個人別の 件/時（色＝標準との比較）</t>
  </si>
  <si>
    <t>件数</t>
  </si>
  <si>
    <t>週別一覧（上：全員の処理件数 合計／下：個人別 件/時）</t>
  </si>
  <si>
    <t>値＝合計表＝その週の処理件数／個人別＝数字が入っている日の件/時の平均（週は月曜はじまり）　「-」（グレー）＝数字なし</t>
  </si>
  <si>
    <t>月別一覧（上：全員の処理件数 合計／下：個人別 件/時）</t>
  </si>
  <si>
    <t>値＝合計表＝その月の処理件数／個人別＝数字が入っている日の件/時の平均　「-」（グレー）＝数字なし</t>
  </si>
  <si>
    <t>マクロ保存 … マクロ（VBA）の控えと機能一覧。マクロが壊れたときはこのシートの手順で貼り直す（触らない）</t>
  </si>
  <si>
    <t>差3以上：1 件　／　照合 4 行　（2026/10/07 07:45）</t>
  </si>
  <si>
    <t>最終集計：2026/10/07 07:45　対象 1 名　／　照合で差3以上 1 件</t>
  </si>
  <si>
    <t>マクロ保存（VBA の控え・機能一覧・直し方）</t>
  </si>
  <si>
    <t>保存日時：2026/10/07 07:45　モジュール名：ShoriKensu　プロシージャ 98 個／ソース 2208 行　※マクロを更新したときに作り直す（手で編集しない）</t>
  </si>
  <si>
    <t>■ マクロが動かない・消えたときの直し方</t>
  </si>
  <si>
    <t>1. Alt＋F11 で VBA の画面を開く</t>
  </si>
  <si>
    <t>2. 左の「標準モジュール」に ShoriKensu があれば、右クリック →「ShoriKensu の解放」（エクスポートは「いいえ」）</t>
  </si>
  <si>
    <t>3. メニュー「挿入」→「標準モジュール」。左下のプロパティの（オブジェクト名）を ShoriKensu に変える</t>
  </si>
  <si>
    <t>4. このシートの E 列、ソース全文の 1 行目（E129）から最終行（E2336）までを選んでコピーし、VBA の白い画面に貼り付ける</t>
  </si>
  <si>
    <t>　　（名前ボックスに E129:E2336 と入力して Enter → Ctrl＋C が早い）</t>
  </si>
  <si>
    <t>5. メニュー「デバッグ」→「VBAProject のコンパイル」でエラーが出ないことを確認</t>
  </si>
  <si>
    <t>6. Excel に戻って上書き保存（ファイルの種類は「Excel マクロ有効ブック（*.xlsm）」のまま）。操作シートのボタンはマクロ名が同じなのでそのまま動く</t>
  </si>
  <si>
    <t>別の方法：フォルダの ShoriKensu.bas を VBA 画面の「ファイル」→「ファイルのインポート」で読み込んでも同じ</t>
  </si>
  <si>
    <t>■ 移管するときの注意</t>
  </si>
  <si>
    <t>・.xlsm のまま渡す（.xlsx で保存し直すとマクロが消える）</t>
  </si>
  <si>
    <t>・メール添付やダウンロードで受け取ったら、ファイルを右クリック →「プロパティ」→「許可する（ブロック解除）」にチェックしてから開く</t>
  </si>
  <si>
    <t>・開いたら上の黄色い帯の「コンテンツの有効化」を押す</t>
  </si>
  <si>
    <t>■ 操作シートのボタンとマクロ</t>
  </si>
  <si>
    <t>ボタン</t>
  </si>
  <si>
    <t>マクロ名</t>
  </si>
  <si>
    <t>押すと何が起きるか</t>
  </si>
  <si>
    <t>① 元ネタ取込</t>
  </si>
  <si>
    <t>ImportFiles</t>
  </si>
  <si>
    <t>元ネタ直下のファイルを 元データ_稼働記録／元データ_案件件数 に積み上げ（同じ記録は上書き）。取り込んだファイルは 元ネタ\取込済 へ</t>
  </si>
  <si>
    <t>② 照合チェック</t>
  </si>
  <si>
    <t>CheckCounts</t>
  </si>
  <si>
    <t>稼働記録の処理案件数と ProcessCount を比べ、差3以上とマスタの未入力を 照合チェック シートに表示</t>
  </si>
  <si>
    <t>③ 集計</t>
  </si>
  <si>
    <t>BuildList</t>
  </si>
  <si>
    <t>一覧_日別／週別／月別を作り直す（上：工程別の全員の件数合計、下：個人別の件/時と色分け）。マスタを自動保存</t>
  </si>
  <si>
    <t>マスタを保存</t>
  </si>
  <si>
    <t>SaveMastersButton</t>
  </si>
  <si>
    <t>マスタ_業務・標準／マスタ_担当者 を マスタ保存 シートに控える</t>
  </si>
  <si>
    <t>マスタを復元</t>
  </si>
  <si>
    <t>RestoreMastersButton</t>
  </si>
  <si>
    <t>マスタ保存 シートの控えからマスタを元に戻す</t>
  </si>
  <si>
    <t>■ マクロ一覧（全プロシージャ。分類ごと）　「種類」：ボタン＝ボタンから実行／呼び出し可＝他から呼ばれる公開マクロ／内部＝中で使う部品</t>
  </si>
  <si>
    <t>No</t>
  </si>
  <si>
    <t>分類</t>
  </si>
  <si>
    <t>名前</t>
  </si>
  <si>
    <t>種類</t>
  </si>
  <si>
    <t>機能</t>
  </si>
  <si>
    <t>ソース</t>
  </si>
  <si>
    <t>［① 元ネタ取込］ボタン。RunImport を画面表示ありで実行</t>
  </si>
  <si>
    <t>［② 照合チェック］ボタン。RunCheck を画面表示ありで実行</t>
  </si>
  <si>
    <t>［③ 集計］ボタン。RunBuild を画面表示ありで実行</t>
  </si>
  <si>
    <t>［マスタを保存］ボタン。確認のうえ SaveMasters でマスタを「マスタ保存」シートに控える</t>
  </si>
  <si>
    <t>［マスタを復元］ボタン。確認のうえ RestoreMasters で控えからマスタを戻す</t>
  </si>
  <si>
    <t>① 取込</t>
  </si>
  <si>
    <t>RunImport</t>
  </si>
  <si>
    <t>呼び出し可（Public）</t>
  </si>
  <si>
    <t>元ネタ直下のファイルを順に取り込み、取込済フォルダへ移動、取込ログに記録。終わったら ② へ進むか確認</t>
  </si>
  <si>
    <t>ImportOne</t>
  </si>
  <si>
    <t>内部</t>
  </si>
  <si>
    <t>ファイル1つを読み込み、稼働記録か案件処理件数一覧かを判別して取り込む</t>
  </si>
  <si>
    <t>ImportRawWork</t>
  </si>
  <si>
    <t>稼働記録を「元データ_稼働記録」へそのまま積み上げ。連番＋EID が同じ行は上書き。新しい業務ID・EIDをマスタに追加</t>
  </si>
  <si>
    <t>ImportRawCount</t>
  </si>
  <si>
    <t>案件処理件数一覧を「元データ_案件件数」へ。同じ日付×担当者のまとまりは丸ごと差し替え</t>
  </si>
  <si>
    <t>CountGroupKey</t>
  </si>
  <si>
    <t>案件処理件数の差し替え単位（日付｜StaffId｜氏名）を作る</t>
  </si>
  <si>
    <t>RawHeaderMap</t>
  </si>
  <si>
    <t>取込ファイルの列と元データシートの列を見出し名で対応づける（無い列は右端に追加）</t>
  </si>
  <si>
    <t>WriteRaw</t>
  </si>
  <si>
    <t>元データシートへ書き戻す（文字列は ' 付きで書いて 007677 などが数値化しないようにする）</t>
  </si>
  <si>
    <t>ListSourceFiles</t>
  </si>
  <si>
    <t>元ネタ直下の取込対象ファイル（xls/xlsx/xlsm/csv/htm）をファイル名順に列挙</t>
  </si>
  <si>
    <t>KindLabel</t>
  </si>
  <si>
    <t>ファイル種別の表示名（稼働記録／案件処理件数）</t>
  </si>
  <si>
    <t>MoveFile</t>
  </si>
  <si>
    <t>取り込んだファイルを 元ネタ\取込済 へ移動</t>
  </si>
  <si>
    <t>WriteLog</t>
  </si>
  <si>
    <t>取込ログシートに1行記録</t>
  </si>
  <si>
    <t>ファイル読込</t>
  </si>
  <si>
    <t>ReadAnyFile</t>
  </si>
  <si>
    <t>ファイルを2次元配列で読む。中身がHTMLの .xls は ReadHtmlTable、それ以外は ReadWorkbook</t>
  </si>
  <si>
    <t>ReadHead</t>
  </si>
  <si>
    <t>ファイル先頭を少しだけ読む（HTMLかどうか・文字コードの判定用）</t>
  </si>
  <si>
    <t>ReadWorkbook</t>
  </si>
  <si>
    <t>Excelファイルを読み取り専用で開き、見出しが合うシートの値を取得</t>
  </si>
  <si>
    <t>ReadText</t>
  </si>
  <si>
    <t>テキストを文字コード指定（Shift-JIS/UTF-8）で読む</t>
  </si>
  <si>
    <t>ReadHtmlTable</t>
  </si>
  <si>
    <t>HTML形式の .xls（案件処理件数一覧）の表を配列にする</t>
  </si>
  <si>
    <t>FindTag</t>
  </si>
  <si>
    <t>HTMLのタグ位置を探す（ReadHtmlTable 用）</t>
  </si>
  <si>
    <t>NextCell</t>
  </si>
  <si>
    <t>次の &lt;td&gt;/&lt;th&gt; の位置（ReadHtmlTable 用）</t>
  </si>
  <si>
    <t>CleanCell</t>
  </si>
  <si>
    <t>セル内のタグ・改行・HTML記号を取り除く</t>
  </si>
  <si>
    <t>DetectKind</t>
  </si>
  <si>
    <t>見出しから 稼働記録（EID・業務名・所要時間）か 案件処理件数一覧（EnforceDate・ProcessCount）かを判別</t>
  </si>
  <si>
    <t>ColOf</t>
  </si>
  <si>
    <t>見出し行から列番号を探す（完全一致／部分一致）</t>
  </si>
  <si>
    <t>② 照合</t>
  </si>
  <si>
    <t>RunCheck</t>
  </si>
  <si>
    <t>照合チェックを作り直し、差3以上の件数を表示。続けて ③ へ進むか確認</t>
  </si>
  <si>
    <t>BuildCheckSheet</t>
  </si>
  <si>
    <t>稼働記録の処理案件数と ProcessCount を 人×日×MatterType×Status で比べて照合チェックシートを作成（確認メモは引き継ぐ）。差3以上の一覧を返す</t>
  </si>
  <si>
    <t>WriteList</t>
  </si>
  <si>
    <t>照合チェック右側の確認事項リスト（未入力のマスタなど）を書く</t>
  </si>
  <si>
    <t>RunBuild</t>
  </si>
  <si>
    <t>集計の本体。照合を最新化→稼働記録を集計→一覧_日別／週別／月別を作成（上：工程別の全員の件数合計、下：個人別の件/時）→マスタを自動保存</t>
  </si>
  <si>
    <t>SetCells</t>
  </si>
  <si>
    <t>一覧3シート分の配列に 工程・大分類・業務名 を書く</t>
  </si>
  <si>
    <t>HasStage</t>
  </si>
  <si>
    <t>その工程のデータがあるか</t>
  </si>
  <si>
    <t>GroupKeys</t>
  </si>
  <si>
    <t>工程×大分類に属する一覧の行キー（工程｜表示名）を集める</t>
  </si>
  <si>
    <t>TaskKey</t>
  </si>
  <si>
    <t>稼働記録1行の業務キー（業務ID、無ければ業務名）</t>
  </si>
  <si>
    <t>FillRates</t>
  </si>
  <si>
    <t>個人の1行分の件/時を計算（日別＝件数÷時間、週・月＝数字がある日の平均）</t>
  </si>
  <si>
    <t>FillCounts</t>
  </si>
  <si>
    <t>合計表の1行分の処理件数（全員）を日・週・月で合計</t>
  </si>
  <si>
    <t>MonthKey</t>
  </si>
  <si>
    <t>日付を 年×100＋月 の数値にする</t>
  </si>
  <si>
    <t>KeyDate</t>
  </si>
  <si>
    <t>列キーを代表日（その日／週の月曜／月の1日）に戻す</t>
  </si>
  <si>
    <t>ClearList</t>
  </si>
  <si>
    <t>一覧シートを空にする（コメント・グループ・結合も解除）</t>
  </si>
  <si>
    <t>WriteGrid</t>
  </si>
  <si>
    <t>一覧シート1枚（日別／週別／月別）を書く：見出し（年→月→日・週・月）、凡例、値、書式、色分け</t>
  </si>
  <si>
    <t>WriteLegend</t>
  </si>
  <si>
    <t>一覧左上の「色の見方」凡例（比率は数式で参照）</t>
  </si>
  <si>
    <t>Bands</t>
  </si>
  <si>
    <t>見出し上段の 年・月 の帯を結合して書く</t>
  </si>
  <si>
    <t>ColorByStandard</t>
  </si>
  <si>
    <t>個人別の値を標準と比べて 赤・黄・緑 に塗る条件付き書式（比率は Q2・Q3 を参照）</t>
  </si>
  <si>
    <t>ColLetter</t>
  </si>
  <si>
    <t>列番号を列記号（A, B…）に変換</t>
  </si>
  <si>
    <t>ThresholdLo</t>
  </si>
  <si>
    <t>色分けの下限比率（Q2、既定 90%）</t>
  </si>
  <si>
    <t>ThresholdHi</t>
  </si>
  <si>
    <t>色分けの上限比率（Q3、既定 110%）</t>
  </si>
  <si>
    <t>FormatRows</t>
  </si>
  <si>
    <t>一覧の行の種類（見出し・合計・個人・大分類・業務）ごとの書式と、標準欄の数式（AVERAGEIFS でマスタを参照）</t>
  </si>
  <si>
    <t>MarkFlags</t>
  </si>
  <si>
    <t>照合で差3以上の日・週・月の 個人の大分類セル にオレンジ枠とコメント</t>
  </si>
  <si>
    <t>FlagCell</t>
  </si>
  <si>
    <t>セル1つにオレンジ枠とコメントを付ける</t>
  </si>
  <si>
    <t>マスタ</t>
  </si>
  <si>
    <t>EnsureThresholds</t>
  </si>
  <si>
    <t>色分けの比率セル（P〜R列、Q2=90%・Q3=110%）が無ければ作る</t>
  </si>
  <si>
    <t>SetupStdArea</t>
  </si>
  <si>
    <t>マスタ_業務・標準 の列幅、工程×大分類の標準表（K〜N列）の見出し、使い方の説明</t>
  </si>
  <si>
    <t>MigrateToIdMaster</t>
  </si>
  <si>
    <t>旧形式（業務名単位）のマスタを業務ID単位に作り替える（入力済みの値は業務名で引き継ぐ）</t>
  </si>
  <si>
    <t>MapHeaders</t>
  </si>
  <si>
    <t>マスタ_業務・標準 A〜I列の見出し</t>
  </si>
  <si>
    <t>LoadMasters</t>
  </si>
  <si>
    <t>マスタ_担当者・マスタ_業務・標準 を読み込む（EID⇔氏名、業務ID→工程・大分類・Status・集計対象・表示名、工程×大分類の標準）</t>
  </si>
  <si>
    <t>AddMappings</t>
  </si>
  <si>
    <t>新しい業務IDをマスタに追加（同じ業務名があれば設定を複写、無ければ推定）。A・B列をオレンジ＝要確認</t>
  </si>
  <si>
    <t>AddStdRows</t>
  </si>
  <si>
    <t>標準表に無い 工程×大分類 の行を追加（標準は空欄）</t>
  </si>
  <si>
    <t>AddPersons</t>
  </si>
  <si>
    <t>新しいEIDをマスタ_担当者に追加</t>
  </si>
  <si>
    <t>ApplyMapValidation</t>
  </si>
  <si>
    <t>マスタ_業務・標準 の入力リスト（工程・大分類・Status・○×）と手入力欄の黄色を設定</t>
  </si>
  <si>
    <t>SetListValidation</t>
  </si>
  <si>
    <t>セル範囲にドロップダウン（入力規則）を付ける</t>
  </si>
  <si>
    <t>GuessMap</t>
  </si>
  <si>
    <t>業務名から MatterType・Status・集計対象 を推定（C1 業務のみ ○）</t>
  </si>
  <si>
    <t>StdDefaults</t>
  </si>
  <si>
    <t>標準表の初期値（1次確認の仮の値、2次確認は空欄）</t>
  </si>
  <si>
    <t>マスタ保存</t>
  </si>
  <si>
    <t>SaveMasters</t>
  </si>
  <si>
    <t>マスタ2枚を「マスタ保存」シートへ書式ごとコピー。③集計からの自動保存では、件数が減っていたら保存しない</t>
  </si>
  <si>
    <t>RestoreMasters</t>
  </si>
  <si>
    <t>「マスタ保存」シートの控えからマスタ2枚を元に戻す</t>
  </si>
  <si>
    <t>RestoreBlock</t>
  </si>
  <si>
    <t>控えの範囲を対象シートへ貼り戻す（列幅も）</t>
  </si>
  <si>
    <t>FindMark</t>
  </si>
  <si>
    <t>控えシート内の目印行（■ マスタ_…）を探す</t>
  </si>
  <si>
    <t>LastUsedCol</t>
  </si>
  <si>
    <t>シートの最終使用列</t>
  </si>
  <si>
    <t>シート準備</t>
  </si>
  <si>
    <t>MigrateLists</t>
  </si>
  <si>
    <t>旧シートの整理・マスタの作り替え・シートの並べ替え・枠固定（更新時に実行）</t>
  </si>
  <si>
    <t>EnsureSheets</t>
  </si>
  <si>
    <t>必要なシートが無ければ作る（操作・一覧・照合・マスタ・元データ・マスタ保存・取込ログ）</t>
  </si>
  <si>
    <t>DeleteShapes</t>
  </si>
  <si>
    <t>シート上のボタン図形を消す</t>
  </si>
  <si>
    <t>AddButton</t>
  </si>
  <si>
    <t>マクロを割り当てたボタン図形を置く</t>
  </si>
  <si>
    <t>SetupOpSheet</t>
  </si>
  <si>
    <t>操作シート（ボタン5つと手順の説明）を作る</t>
  </si>
  <si>
    <t>FreezeAt</t>
  </si>
  <si>
    <t>ウィンドウ枠の固定</t>
  </si>
  <si>
    <t>SetupWorkbook</t>
  </si>
  <si>
    <t>新しいブックを作るときに1回だけ実行する初期設定</t>
  </si>
  <si>
    <t>共通</t>
  </si>
  <si>
    <t>ReadRaw</t>
  </si>
  <si>
    <t>元データシートを見出しつきの配列で読む</t>
  </si>
  <si>
    <t>HCol</t>
  </si>
  <si>
    <t>見出し名 → 列番号（完全一致）</t>
  </si>
  <si>
    <t>HColLike</t>
  </si>
  <si>
    <t>見出し名 → 列番号（部分一致。所要時間（分）_ など）</t>
  </si>
  <si>
    <t>LastUsedRow</t>
  </si>
  <si>
    <t>シートの最終使用行</t>
  </si>
  <si>
    <t>NewDict</t>
  </si>
  <si>
    <t>辞書（Scripting.Dictionary）を作る</t>
  </si>
  <si>
    <t>SubDictSet</t>
  </si>
  <si>
    <t>辞書の中の辞書に値を入れる</t>
  </si>
  <si>
    <t>SafeStr</t>
  </si>
  <si>
    <t>エラー・空でも安全に文字列化</t>
  </si>
  <si>
    <t>CellVal</t>
  </si>
  <si>
    <t>エラー値を空文字にする</t>
  </si>
  <si>
    <t>ToDate</t>
  </si>
  <si>
    <t>日付文字列・シリアル値・20261006 形式などを日付に変換</t>
  </si>
  <si>
    <t>ToHours</t>
  </si>
  <si>
    <t>所要時間（01:22:47 形式・時刻値）を時間数に変換</t>
  </si>
  <si>
    <t>ToNum</t>
  </si>
  <si>
    <t>全角数字・カンマ付きも含めて数値に変換</t>
  </si>
  <si>
    <t>NormKey</t>
  </si>
  <si>
    <t>全角英数・全角空白を半角にして前後空白を除く（照合用）</t>
  </si>
  <si>
    <t>NameKey</t>
  </si>
  <si>
    <t>氏名の照合キー（「島　実加(１次・OP)」→「島実加」）</t>
  </si>
  <si>
    <t>StripRole</t>
  </si>
  <si>
    <t>氏名の後ろの（役割）を取る</t>
  </si>
  <si>
    <t>DisplayName</t>
  </si>
  <si>
    <t>担当者の表示名を決める（表示名→氏名→EID の順）</t>
  </si>
  <si>
    <t>WeekStart</t>
  </si>
  <si>
    <t>その週の月曜日</t>
  </si>
  <si>
    <t>WeekdayJa</t>
  </si>
  <si>
    <t>曜日の漢字1文字</t>
  </si>
  <si>
    <t>QSort</t>
  </si>
  <si>
    <t>配列の並べ替え</t>
  </si>
  <si>
    <t>LastRow</t>
  </si>
  <si>
    <t>指定列の最終行</t>
  </si>
  <si>
    <t>FolderExists</t>
  </si>
  <si>
    <t>フォルダがあるか</t>
  </si>
  <si>
    <t>SheetExists</t>
  </si>
  <si>
    <t>シートがあるか</t>
  </si>
  <si>
    <t>AddSheetIfMissing</t>
  </si>
  <si>
    <t>シートが無ければ末尾に作る</t>
  </si>
  <si>
    <t>SetHeader</t>
  </si>
  <si>
    <t>見出し行を書いて色を付ける</t>
  </si>
  <si>
    <t>StyleHeader</t>
  </si>
  <si>
    <t>見出しの書式（白太字・塗り）</t>
  </si>
  <si>
    <t>Notify</t>
  </si>
  <si>
    <t>メッセージ表示（自動実行のときは表示せず貯める）</t>
  </si>
  <si>
    <t>■ ソース全文（モジュール名：ShoriKensu）　E129〜E2336 をコピーして VBA の標準モジュールに貼り付ける</t>
  </si>
  <si>
    <t>行</t>
  </si>
  <si>
    <t>Option Explicit</t>
  </si>
  <si>
    <t>'============================================================</t>
  </si>
  <si>
    <t>' 処理件数 集計マクロ（モジュール名：ShoriKensu）</t>
  </si>
  <si>
    <t>'   ① ImportFiles  : 「元ネタ」直下のファイルを 元データ_稼働記録 / 元データ_案件件数 にそのまま積み上げ（同じ記録は上書き）</t>
  </si>
  <si>
    <t>'   ② CheckCounts  : 稼働記録の処理案件数 と ProcessCount を 人×日×MatterType×Status で照合（差3以上を表示）</t>
  </si>
  <si>
    <t>'   ③ BuildList    : 一覧_日別／週別／月別 を作成（上：工程別の全員の処理件数 合計、下：個人別の 件/時 と標準比の色分け）</t>
  </si>
  <si>
    <t>'   SaveMastersButton / RestoreMastersButton : マスタの控え（マスタ保存シート）への保存・復元</t>
  </si>
  <si>
    <t>'</t>
  </si>
  <si>
    <t>'   件数・時間 … 稼働記録（処理案件数 / 所要時間）がベース</t>
  </si>
  <si>
    <t>'   EID ⇔ CenterStaffKj … マスタ_担当者</t>
  </si>
  <si>
    <t>'   業務ID ⇔ 表示名・工程・MatterType＋Status・集計対象・標準 … マスタ_業務・標準</t>
  </si>
  <si>
    <t>'   各プロシージャの機能一覧と、マクロが壊れたときの直し方 … 「マクロ保存」シート</t>
  </si>
  <si>
    <t>Private Const SH_OP As String = "操作"</t>
  </si>
  <si>
    <t>Private Const SH_DAY As String = "一覧_日別"</t>
  </si>
  <si>
    <t>Private Const SH_WEEK As String = "一覧_週別"</t>
  </si>
  <si>
    <t>Private Const SH_MONTH As String = "一覧_月別"</t>
  </si>
  <si>
    <t>Private Const SH_CHK As String = "照合チェック"</t>
  </si>
  <si>
    <t>Private Const SH_MAP As String = "マスタ_業務・標準"   ' 業務IDの表（A〜I列）＋工程×大分類の標準（K〜N列）＋色分けの比率（Q2・Q3）</t>
  </si>
  <si>
    <t>' マスタ_業務・標準 の列</t>
  </si>
  <si>
    <t>Private Const MC_ID As Long = 1        ' 業務ID</t>
  </si>
  <si>
    <t>Private Const MC_NAME As Long = 2      ' 業務名（稼働記録）</t>
  </si>
  <si>
    <t>Private Const MC_DISP As Long = 3      ' 表示名（一覧の行名）</t>
  </si>
  <si>
    <t>Private Const MC_STAGE As Long = 4     ' 工程</t>
  </si>
  <si>
    <t>Private Const MC_MT As Long = 5        ' MatterType（大分類）</t>
  </si>
  <si>
    <t>Private Const MC_ST As Long = 6        ' Status</t>
  </si>
  <si>
    <t>Private Const MC_TGT As Long = 7       ' 集計対象</t>
  </si>
  <si>
    <t>Private Const MC_STD As Long = 8       ' 業務の標準</t>
  </si>
  <si>
    <t>Private Const MC_MEMO As Long = 9      ' メモ</t>
  </si>
  <si>
    <t>Private Const STD_STAGE As Long = 11   ' K 工程</t>
  </si>
  <si>
    <t>Private Const STD_MT As Long = 12      ' L 大分類</t>
  </si>
  <si>
    <t>Private Const STD_VAL As Long = 13     ' M 大分類の標準</t>
  </si>
  <si>
    <t>Private Const STD_MEMO As Long = 14    ' N メモ</t>
  </si>
  <si>
    <t>Private Const STAGE_LIST As String = "1次確認,2次確認,3次確認"</t>
  </si>
  <si>
    <t>Private Const DEFAULT_STAGE As String = "1次確認"</t>
  </si>
  <si>
    <t>Private Const NO_STAGE As String = "（工程未設定）"</t>
  </si>
  <si>
    <t>Private Const SH_PERSON As String = "マスタ_担当者"</t>
  </si>
  <si>
    <t>Private Const SH_RAW_W As String = "元データ_稼働記録"</t>
  </si>
  <si>
    <t>Private Const SH_RAW_C As String = "元データ_案件件数"</t>
  </si>
  <si>
    <t>Private Const SH_LOG As String = "取込ログ"</t>
  </si>
  <si>
    <t>Private Const SH_SAVE As String = "マスタ保存"</t>
  </si>
  <si>
    <t>Private Const SAVE_MARK_MAP As String = "■ マスタ_業務・標準"</t>
  </si>
  <si>
    <t>Private Const SAVE_MARK_PERSON As String = "■ マスタ_担当者"</t>
  </si>
  <si>
    <t>Private Const SRC_DIR As String = "元ネタ"</t>
  </si>
  <si>
    <t>Private Const DONE_DIR As String = "取込済"</t>
  </si>
  <si>
    <t>Private Const NO_DATA As String = "-"</t>
  </si>
  <si>
    <t>Private Const UNCAT As String = "（未分類）"</t>
  </si>
  <si>
    <t>Private Const DIFF_LIMIT As Double = 3</t>
  </si>
  <si>
    <t>Private Const FLAG_MARK As String = "▲"</t>
  </si>
  <si>
    <t>Private Const STATUS_LIST As String = "登録,ＳＶ承認,確認済締処理登録"</t>
  </si>
  <si>
    <t>Private Const META_FILE As String = "取込元ファイル"</t>
  </si>
  <si>
    <t>Private Const META_STAMP As String = "取込日時"</t>
  </si>
  <si>
    <t>Private Const LIST_HDR As Long = 6      ' 一覧の見出し行（上の4・5行目に 年／月 の帯）</t>
  </si>
  <si>
    <t>Private Const GRID_FIX As Long = 4      ' 一覧の固定列（工程・大分類・業務名・標準）</t>
  </si>
  <si>
    <t>Private Const THRESH_LO As String = "$Q$2" ' 色分けの比率（マスタ_業務・標準シート）：これ未満は赤</t>
  </si>
  <si>
    <t>Private Const THRESH_HI As String = "$Q$3" '                                          ：これ以上は緑</t>
  </si>
  <si>
    <t>Private Const CHK_HDR As Long = 5       ' 照合チェックの見出し行</t>
  </si>
  <si>
    <t>Private gSilent As Boolean</t>
  </si>
  <si>
    <t>Private gMsg As String</t>
  </si>
  <si>
    <t>' マスタ（LoadMasters で読む）</t>
  </si>
  <si>
    <t>Private mPersons As Object      ' EID -&gt; Array(氏名キー, 表示名)</t>
  </si>
  <si>
    <t>Private mNameToEid As Object    ' 氏名キー -&gt; EID</t>
  </si>
  <si>
    <t>Private mMap As Object          ' 業務ID -&gt; Array(MatterType, Status, 集計対象Boolean, 工程, 表示名, 業務名)</t>
  </si>
  <si>
    <t>Private mCats As Object         ' MatterType -&gt; 並び順</t>
  </si>
  <si>
    <t>Private mRowKeys As Object      ' 工程|表示名 -&gt; Array(工程, MatterType, 表示名)（一覧の行。マスタの並び順）</t>
  </si>
  <si>
    <t>Private mStages As Object       ' 工程 -&gt; 並び順</t>
  </si>
  <si>
    <t>Private mStatusStage As Object  ' Status -&gt; 工程（照合の印を付ける行を探すため）</t>
  </si>
  <si>
    <t>Private mStdPairs As Object     ' 工程|大分類 -&gt; True（標準表にある組）</t>
  </si>
  <si>
    <t>' ボタン</t>
  </si>
  <si>
    <t>Public Sub ImportFiles()</t>
  </si>
  <si>
    <t xml:space="preserve">    RunImport False</t>
  </si>
  <si>
    <t>End Sub</t>
  </si>
  <si>
    <t>Public Sub CheckCounts()</t>
  </si>
  <si>
    <t xml:space="preserve">    RunCheck False</t>
  </si>
  <si>
    <t>Public Sub BuildList()</t>
  </si>
  <si>
    <t xml:space="preserve">    RunBuild False</t>
  </si>
  <si>
    <t>' ① 取込（元データへそのまま積み上げ）</t>
  </si>
  <si>
    <t>Public Function RunImport(Optional ByVal silent As Boolean = False) As String</t>
  </si>
  <si>
    <t xml:space="preserve">    Dim srcDir As String, doneDir As String, files As Collection</t>
  </si>
  <si>
    <t xml:space="preserve">    Dim f As Variant, kind As String, nNew As Long, nUpd As Long</t>
  </si>
  <si>
    <t xml:space="preserve">    Dim errMsg As String, moveMsg As String, summary As String, okCnt As Long</t>
  </si>
  <si>
    <t xml:space="preserve">    Dim calcMode As Long</t>
  </si>
  <si>
    <t xml:space="preserve">    gSilent = silent: gMsg = ""</t>
  </si>
  <si>
    <t xml:space="preserve">    If ThisWorkbook.Path = "" Then</t>
  </si>
  <si>
    <t xml:space="preserve">        Notify "先にこのブックを保存してください。"</t>
  </si>
  <si>
    <t xml:space="preserve">        RunImport = gMsg: Exit Function</t>
  </si>
  <si>
    <t xml:space="preserve">    End If</t>
  </si>
  <si>
    <t xml:space="preserve">    srcDir = ThisWorkbook.Path &amp; "\" &amp; SRC_DIR</t>
  </si>
  <si>
    <t xml:space="preserve">    If Not FolderExists(srcDir) Then</t>
  </si>
  <si>
    <t xml:space="preserve">        Notify "「" &amp; SRC_DIR &amp; "」フォルダが見つかりません。" &amp; vbLf &amp; srcDir</t>
  </si>
  <si>
    <t xml:space="preserve">    doneDir = srcDir &amp; "\" &amp; DONE_DIR</t>
  </si>
  <si>
    <t xml:space="preserve">    If Not FolderExists(doneDir) Then MkDir doneDir</t>
  </si>
  <si>
    <t xml:space="preserve">    Set files = ListSourceFiles(srcDir)</t>
  </si>
  <si>
    <t xml:space="preserve">    If files.Count = 0 Then</t>
  </si>
  <si>
    <t xml:space="preserve">        Notify "「" &amp; SRC_DIR &amp; "」直下に取り込むファイルがありません。"</t>
  </si>
  <si>
    <t xml:space="preserve">    calcMode = Application.Calculation</t>
  </si>
  <si>
    <t xml:space="preserve">    Application.ScreenUpdating = False</t>
  </si>
  <si>
    <t xml:space="preserve">    Application.DisplayAlerts = False</t>
  </si>
  <si>
    <t xml:space="preserve">    Application.Calculation = xlCalculationManual</t>
  </si>
  <si>
    <t xml:space="preserve">    EnsureSheets</t>
  </si>
  <si>
    <t xml:space="preserve">    For Each f In files</t>
  </si>
  <si>
    <t xml:space="preserve">        nNew = 0: nUpd = 0: kind = ""</t>
  </si>
  <si>
    <t xml:space="preserve">        errMsg = ImportOne(srcDir &amp; "\" &amp; f, CStr(f), kind, nNew, nUpd)</t>
  </si>
  <si>
    <t xml:space="preserve">        If errMsg = "" Then</t>
  </si>
  <si>
    <t xml:space="preserve">            okCnt = okCnt + 1</t>
  </si>
  <si>
    <t xml:space="preserve">            moveMsg = MoveFile(srcDir &amp; "\" &amp; f, doneDir &amp; "\" &amp; f)</t>
  </si>
  <si>
    <t xml:space="preserve">            summary = summary &amp; "○ " &amp; f &amp; vbLf &amp; "　　" &amp; KindLabel(kind) &amp; "：新規 " &amp; nNew &amp; " 行 / 上書き " &amp; nUpd &amp; " 行" &amp; vbLf</t>
  </si>
  <si>
    <t xml:space="preserve">            If moveMsg &lt;&gt; "" Then summary = summary &amp; "　　" &amp; moveMsg &amp; vbLf</t>
  </si>
  <si>
    <t xml:space="preserve">            WriteLog CStr(f), KindLabel(kind), nNew, nUpd, IIf(moveMsg = "", "OK", moveMsg)</t>
  </si>
  <si>
    <t xml:space="preserve">        Else</t>
  </si>
  <si>
    <t xml:space="preserve">            summary = summary &amp; "× " &amp; f &amp; vbLf &amp; "　　" &amp; errMsg &amp; vbLf</t>
  </si>
  <si>
    <t xml:space="preserve">            WriteLog CStr(f), KindLabel(kind), 0, 0, "エラー：" &amp; errMsg</t>
  </si>
  <si>
    <t xml:space="preserve">        End If</t>
  </si>
  <si>
    <t xml:space="preserve">    Next</t>
  </si>
  <si>
    <t xml:space="preserve">    Application.Calculation = calcMode</t>
  </si>
  <si>
    <t xml:space="preserve">    Application.DisplayAlerts = True</t>
  </si>
  <si>
    <t xml:space="preserve">    Application.ScreenUpdating = True</t>
  </si>
  <si>
    <t xml:space="preserve">    If silent Then</t>
  </si>
  <si>
    <t xml:space="preserve">        gMsg = summary</t>
  </si>
  <si>
    <t xml:space="preserve">    ElseIf MsgBox("取込が終わりました（" &amp; okCnt &amp; " / " &amp; files.Count &amp; " ファイル）。" &amp; vbLf &amp; vbLf &amp; summary &amp; vbLf &amp; _</t>
  </si>
  <si>
    <t xml:space="preserve">                  "続けて ② 照合チェック をしますか？", vbYesNo + vbQuestion, "処理件数集計") = vbYes Then</t>
  </si>
  <si>
    <t xml:space="preserve">        RunCheck False</t>
  </si>
  <si>
    <t xml:space="preserve">    RunImport = gMsg</t>
  </si>
  <si>
    <t>End Function</t>
  </si>
  <si>
    <t>Private Function ImportOne(ByVal path As String, ByVal fname As String, ByRef kind As String, _</t>
  </si>
  <si>
    <t xml:space="preserve">                           ByRef nNew As Long, ByRef nUpd As Long) As String</t>
  </si>
  <si>
    <t xml:space="preserve">    Dim data As Variant, hdr As Long</t>
  </si>
  <si>
    <t xml:space="preserve">    On Error GoTo EH</t>
  </si>
  <si>
    <t xml:space="preserve">    data = ReadAnyFile(path)</t>
  </si>
  <si>
    <t xml:space="preserve">    kind = DetectKind(data, hdr)</t>
  </si>
  <si>
    <t xml:space="preserve">    Select Case kind</t>
  </si>
  <si>
    <t xml:space="preserve">        Case "WORK": ImportRawWork data, hdr, fname, nNew, nUpd</t>
  </si>
  <si>
    <t xml:space="preserve">        Case "COUNT": ImportRawCount data, hdr, fname, nNew, nUpd</t>
  </si>
  <si>
    <t xml:space="preserve">        Case Else: ImportOne = "形式を判別できません（稼働記録／案件処理件数一覧の見出しが見つからない）"</t>
  </si>
  <si>
    <t xml:space="preserve">    End Select</t>
  </si>
  <si>
    <t xml:space="preserve">    Exit Function</t>
  </si>
  <si>
    <t>EH:</t>
  </si>
  <si>
    <t xml:space="preserve">    ImportOne = Err.Description</t>
  </si>
  <si>
    <t>' 稼働記録：連番＋EID が同じ行は上書き、ほかは追加</t>
  </si>
  <si>
    <t>Private Sub ImportRawWork(ByRef data As Variant, ByVal hdr As Long, ByVal fname As String, _</t>
  </si>
  <si>
    <t xml:space="preserve">                          ByRef nNew As Long, ByRef nUpd As Long)</t>
  </si>
  <si>
    <t xml:space="preserve">    Dim ws As Worksheet, colMap() As Long, nCols As Long, cFile As Long, cStamp As Long</t>
  </si>
  <si>
    <t xml:space="preserve">    Dim fSeq As Long, fEid As Long, fBiz As Long, sSeq As Long, sEid As Long</t>
  </si>
  <si>
    <t xml:space="preserve">    Dim recs As Object, rec() As Variant, v As Variant, last As Long</t>
  </si>
  <si>
    <t xml:space="preserve">    Dim r As Long, c As Long, key As String, stamp As Date</t>
  </si>
  <si>
    <t xml:space="preserve">    Dim newNames As Object, newEids As Object, fTid As Long, tk As String</t>
  </si>
  <si>
    <t xml:space="preserve">    fSeq = ColOf(data, hdr, "連番", True)</t>
  </si>
  <si>
    <t xml:space="preserve">    fEid = ColOf(data, hdr, "EID", True)</t>
  </si>
  <si>
    <t xml:space="preserve">    fBiz = ColOf(data, hdr, "業務名", True)</t>
  </si>
  <si>
    <t xml:space="preserve">    fTid = ColOf(data, hdr, "業務ID", True)</t>
  </si>
  <si>
    <t xml:space="preserve">    If fSeq = 0 Or fEid = 0 Then Err.Raise vbObjectError + 600, , "稼働記録に「連番」「EID」列が見つかりません"</t>
  </si>
  <si>
    <t xml:space="preserve">    Set ws = ThisWorkbook.Worksheets(SH_RAW_W)</t>
  </si>
  <si>
    <t xml:space="preserve">    colMap = RawHeaderMap(ws, data, hdr, cFile, cStamp, nCols)</t>
  </si>
  <si>
    <t xml:space="preserve">    sSeq = colMap(fSeq): sEid = colMap(fEid)</t>
  </si>
  <si>
    <t xml:space="preserve">    Set recs = NewDict()</t>
  </si>
  <si>
    <t xml:space="preserve">    last = LastUsedRow(ws)</t>
  </si>
  <si>
    <t xml:space="preserve">    If last &gt;= 2 Then</t>
  </si>
  <si>
    <t xml:space="preserve">        v = ws.Range(ws.Cells(2, 1), ws.Cells(last, nCols)).Value</t>
  </si>
  <si>
    <t xml:space="preserve">        For r = 1 To UBound(v, 1)</t>
  </si>
  <si>
    <t xml:space="preserve">            ReDim rec(1 To nCols)</t>
  </si>
  <si>
    <t xml:space="preserve">            For c = 1 To nCols: rec(c) = v(r, c): Next</t>
  </si>
  <si>
    <t xml:space="preserve">            recs(Trim$(SafeStr(v(r, sSeq))) &amp; "|" &amp; Trim$(SafeStr(v(r, sEid)))) = rec</t>
  </si>
  <si>
    <t xml:space="preserve">        Next</t>
  </si>
  <si>
    <t xml:space="preserve">    Set newNames = NewDict(): Set newEids = NewDict()</t>
  </si>
  <si>
    <t xml:space="preserve">    stamp = Now</t>
  </si>
  <si>
    <t xml:space="preserve">    For r = hdr + 1 To UBound(data, 1)</t>
  </si>
  <si>
    <t xml:space="preserve">        If Trim$(SafeStr(data(r, fSeq))) &lt;&gt; "" And Trim$(SafeStr(data(r, fEid))) &lt;&gt; "" Then</t>
  </si>
  <si>
    <t xml:space="preserve">            For c = LBound(data, 2) To UBound(data, 2): rec(colMap(c)) = CellVal(data(r, c)): Next</t>
  </si>
  <si>
    <t xml:space="preserve">            rec(cFile) = fname: rec(cStamp) = stamp</t>
  </si>
  <si>
    <t xml:space="preserve">            key = Trim$(SafeStr(data(r, fSeq))) &amp; "|" &amp; Trim$(SafeStr(data(r, fEid)))</t>
  </si>
  <si>
    <t xml:space="preserve">            If recs.Exists(key) Then nUpd = nUpd + 1 Else nNew = nNew + 1</t>
  </si>
  <si>
    <t xml:space="preserve">            recs(key) = rec</t>
  </si>
  <si>
    <t xml:space="preserve">            newEids(Trim$(SafeStr(data(r, fEid)))) = True</t>
  </si>
  <si>
    <t xml:space="preserve">            If fBiz &gt; 0 Then</t>
  </si>
  <si>
    <t xml:space="preserve">                tk = ""</t>
  </si>
  <si>
    <t xml:space="preserve">                If fTid &gt; 0 Then tk = Trim$(SafeStr(data(r, fTid)))</t>
  </si>
  <si>
    <t xml:space="preserve">                If tk = "" Then tk = Trim$(SafeStr(data(r, fBiz)))</t>
  </si>
  <si>
    <t xml:space="preserve">                newNames(tk) = Trim$(SafeStr(data(r, fBiz)))</t>
  </si>
  <si>
    <t xml:space="preserve">            End If</t>
  </si>
  <si>
    <t xml:space="preserve">    WriteRaw ws, nCols, recs.Items</t>
  </si>
  <si>
    <t xml:space="preserve">    AddPersons newEids</t>
  </si>
  <si>
    <t xml:space="preserve">    AddMappings newNames</t>
  </si>
  <si>
    <t>' 案件処理件数一覧：同じ「日付×StaffId」のまとまりは丸ごと差し替え</t>
  </si>
  <si>
    <t>'   （同じ日・同じ人・同じ業務の行が複数あるため、行単位ではなくまとまりで上書きする）</t>
  </si>
  <si>
    <t>Private Sub ImportRawCount(ByRef data As Variant, ByVal hdr As Long, ByVal fname As String, _</t>
  </si>
  <si>
    <t xml:space="preserve">                           ByRef nNew As Long, ByRef nUpd As Long)</t>
  </si>
  <si>
    <t xml:space="preserve">    Dim fDate As Long, fSid As Long, fKj As Long, sDate As Long, sSid As Long, sKj As Long</t>
  </si>
  <si>
    <t xml:space="preserve">    Dim keep As Collection, incoming As Collection, groups As Object, oldGroups As Object</t>
  </si>
  <si>
    <t xml:space="preserve">    Dim rec() As Variant, item As Variant, v As Variant, last As Long, sid As Variant</t>
  </si>
  <si>
    <t xml:space="preserve">    Dim r As Long, c As Long, g As String, stamp As Date, i As Long, out() As Variant</t>
  </si>
  <si>
    <t xml:space="preserve">    fDate = ColOf(data, hdr, "EnforceDate", True)</t>
  </si>
  <si>
    <t xml:space="preserve">    fSid = ColOf(data, hdr, "EnforceCenterStaffId", True)</t>
  </si>
  <si>
    <t xml:space="preserve">    fKj = ColOf(data, hdr, "CenterStaffKj", True)</t>
  </si>
  <si>
    <t xml:space="preserve">    If fDate = 0 Or fKj = 0 Then Err.Raise vbObjectError + 601, , "案件処理件数一覧に「EnforceDate」「CenterStaffKj」列が見つかりません"</t>
  </si>
  <si>
    <t xml:space="preserve">    Set ws = ThisWorkbook.Worksheets(SH_RAW_C)</t>
  </si>
  <si>
    <t xml:space="preserve">    sDate = colMap(fDate): sKj = colMap(fKj)</t>
  </si>
  <si>
    <t xml:space="preserve">    If fSid &gt; 0 Then sSid = colMap(fSid)</t>
  </si>
  <si>
    <t xml:space="preserve">    Set incoming = New Collection: Set keep = New Collection</t>
  </si>
  <si>
    <t xml:space="preserve">    Set groups = NewDict(): Set oldGroups = NewDict()</t>
  </si>
  <si>
    <t xml:space="preserve">        If ToDate(data(r, fDate)) &gt; 0 Then</t>
  </si>
  <si>
    <t xml:space="preserve">            sid = ""</t>
  </si>
  <si>
    <t xml:space="preserve">            If fSid &gt; 0 Then sid = data(r, fSid)</t>
  </si>
  <si>
    <t xml:space="preserve">            g = CountGroupKey(data(r, fDate), sid, data(r, fKj))</t>
  </si>
  <si>
    <t xml:space="preserve">            groups(g) = True</t>
  </si>
  <si>
    <t xml:space="preserve">            incoming.Add Array(g, rec)</t>
  </si>
  <si>
    <t xml:space="preserve">            If sSid &gt; 0 Then sid = v(r, sSid)</t>
  </si>
  <si>
    <t xml:space="preserve">            g = CountGroupKey(v(r, sDate), sid, v(r, sKj))</t>
  </si>
  <si>
    <t xml:space="preserve">            If groups.Exists(g) Then</t>
  </si>
  <si>
    <t xml:space="preserve">                oldGroups(g) = True</t>
  </si>
  <si>
    <t xml:space="preserve">            Else</t>
  </si>
  <si>
    <t xml:space="preserve">                ReDim rec(1 To nCols)</t>
  </si>
  <si>
    <t xml:space="preserve">                For c = 1 To nCols: rec(c) = v(r, c): Next</t>
  </si>
  <si>
    <t xml:space="preserve">                keep.Add rec</t>
  </si>
  <si>
    <t xml:space="preserve">    For Each item In incoming</t>
  </si>
  <si>
    <t xml:space="preserve">        If oldGroups.Exists(item(0)) Then nUpd = nUpd + 1 Else nNew = nNew + 1</t>
  </si>
  <si>
    <t xml:space="preserve">        keep.Add item(1)</t>
  </si>
  <si>
    <t xml:space="preserve">    If keep.Count &gt; 0 Then</t>
  </si>
  <si>
    <t xml:space="preserve">        ReDim out(0 To keep.Count - 1)</t>
  </si>
  <si>
    <t xml:space="preserve">        i = 0</t>
  </si>
  <si>
    <t xml:space="preserve">        For Each item In keep: out(i) = item: i = i + 1: Next</t>
  </si>
  <si>
    <t xml:space="preserve">        WriteRaw ws, nCols, out</t>
  </si>
  <si>
    <t>Private Function CountGroupKey(ByVal d As Variant, ByVal sid As Variant, ByVal kj As Variant) As String</t>
  </si>
  <si>
    <t xml:space="preserve">    CountGroupKey = CLng(ToDate(d)) &amp; "|" &amp; Trim$(SafeStr(sid)) &amp; "|" &amp; NameKey(SafeStr(kj))</t>
  </si>
  <si>
    <t>' 取込ファイルの列 → 元データシートの列 の対応（無い列は右端に追加）</t>
  </si>
  <si>
    <t>Private Function RawHeaderMap(ws As Worksheet, ByRef data As Variant, ByVal hdr As Long, _</t>
  </si>
  <si>
    <t xml:space="preserve">                              ByRef cFile As Long, ByRef cStamp As Long, ByRef nCols As Long) As Long()</t>
  </si>
  <si>
    <t xml:space="preserve">    Dim exist As Object, lastC As Long, c As Long, h As String, colMap() As Long</t>
  </si>
  <si>
    <t xml:space="preserve">    Set exist = NewDict()</t>
  </si>
  <si>
    <t xml:space="preserve">    lastC = ws.Cells(1, ws.Columns.Count).End(xlToLeft).Column</t>
  </si>
  <si>
    <t xml:space="preserve">    If Trim$(SafeStr(ws.Cells(1, 1).Value)) = "" Then lastC = 0</t>
  </si>
  <si>
    <t xml:space="preserve">    For c = 1 To lastC: exist(Trim$(SafeStr(ws.Cells(1, c).Value))) = c: Next</t>
  </si>
  <si>
    <t xml:space="preserve">    ReDim colMap(LBound(data, 2) To UBound(data, 2))</t>
  </si>
  <si>
    <t xml:space="preserve">    For c = LBound(data, 2) To UBound(data, 2)</t>
  </si>
  <si>
    <t xml:space="preserve">        h = Trim$(SafeStr(data(hdr, c)))</t>
  </si>
  <si>
    <t xml:space="preserve">        If h = "" Then h = "列" &amp; c</t>
  </si>
  <si>
    <t xml:space="preserve">        If Not exist.Exists(h) Then</t>
  </si>
  <si>
    <t xml:space="preserve">            lastC = lastC + 1: ws.Cells(1, lastC).Value = h: exist(h) = lastC</t>
  </si>
  <si>
    <t xml:space="preserve">        colMap(c) = exist(h)</t>
  </si>
  <si>
    <t xml:space="preserve">    If Not exist.Exists(META_FILE) Then</t>
  </si>
  <si>
    <t xml:space="preserve">        lastC = lastC + 1: ws.Cells(1, lastC).Value = META_FILE: exist(META_FILE) = lastC</t>
  </si>
  <si>
    <t xml:space="preserve">    If Not exist.Exists(META_STAMP) Then</t>
  </si>
  <si>
    <t xml:space="preserve">        lastC = lastC + 1: ws.Cells(1, lastC).Value = META_STAMP: exist(META_STAMP) = lastC</t>
  </si>
  <si>
    <t xml:space="preserve">    cFile = exist(META_FILE): cStamp = exist(META_STAMP)</t>
  </si>
  <si>
    <t xml:space="preserve">    nCols = lastC</t>
  </si>
  <si>
    <t xml:space="preserve">    StyleHeader ws.Range(ws.Cells(1, 1), ws.Cells(1, nCols)), RGB(118, 118, 118)</t>
  </si>
  <si>
    <t xml:space="preserve">    RawHeaderMap = colMap</t>
  </si>
  <si>
    <t>Private Sub WriteRaw(ws As Worksheet, ByVal nCols As Long, recs As Variant)</t>
  </si>
  <si>
    <t xml:space="preserve">    Dim out() As Variant, n As Long, r As Long, c As Long, rec As Variant, last As Long</t>
  </si>
  <si>
    <t xml:space="preserve">    If last &gt;= 2 Then ws.Range(ws.Cells(2, 1), ws.Cells(last, nCols)).ClearContents</t>
  </si>
  <si>
    <t xml:space="preserve">    n = UBound(recs) - LBound(recs) + 1</t>
  </si>
  <si>
    <t xml:space="preserve">    If n &lt;= 0 Then Exit Sub</t>
  </si>
  <si>
    <t xml:space="preserve">    ReDim out(1 To n, 1 To nCols)</t>
  </si>
  <si>
    <t xml:space="preserve">    ' 文字列は先頭に ' を付けて書き込み、"007677" や "00:07:18" が数値・時刻に化けないようにする（元データをそのまま残す）</t>
  </si>
  <si>
    <t xml:space="preserve">    For Each rec In recs</t>
  </si>
  <si>
    <t xml:space="preserve">        r = r + 1</t>
  </si>
  <si>
    <t xml:space="preserve">        For c = 1 To nCols</t>
  </si>
  <si>
    <t xml:space="preserve">            If c &lt;= UBound(rec) Then</t>
  </si>
  <si>
    <t xml:space="preserve">                If VarType(rec(c)) = vbString And Len(rec(c)) &gt; 0 Then out(r, c) = "'" &amp; rec(c) Else out(r, c) = rec(c)</t>
  </si>
  <si>
    <t xml:space="preserve">    ws.Range(ws.Cells(2, 1), ws.Cells(n + 1, nCols)).Value = out</t>
  </si>
  <si>
    <t>' ② 照合チェック</t>
  </si>
  <si>
    <t>Public Function RunCheck(Optional ByVal silent As Boolean = False) As String</t>
  </si>
  <si>
    <t xml:space="preserve">    Dim nFlag As Long, nRows As Long, ws As Worksheet</t>
  </si>
  <si>
    <t xml:space="preserve">    BuildCheckSheet nFlag, nRows</t>
  </si>
  <si>
    <t xml:space="preserve">    Set ws = ThisWorkbook.Worksheets(SH_CHK)</t>
  </si>
  <si>
    <t xml:space="preserve">    If Not silent Then ws.Activate</t>
  </si>
  <si>
    <t xml:space="preserve">    If nRows = 0 Then</t>
  </si>
  <si>
    <t xml:space="preserve">        Notify "照合できるデータがありません（ProcessCount を取り込んだ日に、マスタ_担当者で紐づいた人の稼働記録がない）。" &amp; vbLf &amp; _</t>
  </si>
  <si>
    <t xml:space="preserve">               "マスタ_担当者の CenterStaffKj を確認してください。"</t>
  </si>
  <si>
    <t xml:space="preserve">    ElseIf silent Then</t>
  </si>
  <si>
    <t xml:space="preserve">        Notify "照合 " &amp; nRows &amp; " 行 / 差" &amp; DIFF_LIMIT &amp; "以上 " &amp; nFlag &amp; " 件"</t>
  </si>
  <si>
    <t xml:space="preserve">    ElseIf MsgBox("照合しました（" &amp; nRows &amp; " 行）。" &amp; vbLf &amp; vbLf &amp; "差が" &amp; DIFF_LIMIT &amp; "以上：" &amp; nFlag &amp; " 件" &amp; vbLf &amp; vbLf &amp; _</t>
  </si>
  <si>
    <t xml:space="preserve">                  "続けて ③ 集計 をしますか？" &amp; vbLf &amp; "（「いいえ」で照合チェックシートを確認できます）", _</t>
  </si>
  <si>
    <t xml:space="preserve">                  vbYesNo + vbQuestion, "処理件数集計") = vbYes Then</t>
  </si>
  <si>
    <t xml:space="preserve">        RunBuild False</t>
  </si>
  <si>
    <t xml:space="preserve">    RunCheck = gMsg</t>
  </si>
  <si>
    <t>' 照合チェックシートを作り直し、差3以上の (EID|日付|MatterType) → 説明文 を返す</t>
  </si>
  <si>
    <t>Private Function BuildCheckSheet(ByRef nFlag As Long, ByRef nRows As Long) As Object</t>
  </si>
  <si>
    <t xml:space="preserve">    Dim flags As Object, pc As Object, wk As Object, allKeys As Object, pcDates As Object</t>
  </si>
  <si>
    <t xml:space="preserve">    Dim unknown As Object, memos As Object, noKj As Object, noMt As Object</t>
  </si>
  <si>
    <t xml:space="preserve">    Dim ws As Worksheet, v As Variant, h As Object, r As Long, last As Long</t>
  </si>
  <si>
    <t xml:space="preserve">    Dim cD As Long, cK As Long, cM As Long, cS As Long, cP As Long, cE As Long, cN As Long, cC As Long, cI As Long</t>
  </si>
  <si>
    <t xml:space="preserve">    Dim tk As String, noStage As Object</t>
  </si>
  <si>
    <t xml:space="preserve">    Dim d As Long, nk As String, eid As String, nm As String, k As String, m As Variant, p As Variant</t>
  </si>
  <si>
    <t xml:space="preserve">    Dim keys As Variant, i As Long, parts() As String, a As Variant, b As Variant, diff As Double</t>
  </si>
  <si>
    <t xml:space="preserve">    Dim out() As Variant, minD As Long, maxD As Long, fk As String</t>
  </si>
  <si>
    <t xml:space="preserve">    Set flags = NewDict(): Set pc = NewDict(): Set wk = NewDict(): Set allKeys = NewDict()</t>
  </si>
  <si>
    <t xml:space="preserve">    Set pcDates = NewDict(): Set unknown = NewDict(): Set memos = NewDict()</t>
  </si>
  <si>
    <t xml:space="preserve">    Set noKj = NewDict(): Set noMt = NewDict(): Set noStage = NewDict()</t>
  </si>
  <si>
    <t xml:space="preserve">    LoadMasters</t>
  </si>
  <si>
    <t xml:space="preserve">    ' --- ProcessCount</t>
  </si>
  <si>
    <t xml:space="preserve">    If ReadRaw(ThisWorkbook.Worksheets(SH_RAW_C), v, h) Then</t>
  </si>
  <si>
    <t xml:space="preserve">        cD = HCol(h, "EnforceDate"): cK = HCol(h, "CenterStaffKj")</t>
  </si>
  <si>
    <t xml:space="preserve">        cM = HCol(h, "MatterType"): cS = HCol(h, "Status"): cP = HCol(h, "ProcessCount")</t>
  </si>
  <si>
    <t xml:space="preserve">        If cD &gt; 0 And cK &gt; 0 And cM &gt; 0 And cS &gt; 0 And cP &gt; 0 Then</t>
  </si>
  <si>
    <t xml:space="preserve">            For r = 2 To UBound(v, 1)</t>
  </si>
  <si>
    <t xml:space="preserve">                d = CLng(ToDate(v(r, cD)))</t>
  </si>
  <si>
    <t xml:space="preserve">                If d &gt; 0 Then</t>
  </si>
  <si>
    <t xml:space="preserve">                    pcDates(d) = True</t>
  </si>
  <si>
    <t xml:space="preserve">                    nk = NameKey(SafeStr(v(r, cK)))</t>
  </si>
  <si>
    <t xml:space="preserve">                    If mNameToEid.Exists(nk) Then</t>
  </si>
  <si>
    <t xml:space="preserve">                        k = mNameToEid(nk) &amp; "|" &amp; d &amp; "|" &amp; NormKey(SafeStr(v(r, cM))) &amp; "|" &amp; NormKey(SafeStr(v(r, cS)))</t>
  </si>
  <si>
    <t xml:space="preserve">                        pc(k) = pc(k) + ToNum(v(r, cP))</t>
  </si>
  <si>
    <t xml:space="preserve">                        allKeys(k) = True</t>
  </si>
  <si>
    <t xml:space="preserve">                    ElseIf nk &lt;&gt; "" Then</t>
  </si>
  <si>
    <t xml:space="preserve">                        unknown(nk) = StripRole(SafeStr(v(r, cK)))</t>
  </si>
  <si>
    <t xml:space="preserve">                    End If</t>
  </si>
  <si>
    <t xml:space="preserve">                End If</t>
  </si>
  <si>
    <t xml:space="preserve">            Next</t>
  </si>
  <si>
    <t xml:space="preserve">    ' --- 稼働記録の処理案件数（ProcessCount がある日だけ）</t>
  </si>
  <si>
    <t xml:space="preserve">    If ReadRaw(ThisWorkbook.Worksheets(SH_RAW_W), v, h) Then</t>
  </si>
  <si>
    <t xml:space="preserve">        cE = HCol(h, "EID"): cD = HCol(h, "日付"): cN = HCol(h, "業務名"): cC = HCol(h, "処理案件数"): cI = HCol(h, "業務ID")</t>
  </si>
  <si>
    <t xml:space="preserve">        If cE &gt; 0 And cD &gt; 0 And cN &gt; 0 And cC &gt; 0 Then</t>
  </si>
  <si>
    <t xml:space="preserve">                eid = Trim$(SafeStr(v(r, cE)))</t>
  </si>
  <si>
    <t xml:space="preserve">                If eid &lt;&gt; "" And mPersons.Exists(eid) Then</t>
  </si>
  <si>
    <t xml:space="preserve">                    p = mPersons(eid)</t>
  </si>
  <si>
    <t xml:space="preserve">                    If p(0) = "" Then noKj(eid) = True</t>
  </si>
  <si>
    <t xml:space="preserve">                    tk = TaskKey(v, r, cI, cN)</t>
  </si>
  <si>
    <t xml:space="preserve">                    If mMap.Exists(tk) Then</t>
  </si>
  <si>
    <t xml:space="preserve">                        m = mMap(tk)</t>
  </si>
  <si>
    <t xml:space="preserve">                        If m(2) And m(0) = "" Then noMt(tk &amp; "　" &amp; m(5)) = True</t>
  </si>
  <si>
    <t xml:space="preserve">                        If m(2) And m(3) = NO_STAGE Then noStage(tk &amp; "　" &amp; m(5)) = True</t>
  </si>
  <si>
    <t xml:space="preserve">                        If pcDates.Exists(d) And p(0) &lt;&gt; "" And m(2) And m(0) &lt;&gt; "" Then</t>
  </si>
  <si>
    <t xml:space="preserve">                            k = eid &amp; "|" &amp; d &amp; "|" &amp; m(0) &amp; "|" &amp; m(1)</t>
  </si>
  <si>
    <t xml:space="preserve">                            wk(k) = wk(k) + ToNum(v(r, cC))</t>
  </si>
  <si>
    <t xml:space="preserve">                            allKeys(k) = True</t>
  </si>
  <si>
    <t xml:space="preserve">                        End If</t>
  </si>
  <si>
    <t xml:space="preserve">    ' --- 確認メモを引き継ぐ（L列の隠しキーで対応）</t>
  </si>
  <si>
    <t xml:space="preserve">    last = ws.Cells(ws.Rows.Count, 12).End(xlUp).Row</t>
  </si>
  <si>
    <t xml:space="preserve">    For r = CHK_HDR + 1 To last</t>
  </si>
  <si>
    <t xml:space="preserve">        If SafeStr(ws.Cells(r, 11).Value) &lt;&gt; "" Then memos(SafeStr(ws.Cells(r, 12).Value)) = ws.Cells(r, 11).Value</t>
  </si>
  <si>
    <t xml:space="preserve">    ws.AutoFilterMode = False</t>
  </si>
  <si>
    <t xml:space="preserve">    ws.Cells.Clear</t>
  </si>
  <si>
    <t xml:space="preserve">    ws.Range("A1").Value = "② 照合チェック（稼働記録の処理案件数 vs 案件処理件数一覧の ProcessCount）"</t>
  </si>
  <si>
    <t xml:space="preserve">    ws.Range("A1").Font.Size = 14: ws.Range("A1").Font.Bold = True</t>
  </si>
  <si>
    <t xml:space="preserve">    SetHeader ws, Array("担当者", "EID", "日付", "曜日", "MatterType", "Status", "処理案件数" &amp; vbLf &amp; "(稼働記録)", _</t>
  </si>
  <si>
    <t xml:space="preserve">                        "ProcessCount", "差", "判定", "確認メモ（手入力）", "キー"), CHK_HDR</t>
  </si>
  <si>
    <t xml:space="preserve">    ws.Rows(CHK_HDR).RowHeight = 30</t>
  </si>
  <si>
    <t xml:space="preserve">    nRows = allKeys.Count</t>
  </si>
  <si>
    <t xml:space="preserve">    nFlag = 0</t>
  </si>
  <si>
    <t xml:space="preserve">    If nRows &gt; 0 Then</t>
  </si>
  <si>
    <t xml:space="preserve">        keys = allKeys.keys</t>
  </si>
  <si>
    <t xml:space="preserve">        QSort keys, LBound(keys), UBound(keys)</t>
  </si>
  <si>
    <t xml:space="preserve">        ReDim out(1 To nRows, 1 To 12)</t>
  </si>
  <si>
    <t xml:space="preserve">        For i = LBound(keys) To UBound(keys)</t>
  </si>
  <si>
    <t xml:space="preserve">            k = keys(i)</t>
  </si>
  <si>
    <t xml:space="preserve">            parts = Split(k, "|")</t>
  </si>
  <si>
    <t xml:space="preserve">            r = i - LBound(keys) + 1</t>
  </si>
  <si>
    <t xml:space="preserve">            d = CLng(parts(1))</t>
  </si>
  <si>
    <t xml:space="preserve">            If minD = 0 Or d &lt; minD Then minD = d</t>
  </si>
  <si>
    <t xml:space="preserve">            If d &gt; maxD Then maxD = d</t>
  </si>
  <si>
    <t xml:space="preserve">            If wk.Exists(k) Then a = wk(k) Else a = NO_DATA</t>
  </si>
  <si>
    <t xml:space="preserve">            If pc.Exists(k) Then b = pc(k) Else b = NO_DATA</t>
  </si>
  <si>
    <t xml:space="preserve">            diff = ToNum(a) - ToNum(b)</t>
  </si>
  <si>
    <t xml:space="preserve">            p = mPersons(parts(0))</t>
  </si>
  <si>
    <t xml:space="preserve">            out(r, 1) = p(1): out(r, 2) = parts(0): out(r, 3) = CDate(d)</t>
  </si>
  <si>
    <t xml:space="preserve">            out(r, 4) = WeekdayJa(d): out(r, 5) = parts(2): out(r, 6) = parts(3)</t>
  </si>
  <si>
    <t xml:space="preserve">            out(r, 7) = a: out(r, 8) = b: out(r, 9) = diff</t>
  </si>
  <si>
    <t xml:space="preserve">            If Abs(diff) &gt;= DIFF_LIMIT Then</t>
  </si>
  <si>
    <t xml:space="preserve">                out(r, 10) = FLAG_MARK &amp; " 差" &amp; DIFF_LIMIT &amp; "以上"</t>
  </si>
  <si>
    <t xml:space="preserve">                nFlag = nFlag + 1</t>
  </si>
  <si>
    <t xml:space="preserve">                fk = parts(0) &amp; "|" &amp; d &amp; "|" &amp; parts(2) &amp; "|" &amp; parts(3)</t>
  </si>
  <si>
    <t xml:space="preserve">                flags(fk) = flags(fk) &amp; parts(3) &amp; "：処理案件数 " &amp; a &amp; " / ProcessCount " &amp; b &amp; "（差 " &amp; Format(diff, "+0;-0") &amp; "）" &amp; vbLf</t>
  </si>
  <si>
    <t xml:space="preserve">                out(r, 10) = "OK"</t>
  </si>
  <si>
    <t xml:space="preserve">            If memos.Exists(k) Then out(r, 11) = memos(k)</t>
  </si>
  <si>
    <t xml:space="preserve">            out(r, 12) = k</t>
  </si>
  <si>
    <t xml:space="preserve">        ws.Range(ws.Cells(CHK_HDR + 1, 1), ws.Cells(CHK_HDR + nRows, 12)).Value = out</t>
  </si>
  <si>
    <t xml:space="preserve">        ws.Range(ws.Cells(CHK_HDR + 1, 1), ws.Cells(CHK_HDR + nRows, 12)).Font.Size = 10</t>
  </si>
  <si>
    <t xml:space="preserve">        ws.Range(ws.Cells(CHK_HDR + 1, 3), ws.Cells(CHK_HDR + nRows, 3)).NumberFormatLocal = "yyyy/mm/dd"</t>
  </si>
  <si>
    <t xml:space="preserve">        ws.Range(ws.Cells(CHK_HDR + 1, 9), ws.Cells(CHK_HDR + nRows, 9)).NumberFormatLocal = "+0;-0;0"</t>
  </si>
  <si>
    <t xml:space="preserve">        ws.Range(ws.Cells(CHK_HDR + 1, 7), ws.Cells(CHK_HDR + nRows, 9)).HorizontalAlignment = xlRight</t>
  </si>
  <si>
    <t xml:space="preserve">        ws.Range(ws.Cells(CHK_HDR + 1, 11), ws.Cells(CHK_HDR + nRows, 11)).Interior.Color = RGB(255, 242, 204)</t>
  </si>
  <si>
    <t xml:space="preserve">        ws.Activate</t>
  </si>
  <si>
    <t xml:space="preserve">        ws.Cells(CHK_HDR + 1, 1).Select</t>
  </si>
  <si>
    <t xml:space="preserve">        ws.Range(ws.Cells(CHK_HDR + 1, 1), ws.Cells(CHK_HDR + nRows, 10)).FormatConditions.Add( _</t>
  </si>
  <si>
    <t xml:space="preserve">            Type:=xlExpression, Formula1:="=LEFT($J" &amp; (CHK_HDR + 1) &amp; ",1)=""" &amp; FLAG_MARK &amp; """").Interior.Color = RGB(255, 217, 102)</t>
  </si>
  <si>
    <t xml:space="preserve">        ws.Range(ws.Cells(CHK_HDR, 1), ws.Cells(CHK_HDR + nRows, 12)).AutoFilter</t>
  </si>
  <si>
    <t xml:space="preserve">    ws.Columns(12).Hidden = True</t>
  </si>
  <si>
    <t xml:space="preserve">        ws.Range("A2").Value = "照合した日：" &amp; Format(CDate(minD), "yyyy/mm/dd") &amp; "～" &amp; Format(CDate(maxD), "yyyy/mm/dd") &amp; _</t>
  </si>
  <si>
    <t xml:space="preserve">            "（ProcessCount を取り込んだ日だけ）　差＝処理案件数－ProcessCount（片方にしかない場合は 0 として計算）"</t>
  </si>
  <si>
    <t xml:space="preserve">    Else</t>
  </si>
  <si>
    <t xml:space="preserve">        ws.Range("A2").Value = "照合できるデータがありません"</t>
  </si>
  <si>
    <t xml:space="preserve">    ws.Range("A3").Value = "差" &amp; DIFF_LIMIT &amp; "以上：" &amp; nFlag &amp; " 件　／　照合 " &amp; nRows &amp; " 行　（" &amp; Format(Now, "yyyy/mm/dd hh:nn") &amp; "）"</t>
  </si>
  <si>
    <t xml:space="preserve">    ws.Range("A3").Font.Bold = True</t>
  </si>
  <si>
    <t xml:space="preserve">    If nFlag &gt; 0 Then ws.Range("A3").Font.Color = RGB(192, 0, 0)</t>
  </si>
  <si>
    <t xml:space="preserve">    ' --- 確認事項（右側）</t>
  </si>
  <si>
    <t xml:space="preserve">    WriteList ws, 14, "■ CenterStaffKj が未入力の EID（照合されません）", noKj.keys</t>
  </si>
  <si>
    <t xml:space="preserve">    WriteList ws, 16, "■ MatterType が未設定の業務ID（集計対象○）", noMt.keys</t>
  </si>
  <si>
    <t xml:space="preserve">    WriteList ws, 20, "■ 工程が未設定の業務ID（集計対象○）", noStage.keys</t>
  </si>
  <si>
    <t xml:space="preserve">    WriteList ws, 18, "■ マスタ_担当者に紐づいていない氏名（件数データ）", unknown.Items</t>
  </si>
  <si>
    <t xml:space="preserve">    ws.Columns("A").ColumnWidth = 12: ws.Columns("B").ColumnWidth = 12: ws.Columns("C").ColumnWidth = 11</t>
  </si>
  <si>
    <t xml:space="preserve">    ws.Columns("D").ColumnWidth = 5: ws.Columns("E").ColumnWidth = 11: ws.Columns("F").ColumnWidth = 15</t>
  </si>
  <si>
    <t xml:space="preserve">    ws.Columns("G:I").ColumnWidth = 11: ws.Columns("J").ColumnWidth = 11: ws.Columns("K").ColumnWidth = 30</t>
  </si>
  <si>
    <t xml:space="preserve">    ws.Columns("M").ColumnWidth = 2: ws.Columns("N").ColumnWidth = 30: ws.Columns("O").ColumnWidth = 2</t>
  </si>
  <si>
    <t xml:space="preserve">    ws.Columns("P").ColumnWidth = 40: ws.Columns("Q").ColumnWidth = 2: ws.Columns("R").ColumnWidth = 30</t>
  </si>
  <si>
    <t xml:space="preserve">    ws.Columns("S").ColumnWidth = 2: ws.Columns("T").ColumnWidth = 40</t>
  </si>
  <si>
    <t xml:space="preserve">    Set BuildCheckSheet = flags</t>
  </si>
  <si>
    <t>Private Sub WriteList(ws As Worksheet, ByVal col As Long, ByVal title As String, items As Variant)</t>
  </si>
  <si>
    <t xml:space="preserve">    Dim i As Long, r As Long</t>
  </si>
  <si>
    <t xml:space="preserve">    ws.Cells(CHK_HDR, col).Value = title</t>
  </si>
  <si>
    <t xml:space="preserve">    StyleHeader ws.Cells(CHK_HDR, col), RGB(197, 90, 17)</t>
  </si>
  <si>
    <t xml:space="preserve">    ws.Cells(CHK_HDR, col).WrapText = True</t>
  </si>
  <si>
    <t xml:space="preserve">    r = CHK_HDR</t>
  </si>
  <si>
    <t xml:space="preserve">    For i = LBound(items) To UBound(items)</t>
  </si>
  <si>
    <t xml:space="preserve">        r = r + 1: ws.Cells(r, col).Value = items(i)</t>
  </si>
  <si>
    <t xml:space="preserve">    If r = CHK_HDR Then ws.Cells(r + 1, col).Value = "なし"</t>
  </si>
  <si>
    <t>' ③ 集計（一覧_日別 / 一覧_週別 / 一覧_月別）</t>
  </si>
  <si>
    <t>Public Function RunBuild(Optional ByVal silent As Boolean = False) As String</t>
  </si>
  <si>
    <t xml:space="preserve">    Dim flags As Object, nFlag As Long, nChk As Long</t>
  </si>
  <si>
    <t xml:space="preserve">    Dim dayAgg As Object, totAgg As Object, perKeys As Object, perGroups As Object</t>
  </si>
  <si>
    <t xml:space="preserve">    Dim allKeys As Object, allGroups As Object, allDates As Object, needStd As Object</t>
  </si>
  <si>
    <t xml:space="preserve">    Dim v As Variant, h As Object, r As Long</t>
  </si>
  <si>
    <t xml:space="preserve">    Dim cE As Long, cD As Long, cI As Long, cN As Long, cC As Long, cH As Long</t>
  </si>
  <si>
    <t xml:space="preserve">    Dim eid As Variant, tk As String, d As Long, k As String, a As Variant, m As Variant, p As Variant</t>
  </si>
  <si>
    <t xml:space="preserve">    Dim stg As Variant, mt As Variant, rk As Variant, g As String, rkInfo As Variant</t>
  </si>
  <si>
    <t xml:space="preserve">    Dim ds As Variant, i As Long, key As Long</t>
  </si>
  <si>
    <t xml:space="preserve">    Dim colD As Object, colW As Object, colM As Object, catRow As Object</t>
  </si>
  <si>
    <t xml:space="preserve">    Dim cntD As Long, cntW As Long, cntM As Long, nRows As Long, row As Long</t>
  </si>
  <si>
    <t xml:space="preserve">    Dim outD() As Variant, outW() As Variant, outM() As Variant, rowType() As Long</t>
  </si>
  <si>
    <t xml:space="preserve">    Dim specs As Collection, spec As Variant, keysOf As Collection, pCnt As Long, info As String, stamp As String</t>
  </si>
  <si>
    <t xml:space="preserve">    Set flags = BuildCheckSheet(nFlag, nChk)    ' 照合も最新化（オレンジ枠の表示に使う）</t>
  </si>
  <si>
    <t xml:space="preserve">    ' --- 稼働記録 → 人×日×（工程｜表示名）の 件数・時間、日×（工程｜表示名）の 件数合計</t>
  </si>
  <si>
    <t xml:space="preserve">    Set dayAgg = NewDict(): Set totAgg = NewDict(): Set perKeys = NewDict(): Set perGroups = NewDict()</t>
  </si>
  <si>
    <t xml:space="preserve">    Set allKeys = NewDict(): Set allGroups = NewDict(): Set allDates = NewDict(): Set needStd = NewDict()</t>
  </si>
  <si>
    <t xml:space="preserve">        cE = HCol(h, "EID"): cD = HCol(h, "日付"): cI = HCol(h, "業務ID"): cN = HCol(h, "業務名")</t>
  </si>
  <si>
    <t xml:space="preserve">        cC = HCol(h, "処理案件数"): cH = HColLike(h, "所要時間")</t>
  </si>
  <si>
    <t xml:space="preserve">        If cE &gt; 0 And cD &gt; 0 And cN &gt; 0 And cC &gt; 0 And cH &gt; 0 Then</t>
  </si>
  <si>
    <t xml:space="preserve">                tk = TaskKey(v, r, cI, cN)</t>
  </si>
  <si>
    <t xml:space="preserve">                If eid &lt;&gt; "" And d &gt; 0 And tk &lt;&gt; "" Then</t>
  </si>
  <si>
    <t xml:space="preserve">                    If Not mPersons.Exists(eid) Then mPersons(eid) = Array("", eid)</t>
  </si>
  <si>
    <t xml:space="preserve">                        If m(2) Then</t>
  </si>
  <si>
    <t xml:space="preserve">                            stg = m(3): mt = m(0)</t>
  </si>
  <si>
    <t xml:space="preserve">                            If mt = "" Then mt = UNCAT</t>
  </si>
  <si>
    <t xml:space="preserve">                            If Not mCats.Exists(mt) Then mCats(mt) = mCats.Count</t>
  </si>
  <si>
    <t xml:space="preserve">                            rk = stg &amp; "|" &amp; m(4)</t>
  </si>
  <si>
    <t xml:space="preserve">                            If Not mRowKeys.Exists(rk) Then mRowKeys(rk) = Array(stg, mt, m(4))</t>
  </si>
  <si>
    <t xml:space="preserve">                            g = stg &amp; "|" &amp; mt</t>
  </si>
  <si>
    <t xml:space="preserve">                            If Not mStdPairs.Exists(g) And mt &lt;&gt; UNCAT Then needStd(g) = True</t>
  </si>
  <si>
    <t xml:space="preserve">                            k = eid &amp; "|" &amp; d &amp; "|" &amp; rk</t>
  </si>
  <si>
    <t xml:space="preserve">                            If dayAgg.Exists(k) Then a = dayAgg(k) Else a = Array(0#, 0#)</t>
  </si>
  <si>
    <t xml:space="preserve">                            a(0) = a(0) + ToNum(v(r, cC))</t>
  </si>
  <si>
    <t xml:space="preserve">                            a(1) = a(1) + ToHours(v(r, cH))</t>
  </si>
  <si>
    <t xml:space="preserve">                            dayAgg(k) = a</t>
  </si>
  <si>
    <t xml:space="preserve">                            k = d &amp; "|" &amp; rk</t>
  </si>
  <si>
    <t xml:space="preserve">                            totAgg(k) = totAgg(k) + ToNum(v(r, cC))</t>
  </si>
  <si>
    <t xml:space="preserve">                            SubDictSet perKeys, CStr(eid), CStr(rk)</t>
  </si>
  <si>
    <t xml:space="preserve">                            SubDictSet perGroups, CStr(eid), g</t>
  </si>
  <si>
    <t xml:space="preserve">                            allKeys(rk) = True: allGroups(g) = True</t>
  </si>
  <si>
    <t xml:space="preserve">                            allDates(d) = True</t>
  </si>
  <si>
    <t xml:space="preserve">    If needStd.Count &gt; 0 Then AddStdRows needStd</t>
  </si>
  <si>
    <t xml:space="preserve">    ' --- 列の割り付け（どのシートも 工程・大分類・業務名・標準 の右に 古い→新しい 順）</t>
  </si>
  <si>
    <t xml:space="preserve">    Set colD = NewDict(): Set colW = NewDict(): Set colM = NewDict()</t>
  </si>
  <si>
    <t xml:space="preserve">    cntD = GRID_FIX: cntW = GRID_FIX: cntM = GRID_FIX</t>
  </si>
  <si>
    <t xml:space="preserve">    If allDates.Count &gt; 0 Then</t>
  </si>
  <si>
    <t xml:space="preserve">        ds = allDates.keys</t>
  </si>
  <si>
    <t xml:space="preserve">        QSort ds, LBound(ds), UBound(ds)</t>
  </si>
  <si>
    <t xml:space="preserve">        For i = LBound(ds) To UBound(ds)</t>
  </si>
  <si>
    <t xml:space="preserve">            d = CLng(ds(i))</t>
  </si>
  <si>
    <t xml:space="preserve">            cntD = cntD + 1: colD(d) = cntD</t>
  </si>
  <si>
    <t xml:space="preserve">            key = WeekStart(d)</t>
  </si>
  <si>
    <t xml:space="preserve">            If Not colW.Exists(key) Then cntW = cntW + 1: colW(key) = cntW</t>
  </si>
  <si>
    <t xml:space="preserve">            key = MonthKey(d)</t>
  </si>
  <si>
    <t xml:space="preserve">            If Not colM.Exists(key) Then cntM = cntM + 1: colM(key) = cntM</t>
  </si>
  <si>
    <t xml:space="preserve">    ' --- 行の並び：上に 全員の合計表（工程ごと・件数）、下に 個人別（件/時）</t>
  </si>
  <si>
    <t xml:space="preserve">    '   種類 0:空行 1:人 2:個人の大分類 3:個人の業務 4:見出し 5:合計の大分類 6:合計の業務</t>
  </si>
  <si>
    <t xml:space="preserve">    Set specs = New Collection</t>
  </si>
  <si>
    <t xml:space="preserve">    For Each stg In mStages.keys</t>
  </si>
  <si>
    <t xml:space="preserve">        If HasStage(allGroups, CStr(stg)) Then</t>
  </si>
  <si>
    <t xml:space="preserve">            specs.Add Array(4, "", stg, "", "■ 全員の処理件数 合計：" &amp; stg &amp; "（件数）")</t>
  </si>
  <si>
    <t xml:space="preserve">            For Each mt In mCats.keys</t>
  </si>
  <si>
    <t xml:space="preserve">                g = stg &amp; "|" &amp; mt</t>
  </si>
  <si>
    <t xml:space="preserve">                If allGroups.Exists(g) Then</t>
  </si>
  <si>
    <t xml:space="preserve">                    specs.Add Array(5, "", stg, mt, "")</t>
  </si>
  <si>
    <t xml:space="preserve">                    For Each rk In mRowKeys.keys</t>
  </si>
  <si>
    <t xml:space="preserve">                        If allKeys.Exists(rk) Then</t>
  </si>
  <si>
    <t xml:space="preserve">                            rkInfo = mRowKeys(rk)</t>
  </si>
  <si>
    <t xml:space="preserve">                            If rkInfo(0) = stg And rkInfo(1) = mt Then specs.Add Array(6, "", stg, mt, rk)</t>
  </si>
  <si>
    <t xml:space="preserve">                    Next</t>
  </si>
  <si>
    <t xml:space="preserve">            specs.Add Array(0, "", "", "", "")</t>
  </si>
  <si>
    <t xml:space="preserve">    specs.Add Array(4, "", "", "", "■ 個人別の 件/時（色＝標準との比較）")</t>
  </si>
  <si>
    <t xml:space="preserve">    For Each eid In mPersons.keys</t>
  </si>
  <si>
    <t xml:space="preserve">        If perKeys.Exists(eid) Then</t>
  </si>
  <si>
    <t xml:space="preserve">            pCnt = pCnt + 1</t>
  </si>
  <si>
    <t xml:space="preserve">            specs.Add Array(1, eid, "", "", "")</t>
  </si>
  <si>
    <t xml:space="preserve">            For Each stg In mStages.keys</t>
  </si>
  <si>
    <t xml:space="preserve">                For Each mt In mCats.keys</t>
  </si>
  <si>
    <t xml:space="preserve">                    g = stg &amp; "|" &amp; mt</t>
  </si>
  <si>
    <t xml:space="preserve">                    If perGroups(eid).Exists(g) Then</t>
  </si>
  <si>
    <t xml:space="preserve">                        specs.Add Array(2, eid, stg, mt, "")</t>
  </si>
  <si>
    <t xml:space="preserve">                        For Each rk In mRowKeys.keys</t>
  </si>
  <si>
    <t xml:space="preserve">                            If perKeys(eid).Exists(rk) Then</t>
  </si>
  <si>
    <t xml:space="preserve">                                rkInfo = mRowKeys(rk)</t>
  </si>
  <si>
    <t xml:space="preserve">                                If rkInfo(0) = stg And rkInfo(1) = mt Then specs.Add Array(3, eid, stg, mt, rk)</t>
  </si>
  <si>
    <t xml:space="preserve">                            End If</t>
  </si>
  <si>
    <t xml:space="preserve">                        Next</t>
  </si>
  <si>
    <t xml:space="preserve">                Next</t>
  </si>
  <si>
    <t xml:space="preserve">    nRows = specs.Count</t>
  </si>
  <si>
    <t xml:space="preserve">    ReDim outD(1 To nRows, 1 To cntD)</t>
  </si>
  <si>
    <t xml:space="preserve">    ReDim outW(1 To nRows, 1 To cntW)</t>
  </si>
  <si>
    <t xml:space="preserve">    ReDim outM(1 To nRows, 1 To cntM)</t>
  </si>
  <si>
    <t xml:space="preserve">    ReDim rowType(1 To nRows)</t>
  </si>
  <si>
    <t xml:space="preserve">    Set catRow = NewDict()</t>
  </si>
  <si>
    <t xml:space="preserve">    row = 0</t>
  </si>
  <si>
    <t xml:space="preserve">    For Each spec In specs</t>
  </si>
  <si>
    <t xml:space="preserve">        row = row + 1</t>
  </si>
  <si>
    <t xml:space="preserve">        rowType(row) = spec(0)</t>
  </si>
  <si>
    <t xml:space="preserve">        Select Case spec(0)</t>
  </si>
  <si>
    <t xml:space="preserve">            Case 4</t>
  </si>
  <si>
    <t xml:space="preserve">                SetCells outD, outW, outM, row, spec(4), "", ""</t>
  </si>
  <si>
    <t xml:space="preserve">            Case 1</t>
  </si>
  <si>
    <t xml:space="preserve">                p = mPersons(spec(1))</t>
  </si>
  <si>
    <t xml:space="preserve">                SetCells outD, outW, outM, row, "■ " &amp; p(1) &amp; "（" &amp; spec(1) &amp; "）", "", ""</t>
  </si>
  <si>
    <t xml:space="preserve">            Case 2, 5</t>
  </si>
  <si>
    <t xml:space="preserve">                SetCells outD, outW, outM, row, spec(2), spec(3), spec(3) &amp; " 計"</t>
  </si>
  <si>
    <t xml:space="preserve">                Set keysOf = GroupKeys(CStr(spec(2)), CStr(spec(3)))</t>
  </si>
  <si>
    <t xml:space="preserve">                If spec(0) = 2 Then catRow(spec(1) &amp; "|" &amp; spec(2) &amp; "|" &amp; spec(3)) = row</t>
  </si>
  <si>
    <t xml:space="preserve">                If allDates.Count &gt; 0 Then</t>
  </si>
  <si>
    <t xml:space="preserve">                    If spec(0) = 2 Then</t>
  </si>
  <si>
    <t xml:space="preserve">                        FillRates outD, outW, outM, row, CStr(spec(1)), keysOf, ds, dayAgg, colD, colW, colM</t>
  </si>
  <si>
    <t xml:space="preserve">                    Else</t>
  </si>
  <si>
    <t xml:space="preserve">                        FillCounts outD, outW, outM, row, keysOf, ds, totAgg, colD, colW, colM</t>
  </si>
  <si>
    <t xml:space="preserve">            Case 3, 6</t>
  </si>
  <si>
    <t xml:space="preserve">                rkInfo = mRowKeys(spec(4))</t>
  </si>
  <si>
    <t xml:space="preserve">                SetCells outD, outW, outM, row, spec(2), spec(3), rkInfo(2)</t>
  </si>
  <si>
    <t xml:space="preserve">                Set keysOf = New Collection</t>
  </si>
  <si>
    <t xml:space="preserve">                keysOf.Add spec(4)</t>
  </si>
  <si>
    <t xml:space="preserve">                    If spec(0) = 3 Then</t>
  </si>
  <si>
    <t xml:space="preserve">        End Select</t>
  </si>
  <si>
    <t xml:space="preserve">    stamp = "最終集計：" &amp; Format(Now, "yyyy/mm/dd hh:nn") &amp; "　対象 " &amp; pCnt &amp; " 名" &amp; _</t>
  </si>
  <si>
    <t xml:space="preserve">            IIf(allDates.Count &gt; 0, "　／　照合で差" &amp; DIFF_LIMIT &amp; "以上 " &amp; nFlag &amp; " 件", "")</t>
  </si>
  <si>
    <t xml:space="preserve">    WriteGrid ThisWorkbook.Worksheets(SH_DAY), "D", colD, cntD, nRows, outD, rowType, stamp</t>
  </si>
  <si>
    <t xml:space="preserve">    WriteGrid ThisWorkbook.Worksheets(SH_WEEK), "W", colW, cntW, nRows, outW, rowType, stamp</t>
  </si>
  <si>
    <t xml:space="preserve">    WriteGrid ThisWorkbook.Worksheets(SH_MONTH), "M", colM, cntM, nRows, outM, rowType, stamp</t>
  </si>
  <si>
    <t xml:space="preserve">    MarkFlags flags, catRow, colD, colW, colM</t>
  </si>
  <si>
    <t xml:space="preserve">    info = "集計しました（" &amp; pCnt &amp; " 名）。一覧_日別／一覧_週別／一覧_月別 を更新しました。"</t>
  </si>
  <si>
    <t xml:space="preserve">    If nFlag &gt; 0 Then info = info &amp; vbLf &amp; "照合で差" &amp; DIFF_LIMIT &amp; "以上：" &amp; nFlag &amp; " 件（一覧ではオレンジ枠。詳細は照合チェックシート）"</t>
  </si>
  <si>
    <t xml:space="preserve">    If needStd.Count &gt; 0 Then info = info &amp; vbLf &amp; "「" &amp; SH_MAP &amp; "」K〜N列に 工程×大分類 を追加：" &amp; Join(needStd.keys, "、") &amp; "（標準を入力してください）"</t>
  </si>
  <si>
    <t xml:space="preserve">    info = info &amp; vbLf &amp; SaveMasters(False)</t>
  </si>
  <si>
    <t xml:space="preserve">    If Not silent Then</t>
  </si>
  <si>
    <t xml:space="preserve">        ThisWorkbook.Worksheets(SH_WEEK).Activate</t>
  </si>
  <si>
    <t xml:space="preserve">        ThisWorkbook.Worksheets(SH_WEEK).Range("A" &amp; LIST_HDR + 1).Select</t>
  </si>
  <si>
    <t xml:space="preserve">    Notify info</t>
  </si>
  <si>
    <t xml:space="preserve">    RunBuild = gMsg</t>
  </si>
  <si>
    <t>Private Sub SetCells(outD() As Variant, outW() As Variant, outM() As Variant, ByVal row As Long, _</t>
  </si>
  <si>
    <t xml:space="preserve">                     ByVal a As Variant, ByVal b As Variant, ByVal c As Variant)</t>
  </si>
  <si>
    <t xml:space="preserve">    outD(row, 1) = a: outW(row, 1) = a: outM(row, 1) = a</t>
  </si>
  <si>
    <t xml:space="preserve">    outD(row, 2) = b: outW(row, 2) = b: outM(row, 2) = b</t>
  </si>
  <si>
    <t xml:space="preserve">    outD(row, 3) = c: outW(row, 3) = c: outM(row, 3) = c</t>
  </si>
  <si>
    <t>' その工程の行があるか</t>
  </si>
  <si>
    <t>Private Function HasStage(groups As Object, ByVal stg As String) As Boolean</t>
  </si>
  <si>
    <t xml:space="preserve">    Dim k As Variant</t>
  </si>
  <si>
    <t xml:space="preserve">    For Each k In groups.keys</t>
  </si>
  <si>
    <t xml:space="preserve">        If Left$(k, Len(stg) + 1) = stg &amp; "|" Then HasStage = True: Exit Function</t>
  </si>
  <si>
    <t>' 工程×大分類 に属する行キー（工程｜表示名）の一覧</t>
  </si>
  <si>
    <t>Private Function GroupKeys(ByVal stg As String, ByVal mt As String) As Collection</t>
  </si>
  <si>
    <t xml:space="preserve">    Dim col As New Collection, rk As Variant, info As Variant</t>
  </si>
  <si>
    <t xml:space="preserve">    For Each rk In mRowKeys.keys</t>
  </si>
  <si>
    <t xml:space="preserve">        info = mRowKeys(rk)</t>
  </si>
  <si>
    <t xml:space="preserve">        If info(0) = stg And info(1) = mt Then col.Add rk</t>
  </si>
  <si>
    <t xml:space="preserve">    Set GroupKeys = col</t>
  </si>
  <si>
    <t>' 稼働記録1行の業務キー（業務ID。無ければ業務名）</t>
  </si>
  <si>
    <t>Private Function TaskKey(ByRef v As Variant, ByVal r As Long, ByVal cI As Long, ByVal cN As Long) As String</t>
  </si>
  <si>
    <t xml:space="preserve">    If cI &gt; 0 Then TaskKey = Trim$(SafeStr(v(r, cI)))</t>
  </si>
  <si>
    <t xml:space="preserve">    If TaskKey = "" And cN &gt; 0 Then TaskKey = Trim$(SafeStr(v(r, cN)))</t>
  </si>
  <si>
    <t>' 個人の1行分（大分類なら複数の行キー、明細なら1つ）の件/時</t>
  </si>
  <si>
    <t>'   日別 ＝ その日の処理案件数 ÷ 所要時間</t>
  </si>
  <si>
    <t>'   週別・月別 ＝ 数字が入っている日の 日別件/時 の平均</t>
  </si>
  <si>
    <t>Private Sub FillRates(outD() As Variant, outW() As Variant, outM() As Variant, ByVal row As Long, ByVal eid As String, _</t>
  </si>
  <si>
    <t xml:space="preserve">                      keysOf As Collection, ds As Variant, dayAgg As Object, colD As Object, colW As Object, colM As Object)</t>
  </si>
  <si>
    <t xml:space="preserve">    Dim i As Long, d As Long, rk As Variant, k As String, a As Variant, c As Double, h As Double, rate As Double</t>
  </si>
  <si>
    <t xml:space="preserve">    Dim wS As Object, wN As Object, mS As Object, mN As Object, key As Variant</t>
  </si>
  <si>
    <t xml:space="preserve">    Set wS = NewDict(): Set wN = NewDict(): Set mS = NewDict(): Set mN = NewDict()</t>
  </si>
  <si>
    <t xml:space="preserve">    For i = LBound(ds) To UBound(ds)</t>
  </si>
  <si>
    <t xml:space="preserve">        d = CLng(ds(i))</t>
  </si>
  <si>
    <t xml:space="preserve">        c = 0: h = 0</t>
  </si>
  <si>
    <t xml:space="preserve">        For Each rk In keysOf</t>
  </si>
  <si>
    <t xml:space="preserve">            k = eid &amp; "|" &amp; d &amp; "|" &amp; rk</t>
  </si>
  <si>
    <t xml:space="preserve">            If dayAgg.Exists(k) Then</t>
  </si>
  <si>
    <t xml:space="preserve">                a = dayAgg(k): c = c + a(0): h = h + a(1)</t>
  </si>
  <si>
    <t xml:space="preserve">        If h &gt; 0 Then</t>
  </si>
  <si>
    <t xml:space="preserve">            rate = c / h</t>
  </si>
  <si>
    <t xml:space="preserve">            outD(row, colD(d)) = Round(rate, 2)</t>
  </si>
  <si>
    <t xml:space="preserve">            key = WeekStart(d): wS(key) = wS(key) + rate: wN(key) = wN(key) + 1</t>
  </si>
  <si>
    <t xml:space="preserve">            key = MonthKey(d): mS(key) = mS(key) + rate: mN(key) = mN(key) + 1</t>
  </si>
  <si>
    <t xml:space="preserve">            outD(row, colD(d)) = NO_DATA</t>
  </si>
  <si>
    <t xml:space="preserve">    For Each key In colW.keys</t>
  </si>
  <si>
    <t xml:space="preserve">        If wN.Exists(key) Then outW(row, colW(key)) = Round(wS(key) / wN(key), 2) Else outW(row, colW(key)) = NO_DATA</t>
  </si>
  <si>
    <t xml:space="preserve">    For Each key In colM.keys</t>
  </si>
  <si>
    <t xml:space="preserve">        If mN.Exists(key) Then outM(row, colM(key)) = Round(mS(key) / mN(key), 2) Else outM(row, colM(key)) = NO_DATA</t>
  </si>
  <si>
    <t>' 合計表の1行分：全員の処理件数の合計（日・週・月）</t>
  </si>
  <si>
    <t>Private Sub FillCounts(outD() As Variant, outW() As Variant, outM() As Variant, ByVal row As Long, keysOf As Collection, _</t>
  </si>
  <si>
    <t xml:space="preserve">                       ds As Variant, totAgg As Object, colD As Object, colW As Object, colM As Object)</t>
  </si>
  <si>
    <t xml:space="preserve">    Dim i As Long, d As Long, rk As Variant, k As String, c As Double, found As Boolean</t>
  </si>
  <si>
    <t xml:space="preserve">    Dim wS As Object, mS As Object, key As Variant</t>
  </si>
  <si>
    <t xml:space="preserve">    Set wS = NewDict(): Set mS = NewDict()</t>
  </si>
  <si>
    <t xml:space="preserve">        c = 0: found = False</t>
  </si>
  <si>
    <t xml:space="preserve">            k = d &amp; "|" &amp; rk</t>
  </si>
  <si>
    <t xml:space="preserve">            If totAgg.Exists(k) Then</t>
  </si>
  <si>
    <t xml:space="preserve">                c = c + totAgg(k): found = True</t>
  </si>
  <si>
    <t xml:space="preserve">        If found Then</t>
  </si>
  <si>
    <t xml:space="preserve">            outD(row, colD(d)) = c</t>
  </si>
  <si>
    <t xml:space="preserve">            key = WeekStart(d): wS(key) = wS(key) + c</t>
  </si>
  <si>
    <t xml:space="preserve">            key = MonthKey(d): mS(key) = mS(key) + c</t>
  </si>
  <si>
    <t xml:space="preserve">        If wS.Exists(key) Then outW(row, colW(key)) = wS(key) Else outW(row, colW(key)) = NO_DATA</t>
  </si>
  <si>
    <t xml:space="preserve">        If mS.Exists(key) Then outM(row, colM(key)) = mS(key) Else outM(row, colM(key)) = NO_DATA</t>
  </si>
  <si>
    <t>Private Function MonthKey(ByVal d As Long) As Long</t>
  </si>
  <si>
    <t xml:space="preserve">    MonthKey = Year(CDate(d)) * 100 + Month(CDate(d))</t>
  </si>
  <si>
    <t>' 列キー → その列の代表日（日別＝その日、週別＝週の月曜、月別＝1日）</t>
  </si>
  <si>
    <t>Private Function KeyDate(ByVal kind As String, ByVal key As Long) As Date</t>
  </si>
  <si>
    <t xml:space="preserve">        Case "M": KeyDate = DateSerial(key \ 100, key Mod 100, 1)</t>
  </si>
  <si>
    <t xml:space="preserve">        Case Else: KeyDate = CDate(key)</t>
  </si>
  <si>
    <t>Private Sub ClearList(ws As Worksheet)</t>
  </si>
  <si>
    <t xml:space="preserve">    ws.Cells.ClearComments</t>
  </si>
  <si>
    <t xml:space="preserve">    ws.Cells.ClearOutline</t>
  </si>
  <si>
    <t xml:space="preserve">    On Error Resume Next</t>
  </si>
  <si>
    <t xml:space="preserve">    ws.Cells.SparklineGroups.Clear</t>
  </si>
  <si>
    <t xml:space="preserve">    On Error GoTo 0</t>
  </si>
  <si>
    <t xml:space="preserve">    ws.Cells.UnMerge</t>
  </si>
  <si>
    <t xml:space="preserve">    ws.Columns.Hidden = False</t>
  </si>
  <si>
    <t>' 一覧シート1枚を書く（見出し：年 → 月 → 日/週/月）</t>
  </si>
  <si>
    <t>Private Sub WriteGrid(ws As Worksheet, ByVal kind As String, cols As Object, ByVal nCols As Long, ByVal nRows As Long, _</t>
  </si>
  <si>
    <t xml:space="preserve">                      out As Variant, rowType() As Long, ByVal stamp As String)</t>
  </si>
  <si>
    <t xml:space="preserve">    Dim hdr() As Variant, key As Variant, dt As Date, title As String, unit As String</t>
  </si>
  <si>
    <t xml:space="preserve">    Dim first As Long, lastR As Long, prevW As Long</t>
  </si>
  <si>
    <t xml:space="preserve">    ClearList ws</t>
  </si>
  <si>
    <t xml:space="preserve">        Case "D": title = "日別一覧": unit = "合計表＝その日の処理件数／個人別＝その日の件/時（処理案件数÷所要時間）"</t>
  </si>
  <si>
    <t xml:space="preserve">        Case "W": title = "週別一覧": unit = "合計表＝その週の処理件数／個人別＝数字が入っている日の件/時の平均（週は月曜はじまり）"</t>
  </si>
  <si>
    <t xml:space="preserve">        Case "M": title = "月別一覧": unit = "合計表＝その月の処理件数／個人別＝数字が入っている日の件/時の平均"</t>
  </si>
  <si>
    <t xml:space="preserve">    ws.Range("A1").Value = title &amp; "（上：全員の処理件数 合計／下：個人別 件/時）"</t>
  </si>
  <si>
    <t xml:space="preserve">    ws.Cells(2, GRID_FIX + 1).Value = stamp</t>
  </si>
  <si>
    <t xml:space="preserve">    ws.Cells(3, GRID_FIX + 1).Value = "値＝" &amp; unit &amp; "　「-」（グレー）＝数字なし"</t>
  </si>
  <si>
    <t xml:space="preserve">    ws.Cells(3, GRID_FIX + 1).Font.Color = RGB(118, 118, 118)</t>
  </si>
  <si>
    <t xml:space="preserve">    WriteLegend ws</t>
  </si>
  <si>
    <t xml:space="preserve">    ' 見出し</t>
  </si>
  <si>
    <t xml:space="preserve">    ReDim hdr(1 To nCols)</t>
  </si>
  <si>
    <t xml:space="preserve">    hdr(1) = "工程": hdr(2) = "大分類": hdr(3) = "業務名": hdr(4) = "標準" &amp; vbLf &amp; "(件/時)"</t>
  </si>
  <si>
    <t xml:space="preserve">    For Each key In cols.keys</t>
  </si>
  <si>
    <t xml:space="preserve">        dt = KeyDate(kind, CLng(key))</t>
  </si>
  <si>
    <t xml:space="preserve">        Select Case kind</t>
  </si>
  <si>
    <t xml:space="preserve">            Case "D": hdr(cols(key)) = "'" &amp; Format(dt, "m/d") &amp; vbLf &amp; "(" &amp; WeekdayJa(CLng(dt)) &amp; ")"</t>
  </si>
  <si>
    <t xml:space="preserve">            Case "W": hdr(cols(key)) = "'" &amp; Format(dt, "m/d") &amp; "週"</t>
  </si>
  <si>
    <t xml:space="preserve">            Case "M": hdr(cols(key)) = "'" &amp; Month(dt) &amp; "月"</t>
  </si>
  <si>
    <t xml:space="preserve">    ws.Range(ws.Cells(LIST_HDR, 1), ws.Cells(LIST_HDR, nCols)).Value = hdr</t>
  </si>
  <si>
    <t xml:space="preserve">    StyleHeader ws.Range(ws.Cells(LIST_HDR, 1), ws.Cells(LIST_HDR, nCols)), RGB(31, 78, 121)</t>
  </si>
  <si>
    <t xml:space="preserve">    ws.Range(ws.Cells(LIST_HDR, 1), ws.Cells(LIST_HDR, nCols)).WrapText = True</t>
  </si>
  <si>
    <t xml:space="preserve">    ws.Rows(LIST_HDR).RowHeight = 30</t>
  </si>
  <si>
    <t xml:space="preserve">    ws.Columns("A").ColumnWidth = 9</t>
  </si>
  <si>
    <t xml:space="preserve">    ws.Columns("B").ColumnWidth = 9</t>
  </si>
  <si>
    <t xml:space="preserve">    ws.Columns("C").ColumnWidth = 40</t>
  </si>
  <si>
    <t xml:space="preserve">    ws.Columns("D").ColumnWidth = 7</t>
  </si>
  <si>
    <t xml:space="preserve">    If nCols &gt; GRID_FIX Then</t>
  </si>
  <si>
    <t xml:space="preserve">        ws.Range(ws.Cells(1, GRID_FIX + 1), ws.Cells(1, nCols)).EntireColumn.ColumnWidth = IIf(kind = "M", 8, 6.5)</t>
  </si>
  <si>
    <t xml:space="preserve">        Bands ws, kind, cols, LIST_HDR - 2, "Y"</t>
  </si>
  <si>
    <t xml:space="preserve">        If kind &lt;&gt; "M" Then Bands ws, kind, cols, LIST_HDR - 1, "M"</t>
  </si>
  <si>
    <t xml:space="preserve">    If nRows = 0 Then Exit Sub</t>
  </si>
  <si>
    <t xml:space="preserve">    first = LIST_HDR + 1</t>
  </si>
  <si>
    <t xml:space="preserve">    lastR = LIST_HDR + nRows</t>
  </si>
  <si>
    <t xml:space="preserve">    ws.Range(ws.Cells(first, 1), ws.Cells(lastR, nCols)).Value = out</t>
  </si>
  <si>
    <t xml:space="preserve">    FormatRows ws, nRows, nCols, rowType, GRID_FIX</t>
  </si>
  <si>
    <t xml:space="preserve">        If kind = "D" Then</t>
  </si>
  <si>
    <t xml:space="preserve">            For Each key In cols.keys</t>
  </si>
  <si>
    <t xml:space="preserve">                If WeekStart(CLng(key)) &lt;&gt; prevW Then</t>
  </si>
  <si>
    <t xml:space="preserve">                    prevW = WeekStart(CLng(key))</t>
  </si>
  <si>
    <t xml:space="preserve">                    With ws.Range(ws.Cells(LIST_HDR, cols(key)), ws.Cells(lastR, cols(key))).Borders(xlEdgeLeft)</t>
  </si>
  <si>
    <t xml:space="preserve">                        .LineStyle = xlContinuous: .Color = RGB(47, 84, 150)</t>
  </si>
  <si>
    <t xml:space="preserve">                    End With</t>
  </si>
  <si>
    <t xml:space="preserve">        ColorByStandard ws, first, lastR, nCols</t>
  </si>
  <si>
    <t xml:space="preserve">    ws.Range(ws.Cells(LIST_HDR, 1), ws.Cells(lastR, nCols)).AutoFilter</t>
  </si>
  <si>
    <t>' 一覧左上（スクロールしても見える固定部分 A2:D5）に色の凡例を置く</t>
  </si>
  <si>
    <t>'   比率は マスタ_業務・標準 の Q2・Q3 を数式で参照するので、変えると凡例の文言も変わる</t>
  </si>
  <si>
    <t>Private Sub WriteLegend(ws As Worksheet)</t>
  </si>
  <si>
    <t xml:space="preserve">    Dim lo As String, hi As String</t>
  </si>
  <si>
    <t xml:space="preserve">    lo = "'" &amp; SH_MAP &amp; "'!" &amp; THRESH_LO</t>
  </si>
  <si>
    <t xml:space="preserve">    hi = "'" &amp; SH_MAP &amp; "'!" &amp; THRESH_HI</t>
  </si>
  <si>
    <t xml:space="preserve">    With ws.Range("A2:B5")</t>
  </si>
  <si>
    <t xml:space="preserve">        .Merge</t>
  </si>
  <si>
    <t xml:space="preserve">        .Value = "色の見方" &amp; vbLf &amp; "（個人別）"</t>
  </si>
  <si>
    <t xml:space="preserve">        .WrapText = True</t>
  </si>
  <si>
    <t xml:space="preserve">        .HorizontalAlignment = xlCenter</t>
  </si>
  <si>
    <t xml:space="preserve">        .VerticalAlignment = xlCenter</t>
  </si>
  <si>
    <t xml:space="preserve">        .Font.Bold = True</t>
  </si>
  <si>
    <t xml:space="preserve">        .Interior.Color = RGB(242, 242, 242)</t>
  </si>
  <si>
    <t xml:space="preserve">    End With</t>
  </si>
  <si>
    <t xml:space="preserve">    ws.Range("C2").Formula = "=""赤：標準の""&amp;TEXT(" &amp; lo &amp; ",""0%"")&amp;""未満（標準を下回る）"""</t>
  </si>
  <si>
    <t xml:space="preserve">    ws.Range("C2").Interior.Color = RGB(255, 199, 206): ws.Range("C2").Font.Color = RGB(156, 0, 6)</t>
  </si>
  <si>
    <t xml:space="preserve">    ws.Range("C3").Formula = "=""黄：標準の""&amp;TEXT(" &amp; lo &amp; ",""0%"")&amp;""以上""&amp;TEXT(" &amp; hi &amp; ",""0%"")&amp;""未満（ほぼ標準どおり）"""</t>
  </si>
  <si>
    <t xml:space="preserve">    ws.Range("C3").Interior.Color = RGB(255, 235, 156): ws.Range("C3").Font.Color = RGB(156, 87, 0)</t>
  </si>
  <si>
    <t xml:space="preserve">    ws.Range("C4").Formula = "=""緑：標準の""&amp;TEXT(" &amp; hi &amp; ",""0%"")&amp;""以上（標準を上回る）"""</t>
  </si>
  <si>
    <t xml:space="preserve">    ws.Range("C4").Interior.Color = RGB(198, 239, 206): ws.Range("C4").Font.Color = RGB(0, 97, 0)</t>
  </si>
  <si>
    <t xml:space="preserve">    ws.Range("C5").Value = "オレンジ枠：ProcessCountとの差" &amp; DIFF_LIMIT &amp; "以上（コメント）"</t>
  </si>
  <si>
    <t xml:space="preserve">    With ws.Range("C5").Borders</t>
  </si>
  <si>
    <t xml:space="preserve">        .LineStyle = xlContinuous</t>
  </si>
  <si>
    <t xml:space="preserve">        .Weight = xlThick</t>
  </si>
  <si>
    <t xml:space="preserve">        .Color = RGB(237, 125, 49)</t>
  </si>
  <si>
    <t xml:space="preserve">    ws.Range("C2:C5").Font.Bold = True</t>
  </si>
  <si>
    <t xml:space="preserve">    ws.Range("C2:C5").Font.Size = 10</t>
  </si>
  <si>
    <t xml:space="preserve">    With ws.Range("D2:D5")</t>
  </si>
  <si>
    <t xml:space="preserve">        .Value = "標準は" &amp; vbLf &amp; "D列"</t>
  </si>
  <si>
    <t xml:space="preserve">        .Font.Size = 9</t>
  </si>
  <si>
    <t xml:space="preserve">        .Font.Color = RGB(118, 118, 118)</t>
  </si>
  <si>
    <t>' 見出しの帯：同じ年（または月）の列をまとめて結合</t>
  </si>
  <si>
    <t>Private Sub Bands(ws As Worksheet, ByVal kind As String, cols As Object, ByVal r As Long, ByVal unit As String)</t>
  </si>
  <si>
    <t xml:space="preserve">    Dim keys As Variant, i As Long, c1 As Long, cur As String, nxt As String, label As String, dt As Date</t>
  </si>
  <si>
    <t xml:space="preserve">    keys = cols.keys</t>
  </si>
  <si>
    <t xml:space="preserve">    c1 = cols(keys(0))</t>
  </si>
  <si>
    <t xml:space="preserve">    For i = 0 To UBound(keys)</t>
  </si>
  <si>
    <t xml:space="preserve">        dt = KeyDate(kind, CLng(keys(i)))</t>
  </si>
  <si>
    <t xml:space="preserve">        If unit = "Y" Then cur = CStr(Year(dt)) Else cur = Format(dt, "yyyymm")</t>
  </si>
  <si>
    <t xml:space="preserve">        If i &lt; UBound(keys) Then</t>
  </si>
  <si>
    <t xml:space="preserve">            dt = KeyDate(kind, CLng(keys(i + 1)))</t>
  </si>
  <si>
    <t xml:space="preserve">            If unit = "Y" Then nxt = CStr(Year(dt)) Else nxt = Format(dt, "yyyymm")</t>
  </si>
  <si>
    <t xml:space="preserve">            nxt = ""</t>
  </si>
  <si>
    <t xml:space="preserve">        If nxt &lt;&gt; cur Then</t>
  </si>
  <si>
    <t xml:space="preserve">            dt = KeyDate(kind, CLng(keys(i)))</t>
  </si>
  <si>
    <t xml:space="preserve">            If unit = "Y" Then label = Year(dt) &amp; "年" Else label = Month(dt) &amp; "月"</t>
  </si>
  <si>
    <t xml:space="preserve">            With ws.Range(ws.Cells(r, c1), ws.Cells(r, cols(keys(i))))</t>
  </si>
  <si>
    <t xml:space="preserve">                If cols(keys(i)) &gt; c1 Then .Merge</t>
  </si>
  <si>
    <t xml:space="preserve">                .Value = "'" &amp; label</t>
  </si>
  <si>
    <t xml:space="preserve">                .HorizontalAlignment = xlCenter</t>
  </si>
  <si>
    <t xml:space="preserve">                .Font.Bold = True</t>
  </si>
  <si>
    <t xml:space="preserve">                .Font.Color = RGB(255, 255, 255)</t>
  </si>
  <si>
    <t xml:space="preserve">                .Interior.Color = IIf(unit = "Y", RGB(11, 37, 69), RGB(47, 84, 150))</t>
  </si>
  <si>
    <t xml:space="preserve">                .Borders(xlEdgeLeft).LineStyle = xlContinuous</t>
  </si>
  <si>
    <t xml:space="preserve">                .Borders(xlEdgeLeft).Color = RGB(255, 255, 255)</t>
  </si>
  <si>
    <t xml:space="preserve">            End With</t>
  </si>
  <si>
    <t xml:space="preserve">            If i &lt; UBound(keys) Then c1 = cols(keys(i + 1))</t>
  </si>
  <si>
    <t>' 色分け（標準比）：赤＝下限未満／黄＝下限以上・上限未満／緑＝上限以上。「-」はグレー文字</t>
  </si>
  <si>
    <t>'   比率は マスタ_業務・標準 シートのセル（Q2・Q3）を参照するので、変えると即反映</t>
  </si>
  <si>
    <t>'   標準（D列）が空の行（合計表など）は色なし</t>
  </si>
  <si>
    <t>Private Sub ColorByStandard(ws As Worksheet, ByVal first As Long, ByVal lastR As Long, ByVal nCols As Long)</t>
  </si>
  <si>
    <t xml:space="preserve">    Dim fc As Object, c As String, s As String, lo As String, hi As String, base As String</t>
  </si>
  <si>
    <t xml:space="preserve">    c = ColLetter(GRID_FIX + 1) &amp; first: s = "$" &amp; ColLetter(GRID_FIX) &amp; first</t>
  </si>
  <si>
    <t xml:space="preserve">    base = "ISNUMBER(" &amp; c &amp; "),ISNUMBER(" &amp; s &amp; ")," &amp; s &amp; "&gt;0"</t>
  </si>
  <si>
    <t xml:space="preserve">    ws.Activate</t>
  </si>
  <si>
    <t xml:space="preserve">    ws.Cells(first, GRID_FIX + 1).Select       ' 相対参照は選択セル基準で解釈されるため</t>
  </si>
  <si>
    <t xml:space="preserve">    With ws.Range(ws.Cells(first, GRID_FIX + 1), ws.Cells(lastR, nCols))</t>
  </si>
  <si>
    <t xml:space="preserve">        .FormatConditions.Delete</t>
  </si>
  <si>
    <t xml:space="preserve">        Set fc = .FormatConditions.Add(Type:=xlExpression, Formula1:="=AND(" &amp; base &amp; "," &amp; c &amp; "&lt;" &amp; s &amp; "*" &amp; lo &amp; ")")</t>
  </si>
  <si>
    <t xml:space="preserve">        fc.Interior.Color = RGB(255, 199, 206): fc.Font.Color = RGB(156, 0, 6)</t>
  </si>
  <si>
    <t xml:space="preserve">        Set fc = .FormatConditions.Add(Type:=xlExpression, Formula1:="=AND(" &amp; base &amp; "," &amp; c &amp; "&gt;=" &amp; s &amp; "*" &amp; lo &amp; "," &amp; c &amp; "&lt;" &amp; s &amp; "*" &amp; hi &amp; ")")</t>
  </si>
  <si>
    <t xml:space="preserve">        fc.Interior.Color = RGB(255, 235, 156): fc.Font.Color = RGB(156, 87, 0)</t>
  </si>
  <si>
    <t xml:space="preserve">        Set fc = .FormatConditions.Add(Type:=xlExpression, Formula1:="=AND(" &amp; base &amp; "," &amp; c &amp; "&gt;=" &amp; s &amp; "*" &amp; hi &amp; ")")</t>
  </si>
  <si>
    <t xml:space="preserve">        fc.Interior.Color = RGB(198, 239, 206): fc.Font.Color = RGB(0, 97, 0)</t>
  </si>
  <si>
    <t xml:space="preserve">        Set fc = .FormatConditions.Add(Type:=xlExpression, Formula1:="=" &amp; c &amp; "=""-""")</t>
  </si>
  <si>
    <t xml:space="preserve">        fc.Font.Color = RGB(200, 200, 200)</t>
  </si>
  <si>
    <t>Private Function ColLetter(ByVal n As Long) As String</t>
  </si>
  <si>
    <t xml:space="preserve">    ColLetter = Split(ThisWorkbook.Worksheets(1).Cells(1, n).Address(True, False), "$")(0)</t>
  </si>
  <si>
    <t>Private Function ThresholdLo() As Double</t>
  </si>
  <si>
    <t xml:space="preserve">    ThresholdLo = ToNum(ThisWorkbook.Worksheets(SH_MAP).Range(THRESH_LO).Value)</t>
  </si>
  <si>
    <t xml:space="preserve">    If ThresholdLo &lt;= 0 Then ThresholdLo = 0.9</t>
  </si>
  <si>
    <t>Private Function ThresholdHi() As Double</t>
  </si>
  <si>
    <t xml:space="preserve">    ThresholdHi = ToNum(ThisWorkbook.Worksheets(SH_MAP).Range(THRESH_HI).Value)</t>
  </si>
  <si>
    <t xml:space="preserve">    If ThresholdHi &lt;= 0 Then ThresholdHi = 1.1</t>
  </si>
  <si>
    <t>' 色分けの比率セル（マスタ_業務・標準 シートの P〜R 列）を用意</t>
  </si>
  <si>
    <t>Private Sub EnsureThresholds()</t>
  </si>
  <si>
    <t xml:space="preserve">    Dim ws As Worksheet</t>
  </si>
  <si>
    <t xml:space="preserve">    Set ws = ThisWorkbook.Worksheets(SH_MAP)</t>
  </si>
  <si>
    <t xml:space="preserve">    If Trim$(SafeStr(ws.Range(THRESH_LO).Value)) &lt;&gt; "" Then Exit Sub</t>
  </si>
  <si>
    <t xml:space="preserve">    ws.Range("P1").Value = "■ 一覧の色分け（標準に対する比率）"</t>
  </si>
  <si>
    <t xml:space="preserve">    ws.Range("P1").Font.Bold = True</t>
  </si>
  <si>
    <t xml:space="preserve">    ws.Range("P2").Value = "赤：標準の"</t>
  </si>
  <si>
    <t xml:space="preserve">    ws.Range(THRESH_LO).Value = 0.9</t>
  </si>
  <si>
    <t xml:space="preserve">    ws.Range("R2").Value = "未満"</t>
  </si>
  <si>
    <t xml:space="preserve">    ws.Range("P3").Value = "緑：標準の"</t>
  </si>
  <si>
    <t xml:space="preserve">    ws.Range(THRESH_HI).Value = 1.1</t>
  </si>
  <si>
    <t xml:space="preserve">    ws.Range("R3").Value = "以上（その間は黄）"</t>
  </si>
  <si>
    <t xml:space="preserve">    With ws.Range(THRESH_LO &amp; "," &amp; THRESH_HI)</t>
  </si>
  <si>
    <t xml:space="preserve">        .NumberFormatLocal = "0%"</t>
  </si>
  <si>
    <t xml:space="preserve">        .Interior.Color = RGB(255, 242, 204)</t>
  </si>
  <si>
    <t xml:space="preserve">    ws.Range("P2").Interior.Color = RGB(255, 199, 206)</t>
  </si>
  <si>
    <t xml:space="preserve">    ws.Range("P3").Interior.Color = RGB(198, 239, 206)</t>
  </si>
  <si>
    <t xml:space="preserve">    ws.Columns("P").ColumnWidth = 12: ws.Columns("Q").ColumnWidth = 7: ws.Columns("R").ColumnWidth = 18</t>
  </si>
  <si>
    <t>' 業務ID表（A〜I列）の列幅と、工程×大分類の標準表（K〜N列）の見出し・書式・説明</t>
  </si>
  <si>
    <t>Private Sub SetupStdArea(ws As Worksheet)</t>
  </si>
  <si>
    <t xml:space="preserve">    Dim rng As Range</t>
  </si>
  <si>
    <t xml:space="preserve">    ws.Columns(MC_ID).ColumnWidth = 11: ws.Columns(MC_NAME).ColumnWidth = 40: ws.Columns(MC_DISP).ColumnWidth = 40</t>
  </si>
  <si>
    <t xml:space="preserve">    ws.Columns(MC_STAGE).ColumnWidth = 10: ws.Columns(MC_MT).ColumnWidth = 12: ws.Columns(MC_ST).ColumnWidth = 14</t>
  </si>
  <si>
    <t xml:space="preserve">    ws.Columns(MC_TGT).ColumnWidth = 8: ws.Columns(MC_STD).ColumnWidth = 10: ws.Columns(MC_MEMO).ColumnWidth = 34</t>
  </si>
  <si>
    <t xml:space="preserve">    ws.Columns(MC_STD).NumberFormatLocal = "0.0#"</t>
  </si>
  <si>
    <t xml:space="preserve">    ws.Columns(MC_TGT).HorizontalAlignment = xlCenter</t>
  </si>
  <si>
    <t xml:space="preserve">    ws.Columns(MC_MEMO + 1).ColumnWidth = 2</t>
  </si>
  <si>
    <t xml:space="preserve">    Set rng = ws.Range(ws.Cells(1, STD_STAGE), ws.Cells(1, STD_MEMO))</t>
  </si>
  <si>
    <t xml:space="preserve">    rng.Value = Array("工程", "大分類" &amp; vbLf &amp; "（MatterType）", "大分類の標準" &amp; vbLf &amp; "（件/時）", "メモ")</t>
  </si>
  <si>
    <t xml:space="preserve">    StyleHeader rng, RGB(84, 130, 53)</t>
  </si>
  <si>
    <t xml:space="preserve">    rng.WrapText = True</t>
  </si>
  <si>
    <t xml:space="preserve">    ws.Range(ws.Cells(2, STD_VAL), ws.Cells(100, STD_VAL)).Interior.Color = RGB(255, 242, 204)</t>
  </si>
  <si>
    <t xml:space="preserve">    ws.Range(ws.Cells(2, STD_VAL), ws.Cells(100, STD_VAL)).NumberFormatLocal = "0.0#"</t>
  </si>
  <si>
    <t xml:space="preserve">    ws.Columns(STD_STAGE).ColumnWidth = 10: ws.Columns(STD_MT).ColumnWidth = 14</t>
  </si>
  <si>
    <t xml:space="preserve">    ws.Columns(STD_VAL).ColumnWidth = 11: ws.Columns(STD_MEMO).ColumnWidth = 30</t>
  </si>
  <si>
    <t xml:space="preserve">    ws.Columns(STD_MEMO + 1).ColumnWidth = 2</t>
  </si>
  <si>
    <t xml:space="preserve">    ws.Range("P5").Value = "■ このシートの使い方"</t>
  </si>
  <si>
    <t xml:space="preserve">    ws.Range("P5").Font.Bold = True</t>
  </si>
  <si>
    <t xml:space="preserve">    ws.Range("P6").Value = "A〜I列：業務ID ごとの設定（1行＝1業務ID）。新しい業務IDは取込時に自動追加（A・B列がオレンジ＝要確認）"</t>
  </si>
  <si>
    <t xml:space="preserve">    ws.Range("P7").Value = "　C列 表示名＝一覧の行名。同じ工程・同じ表示名の業務IDは一覧で1行に合算（分けたいときは表示名を変える）"</t>
  </si>
  <si>
    <t xml:space="preserve">    ws.Range("P8").Value = "　D列 工程＝1次確認／2次確認など。一覧の合計表・個人別の区分になる"</t>
  </si>
  <si>
    <t xml:space="preserve">    ws.Range("P9").Value = "　E〜G列：MatterType（大分類）・Status（照合用）・集計対象（× は件/時に入れない：休憩・会議など）"</t>
  </si>
  <si>
    <t xml:space="preserve">    ws.Range("P10").Value = "　H列＝業務の標準（件/時）。空欄なら一覧の明細行は色なし"</t>
  </si>
  <si>
    <t xml:space="preserve">    ws.Range("P11").Value = "K〜N列：工程×大分類ごとの標準（一覧の「○○ 計」の行の色分けに使用）"</t>
  </si>
  <si>
    <t xml:space="preserve">    ws.Range("P12").Value = "黄色セルが手入力欄。標準・比率の変更は一覧に即反映。工程・表示名・大分類を直したら ③ 集計 をやり直す"</t>
  </si>
  <si>
    <t>' 一覧の行の書式と標準値の数式</t>
  </si>
  <si>
    <t>'   種類 1:人 2:個人の大分類 3:個人の業務 4:見出し 5:合計の大分類 6:合計の業務</t>
  </si>
  <si>
    <t>Private Sub FormatRows(ws As Worksheet, ByVal nRows As Long, ByVal nCols As Long, rowType() As Long, ByVal stdCol As Long)</t>
  </si>
  <si>
    <t xml:space="preserve">    Dim first As Long, lastR As Long, i As Long, r As Long, sm As String</t>
  </si>
  <si>
    <t xml:space="preserve">    sm = "'" &amp; SH_MAP &amp; "'!"</t>
  </si>
  <si>
    <t xml:space="preserve">    ws.Range(ws.Cells(first, 1), ws.Cells(lastR, nCols)).Font.Size = 10</t>
  </si>
  <si>
    <t xml:space="preserve">    ws.Range(ws.Cells(first, stdCol), ws.Cells(lastR, nCols)).HorizontalAlignment = xlRight</t>
  </si>
  <si>
    <t xml:space="preserve">    ws.Range(ws.Cells(first, stdCol), ws.Cells(lastR, nCols)).NumberFormatLocal = "0.00"</t>
  </si>
  <si>
    <t xml:space="preserve">    ws.Range(ws.Cells(first, stdCol), ws.Cells(lastR, stdCol)).NumberFormatLocal = "0.0#"</t>
  </si>
  <si>
    <t xml:space="preserve">    ws.Range(ws.Cells(first, stdCol), ws.Cells(lastR, stdCol)).Font.Color = RGB(118, 118, 118)</t>
  </si>
  <si>
    <t xml:space="preserve">    For i = 1 To nRows</t>
  </si>
  <si>
    <t xml:space="preserve">        r = LIST_HDR + i</t>
  </si>
  <si>
    <t xml:space="preserve">        Select Case rowType(i)</t>
  </si>
  <si>
    <t xml:space="preserve">                With ws.Range(ws.Cells(r, 1), ws.Cells(r, nCols))</t>
  </si>
  <si>
    <t xml:space="preserve">                    .Interior.Color = RGB(214, 220, 228)</t>
  </si>
  <si>
    <t xml:space="preserve">                    .Font.Bold = True</t>
  </si>
  <si>
    <t xml:space="preserve">                    .Font.Size = 11</t>
  </si>
  <si>
    <t xml:space="preserve">                End With</t>
  </si>
  <si>
    <t xml:space="preserve">                    .Interior.Color = RGB(242, 242, 242)</t>
  </si>
  <si>
    <t xml:space="preserve">            Case 2</t>
  </si>
  <si>
    <t xml:space="preserve">                    .Borders(xlEdgeTop).LineStyle = xlContinuous</t>
  </si>
  <si>
    <t xml:space="preserve">                    .Borders(xlEdgeTop).Color = RGB(89, 89, 89)</t>
  </si>
  <si>
    <t xml:space="preserve">                ws.Range(ws.Cells(r, 1), ws.Cells(r, stdCol)).Interior.Color = RGB(221, 235, 247)</t>
  </si>
  <si>
    <t xml:space="preserve">                ws.Cells(r, stdCol).Formula = "=IFERROR(AVERAGEIFS(" &amp; sm &amp; "$" &amp; ColLetter(STD_VAL) &amp; ":$" &amp; ColLetter(STD_VAL) &amp; "," &amp; _</t>
  </si>
  <si>
    <t xml:space="preserve">                    sm &amp; "$" &amp; ColLetter(STD_STAGE) &amp; ":$" &amp; ColLetter(STD_STAGE) &amp; ",$A" &amp; r &amp; "," &amp; _</t>
  </si>
  <si>
    <t xml:space="preserve">                    sm &amp; "$" &amp; ColLetter(STD_MT) &amp; ":$" &amp; ColLetter(STD_MT) &amp; ",$B" &amp; r &amp; "),"""")"</t>
  </si>
  <si>
    <t xml:space="preserve">            Case 3</t>
  </si>
  <si>
    <t xml:space="preserve">                ws.Range(ws.Cells(r, 1), ws.Cells(r, 2)).Font.Color = RGB(166, 166, 166)</t>
  </si>
  <si>
    <t xml:space="preserve">                ws.Cells(r, 3).IndentLevel = 1</t>
  </si>
  <si>
    <t xml:space="preserve">                ws.Cells(r, stdCol).Formula = "=IFERROR(AVERAGEIFS(" &amp; sm &amp; "$" &amp; ColLetter(MC_STD) &amp; ":$" &amp; ColLetter(MC_STD) &amp; "," &amp; _</t>
  </si>
  <si>
    <t xml:space="preserve">                    sm &amp; "$" &amp; ColLetter(MC_STAGE) &amp; ":$" &amp; ColLetter(MC_STAGE) &amp; ",$A" &amp; r &amp; "," &amp; _</t>
  </si>
  <si>
    <t xml:space="preserve">                    sm &amp; "$" &amp; ColLetter(MC_DISP) &amp; ":$" &amp; ColLetter(MC_DISP) &amp; ",$C" &amp; r &amp; "),"""")"</t>
  </si>
  <si>
    <t xml:space="preserve">            Case 5</t>
  </si>
  <si>
    <t xml:space="preserve">                    .NumberFormatLocal = "#,##0"</t>
  </si>
  <si>
    <t xml:space="preserve">                ws.Range(ws.Cells(r, 1), ws.Cells(r, stdCol)).Interior.Color = RGB(234, 228, 242)</t>
  </si>
  <si>
    <t xml:space="preserve">                ws.Cells(r, stdCol).Value = "件数"</t>
  </si>
  <si>
    <t xml:space="preserve">            Case 6</t>
  </si>
  <si>
    <t xml:space="preserve">                ws.Range(ws.Cells(r, GRID_FIX + 1), ws.Cells(r, nCols)).NumberFormatLocal = "#,##0"</t>
  </si>
  <si>
    <t>' ProcessCount との差が大きい日：日別はその日、週別はその週、月別はその月の 個人の大分類セル にオレンジ枠＋コメント</t>
  </si>
  <si>
    <t>Private Sub MarkFlags(flags As Object, catRow As Object, colD As Object, colW As Object, colM As Object)</t>
  </si>
  <si>
    <t xml:space="preserve">    Dim fk As Variant, parts() As String, rk As String, r As Long, d As Long, stg As String</t>
  </si>
  <si>
    <t xml:space="preserve">    Dim wTxt As Object, mTxt As Object, key As Variant, note As String</t>
  </si>
  <si>
    <t xml:space="preserve">    Set wTxt = NewDict(): Set mTxt = NewDict()</t>
  </si>
  <si>
    <t xml:space="preserve">    For Each fk In flags.keys</t>
  </si>
  <si>
    <t xml:space="preserve">        parts = Split(fk, "|")           ' EID|日付|MatterType|Status</t>
  </si>
  <si>
    <t xml:space="preserve">        stg = DEFAULT_STAGE</t>
  </si>
  <si>
    <t xml:space="preserve">        If mStatusStage.Exists(parts(3)) Then stg = mStatusStage(parts(3))</t>
  </si>
  <si>
    <t xml:space="preserve">        rk = parts(0) &amp; "|" &amp; stg &amp; "|" &amp; parts(2)</t>
  </si>
  <si>
    <t xml:space="preserve">        If catRow.Exists(rk) Then</t>
  </si>
  <si>
    <t xml:space="preserve">            r = LIST_HDR + catRow(rk)</t>
  </si>
  <si>
    <t xml:space="preserve">            If colD.Exists(d) Then FlagCell ThisWorkbook.Worksheets(SH_DAY).Cells(r, colD(d)), flags(fk)</t>
  </si>
  <si>
    <t xml:space="preserve">            note = Format(CDate(d), "m/d") &amp; " " &amp; flags(fk)</t>
  </si>
  <si>
    <t xml:space="preserve">            If colW.Exists(WeekStart(d)) Then</t>
  </si>
  <si>
    <t xml:space="preserve">                key = r &amp; "|" &amp; colW(WeekStart(d)): wTxt(key) = wTxt(key) &amp; note</t>
  </si>
  <si>
    <t xml:space="preserve">            If colM.Exists(MonthKey(d)) Then</t>
  </si>
  <si>
    <t xml:space="preserve">                key = r &amp; "|" &amp; colM(MonthKey(d)): mTxt(key) = mTxt(key) &amp; note</t>
  </si>
  <si>
    <t xml:space="preserve">    For Each key In wTxt.keys</t>
  </si>
  <si>
    <t xml:space="preserve">        parts = Split(key, "|")</t>
  </si>
  <si>
    <t xml:space="preserve">        FlagCell ThisWorkbook.Worksheets(SH_WEEK).Cells(CLng(parts(0)), CLng(parts(1))), wTxt(key)</t>
  </si>
  <si>
    <t xml:space="preserve">    For Each key In mTxt.keys</t>
  </si>
  <si>
    <t xml:space="preserve">        FlagCell ThisWorkbook.Worksheets(SH_MONTH).Cells(CLng(parts(0)), CLng(parts(1))), mTxt(key)</t>
  </si>
  <si>
    <t>Private Sub FlagCell(cell As Range, ByVal txt As String)</t>
  </si>
  <si>
    <t xml:space="preserve">    With cell.Borders</t>
  </si>
  <si>
    <t xml:space="preserve">    If Not cell.Comment Is Nothing Then cell.Comment.Delete</t>
  </si>
  <si>
    <t xml:space="preserve">    cell.AddComment "照合（ProcessCountとの差" &amp; DIFF_LIMIT &amp; "以上）" &amp; vbLf &amp; txt</t>
  </si>
  <si>
    <t xml:space="preserve">    cell.Comment.Shape.Width = 300</t>
  </si>
  <si>
    <t xml:space="preserve">    cell.Comment.Shape.Height = 80</t>
  </si>
  <si>
    <t>' 更新（既存ブックのデータを残したまま、旧「一覧_推移」→ 日別／週別／月別 に切り替え）</t>
  </si>
  <si>
    <t>' 旧「マスタ_業務・標準」（業務名単位）→ 業務ID単位 に作り替える（入力済みの値は業務名で引き継ぐ）</t>
  </si>
  <si>
    <t>Private Sub MigrateToIdMaster()</t>
  </si>
  <si>
    <t xml:space="preserve">    Dim ws As Worksheet, r As Long, oldMap As Object, oldCats As Collection</t>
  </si>
  <si>
    <t xml:space="preserve">    Dim lo As Variant, hi As Variant, v As Variant, h As Object, cI As Long, cN As Long</t>
  </si>
  <si>
    <t xml:space="preserve">    Dim idsByName As Object, sub1 As Object, nm As Variant, id As String, ids As Variant, i As Long</t>
  </si>
  <si>
    <t xml:space="preserve">    Dim rows As Collection, rec As Variant, o As Variant, g As Variant, n As Long, arr() As Variant, j As Long</t>
  </si>
  <si>
    <t xml:space="preserve">    If Not SheetExists(SH_MAP) Then Exit Sub</t>
  </si>
  <si>
    <t xml:space="preserve">    If Trim$(SafeStr(ws.Cells(1, 1).Value)) &lt;&gt; "業務名（稼働記録）" Then Exit Sub</t>
  </si>
  <si>
    <t xml:space="preserve">    Set oldMap = NewDict(): Set oldCats = New Collection: Set idsByName = NewDict(): Set rows = New Collection</t>
  </si>
  <si>
    <t xml:space="preserve">    For r = 2 To LastRow(ws, 1)</t>
  </si>
  <si>
    <t xml:space="preserve">        nm = Trim$(SafeStr(ws.Cells(r, 1).Value))</t>
  </si>
  <si>
    <t xml:space="preserve">        If nm &lt;&gt; "" And Not oldMap.Exists(nm) Then</t>
  </si>
  <si>
    <t xml:space="preserve">            oldMap(nm) = Array(ws.Cells(r, 2).Value, ws.Cells(r, 3).Value, ws.Cells(r, 4).Value, ws.Cells(r, 5).Value, ws.Cells(r, 6).Value)</t>
  </si>
  <si>
    <t xml:space="preserve">    For r = 2 To LastRow(ws, 8)</t>
  </si>
  <si>
    <t xml:space="preserve">        If Trim$(SafeStr(ws.Cells(r, 8).Value)) &lt;&gt; "" Then oldCats.Add Array(ws.Cells(r, 8).Value, ws.Cells(r, 9).Value, ws.Cells(r, 10).Value)</t>
  </si>
  <si>
    <t xml:space="preserve">    lo = ws.Range("M2").Value: hi = ws.Range("M3").Value</t>
  </si>
  <si>
    <t xml:space="preserve">    ' 元データから 業務名 → 業務ID の組</t>
  </si>
  <si>
    <t xml:space="preserve">        cI = HCol(h, "業務ID"): cN = HCol(h, "業務名")</t>
  </si>
  <si>
    <t xml:space="preserve">        If cI &gt; 0 And cN &gt; 0 Then</t>
  </si>
  <si>
    <t xml:space="preserve">                id = Trim$(SafeStr(v(r, cI))): nm = Trim$(SafeStr(v(r, cN)))</t>
  </si>
  <si>
    <t xml:space="preserve">                If id &lt;&gt; "" And nm &lt;&gt; "" Then</t>
  </si>
  <si>
    <t xml:space="preserve">                    If Not idsByName.Exists(nm) Then idsByName.Add nm, NewDict()</t>
  </si>
  <si>
    <t xml:space="preserve">                    Set sub1 = idsByName(nm)</t>
  </si>
  <si>
    <t xml:space="preserve">                    sub1(id) = True</t>
  </si>
  <si>
    <t xml:space="preserve">    For Each nm In idsByName.keys</t>
  </si>
  <si>
    <t xml:space="preserve">        If Not oldMap.Exists(nm) Then</t>
  </si>
  <si>
    <t xml:space="preserve">            g = GuessMap(CStr(nm))</t>
  </si>
  <si>
    <t xml:space="preserve">            oldMap(nm) = Array(g(0), g(1), g(2), "", "自動追加（要確認）")</t>
  </si>
  <si>
    <t xml:space="preserve">    ' 旧マスタの並び順で、業務名ごとに 業務ID 昇順</t>
  </si>
  <si>
    <t xml:space="preserve">    For Each nm In oldMap.keys</t>
  </si>
  <si>
    <t xml:space="preserve">        If idsByName.Exists(nm) Then</t>
  </si>
  <si>
    <t xml:space="preserve">            ids = idsByName(nm).keys</t>
  </si>
  <si>
    <t xml:space="preserve">            QSort ids, LBound(ids), UBound(ids)</t>
  </si>
  <si>
    <t xml:space="preserve">            o = oldMap(nm)</t>
  </si>
  <si>
    <t xml:space="preserve">            For i = LBound(ids) To UBound(ids)</t>
  </si>
  <si>
    <t xml:space="preserve">                rows.Add Array("'" &amp; ids(i), nm, nm, IIf(Trim$(SafeStr(o(2))) = "○", DEFAULT_STAGE, ""), o(0), o(1), o(2), o(3), o(4))</t>
  </si>
  <si>
    <t xml:space="preserve">    ws.Cells.Validation.Delete</t>
  </si>
  <si>
    <t xml:space="preserve">    SetHeader ws, MapHeaders()</t>
  </si>
  <si>
    <t xml:space="preserve">    ws.Rows(1).RowHeight = 30</t>
  </si>
  <si>
    <t xml:space="preserve">    SetupStdArea ws</t>
  </si>
  <si>
    <t xml:space="preserve">    If rows.Count &gt; 0 Then</t>
  </si>
  <si>
    <t xml:space="preserve">        ReDim arr(1 To rows.Count, 1 To MC_MEMO)</t>
  </si>
  <si>
    <t xml:space="preserve">        n = 0</t>
  </si>
  <si>
    <t xml:space="preserve">        For Each rec In rows</t>
  </si>
  <si>
    <t xml:space="preserve">            n = n + 1</t>
  </si>
  <si>
    <t xml:space="preserve">            For j = 1 To MC_MEMO: arr(n, j) = rec(j - 1): Next</t>
  </si>
  <si>
    <t xml:space="preserve">        ws.Range(ws.Cells(2, 1), ws.Cells(rows.Count + 1, MC_MEMO)).Value = arr</t>
  </si>
  <si>
    <t xml:space="preserve">    n = 1</t>
  </si>
  <si>
    <t xml:space="preserve">    For Each rec In oldCats</t>
  </si>
  <si>
    <t xml:space="preserve">        n = n + 1</t>
  </si>
  <si>
    <t xml:space="preserve">        ws.Cells(n, STD_STAGE).Value = DEFAULT_STAGE</t>
  </si>
  <si>
    <t xml:space="preserve">        ws.Cells(n, STD_MT).Value = rec(0): ws.Cells(n, STD_VAL).Value = rec(1): ws.Cells(n, STD_MEMO).Value = rec(2)</t>
  </si>
  <si>
    <t xml:space="preserve">        ws.Cells(n, STD_STAGE).Value = "2次確認"</t>
  </si>
  <si>
    <t xml:space="preserve">        ws.Cells(n, STD_MT).Value = rec(0): ws.Cells(n, STD_MEMO).Value = "2次確認の標準（未入力）"</t>
  </si>
  <si>
    <t xml:space="preserve">    EnsureThresholds</t>
  </si>
  <si>
    <t xml:space="preserve">    If Not IsEmpty(lo) And IsNumeric(lo) Then ws.Range(THRESH_LO).Value = lo</t>
  </si>
  <si>
    <t xml:space="preserve">    If Not IsEmpty(hi) And IsNumeric(hi) Then ws.Range(THRESH_HI).Value = hi</t>
  </si>
  <si>
    <t xml:space="preserve">    ApplyMapValidation</t>
  </si>
  <si>
    <t>Private Function MapHeaders() As Variant</t>
  </si>
  <si>
    <t xml:space="preserve">    MapHeaders = Array("業務ID", "業務名（稼働記録）", "表示名（一覧の行名）", "工程", "MatterType" &amp; vbLf &amp; "（大分類）", _</t>
  </si>
  <si>
    <t xml:space="preserve">                       "Status", "集計対象", "業務の標準" &amp; vbLf &amp; "（件/時）", "メモ")</t>
  </si>
  <si>
    <t>Public Sub MigrateLists()</t>
  </si>
  <si>
    <t xml:space="preserve">    Dim order As Variant, i As Long</t>
  </si>
  <si>
    <t xml:space="preserve">    MigrateToIdMaster</t>
  </si>
  <si>
    <t xml:space="preserve">    If SheetExists("一覧_推移") Then ThisWorkbook.Worksheets("一覧_推移").Delete</t>
  </si>
  <si>
    <t xml:space="preserve">    SetupOpSheet</t>
  </si>
  <si>
    <t xml:space="preserve">    order = Array(SH_OP, SH_DAY, SH_WEEK, SH_MONTH, SH_CHK, SH_MAP, SH_PERSON, SH_SAVE, SH_RAW_W, SH_RAW_C, SH_LOG)</t>
  </si>
  <si>
    <t xml:space="preserve">    For i = UBound(order) To 0 Step -1</t>
  </si>
  <si>
    <t xml:space="preserve">        ThisWorkbook.Worksheets(order(i)).Move Before:=ThisWorkbook.Worksheets(1)</t>
  </si>
  <si>
    <t xml:space="preserve">    ThisWorkbook.Worksheets(SH_DAY).Tab.Color = RGB(169, 208, 142)</t>
  </si>
  <si>
    <t xml:space="preserve">    ThisWorkbook.Worksheets(SH_WEEK).Tab.Color = RGB(84, 130, 53)</t>
  </si>
  <si>
    <t xml:space="preserve">    ThisWorkbook.Worksheets(SH_MONTH).Tab.Color = RGB(55, 86, 35)</t>
  </si>
  <si>
    <t xml:space="preserve">    For i = 1 To 3</t>
  </si>
  <si>
    <t xml:space="preserve">        FreezeAt ThisWorkbook.Worksheets(order(i)), ColLetter(GRID_FIX + 1) &amp; (LIST_HDR + 1)</t>
  </si>
  <si>
    <t xml:space="preserve">    ThisWorkbook.Worksheets(SH_OP).Activate</t>
  </si>
  <si>
    <t>' マスタの保存・復元（「マスタ保存」シート）</t>
  </si>
  <si>
    <t>Public Sub SaveMastersButton()</t>
  </si>
  <si>
    <t xml:space="preserve">    If MsgBox("今のマスタ（" &amp; SH_MAP &amp; "／" &amp; SH_PERSON &amp; "）を「" &amp; SH_SAVE &amp; "」シートに保存します。" &amp; vbLf &amp; _</t>
  </si>
  <si>
    <t xml:space="preserve">              "前回の保存内容は上書きされます。よろしいですか？", vbYesNo + vbQuestion, "マスタを保存") &lt;&gt; vbYes Then Exit Sub</t>
  </si>
  <si>
    <t xml:space="preserve">    MsgBox SaveMasters(True), vbInformation, "マスタを保存"</t>
  </si>
  <si>
    <t>Public Sub RestoreMastersButton()</t>
  </si>
  <si>
    <t xml:space="preserve">    If Not SheetExists(SH_SAVE) Then MsgBox "「" &amp; SH_SAVE &amp; "」シートがありません。", vbExclamation: Exit Sub</t>
  </si>
  <si>
    <t xml:space="preserve">    Set ws = ThisWorkbook.Worksheets(SH_SAVE)</t>
  </si>
  <si>
    <t xml:space="preserve">    If FindMark(ws, SAVE_MARK_MAP) = 0 Then MsgBox "まだマスタが保存されていません。", vbExclamation: Exit Sub</t>
  </si>
  <si>
    <t xml:space="preserve">    If MsgBox("「" &amp; SH_SAVE &amp; "」の内容（保存日時：" &amp; ws.Range("B2").Text &amp; "）でマスタを元に戻します。" &amp; vbLf &amp; _</t>
  </si>
  <si>
    <t xml:space="preserve">              "今のマスタ（" &amp; SH_MAP &amp; "／" &amp; SH_PERSON &amp; "）は上書きされます。よろしいですか？", _</t>
  </si>
  <si>
    <t xml:space="preserve">              vbYesNo + vbExclamation, "マスタを復元") &lt;&gt; vbYes Then Exit Sub</t>
  </si>
  <si>
    <t xml:space="preserve">    RestoreMasters</t>
  </si>
  <si>
    <t xml:space="preserve">    MsgBox "マスタを復元しました。③ 集計 をやり直してください。", vbInformation, "マスタを復元"</t>
  </si>
  <si>
    <t>' マスタ2枚をまるごと（値・書式・入力規則ごと）コピーして保存</t>
  </si>
  <si>
    <t>'   force=False（③集計からの自動保存）のときは、マスタの件数が前回保存より減っていたら保存しない</t>
  </si>
  <si>
    <t>'   （誤ってマスタを消した状態で、保存を上書きしてしまわないため）</t>
  </si>
  <si>
    <t>Public Function SaveMasters(Optional ByVal force As Boolean = True) As String</t>
  </si>
  <si>
    <t xml:space="preserve">    Dim wsS As Worksheet, wsM As Worksheet, wsP As Worksheet</t>
  </si>
  <si>
    <t xml:space="preserve">    Dim nM As Long, nP As Long, oldM As Long, oldP As Long, hM As Long, hP As Long, r As Long</t>
  </si>
  <si>
    <t xml:space="preserve">    Set wsS = ThisWorkbook.Worksheets(SH_SAVE)</t>
  </si>
  <si>
    <t xml:space="preserve">    Set wsM = ThisWorkbook.Worksheets(SH_MAP)</t>
  </si>
  <si>
    <t xml:space="preserve">    Set wsP = ThisWorkbook.Worksheets(SH_PERSON)</t>
  </si>
  <si>
    <t xml:space="preserve">    nM = LastRow(wsM, 1) - 1: nP = LastRow(wsP, 1) - 1</t>
  </si>
  <si>
    <t xml:space="preserve">    oldM = ToNum(wsS.Range("E2").Value): oldP = ToNum(wsS.Range("G2").Value)</t>
  </si>
  <si>
    <t xml:space="preserve">    If Not force And (nM &lt; oldM Or nP &lt; oldP) Then</t>
  </si>
  <si>
    <t xml:space="preserve">        SaveMasters = "※ マスタの件数が前回の保存より少ないため、マスタ保存は更新しませんでした（業務名 " &amp; nM &amp; "/" &amp; oldM &amp; _</t>
  </si>
  <si>
    <t xml:space="preserve">                      "、担当者 " &amp; nP &amp; "/" &amp; oldP &amp; "）。消えてしまった場合は 操作シートの［マスタを復元］、意図して減らした場合は［マスタを保存］。"</t>
  </si>
  <si>
    <t xml:space="preserve">        Exit Function</t>
  </si>
  <si>
    <t xml:space="preserve">    hM = LastUsedRow(wsM): hP = LastUsedRow(wsP)</t>
  </si>
  <si>
    <t xml:space="preserve">    wsS.Cells.Clear</t>
  </si>
  <si>
    <t xml:space="preserve">    wsS.Range("A1").Value = "マスタ保存（③ 集計のたびに自動保存／操作シートの［マスタを保存］で手動保存）　※このシートは触らない。元に戻すときは［マスタを復元］"</t>
  </si>
  <si>
    <t xml:space="preserve">    wsS.Range("A1").Font.Bold = True</t>
  </si>
  <si>
    <t xml:space="preserve">    wsS.Range("A2").Value = "保存日時"</t>
  </si>
  <si>
    <t xml:space="preserve">    wsS.Range("B2").Value = Now</t>
  </si>
  <si>
    <t xml:space="preserve">    wsS.Range("B2").NumberFormatLocal = "yyyy/mm/dd hh:mm:ss"</t>
  </si>
  <si>
    <t xml:space="preserve">    wsS.Range("D2").Value = "業務名の件数": wsS.Range("E2").Value = nM</t>
  </si>
  <si>
    <t xml:space="preserve">    wsS.Range("F2").Value = "担当者の件数": wsS.Range("G2").Value = nP</t>
  </si>
  <si>
    <t xml:space="preserve">    wsS.Range("I2").Value = "（復元用）": wsS.Range("J2").Value = hM: wsS.Range("K2").Value = hP</t>
  </si>
  <si>
    <t xml:space="preserve">    wsS.Range("A2:K2").Font.Color = RGB(89, 89, 89)</t>
  </si>
  <si>
    <t xml:space="preserve">    r = 4</t>
  </si>
  <si>
    <t xml:space="preserve">    wsS.Cells(r, 1).Value = SAVE_MARK_MAP</t>
  </si>
  <si>
    <t xml:space="preserve">    wsS.Cells(r, 1).Font.Bold = True: wsS.Cells(r, 1).Font.Size = 12</t>
  </si>
  <si>
    <t xml:space="preserve">    wsM.Range(wsM.Cells(1, 1), wsM.Cells(hM, LastUsedCol(wsM))).Copy wsS.Cells(r + 1, 1)</t>
  </si>
  <si>
    <t xml:space="preserve">    r = r + 1 + hM + 2</t>
  </si>
  <si>
    <t xml:space="preserve">    wsS.Cells(r, 1).Value = SAVE_MARK_PERSON</t>
  </si>
  <si>
    <t xml:space="preserve">    wsP.Range(wsP.Cells(1, 1), wsP.Cells(hP, LastUsedCol(wsP))).Copy wsS.Cells(r + 1, 1)</t>
  </si>
  <si>
    <t xml:space="preserve">    Application.CutCopyMode = False</t>
  </si>
  <si>
    <t xml:space="preserve">    SaveMasters = "マスタを「" &amp; SH_SAVE &amp; "」に保存しました（" &amp; Format(Now, "yyyy/mm/dd hh:nn") &amp; "　業務名 " &amp; nM &amp; " 件・担当者 " &amp; nP &amp; " 件）。"</t>
  </si>
  <si>
    <t>Public Sub RestoreMasters()</t>
  </si>
  <si>
    <t xml:space="preserve">    Dim wsS As Worksheet, m1 As Long, m2 As Long, hM As Long, hP As Long, lastC As Long</t>
  </si>
  <si>
    <t xml:space="preserve">    m1 = FindMark(wsS, SAVE_MARK_MAP): m2 = FindMark(wsS, SAVE_MARK_PERSON)</t>
  </si>
  <si>
    <t xml:space="preserve">    hM = ToNum(wsS.Range("J2").Value): hP = ToNum(wsS.Range("K2").Value)</t>
  </si>
  <si>
    <t xml:space="preserve">    lastC = LastUsedCol(wsS)</t>
  </si>
  <si>
    <t xml:space="preserve">    If m1 &gt; 0 And hM &gt; 0 Then RestoreBlock wsS.Range(wsS.Cells(m1 + 1, 1), wsS.Cells(m1 + hM, lastC)), SH_MAP</t>
  </si>
  <si>
    <t xml:space="preserve">    If m2 &gt; 0 And hP &gt; 0 Then RestoreBlock wsS.Range(wsS.Cells(m2 + 1, 1), wsS.Cells(m2 + hP, lastC)), SH_PERSON</t>
  </si>
  <si>
    <t>Private Sub RestoreBlock(src As Range, ByVal sheetName As String)</t>
  </si>
  <si>
    <t xml:space="preserve">    If Not SheetExists(sheetName) Then</t>
  </si>
  <si>
    <t xml:space="preserve">        Set ws = ThisWorkbook.Worksheets.Add(After:=ThisWorkbook.Worksheets(SH_CHK))</t>
  </si>
  <si>
    <t xml:space="preserve">        ws.Name = sheetName</t>
  </si>
  <si>
    <t xml:space="preserve">        Set ws = ThisWorkbook.Worksheets(sheetName)</t>
  </si>
  <si>
    <t xml:space="preserve">    src.Copy ws.Range("A1")</t>
  </si>
  <si>
    <t xml:space="preserve">    src.Copy</t>
  </si>
  <si>
    <t xml:space="preserve">    ws.Range("A1").PasteSpecial Paste:=xlPasteColumnWidths</t>
  </si>
  <si>
    <t>Private Function FindMark(ws As Worksheet, ByVal mark As String) As Long</t>
  </si>
  <si>
    <t xml:space="preserve">    Dim r As Long</t>
  </si>
  <si>
    <t xml:space="preserve">    For r = 1 To LastRow(ws, 1)</t>
  </si>
  <si>
    <t xml:space="preserve">        If SafeStr(ws.Cells(r, 1).Value) = mark Then FindMark = r: Exit Function</t>
  </si>
  <si>
    <t>Private Function LastUsedCol(ws As Worksheet) As Long</t>
  </si>
  <si>
    <t xml:space="preserve">    Dim c As Range</t>
  </si>
  <si>
    <t xml:space="preserve">    Set c = ws.Cells.Find(What:="*", LookIn:=xlFormulas, SearchOrder:=xlByColumns, SearchDirection:=xlPrevious)</t>
  </si>
  <si>
    <t xml:space="preserve">    If c Is Nothing Then LastUsedCol = 1 Else LastUsedCol = c.Column</t>
  </si>
  <si>
    <t>' マスタ</t>
  </si>
  <si>
    <t>Private Sub LoadMasters()</t>
  </si>
  <si>
    <t xml:space="preserve">    Dim ws As Worksheet, r As Long, eid As String, kj As String, k As String, s As Variant</t>
  </si>
  <si>
    <t xml:space="preserve">    Dim id As String, nm As String, disp As String, stg As String, mt As String, st As String, tgt As Boolean</t>
  </si>
  <si>
    <t xml:space="preserve">    Set mPersons = NewDict(): Set mNameToEid = NewDict(): Set mMap = NewDict(): Set mCats = NewDict()</t>
  </si>
  <si>
    <t xml:space="preserve">    Set mRowKeys = NewDict(): Set mStages = NewDict(): Set mStatusStage = NewDict(): Set mStdPairs = NewDict()</t>
  </si>
  <si>
    <t xml:space="preserve">    Set ws = ThisWorkbook.Worksheets(SH_PERSON)</t>
  </si>
  <si>
    <t xml:space="preserve">        eid = Trim$(SafeStr(ws.Cells(r, 1).Value))</t>
  </si>
  <si>
    <t xml:space="preserve">        If eid &lt;&gt; "" And Not mPersons.Exists(eid) Then</t>
  </si>
  <si>
    <t xml:space="preserve">            kj = Trim$(SafeStr(ws.Cells(r, 2).Value))</t>
  </si>
  <si>
    <t xml:space="preserve">            mPersons(eid) = Array(NameKey(kj), DisplayName(SafeStr(ws.Cells(r, 3).Value), kj, eid))</t>
  </si>
  <si>
    <t xml:space="preserve">            If NameKey(kj) &lt;&gt; "" Then mNameToEid(NameKey(kj)) = eid</t>
  </si>
  <si>
    <t xml:space="preserve">    For Each s In Split(STAGE_LIST, ",")</t>
  </si>
  <si>
    <t xml:space="preserve">        mStages(CStr(s)) = mStages.Count</t>
  </si>
  <si>
    <t xml:space="preserve">    ' 工程×大分類 の標準表</t>
  </si>
  <si>
    <t xml:space="preserve">    For r = 2 To LastRow(ws, STD_MT)</t>
  </si>
  <si>
    <t xml:space="preserve">        stg = Trim$(SafeStr(ws.Cells(r, STD_STAGE).Value))</t>
  </si>
  <si>
    <t xml:space="preserve">        mt = NormKey(SafeStr(ws.Cells(r, STD_MT).Value))</t>
  </si>
  <si>
    <t xml:space="preserve">        If mt &lt;&gt; "" Then</t>
  </si>
  <si>
    <t xml:space="preserve">            If Not mCats.Exists(mt) Then mCats(mt) = mCats.Count</t>
  </si>
  <si>
    <t xml:space="preserve">            If stg &lt;&gt; "" Then mStdPairs(stg &amp; "|" &amp; mt) = True</t>
  </si>
  <si>
    <t xml:space="preserve">    ' 業務ID ごとの設定</t>
  </si>
  <si>
    <t xml:space="preserve">    For r = 2 To LastRow(ws, MC_ID)</t>
  </si>
  <si>
    <t xml:space="preserve">        id = Trim$(SafeStr(ws.Cells(r, MC_ID).Value))</t>
  </si>
  <si>
    <t xml:space="preserve">        If id &lt;&gt; "" And Not mMap.Exists(id) Then</t>
  </si>
  <si>
    <t xml:space="preserve">            nm = Trim$(SafeStr(ws.Cells(r, MC_NAME).Value))</t>
  </si>
  <si>
    <t xml:space="preserve">            disp = Trim$(SafeStr(ws.Cells(r, MC_DISP).Value))</t>
  </si>
  <si>
    <t xml:space="preserve">            If disp = "" Then disp = nm</t>
  </si>
  <si>
    <t xml:space="preserve">            stg = Trim$(SafeStr(ws.Cells(r, MC_STAGE).Value))</t>
  </si>
  <si>
    <t xml:space="preserve">            If stg = "" Then stg = NO_STAGE</t>
  </si>
  <si>
    <t xml:space="preserve">            mt = NormKey(SafeStr(ws.Cells(r, MC_MT).Value))</t>
  </si>
  <si>
    <t xml:space="preserve">            st = NormKey(SafeStr(ws.Cells(r, MC_ST).Value))</t>
  </si>
  <si>
    <t xml:space="preserve">            k = Trim$(SafeStr(ws.Cells(r, MC_TGT).Value))</t>
  </si>
  <si>
    <t xml:space="preserve">            tgt = (k = "○" Or k = "〇" Or k = "o" Or k = "O")</t>
  </si>
  <si>
    <t xml:space="preserve">            mMap(id) = Array(mt, st, tgt, stg, disp, nm)</t>
  </si>
  <si>
    <t xml:space="preserve">            If tgt Then</t>
  </si>
  <si>
    <t xml:space="preserve">                If Not mStages.Exists(stg) Then mStages(stg) = mStages.Count</t>
  </si>
  <si>
    <t xml:space="preserve">                k = stg &amp; "|" &amp; disp</t>
  </si>
  <si>
    <t xml:space="preserve">                If Not mRowKeys.Exists(k) Then mRowKeys(k) = Array(stg, IIf(mt = "", UNCAT, mt), disp)</t>
  </si>
  <si>
    <t xml:space="preserve">                If st &lt;&gt; "" And Not mStatusStage.Exists(st) Then mStatusStage(st) = stg</t>
  </si>
  <si>
    <t>' 新しい業務ID（業務ID → 業務名）をマスタに追加</t>
  </si>
  <si>
    <t>'   同じ業務名の行があれば 工程〜標準 を複写、無ければ業務名から推定。どちらも A・B列をオレンジ（要確認）にする</t>
  </si>
  <si>
    <t>Private Sub AddMappings(pairs As Object)</t>
  </si>
  <si>
    <t xml:space="preserve">    Dim ws As Worksheet, exist As Object, byName As Object, last As Long, r As Long, k As Variant</t>
  </si>
  <si>
    <t xml:space="preserve">    Dim nm As String, g As Variant, src As Long, memo As String, c As Long</t>
  </si>
  <si>
    <t xml:space="preserve">    Set exist = NewDict(): Set byName = NewDict()</t>
  </si>
  <si>
    <t xml:space="preserve">    last = LastRow(ws, MC_ID)</t>
  </si>
  <si>
    <t xml:space="preserve">    For r = 2 To last</t>
  </si>
  <si>
    <t xml:space="preserve">        exist(Trim$(SafeStr(ws.Cells(r, MC_ID).Value))) = True</t>
  </si>
  <si>
    <t xml:space="preserve">        nm = Trim$(SafeStr(ws.Cells(r, MC_NAME).Value))</t>
  </si>
  <si>
    <t xml:space="preserve">        If nm &lt;&gt; "" And Not byName.Exists(nm) Then byName(nm) = r</t>
  </si>
  <si>
    <t xml:space="preserve">    For Each k In pairs.keys</t>
  </si>
  <si>
    <t xml:space="preserve">        If k &lt;&gt; "" And Not exist.Exists(k) Then</t>
  </si>
  <si>
    <t xml:space="preserve">            nm = pairs(k)</t>
  </si>
  <si>
    <t xml:space="preserve">            last = last + 1</t>
  </si>
  <si>
    <t xml:space="preserve">            ws.Cells(last, MC_ID).Value = "'" &amp; k</t>
  </si>
  <si>
    <t xml:space="preserve">            ws.Cells(last, MC_NAME).Value = nm</t>
  </si>
  <si>
    <t xml:space="preserve">            ws.Cells(last, MC_DISP).Value = nm</t>
  </si>
  <si>
    <t xml:space="preserve">            If byName.Exists(nm) Then</t>
  </si>
  <si>
    <t xml:space="preserve">                src = byName(nm)</t>
  </si>
  <si>
    <t xml:space="preserve">                For c = MC_STAGE To MC_STD</t>
  </si>
  <si>
    <t xml:space="preserve">                    ws.Cells(last, c).Value = ws.Cells(src, c).Value</t>
  </si>
  <si>
    <t xml:space="preserve">                memo = "自動追加 " &amp; Format(Date, "yyyy/mm/dd") &amp; "（同じ業務名の " &amp; ws.Cells(src, MC_ID).Value &amp; " から複写。工程を確認）"</t>
  </si>
  <si>
    <t xml:space="preserve">                g = GuessMap(nm)</t>
  </si>
  <si>
    <t xml:space="preserve">                If g(2) = "○" Then ws.Cells(last, MC_STAGE).Value = DEFAULT_STAGE</t>
  </si>
  <si>
    <t xml:space="preserve">                ws.Cells(last, MC_MT).Value = g(0)</t>
  </si>
  <si>
    <t xml:space="preserve">                ws.Cells(last, MC_ST).Value = g(1)</t>
  </si>
  <si>
    <t xml:space="preserve">                ws.Cells(last, MC_TGT).Value = g(2)</t>
  </si>
  <si>
    <t xml:space="preserve">                memo = "自動追加 " &amp; Format(Date, "yyyy/mm/dd") &amp; "（要確認）"</t>
  </si>
  <si>
    <t xml:space="preserve">                byName(nm) = last</t>
  </si>
  <si>
    <t xml:space="preserve">            ws.Cells(last, MC_MEMO).Value = memo</t>
  </si>
  <si>
    <t xml:space="preserve">            ws.Range(ws.Cells(last, MC_ID), ws.Cells(last, MC_NAME)).Interior.Color = RGB(252, 228, 214)</t>
  </si>
  <si>
    <t xml:space="preserve">            exist(k) = True</t>
  </si>
  <si>
    <t>' 工程×大分類 の標準行を追加（標準は空欄）</t>
  </si>
  <si>
    <t>Private Sub AddStdRows(pairs As Object)</t>
  </si>
  <si>
    <t xml:space="preserve">    Dim ws As Worksheet, last As Long, k As Variant, p() As String</t>
  </si>
  <si>
    <t xml:space="preserve">    last = LastRow(ws, STD_MT)</t>
  </si>
  <si>
    <t xml:space="preserve">        p = Split(k, "|")</t>
  </si>
  <si>
    <t xml:space="preserve">        last = last + 1</t>
  </si>
  <si>
    <t xml:space="preserve">        ws.Cells(last, STD_STAGE).Value = p(0)</t>
  </si>
  <si>
    <t xml:space="preserve">        ws.Cells(last, STD_MT).Value = p(1)</t>
  </si>
  <si>
    <t xml:space="preserve">        ws.Cells(last, STD_MEMO).Value = "自動追加（標準を入力してください）"</t>
  </si>
  <si>
    <t xml:space="preserve">        ws.Cells(last, STD_VAL).Interior.Color = RGB(255, 242, 204)</t>
  </si>
  <si>
    <t>Private Sub AddPersons(eids As Object)</t>
  </si>
  <si>
    <t xml:space="preserve">    Dim ws As Worksheet, exist As Object, last As Long, r As Long, k As Variant</t>
  </si>
  <si>
    <t xml:space="preserve">    last = LastRow(ws, 1)</t>
  </si>
  <si>
    <t xml:space="preserve">    For r = 2 To last: exist(Trim$(SafeStr(ws.Cells(r, 1).Value))) = True: Next</t>
  </si>
  <si>
    <t xml:space="preserve">    For Each k In eids.keys</t>
  </si>
  <si>
    <t xml:space="preserve">            ws.Cells(last, 1).Value = k</t>
  </si>
  <si>
    <t xml:space="preserve">            ws.Cells(last, 3).Value = k</t>
  </si>
  <si>
    <t xml:space="preserve">            ws.Cells(last, 4).Value = "← B列に CenterStaffKj（案件処理件数一覧の氏名）を入力"</t>
  </si>
  <si>
    <t xml:space="preserve">            ws.Range(ws.Cells(last, 2), ws.Cells(last, 3)).Interior.Color = RGB(255, 242, 204)</t>
  </si>
  <si>
    <t>Private Sub ApplyMapValidation()</t>
  </si>
  <si>
    <t xml:space="preserve">    Dim ws As Worksheet, r As Long, lst As String, k As String, last As Long, seen As Object</t>
  </si>
  <si>
    <t xml:space="preserve">    Set seen = NewDict()</t>
  </si>
  <si>
    <t xml:space="preserve">        k = Trim$(SafeStr(ws.Cells(r, STD_MT).Value))</t>
  </si>
  <si>
    <t xml:space="preserve">        If k &lt;&gt; "" And Not seen.Exists(k) Then</t>
  </si>
  <si>
    <t xml:space="preserve">            seen(k) = True</t>
  </si>
  <si>
    <t xml:space="preserve">            lst = lst &amp; IIf(lst = "", "", ",") &amp; k</t>
  </si>
  <si>
    <t xml:space="preserve">    If lst &lt;&gt; "" Then SetListValidation ws.Range(ws.Cells(2, MC_MT), ws.Cells(5000, MC_MT)), lst</t>
  </si>
  <si>
    <t xml:space="preserve">    SetListValidation ws.Range(ws.Cells(2, MC_ST), ws.Cells(5000, MC_ST)), STATUS_LIST</t>
  </si>
  <si>
    <t xml:space="preserve">    SetListValidation ws.Range(ws.Cells(2, MC_TGT), ws.Cells(5000, MC_TGT)), "○,×"</t>
  </si>
  <si>
    <t xml:space="preserve">    SetListValidation ws.Range(ws.Cells(2, MC_STAGE), ws.Cells(5000, MC_STAGE)), STAGE_LIST</t>
  </si>
  <si>
    <t xml:space="preserve">    SetListValidation ws.Range(ws.Cells(2, STD_STAGE), ws.Cells(300, STD_STAGE)), STAGE_LIST</t>
  </si>
  <si>
    <t xml:space="preserve">    ' 表示名が空なら業務名を入れる（一覧の標準の参照に使うため）／手入力欄は黄色</t>
  </si>
  <si>
    <t xml:space="preserve">        If Trim$(SafeStr(ws.Cells(r, MC_DISP).Value)) = "" Then ws.Cells(r, MC_DISP).Value = ws.Cells(r, MC_NAME).Value</t>
  </si>
  <si>
    <t xml:space="preserve">    If last &gt;= 2 Then ws.Range(ws.Cells(2, MC_DISP), ws.Cells(last, MC_STD)).Interior.Color = RGB(255, 242, 204)</t>
  </si>
  <si>
    <t>Private Sub SetListValidation(rng As Range, ByVal lst As String)</t>
  </si>
  <si>
    <t xml:space="preserve">    With rng.Validation</t>
  </si>
  <si>
    <t xml:space="preserve">        .Delete</t>
  </si>
  <si>
    <t xml:space="preserve">        .Add Type:=xlValidateList, AlertStyle:=xlValidAlertStop, Formula1:=lst</t>
  </si>
  <si>
    <t xml:space="preserve">        .ShowError = False</t>
  </si>
  <si>
    <t>' 業務名から MatterType / Status / 集計対象 を推定（初期値。マスタ_業務で手修正可）</t>
  </si>
  <si>
    <t>Private Function GuessMap(ByVal nm As String) As Variant</t>
  </si>
  <si>
    <t xml:space="preserve">    Dim mt As String</t>
  </si>
  <si>
    <t xml:space="preserve">    If Left$(NormKey(nm), 2) &lt;&gt; "C1" Then GuessMap = Array("", "", "×"): Exit Function</t>
  </si>
  <si>
    <t xml:space="preserve">    If InStr(nm, "通勤") &gt; 0 Then</t>
  </si>
  <si>
    <t xml:space="preserve">        mt = "通勤"</t>
  </si>
  <si>
    <t xml:space="preserve">    ElseIf InStr(nm, "給与口座") &gt; 0 Then</t>
  </si>
  <si>
    <t xml:space="preserve">        mt = "給与口座"</t>
  </si>
  <si>
    <t xml:space="preserve">    ElseIf InStr(nm, "転居") &gt; 0 Or InStr(nm, "住居") &gt; 0 Or InStr(nm, "家賃") &gt; 0 _</t>
  </si>
  <si>
    <t xml:space="preserve">           Or InStr(nm, "配同") &gt; 0 Or InStr(nm, "世帯主") &gt; 0 Then</t>
  </si>
  <si>
    <t xml:space="preserve">        mt = "住居"</t>
  </si>
  <si>
    <t xml:space="preserve">    ElseIf InStr(nm, "【増】") &gt; 0 Or InStr(nm, "【減】") &gt; 0 Or InStr(nm, "扶養") &gt; 0 Or InStr(nm, "認定請求") &gt; 0 _</t>
  </si>
  <si>
    <t xml:space="preserve">           Or InStr(nm, "支給額区分") &gt; 0 Or InStr(nm, "額改定") &gt; 0 Then</t>
  </si>
  <si>
    <t xml:space="preserve">        mt = "扶養"</t>
  </si>
  <si>
    <t xml:space="preserve">        mt = "その他"</t>
  </si>
  <si>
    <t xml:space="preserve">    GuessMap = Array(mt, "登録", "○")</t>
  </si>
  <si>
    <t>' ファイル読込</t>
  </si>
  <si>
    <t>Private Function ListSourceFiles(ByVal dirPath As String) As Collection</t>
  </si>
  <si>
    <t xml:space="preserve">    Dim col As New Collection, f As String, ext As String, arr() As String</t>
  </si>
  <si>
    <t xml:space="preserve">    Dim n As Long, i As Long, j As Long, t As String</t>
  </si>
  <si>
    <t xml:space="preserve">    f = Dir(dirPath &amp; "\*.*")</t>
  </si>
  <si>
    <t xml:space="preserve">    Do While f &lt;&gt; ""</t>
  </si>
  <si>
    <t xml:space="preserve">        ext = LCase$(Mid$(f, InStrRev(f, ".") + 1))</t>
  </si>
  <si>
    <t xml:space="preserve">        If Left$(f, 2) &lt;&gt; "~$" Then</t>
  </si>
  <si>
    <t xml:space="preserve">            Select Case ext</t>
  </si>
  <si>
    <t xml:space="preserve">                Case "xls", "xlsx", "xlsm", "csv", "htm", "html"</t>
  </si>
  <si>
    <t xml:space="preserve">                    n = n + 1</t>
  </si>
  <si>
    <t xml:space="preserve">                    ReDim Preserve arr(1 To n)</t>
  </si>
  <si>
    <t xml:space="preserve">                    arr(n) = f</t>
  </si>
  <si>
    <t xml:space="preserve">            End Select</t>
  </si>
  <si>
    <t xml:space="preserve">        f = Dir()</t>
  </si>
  <si>
    <t xml:space="preserve">    Loop</t>
  </si>
  <si>
    <t xml:space="preserve">    ' ファイル名順（＝出力日時順）に処理して、新しいファイルが後から上書きするようにする</t>
  </si>
  <si>
    <t xml:space="preserve">    For i = 1 To n - 1</t>
  </si>
  <si>
    <t xml:space="preserve">        For j = i + 1 To n</t>
  </si>
  <si>
    <t xml:space="preserve">            If StrComp(arr(i), arr(j), vbBinaryCompare) &gt; 0 Then t = arr(i): arr(i) = arr(j): arr(j) = t</t>
  </si>
  <si>
    <t xml:space="preserve">    For i = 1 To n: col.Add arr(i): Next</t>
  </si>
  <si>
    <t xml:space="preserve">    Set ListSourceFiles = col</t>
  </si>
  <si>
    <t>Private Function ReadAnyFile(ByVal path As String) As Variant</t>
  </si>
  <si>
    <t xml:space="preserve">    Dim head As String</t>
  </si>
  <si>
    <t xml:space="preserve">    head = LCase$(ReadHead(path, 1024))</t>
  </si>
  <si>
    <t xml:space="preserve">    ' 拡張子が .xls でも中身が HTML のことがある（案件処理件数一覧）</t>
  </si>
  <si>
    <t xml:space="preserve">    If InStr(head, "&lt;table") &gt; 0 Or InStr(head, "&lt;html") &gt; 0 Or InStr(head, "&lt;meta") &gt; 0 Then</t>
  </si>
  <si>
    <t xml:space="preserve">        ReadAnyFile = ReadHtmlTable(path)</t>
  </si>
  <si>
    <t xml:space="preserve">        ReadAnyFile = ReadWorkbook(path)</t>
  </si>
  <si>
    <t>Private Function ReadHead(ByVal path As String, ByVal n As Long) As String</t>
  </si>
  <si>
    <t xml:space="preserve">    Dim ff As Integer, b() As Byte, sz As Long</t>
  </si>
  <si>
    <t xml:space="preserve">    ff = FreeFile</t>
  </si>
  <si>
    <t xml:space="preserve">    Open path For Binary Access Read As #ff</t>
  </si>
  <si>
    <t xml:space="preserve">    sz = LOF(ff)</t>
  </si>
  <si>
    <t xml:space="preserve">    If sz &gt; n Then sz = n</t>
  </si>
  <si>
    <t xml:space="preserve">    If sz &gt; 0 Then</t>
  </si>
  <si>
    <t xml:space="preserve">        ReDim b(0 To sz - 1)</t>
  </si>
  <si>
    <t xml:space="preserve">        Get #ff, , b</t>
  </si>
  <si>
    <t xml:space="preserve">        ReadHead = StrConv(b, vbUnicode)</t>
  </si>
  <si>
    <t xml:space="preserve">    Close #ff</t>
  </si>
  <si>
    <t>Private Function ReadWorkbook(ByVal path As String) As Variant</t>
  </si>
  <si>
    <t xml:space="preserve">    Dim wb As Workbook, sh As Worksheet, v As Variant, hdr As Long, desc As String</t>
  </si>
  <si>
    <t xml:space="preserve">    Set wb = Workbooks.Open(Filename:=path, UpdateLinks:=0, ReadOnly:=True, AddToMru:=False)</t>
  </si>
  <si>
    <t xml:space="preserve">    For Each sh In wb.Worksheets</t>
  </si>
  <si>
    <t xml:space="preserve">        v = sh.UsedRange.Value</t>
  </si>
  <si>
    <t xml:space="preserve">        If IsArray(v) Then</t>
  </si>
  <si>
    <t xml:space="preserve">            If DetectKind(v, hdr) &lt;&gt; "" Then ReadWorkbook = v: Exit For</t>
  </si>
  <si>
    <t xml:space="preserve">    wb.Close SaveChanges:=False</t>
  </si>
  <si>
    <t xml:space="preserve">    desc = Err.Description</t>
  </si>
  <si>
    <t xml:space="preserve">    Err.Raise vbObjectError + 513, , desc</t>
  </si>
  <si>
    <t>Private Function ReadText(ByVal path As String, ByVal cs As String) As String</t>
  </si>
  <si>
    <t xml:space="preserve">    Dim st As Object</t>
  </si>
  <si>
    <t xml:space="preserve">    Set st = CreateObject("ADODB.Stream")</t>
  </si>
  <si>
    <t xml:space="preserve">    st.Type = 2</t>
  </si>
  <si>
    <t xml:space="preserve">    st.Charset = cs</t>
  </si>
  <si>
    <t xml:space="preserve">    st.Open</t>
  </si>
  <si>
    <t xml:space="preserve">    st.LoadFromFile path</t>
  </si>
  <si>
    <t xml:space="preserve">    ReadText = st.ReadText(-1)</t>
  </si>
  <si>
    <t xml:space="preserve">    st.Close</t>
  </si>
  <si>
    <t>Private Function ReadHtmlTable(ByVal path As String) As Variant</t>
  </si>
  <si>
    <t xml:space="preserve">    Dim txt As String, low As String, cs As String</t>
  </si>
  <si>
    <t xml:space="preserve">    Dim rows As New Collection, cells As Collection, rw As Variant</t>
  </si>
  <si>
    <t xml:space="preserve">    Dim p As Long, q As Long, nx As Long, rowHtml As String, rowLow As String</t>
  </si>
  <si>
    <t xml:space="preserve">    Dim c1 As Long, gt As Long, c2 As Long, nc As Long, maxC As Long</t>
  </si>
  <si>
    <t xml:space="preserve">    Dim arr() As Variant, i As Long, j As Long</t>
  </si>
  <si>
    <t xml:space="preserve">    cs = "shift_jis"</t>
  </si>
  <si>
    <t xml:space="preserve">    If InStr(1, ReadHead(path, 2048), "utf-8", vbTextCompare) &gt; 0 Then cs = "utf-8"</t>
  </si>
  <si>
    <t xml:space="preserve">    txt = ReadText(path, cs)</t>
  </si>
  <si>
    <t xml:space="preserve">    low = LCase$(txt)</t>
  </si>
  <si>
    <t xml:space="preserve">    p = FindTag(low, "tr", 1)</t>
  </si>
  <si>
    <t xml:space="preserve">    Do While p &gt; 0</t>
  </si>
  <si>
    <t xml:space="preserve">        q = InStr(p + 3, low, "&lt;/tr")</t>
  </si>
  <si>
    <t xml:space="preserve">        If q = 0 Then q = Len(low) + 1</t>
  </si>
  <si>
    <t xml:space="preserve">        nx = FindTag(low, "tr", p + 3)</t>
  </si>
  <si>
    <t xml:space="preserve">        If nx &gt; 0 And nx &lt; q Then q = nx</t>
  </si>
  <si>
    <t xml:space="preserve">        rowHtml = Mid$(txt, p, q - p)</t>
  </si>
  <si>
    <t xml:space="preserve">        rowLow = Mid$(low, p, q - p)</t>
  </si>
  <si>
    <t xml:space="preserve">        Set cells = New Collection</t>
  </si>
  <si>
    <t xml:space="preserve">        c1 = NextCell(rowLow, 1)</t>
  </si>
  <si>
    <t xml:space="preserve">        Do While c1 &gt; 0</t>
  </si>
  <si>
    <t xml:space="preserve">            gt = InStr(c1, rowLow, "&gt;")</t>
  </si>
  <si>
    <t xml:space="preserve">            If gt = 0 Then Exit Do</t>
  </si>
  <si>
    <t xml:space="preserve">            c2 = InStr(gt, rowLow, "&lt;/t")</t>
  </si>
  <si>
    <t xml:space="preserve">            If c2 = 0 Then c2 = Len(rowLow) + 1</t>
  </si>
  <si>
    <t xml:space="preserve">            nc = NextCell(rowLow, gt + 1)</t>
  </si>
  <si>
    <t xml:space="preserve">            If nc &gt; 0 And nc &lt; c2 Then c2 = nc</t>
  </si>
  <si>
    <t xml:space="preserve">            cells.Add CleanCell(Mid$(rowHtml, gt + 1, c2 - gt - 1))</t>
  </si>
  <si>
    <t xml:space="preserve">            c1 = NextCell(rowLow, c2)</t>
  </si>
  <si>
    <t xml:space="preserve">        Loop</t>
  </si>
  <si>
    <t xml:space="preserve">        If cells.Count &gt; 0 Then</t>
  </si>
  <si>
    <t xml:space="preserve">            rows.Add cells</t>
  </si>
  <si>
    <t xml:space="preserve">            If cells.Count &gt; maxC Then maxC = cells.Count</t>
  </si>
  <si>
    <t xml:space="preserve">        p = FindTag(low, "tr", q)</t>
  </si>
  <si>
    <t xml:space="preserve">    If rows.Count = 0 Then Exit Function</t>
  </si>
  <si>
    <t xml:space="preserve">    ReDim arr(1 To rows.Count, 1 To maxC)</t>
  </si>
  <si>
    <t xml:space="preserve">    For Each rw In rows</t>
  </si>
  <si>
    <t xml:space="preserve">        i = i + 1</t>
  </si>
  <si>
    <t xml:space="preserve">        For j = 1 To rw.Count</t>
  </si>
  <si>
    <t xml:space="preserve">            arr(i, j) = rw(j)</t>
  </si>
  <si>
    <t xml:space="preserve">    ReadHtmlTable = arr</t>
  </si>
  <si>
    <t>Private Function FindTag(ByVal low As String, ByVal tag As String, ByVal start As Long) As Long</t>
  </si>
  <si>
    <t xml:space="preserve">    Dim p As Long, ch As String</t>
  </si>
  <si>
    <t xml:space="preserve">    If start &lt; 1 Then start = 1</t>
  </si>
  <si>
    <t xml:space="preserve">    If start &gt; Len(low) Then Exit Function</t>
  </si>
  <si>
    <t xml:space="preserve">    p = InStr(start, low, "&lt;" &amp; tag)</t>
  </si>
  <si>
    <t xml:space="preserve">        ch = Mid$(low, p + Len(tag) + 1, 1)</t>
  </si>
  <si>
    <t xml:space="preserve">        If ch = "&gt;" Or ch = " " Or ch = vbTab Or ch = vbCr Or ch = vbLf Then FindTag = p: Exit Function</t>
  </si>
  <si>
    <t xml:space="preserve">        p = InStr(p + 1, low, "&lt;" &amp; tag)</t>
  </si>
  <si>
    <t>Private Function NextCell(ByVal low As String, ByVal start As Long) As Long</t>
  </si>
  <si>
    <t xml:space="preserve">    Dim a As Long, b As Long</t>
  </si>
  <si>
    <t xml:space="preserve">    a = FindTag(low, "td", start)</t>
  </si>
  <si>
    <t xml:space="preserve">    b = FindTag(low, "th", start)</t>
  </si>
  <si>
    <t xml:space="preserve">    If a = 0 Then</t>
  </si>
  <si>
    <t xml:space="preserve">        NextCell = b</t>
  </si>
  <si>
    <t xml:space="preserve">    ElseIf b = 0 Then</t>
  </si>
  <si>
    <t xml:space="preserve">        NextCell = a</t>
  </si>
  <si>
    <t xml:space="preserve">        NextCell = IIf(a &lt; b, a, b)</t>
  </si>
  <si>
    <t>Private Function CleanCell(ByVal s As String) As String</t>
  </si>
  <si>
    <t xml:space="preserve">    Dim p As Long, q As Long</t>
  </si>
  <si>
    <t xml:space="preserve">    p = InStr(s, "&lt;")</t>
  </si>
  <si>
    <t xml:space="preserve">        q = InStr(p, s, "&gt;")</t>
  </si>
  <si>
    <t xml:space="preserve">        If q = 0 Then Exit Do</t>
  </si>
  <si>
    <t xml:space="preserve">        s = Left$(s, p - 1) &amp; Mid$(s, q + 1)</t>
  </si>
  <si>
    <t xml:space="preserve">        p = InStr(s, "&lt;")</t>
  </si>
  <si>
    <t xml:space="preserve">    s = Replace(s, vbCr, ""): s = Replace(s, vbLf, ""): s = Replace(s, vbTab, "")</t>
  </si>
  <si>
    <t xml:space="preserve">    s = Replace(s, "&amp;nbsp;", " "): s = Replace(s, "&amp;lt;", "&lt;"): s = Replace(s, "&amp;gt;", "&gt;")</t>
  </si>
  <si>
    <t xml:space="preserve">    s = Replace(s, "&amp;quot;", """"): s = Replace(s, "&amp;#39;", "'"): s = Replace(s, "&amp;amp;", "&amp;")</t>
  </si>
  <si>
    <t xml:space="preserve">    CleanCell = Trim$(s)</t>
  </si>
  <si>
    <t>Private Function DetectKind(ByRef data As Variant, ByRef hdr As Long) As String</t>
  </si>
  <si>
    <t xml:space="preserve">    Dim r As Long, maxR As Long</t>
  </si>
  <si>
    <t xml:space="preserve">    If Not IsArray(data) Then Exit Function</t>
  </si>
  <si>
    <t xml:space="preserve">    maxR = UBound(data, 1)</t>
  </si>
  <si>
    <t xml:space="preserve">    If maxR &gt; 20 Then maxR = 20</t>
  </si>
  <si>
    <t xml:space="preserve">    For r = LBound(data, 1) To maxR</t>
  </si>
  <si>
    <t xml:space="preserve">        If ColOf(data, r, "EnforceDate", True) &gt; 0 And ColOf(data, r, "ProcessCount", True) &gt; 0 Then</t>
  </si>
  <si>
    <t xml:space="preserve">            hdr = r: DetectKind = "COUNT": Exit Function</t>
  </si>
  <si>
    <t xml:space="preserve">        If ColOf(data, r, "EID", True) &gt; 0 And ColOf(data, r, "業務名", True) &gt; 0 And ColOf(data, r, "所要時間") &gt; 0 Then</t>
  </si>
  <si>
    <t xml:space="preserve">            hdr = r: DetectKind = "WORK": Exit Function</t>
  </si>
  <si>
    <t>Private Function ColOf(ByRef data As Variant, ByVal hdr As Long, ByVal key As String, _</t>
  </si>
  <si>
    <t xml:space="preserve">                       Optional ByVal exact As Boolean = False) As Long</t>
  </si>
  <si>
    <t xml:space="preserve">    Dim c As Long, s As String</t>
  </si>
  <si>
    <t xml:space="preserve">        s = Trim$(SafeStr(data(hdr, c)))</t>
  </si>
  <si>
    <t xml:space="preserve">        If exact Then</t>
  </si>
  <si>
    <t xml:space="preserve">            If s = key Then ColOf = c: Exit Function</t>
  </si>
  <si>
    <t xml:space="preserve">        ElseIf InStr(1, s, key, vbTextCompare) &gt; 0 Then</t>
  </si>
  <si>
    <t xml:space="preserve">            ColOf = c: Exit Function</t>
  </si>
  <si>
    <t>Private Function KindLabel(ByVal kind As String) As String</t>
  </si>
  <si>
    <t xml:space="preserve">        Case "WORK": KindLabel = "稼働記録"</t>
  </si>
  <si>
    <t xml:space="preserve">        Case "COUNT": KindLabel = "案件処理件数"</t>
  </si>
  <si>
    <t xml:space="preserve">        Case Else: KindLabel = "不明"</t>
  </si>
  <si>
    <t>Private Function MoveFile(ByVal src As String, ByVal dst As String) As String</t>
  </si>
  <si>
    <t xml:space="preserve">    If Len(Dir(dst)) &gt; 0 Then Kill dst</t>
  </si>
  <si>
    <t xml:space="preserve">    Name src As dst</t>
  </si>
  <si>
    <t xml:space="preserve">    MoveFile = "取込済フォルダへの移動に失敗：" &amp; Err.Description</t>
  </si>
  <si>
    <t>Private Sub WriteLog(ByVal fname As String, ByVal kind As String, ByVal nNew As Long, ByVal nUpd As Long, ByVal result As String)</t>
  </si>
  <si>
    <t xml:space="preserve">    Dim ws As Worksheet, r As Long</t>
  </si>
  <si>
    <t xml:space="preserve">    Set ws = ThisWorkbook.Worksheets(SH_LOG)</t>
  </si>
  <si>
    <t xml:space="preserve">    r = LastRow(ws, 1) + 1</t>
  </si>
  <si>
    <t xml:space="preserve">    ws.Cells(r, 1).Value = Now</t>
  </si>
  <si>
    <t xml:space="preserve">    ws.Cells(r, 1).NumberFormatLocal = "yyyy/mm/dd hh:mm:ss"</t>
  </si>
  <si>
    <t xml:space="preserve">    ws.Cells(r, 2).Value = fname</t>
  </si>
  <si>
    <t xml:space="preserve">    ws.Cells(r, 3).Value = kind</t>
  </si>
  <si>
    <t xml:space="preserve">    ws.Cells(r, 4).Value = nNew</t>
  </si>
  <si>
    <t xml:space="preserve">    ws.Cells(r, 5).Value = nUpd</t>
  </si>
  <si>
    <t xml:space="preserve">    ws.Cells(r, 6).Value = result</t>
  </si>
  <si>
    <t>' 元データの読み出し</t>
  </si>
  <si>
    <t>Private Function ReadRaw(ws As Worksheet, ByRef v As Variant, ByRef h As Object) As Boolean</t>
  </si>
  <si>
    <t xml:space="preserve">    Dim last As Long, lastC As Long, c As Long</t>
  </si>
  <si>
    <t xml:space="preserve">    Set h = NewDict()</t>
  </si>
  <si>
    <t xml:space="preserve">    If last &lt; 2 Or lastC &lt; 1 Then Exit Function</t>
  </si>
  <si>
    <t xml:space="preserve">    v = ws.Range(ws.Cells(1, 1), ws.Cells(last, lastC)).Value</t>
  </si>
  <si>
    <t xml:space="preserve">    For c = 1 To lastC</t>
  </si>
  <si>
    <t xml:space="preserve">        If Not h.Exists(Trim$(SafeStr(v(1, c)))) Then h(Trim$(SafeStr(v(1, c)))) = c</t>
  </si>
  <si>
    <t xml:space="preserve">    ReadRaw = True</t>
  </si>
  <si>
    <t>Private Function HCol(h As Object, ByVal name As String) As Long</t>
  </si>
  <si>
    <t xml:space="preserve">    If h.Exists(name) Then HCol = h(name)</t>
  </si>
  <si>
    <t>Private Function HColLike(h As Object, ByVal part As String) As Long</t>
  </si>
  <si>
    <t xml:space="preserve">    For Each k In h.keys</t>
  </si>
  <si>
    <t xml:space="preserve">        If InStr(1, k, part, vbTextCompare) &gt; 0 Then HColLike = h(k): Exit Function</t>
  </si>
  <si>
    <t>Private Function LastUsedRow(ws As Worksheet) As Long</t>
  </si>
  <si>
    <t xml:space="preserve">    Set c = ws.Cells.Find(What:="*", LookIn:=xlFormulas, SearchOrder:=xlByRows, SearchDirection:=xlPrevious)</t>
  </si>
  <si>
    <t xml:space="preserve">    If c Is Nothing Then LastUsedRow = 1 Else LastUsedRow = c.Row</t>
  </si>
  <si>
    <t>' 値の変換</t>
  </si>
  <si>
    <t>Private Function NewDict() As Object</t>
  </si>
  <si>
    <t xml:space="preserve">    Set NewDict = CreateObject("Scripting.Dictionary")</t>
  </si>
  <si>
    <t>Private Sub SubDictSet(d As Object, ByVal k1 As String, ByVal k2 As String)</t>
  </si>
  <si>
    <t xml:space="preserve">    Dim s As Object</t>
  </si>
  <si>
    <t xml:space="preserve">    If Not d.Exists(k1) Then d.Add k1, CreateObject("Scripting.Dictionary")</t>
  </si>
  <si>
    <t xml:space="preserve">    Set s = d(k1)</t>
  </si>
  <si>
    <t xml:space="preserve">    s(k2) = True</t>
  </si>
  <si>
    <t>Private Function SafeStr(ByVal v As Variant) As String</t>
  </si>
  <si>
    <t xml:space="preserve">    If IsError(v) Or IsNull(v) Or IsEmpty(v) Then Exit Function</t>
  </si>
  <si>
    <t xml:space="preserve">    SafeStr = CStr(v)</t>
  </si>
  <si>
    <t>Private Function CellVal(ByVal v As Variant) As Variant</t>
  </si>
  <si>
    <t xml:space="preserve">    If IsError(v) Then CellVal = "" Else CellVal = v</t>
  </si>
  <si>
    <t>Private Function ToDate(ByVal v As Variant) As Date</t>
  </si>
  <si>
    <t xml:space="preserve">    Dim s As String, p() As String, x As Double</t>
  </si>
  <si>
    <t xml:space="preserve">    If IsError(v) Or IsEmpty(v) Or IsNull(v) Then Exit Function</t>
  </si>
  <si>
    <t xml:space="preserve">    If VarType(v) = vbDate Then ToDate = DateSerial(Year(v), Month(v), Day(v)): Exit Function</t>
  </si>
  <si>
    <t xml:space="preserve">    If IsNumeric(v) Then</t>
  </si>
  <si>
    <t xml:space="preserve">        x = CDbl(v)</t>
  </si>
  <si>
    <t xml:space="preserve">        If x &gt;= 19000101 And x &lt;= 29991231 Then        ' 20261006 形式</t>
  </si>
  <si>
    <t xml:space="preserve">            ToDate = DateSerial(Int(x / 10000), Int(x / 100) Mod 100, Int(x) Mod 100)</t>
  </si>
  <si>
    <t xml:space="preserve">        ElseIf x &gt; 1 And x &lt; 2958466 Then              ' シリアル値</t>
  </si>
  <si>
    <t xml:space="preserve">            ToDate = CDate(Int(x))</t>
  </si>
  <si>
    <t xml:space="preserve">    s = NormKey(CStr(v))</t>
  </si>
  <si>
    <t xml:space="preserve">    If InStr(s, " ") &gt; 0 Then s = Left$(s, InStr(s, " ") - 1)</t>
  </si>
  <si>
    <t xml:space="preserve">    s = Replace(s, "-", "/")</t>
  </si>
  <si>
    <t xml:space="preserve">    p = Split(s, "/")</t>
  </si>
  <si>
    <t xml:space="preserve">    If UBound(p) = 2 Then ToDate = DateSerial(CInt(p(0)), CInt(p(1)), CInt(p(2)))</t>
  </si>
  <si>
    <t>' 所要時間 → 時間（h）。"01:22:47" 形式・Excel の時刻値に対応</t>
  </si>
  <si>
    <t>Private Function ToHours(ByVal v As Variant) As Double</t>
  </si>
  <si>
    <t xml:space="preserve">    Dim s As String, p() As String</t>
  </si>
  <si>
    <t xml:space="preserve">    If VarType(v) = vbDate Then ToHours = CDbl(v) * 24: Exit Function</t>
  </si>
  <si>
    <t xml:space="preserve">        If CDbl(v) &lt; 1 Then ToHours = CDbl(v) * 24 Else ToHours = CDbl(v) / 60</t>
  </si>
  <si>
    <t xml:space="preserve">    p = Split(s, ":")</t>
  </si>
  <si>
    <t xml:space="preserve">    Select Case UBound(p)</t>
  </si>
  <si>
    <t xml:space="preserve">        Case 2: ToHours = Val(p(0)) + Val(p(1)) / 60 + Val(p(2)) / 3600</t>
  </si>
  <si>
    <t xml:space="preserve">        Case 1: ToHours = Val(p(0)) + Val(p(1)) / 60</t>
  </si>
  <si>
    <t>Private Function ToNum(ByVal v As Variant) As Double</t>
  </si>
  <si>
    <t xml:space="preserve">    Dim s As String</t>
  </si>
  <si>
    <t xml:space="preserve">    If IsNumeric(v) Then ToNum = CDbl(v): Exit Function</t>
  </si>
  <si>
    <t xml:space="preserve">    s = Replace(NormKey(CStr(v)), ",", "")</t>
  </si>
  <si>
    <t xml:space="preserve">    If IsNumeric(s) Then ToNum = CDbl(s)</t>
  </si>
  <si>
    <t>' 全角英数記号と全角空白だけを半角に（カタカナは変えない）して前後空白を除く</t>
  </si>
  <si>
    <t>Private Function NormKey(ByVal s As String) As String</t>
  </si>
  <si>
    <t xml:space="preserve">    Dim i As Long, w As Long, out As String</t>
  </si>
  <si>
    <t xml:space="preserve">    For i = 1 To Len(s)</t>
  </si>
  <si>
    <t xml:space="preserve">        w = AscW(Mid$(s, i, 1))</t>
  </si>
  <si>
    <t xml:space="preserve">        If w &gt;= &amp;HFF01 And w &lt;= &amp;HFF5E Then</t>
  </si>
  <si>
    <t xml:space="preserve">            out = out &amp; ChrW(w - &amp;HFEE0)</t>
  </si>
  <si>
    <t xml:space="preserve">        ElseIf w = &amp;H3000 Then</t>
  </si>
  <si>
    <t xml:space="preserve">            out = out &amp; " "</t>
  </si>
  <si>
    <t xml:space="preserve">            out = out &amp; Mid$(s, i, 1)</t>
  </si>
  <si>
    <t xml:space="preserve">    NormKey = Trim$(out)</t>
  </si>
  <si>
    <t>' 「島　実加(１次・OP)」→「島実加」（役割の括弧と空白を除いて照合用キーにする）</t>
  </si>
  <si>
    <t>Private Function NameKey(ByVal s As String) As String</t>
  </si>
  <si>
    <t xml:space="preserve">    s = StripRole(NormKey(s))</t>
  </si>
  <si>
    <t xml:space="preserve">    NameKey = Replace(s, " ", "")</t>
  </si>
  <si>
    <t>Private Function StripRole(ByVal s As String) As String</t>
  </si>
  <si>
    <t xml:space="preserve">    Dim p As Long</t>
  </si>
  <si>
    <t xml:space="preserve">    p = InStr(s, "(")</t>
  </si>
  <si>
    <t xml:space="preserve">    If p = 0 Then p = InStr(s, "（")</t>
  </si>
  <si>
    <t xml:space="preserve">    If p &gt; 1 Then s = Left$(s, p - 1)</t>
  </si>
  <si>
    <t xml:space="preserve">    StripRole = Trim$(s)</t>
  </si>
  <si>
    <t>Private Function DisplayName(ByVal disp As String, ByVal kj As String, ByVal eid As String) As String</t>
  </si>
  <si>
    <t xml:space="preserve">    disp = Trim$(disp)</t>
  </si>
  <si>
    <t xml:space="preserve">    If disp = "" Then disp = StripRole(kj)</t>
  </si>
  <si>
    <t xml:space="preserve">    If disp = "" Then disp = eid</t>
  </si>
  <si>
    <t xml:space="preserve">    DisplayName = disp</t>
  </si>
  <si>
    <t>Private Function WeekStart(ByVal d As Long) As Long</t>
  </si>
  <si>
    <t xml:space="preserve">    WeekStart = d - (Weekday(CDate(d), vbMonday) - 1)</t>
  </si>
  <si>
    <t>Private Function WeekdayJa(ByVal d As Long) As String</t>
  </si>
  <si>
    <t xml:space="preserve">    WeekdayJa = Mid$("日月火水木金土", Weekday(CDate(d)), 1)</t>
  </si>
  <si>
    <t>Private Sub QSort(a As Variant, ByVal lo As Long, ByVal hi As Long)</t>
  </si>
  <si>
    <t xml:space="preserve">    Dim i As Long, j As Long, p As Variant, t As Variant</t>
  </si>
  <si>
    <t xml:space="preserve">    If lo &gt;= hi Then Exit Sub</t>
  </si>
  <si>
    <t xml:space="preserve">    i = lo: j = hi: p = a((lo + hi) \ 2)</t>
  </si>
  <si>
    <t xml:space="preserve">    Do While i &lt;= j</t>
  </si>
  <si>
    <t xml:space="preserve">        Do While a(i) &lt; p: i = i + 1: Loop</t>
  </si>
  <si>
    <t xml:space="preserve">        Do While a(j) &gt; p: j = j - 1: Loop</t>
  </si>
  <si>
    <t xml:space="preserve">        If i &lt;= j Then</t>
  </si>
  <si>
    <t xml:space="preserve">            t = a(i): a(i) = a(j): a(j) = t</t>
  </si>
  <si>
    <t xml:space="preserve">            i = i + 1: j = j - 1</t>
  </si>
  <si>
    <t xml:space="preserve">    If lo &lt; j Then QSort a, lo, j</t>
  </si>
  <si>
    <t xml:space="preserve">    If i &lt; hi Then QSort a, i, hi</t>
  </si>
  <si>
    <t>' シート準備</t>
  </si>
  <si>
    <t>Private Function LastRow(ws As Worksheet, ByVal col As Long) As Long</t>
  </si>
  <si>
    <t xml:space="preserve">    LastRow = ws.Cells(ws.Rows.Count, col).End(xlUp).Row</t>
  </si>
  <si>
    <t>Private Function FolderExists(ByVal p As String) As Boolean</t>
  </si>
  <si>
    <t xml:space="preserve">    FolderExists = (GetAttr(p) And vbDirectory) = vbDirectory</t>
  </si>
  <si>
    <t>Private Function SheetExists(ByVal nm As String) As Boolean</t>
  </si>
  <si>
    <t xml:space="preserve">    Set ws = ThisWorkbook.Worksheets(nm)</t>
  </si>
  <si>
    <t xml:space="preserve">    SheetExists = Not ws Is Nothing</t>
  </si>
  <si>
    <t>Private Function AddSheetIfMissing(ByVal nm As String) As Worksheet</t>
  </si>
  <si>
    <t xml:space="preserve">    ' 既にあれば Nothing</t>
  </si>
  <si>
    <t xml:space="preserve">    If SheetExists(nm) Then Exit Function</t>
  </si>
  <si>
    <t xml:space="preserve">    Set AddSheetIfMissing = ThisWorkbook.Worksheets.Add(After:=ThisWorkbook.Worksheets(ThisWorkbook.Worksheets.Count))</t>
  </si>
  <si>
    <t xml:space="preserve">    AddSheetIfMissing.Name = nm</t>
  </si>
  <si>
    <t>Private Sub SetHeader(ws As Worksheet, hdrs As Variant, Optional ByVal r As Long = 1)</t>
  </si>
  <si>
    <t xml:space="preserve">    Set rng = ws.Cells(r, 1).Resize(1, UBound(hdrs) - LBound(hdrs) + 1)</t>
  </si>
  <si>
    <t xml:space="preserve">    rng.Value = hdrs</t>
  </si>
  <si>
    <t xml:space="preserve">    StyleHeader rng, RGB(31, 78, 121)</t>
  </si>
  <si>
    <t>Private Sub StyleHeader(rng As Range, ByVal clr As Long)</t>
  </si>
  <si>
    <t xml:space="preserve">    rng.Font.Bold = True</t>
  </si>
  <si>
    <t xml:space="preserve">    rng.Font.Color = RGB(255, 255, 255)</t>
  </si>
  <si>
    <t xml:space="preserve">    rng.Interior.Color = clr</t>
  </si>
  <si>
    <t xml:space="preserve">    rng.HorizontalAlignment = xlCenter</t>
  </si>
  <si>
    <t xml:space="preserve">    rng.VerticalAlignment = xlCenter</t>
  </si>
  <si>
    <t>Private Sub EnsureSheets()</t>
  </si>
  <si>
    <t xml:space="preserve">    If Not AddSheetIfMissing(SH_OP) Is Nothing Then SetupOpSheet</t>
  </si>
  <si>
    <t xml:space="preserve">    If Not AddSheetIfMissing(SH_DAY) Is Nothing Then ThisWorkbook.Worksheets(SH_DAY).Range("A1").Value = "日別一覧（まだ集計していません）"</t>
  </si>
  <si>
    <t xml:space="preserve">    If Not AddSheetIfMissing(SH_WEEK) Is Nothing Then ThisWorkbook.Worksheets(SH_WEEK).Range("A1").Value = "週別一覧（まだ集計していません）"</t>
  </si>
  <si>
    <t xml:space="preserve">    If Not AddSheetIfMissing(SH_MONTH) Is Nothing Then ThisWorkbook.Worksheets(SH_MONTH).Range("A1").Value = "月別一覧（まだ集計していません）"</t>
  </si>
  <si>
    <t xml:space="preserve">    If Not AddSheetIfMissing(SH_CHK) Is Nothing Then ThisWorkbook.Worksheets(SH_CHK).Range("A1").Value = "② 照合チェック（まだ実行していません）"</t>
  </si>
  <si>
    <t xml:space="preserve">    Set ws = AddSheetIfMissing(SH_MAP)</t>
  </si>
  <si>
    <t xml:space="preserve">    If Not ws Is Nothing Then</t>
  </si>
  <si>
    <t xml:space="preserve">        SetHeader ws, MapHeaders()</t>
  </si>
  <si>
    <t xml:space="preserve">        ws.Rows(1).RowHeight = 30</t>
  </si>
  <si>
    <t xml:space="preserve">        SetupStdArea ws</t>
  </si>
  <si>
    <t xml:space="preserve">        ws.Range(ws.Cells(2, STD_STAGE), ws.Cells(11, STD_MEMO)).Value = StdDefaults()</t>
  </si>
  <si>
    <t xml:space="preserve">        EnsureThresholds</t>
  </si>
  <si>
    <t xml:space="preserve">        ApplyMapValidation</t>
  </si>
  <si>
    <t xml:space="preserve">    Set ws = AddSheetIfMissing(SH_PERSON)</t>
  </si>
  <si>
    <t xml:space="preserve">        SetHeader ws, Array("EID（稼働記録）", "CenterStaffKj（案件処理件数一覧の氏名）", "表示名", "メモ")</t>
  </si>
  <si>
    <t xml:space="preserve">        ws.Range("A2:C2").Value = Array("mika.shima", "島　実加", "島 実加")</t>
  </si>
  <si>
    <t xml:space="preserve">        ws.Range("B2:C2").Interior.Color = RGB(255, 242, 204)</t>
  </si>
  <si>
    <t xml:space="preserve">        ws.Range("F1").Value = "B列は括弧（役割）の前まででOK。空白の有無・全角半角は区別しません。"</t>
  </si>
  <si>
    <t xml:space="preserve">        ws.Range("F2").Value = "新しい EID は取込時に自動で追加されます。紐づいていない氏名は「照合チェック」シートの右側に出ます。"</t>
  </si>
  <si>
    <t xml:space="preserve">        ws.Columns("A").ColumnWidth = 18: ws.Columns("B").ColumnWidth = 34</t>
  </si>
  <si>
    <t xml:space="preserve">        ws.Columns("C").ColumnWidth = 14: ws.Columns("D").ColumnWidth = 44</t>
  </si>
  <si>
    <t xml:space="preserve">    Set ws = AddSheetIfMissing(SH_RAW_W)</t>
  </si>
  <si>
    <t xml:space="preserve">    If Not ws Is Nothing Then ws.Tab.Color = RGB(128, 128, 128)</t>
  </si>
  <si>
    <t xml:space="preserve">    Set ws = AddSheetIfMissing(SH_RAW_C)</t>
  </si>
  <si>
    <t xml:space="preserve">    Set ws = AddSheetIfMissing(SH_SAVE)</t>
  </si>
  <si>
    <t xml:space="preserve">        ws.Range("A1").Value = "マスタ保存（まだ保存していません。③ 集計 または 操作シートの［マスタを保存］で保存されます）"</t>
  </si>
  <si>
    <t xml:space="preserve">        ws.Tab.Color = RGB(191, 143, 0)</t>
  </si>
  <si>
    <t xml:space="preserve">    Set ws = AddSheetIfMissing(SH_LOG)</t>
  </si>
  <si>
    <t xml:space="preserve">        SetHeader ws, Array("取込日時", "ファイル名", "種別", "新規行", "上書き行", "結果")</t>
  </si>
  <si>
    <t xml:space="preserve">        ws.Columns("A").ColumnWidth = 20: ws.Columns("B").ColumnWidth = 50: ws.Columns("F").ColumnWidth = 40</t>
  </si>
  <si>
    <t xml:space="preserve">        ws.Tab.Color = RGB(128, 128, 128)</t>
  </si>
  <si>
    <t>Private Function StdDefaults() As Variant</t>
  </si>
  <si>
    <t xml:space="preserve">    Dim a(1 To 10, 1 To 4) As Variant, i As Long, nms As Variant, vals As Variant</t>
  </si>
  <si>
    <t xml:space="preserve">    nms = Array("住居", "扶養", "通勤", "給与口座", "その他")</t>
  </si>
  <si>
    <t xml:space="preserve">    vals = Array(2, 2, 3, 4, 2)</t>
  </si>
  <si>
    <t xml:space="preserve">    For i = 1 To 5</t>
  </si>
  <si>
    <t xml:space="preserve">        a(i, 1) = DEFAULT_STAGE: a(i, 2) = nms(i - 1): a(i, 3) = vals(i - 1): a(i, 4) = "仮の値（手入力で変更）"</t>
  </si>
  <si>
    <t xml:space="preserve">        a(i + 5, 1) = "2次確認": a(i + 5, 2) = nms(i - 1): a(i + 5, 4) = "2次確認の標準（未入力）"</t>
  </si>
  <si>
    <t xml:space="preserve">    StdDefaults = a</t>
  </si>
  <si>
    <t>Private Sub DeleteShapes(ws As Worksheet)</t>
  </si>
  <si>
    <t xml:space="preserve">    Dim i As Long</t>
  </si>
  <si>
    <t xml:space="preserve">    For i = ws.Shapes.Count To 1 Step -1</t>
  </si>
  <si>
    <t xml:space="preserve">        ws.Shapes(i).Delete</t>
  </si>
  <si>
    <t>Private Sub AddButton(ws As Worksheet, ByVal cap As String, ByVal macro As String, _</t>
  </si>
  <si>
    <t xml:space="preserve">                      ByVal l As Double, ByVal t As Double, ByVal w As Double, ByVal h As Double, ByVal clr As Long)</t>
  </si>
  <si>
    <t xml:space="preserve">    Dim s As Shape</t>
  </si>
  <si>
    <t xml:space="preserve">    Set s = ws.Shapes.AddShape(5, l, t, w, h)   ' 5 = 角丸四角形</t>
  </si>
  <si>
    <t xml:space="preserve">    s.Name = "btn_" &amp; macro</t>
  </si>
  <si>
    <t xml:space="preserve">    s.Fill.ForeColor.RGB = clr</t>
  </si>
  <si>
    <t xml:space="preserve">    s.Line.Visible = 0</t>
  </si>
  <si>
    <t xml:space="preserve">    s.Placement = xlFreeFloating</t>
  </si>
  <si>
    <t xml:space="preserve">    With s.TextFrame2</t>
  </si>
  <si>
    <t xml:space="preserve">        .TextRange.Text = cap</t>
  </si>
  <si>
    <t xml:space="preserve">        .TextRange.Font.Size = 12</t>
  </si>
  <si>
    <t xml:space="preserve">        .TextRange.Font.Bold = -1</t>
  </si>
  <si>
    <t xml:space="preserve">        .TextRange.Font.Fill.ForeColor.RGB = RGB(255, 255, 255)</t>
  </si>
  <si>
    <t xml:space="preserve">        .TextRange.ParagraphFormat.Alignment = 2</t>
  </si>
  <si>
    <t xml:space="preserve">        .VerticalAnchor = 3</t>
  </si>
  <si>
    <t xml:space="preserve">    s.OnAction = macro</t>
  </si>
  <si>
    <t>Private Sub SetupOpSheet()</t>
  </si>
  <si>
    <t xml:space="preserve">    Dim ws As Worksheet, lines1 As Variant, lines2 As Variant, part As Variant, i As Long, r As Long, l As Double, t As Double</t>
  </si>
  <si>
    <t xml:space="preserve">    Set ws = ThisWorkbook.Worksheets(SH_OP)</t>
  </si>
  <si>
    <t xml:space="preserve">    DeleteShapes ws</t>
  </si>
  <si>
    <t xml:space="preserve">    ActiveWindow.DisplayGridlines = False</t>
  </si>
  <si>
    <t xml:space="preserve">    ws.Columns("A").ColumnWidth = 3</t>
  </si>
  <si>
    <t xml:space="preserve">    ws.Columns("B").ColumnWidth = 120</t>
  </si>
  <si>
    <t xml:space="preserve">    ws.Range("B1").Value = "処理件数 集計ツール"</t>
  </si>
  <si>
    <t xml:space="preserve">    ws.Range("B1").Font.Size = 16</t>
  </si>
  <si>
    <t xml:space="preserve">    ws.Range("B1").Font.Bold = True</t>
  </si>
  <si>
    <t xml:space="preserve">    ws.Rows("2:5").RowHeight = 18</t>
  </si>
  <si>
    <t xml:space="preserve">    l = ws.Range("B2").Left: t = ws.Range("B2").Top + 6</t>
  </si>
  <si>
    <t xml:space="preserve">    AddButton ws, "① 元ネタ取込", "ImportFiles", l, t, 160, 44, RGB(46, 117, 182)</t>
  </si>
  <si>
    <t xml:space="preserve">    AddButton ws, "② 照合チェック", "CheckCounts", l + 180, t, 160, 44, RGB(197, 90, 17)</t>
  </si>
  <si>
    <t xml:space="preserve">    AddButton ws, "③ 集計", "BuildList", l + 360, t, 160, 44, RGB(84, 130, 53)</t>
  </si>
  <si>
    <t xml:space="preserve">    AddButton ws, "マスタを保存", "SaveMastersButton", l + 560, t, 130, 20, RGB(191, 143, 0)</t>
  </si>
  <si>
    <t xml:space="preserve">    AddButton ws, "マスタを復元", "RestoreMastersButton", l + 560, t + 24, 130, 20, RGB(128, 128, 128)</t>
  </si>
  <si>
    <t xml:space="preserve">    ws.Shapes("btn_SaveMastersButton").TextFrame2.TextRange.Font.Size = 10</t>
  </si>
  <si>
    <t xml:space="preserve">    ws.Shapes("btn_RestoreMastersButton").TextFrame2.TextRange.Font.Size = 10</t>
  </si>
  <si>
    <t xml:space="preserve">    lines1 = Array( _</t>
  </si>
  <si>
    <t xml:space="preserve">        "■ 手順", _</t>
  </si>
  <si>
    <t xml:space="preserve">        "1. 稼働記録（働記録_検索結果_出力データ_*.xlsx）と 案件処理件数一覧（*.xls）を「元ネタ」フォルダ直下に置く（何ファイルでも可）", _</t>
  </si>
  <si>
    <t xml:space="preserve">        "2. ［① 元ネタ取込］… 元データ_稼働記録 / 元データ_案件件数 にそのまま積み上げ（加工しない）。同じ記録は上書き。取り込んだファイルは「元ネタ\取込済」へ", _</t>
  </si>
  <si>
    <t xml:space="preserve">        "3. ［② 照合チェック］… 稼働記録の処理案件数 と ProcessCount を 人×日×MatterType×Status で比べ、差が3以上を表示（ProcessCount を取り込んだ日だけ）", _</t>
  </si>
  <si>
    <t xml:space="preserve">        "　　　　あわせて マスタの未入力（CenterStaffKj・MatterType・工程）も表示。必要ならマスタを直してから次へ", _</t>
  </si>
  <si>
    <t xml:space="preserve">        "4. ［③ 集計］… 「一覧_日別」「一覧_週別」「一覧_月別」に出力。上＝工程別の全員の処理件数 合計表、下＝個人別の 件/時（標準との比較で色分け）", _</t>
  </si>
  <si>
    <t xml:space="preserve">        "", _</t>
  </si>
  <si>
    <t xml:space="preserve">        "■ 計算方法", _</t>
  </si>
  <si>
    <t xml:space="preserve">        "・件数と時間は 稼働記録（処理案件数・所要時間）がベース。ProcessCount は照合にだけ使う", _</t>
  </si>
  <si>
    <t xml:space="preserve">        "・日別 ＝ その日の処理案件数 ÷ 所要時間 ／ 週別・月別 ＝ 数字が入っている日の 日別件/時 の平均（週は月曜はじまり）", _</t>
  </si>
  <si>
    <t xml:space="preserve">        "・色 ＝ 標準に対する比率：赤 90%未満／黄 90%以上110%未満／緑 110%以上（比率は「マスタ_業務・標準」Q2・Q3 で変更可）。オレンジ枠 ＝ ProcessCount との差3以上", _</t>
  </si>
  <si>
    <t xml:space="preserve">        "・標準は「マスタ_業務・標準」1枚で入力：業務＝H列、工程×大分類＝K〜N列（空欄の行は色なし）")</t>
  </si>
  <si>
    <t xml:space="preserve">    lines2 = Array( _</t>
  </si>
  <si>
    <t xml:space="preserve">        "■ 初回・人や業務が増えたとき", _</t>
  </si>
  <si>
    <t xml:space="preserve">        "・「マスタ_担当者」：EID ⇔ CenterStaffKj（新しい EID は取込時に自動追加。B列を入力）", _</t>
  </si>
  <si>
    <t xml:space="preserve">        "・「マスタ_業務・標準」：業務ID ごとに 表示名・工程（1次確認／2次確認…）・MatterType・Status・集計対象・標準（新しい業務IDは自動追加。オレンジの行を確認）", _</t>
  </si>
  <si>
    <t xml:space="preserve">        "　同じ工程・同じ表示名の業務IDは一覧で1行に合算。分けて見たいときは表示名を変える", _</t>
  </si>
  <si>
    <t xml:space="preserve">        "■ マスタのバックアップ", _</t>
  </si>
  <si>
    <t xml:space="preserve">        "・③ 集計のたびに「マスタ保存」シートへ自動で保存（マスタの件数が前回より減っているときは、消えた可能性があるので保存しない）", _</t>
  </si>
  <si>
    <t xml:space="preserve">        "・マスタを消してしまった・壊れたときは［マスタを復元］で保存した時点に戻す。件数を意図して減らしたときは［マスタを保存］で保存し直す", _</t>
  </si>
  <si>
    <t xml:space="preserve">        "■ シート", _</t>
  </si>
  <si>
    <t xml:space="preserve">        "一覧_日別・一覧_週別・一覧_月別 … 見る ／ 照合チェック … ②の結果（確認メモは再実行しても残る）", _</t>
  </si>
  <si>
    <t xml:space="preserve">        "マスタ_業務・標準・マスタ_担当者 … 手入力 ／ マスタ保存 … マスタのバックアップ（触らない）", _</t>
  </si>
  <si>
    <t xml:space="preserve">        "元データ_稼働記録・元データ_案件件数・取込ログ … 取り込んだだけの元データ（グレーのタブ。触らない）", _</t>
  </si>
  <si>
    <t xml:space="preserve">        "マクロ保存 … マクロ（VBA）の控えと機能一覧。マクロが壊れたときはこのシートの手順で貼り直す（触らない）")</t>
  </si>
  <si>
    <t xml:space="preserve">    r = 7</t>
  </si>
  <si>
    <t xml:space="preserve">    For Each part In Array(lines1, lines2)</t>
  </si>
  <si>
    <t xml:space="preserve">        For i = 0 To UBound(part)</t>
  </si>
  <si>
    <t xml:space="preserve">            ws.Cells(r, 2).Value = part(i)</t>
  </si>
  <si>
    <t xml:space="preserve">            If Left$(part(i), 1) = "■" Then ws.Cells(r, 2).Font.Bold = True</t>
  </si>
  <si>
    <t xml:space="preserve">            r = r + 1</t>
  </si>
  <si>
    <t>Private Sub FreezeAt(ws As Worksheet, ByVal addr As String)</t>
  </si>
  <si>
    <t xml:space="preserve">    ActiveWindow.FreezePanes = False</t>
  </si>
  <si>
    <t xml:space="preserve">    ws.Range(addr).Select</t>
  </si>
  <si>
    <t xml:space="preserve">    ActiveWindow.FreezePanes = True</t>
  </si>
  <si>
    <t xml:space="preserve">    ws.Range("A1").Select</t>
  </si>
  <si>
    <t>Private Sub Notify(ByVal msg As String)</t>
  </si>
  <si>
    <t xml:space="preserve">    If gSilent Then</t>
  </si>
  <si>
    <t xml:space="preserve">        gMsg = gMsg &amp; msg &amp; vbLf</t>
  </si>
  <si>
    <t xml:space="preserve">        MsgBox msg, vbInformation, "処理件数集計"</t>
  </si>
  <si>
    <t>' 初期設定（ブック作成時に1回だけ実行）</t>
  </si>
  <si>
    <t>Public Sub SetupWorkbook()</t>
  </si>
  <si>
    <t xml:space="preserve">    If Not SheetExists(SH_OP) Then ThisWorkbook.Worksheets(1).Name = SH_OP</t>
  </si>
  <si>
    <t xml:space="preserve">    MigrateLists</t>
  </si>
  <si>
    <t xml:space="preserve">    ThisWorkbook.Worksheets(SH_CHK).Tab.Color = RGB(197, 90, 17)</t>
  </si>
  <si>
    <t xml:space="preserve">    FreezeAt ThisWorkbook.Worksheets(SH_CHK), "A6"</t>
  </si>
  <si>
    <t xml:space="preserve">    order = Array(SH_MAP, SH_PERSON, SH_RAW_W, SH_RAW_C, SH_LOG)</t>
  </si>
  <si>
    <t xml:space="preserve">    For i = 0 To UBound(order)</t>
  </si>
  <si>
    <t xml:space="preserve">        FreezeAt ThisWorkbook.Worksheets(order(i)), "A2"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</si>
</sst>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#"/>
    <numFmt numFmtId="177" formatCode="yyyy/mm/dd\ hh:mm:ss"/>
    <numFmt numFmtId="178" formatCode="yyyy/mm/dd"/>
    <numFmt numFmtId="179" formatCode="\+0;\-0;0"/>
  </numFmts>
  <fonts count="25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6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0"/>
      <color rgb="FF767676"/>
      <name val="Meiryo UI"/>
      <family val="2"/>
      <charset val="128"/>
    </font>
    <font>
      <b/>
      <sz val="10"/>
      <color rgb="FFFFFFFF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10"/>
      <color theme="1"/>
      <name val="Meiryo UI"/>
      <family val="3"/>
      <charset val="128"/>
    </font>
    <font>
      <b/>
      <sz val="10"/>
      <color rgb="FFC00000"/>
      <name val="Meiryo UI"/>
      <family val="3"/>
      <charset val="128"/>
    </font>
    <font>
      <b/>
      <sz val="10"/>
      <color rgb="FF767676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rgb="FF767676"/>
      <name val="Meiryo UI"/>
      <family val="3"/>
      <charset val="128"/>
    </font>
    <font>
      <sz val="10"/>
      <color rgb="FFA6A6A6"/>
      <name val="Meiryo UI"/>
      <family val="2"/>
      <charset val="128"/>
    </font>
    <font>
      <sz val="9"/>
      <color indexed="81"/>
      <name val="MS P ゴシック"/>
      <family val="3"/>
      <charset val="128"/>
    </font>
    <font>
      <b/>
      <sz val="10"/>
      <color rgb="FF006100"/>
      <name val="Meiryo UI"/>
      <family val="3"/>
      <charset val="128"/>
    </font>
    <font>
      <b/>
      <sz val="10"/>
      <color rgb="FF9C0006"/>
      <name val="Meiryo UI"/>
      <family val="3"/>
      <charset val="128"/>
    </font>
    <font>
      <b/>
      <sz val="10"/>
      <color rgb="FF9C5700"/>
      <name val="Meiryo UI"/>
      <family val="3"/>
      <charset val="128"/>
    </font>
    <font>
      <sz val="9"/>
      <color rgb="FF767676"/>
      <name val="Meiryo UI"/>
      <family val="2"/>
      <charset val="128"/>
    </font>
    <font>
      <sz val="9"/>
      <color rgb="FF767676"/>
      <name val="Meiryo UI"/>
      <family val="3"/>
      <charset val="128"/>
    </font>
    <font>
      <sz val="10"/>
      <color rgb="FF595959"/>
      <name val="Meiryo UI"/>
      <family val="2"/>
      <charset val="128"/>
    </font>
    <font>
      <b/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sz val="10"/>
      <color rgb="FF999999"/>
      <name val="Meiryo UI"/>
      <family val="2"/>
      <charset val="128"/>
    </font>
    <font>
      <sz val="10"/>
      <color theme="1"/>
      <name val="MS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0B254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AE4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7F7F7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595959"/>
      </top>
      <bottom/>
      <diagonal/>
    </border>
    <border>
      <left style="thin">
        <color rgb="FF2F5496"/>
      </left>
      <right/>
      <top/>
      <bottom/>
      <diagonal/>
    </border>
    <border>
      <left style="thin">
        <color rgb="FF2F5496"/>
      </left>
      <right/>
      <top style="thin">
        <color rgb="FF595959"/>
      </top>
      <bottom/>
      <diagonal/>
    </border>
    <border>
      <left style="thin">
        <color rgb="FFFFFFFF"/>
      </left>
      <right/>
      <top/>
      <bottom/>
      <diagonal/>
    </border>
    <border>
      <left style="thick">
        <color rgb="FFED7D31"/>
      </left>
      <right style="thick">
        <color rgb="FFED7D31"/>
      </right>
      <top style="thick">
        <color rgb="FFED7D31"/>
      </top>
      <bottom style="thick">
        <color rgb="FFED7D31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7" fillId="0" borderId="0"/>
    <xf numFmtId="0" fontId="22" fillId="0" borderId="0" applyNumberForma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2" borderId="0" xfId="0" applyFont="1" applyFill="1" applyAlignment="1">
      <alignment horizontal="center" vertical="center" wrapText="1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0" borderId="0" xfId="0" quotePrefix="1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8" fillId="0" borderId="0" xfId="0" applyNumberFormat="1" applyFont="1">
      <alignment vertical="center"/>
    </xf>
    <xf numFmtId="0" fontId="9" fillId="0" borderId="0" xfId="0" applyFont="1">
      <alignment vertical="center"/>
    </xf>
    <xf numFmtId="0" fontId="6" fillId="5" borderId="0" xfId="0" applyFont="1" applyFill="1" applyAlignment="1">
      <alignment horizontal="center" vertical="center" wrapText="1"/>
    </xf>
    <xf numFmtId="176" fontId="5" fillId="0" borderId="0" xfId="0" applyNumberFormat="1" applyFont="1" applyAlignment="1">
      <alignment horizontal="right" vertical="center"/>
    </xf>
    <xf numFmtId="0" fontId="11" fillId="7" borderId="0" xfId="0" applyFont="1" applyFill="1">
      <alignment vertical="center"/>
    </xf>
    <xf numFmtId="176" fontId="12" fillId="7" borderId="0" xfId="0" applyNumberFormat="1" applyFont="1" applyFill="1" applyAlignment="1">
      <alignment horizontal="right" vertical="center"/>
    </xf>
    <xf numFmtId="2" fontId="11" fillId="7" borderId="0" xfId="0" applyNumberFormat="1" applyFont="1" applyFill="1" applyAlignment="1">
      <alignment horizontal="right" vertical="center"/>
    </xf>
    <xf numFmtId="0" fontId="3" fillId="8" borderId="1" xfId="0" applyFont="1" applyFill="1" applyBorder="1">
      <alignment vertical="center"/>
    </xf>
    <xf numFmtId="176" fontId="10" fillId="8" borderId="1" xfId="0" applyNumberFormat="1" applyFont="1" applyFill="1" applyBorder="1" applyAlignment="1">
      <alignment horizontal="right" vertical="center"/>
    </xf>
    <xf numFmtId="0" fontId="13" fillId="0" borderId="0" xfId="0" applyFont="1">
      <alignment vertical="center"/>
    </xf>
    <xf numFmtId="2" fontId="11" fillId="7" borderId="2" xfId="0" applyNumberFormat="1" applyFont="1" applyFill="1" applyBorder="1" applyAlignment="1">
      <alignment horizontal="right" vertical="center"/>
    </xf>
    <xf numFmtId="9" fontId="0" fillId="3" borderId="0" xfId="0" applyNumberFormat="1" applyFill="1" applyAlignment="1">
      <alignment horizontal="center"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6" fillId="2" borderId="0" xfId="0" quotePrefix="1" applyFont="1" applyFill="1" applyAlignment="1">
      <alignment horizontal="center" vertical="center" wrapText="1"/>
    </xf>
    <xf numFmtId="0" fontId="6" fillId="6" borderId="4" xfId="0" quotePrefix="1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right" vertical="center"/>
    </xf>
    <xf numFmtId="0" fontId="6" fillId="2" borderId="2" xfId="0" quotePrefix="1" applyFont="1" applyFill="1" applyBorder="1" applyAlignment="1">
      <alignment horizontal="center" vertical="center" wrapText="1"/>
    </xf>
    <xf numFmtId="2" fontId="3" fillId="0" borderId="3" xfId="0" applyNumberFormat="1" applyFont="1" applyBorder="1" applyAlignment="1">
      <alignment horizontal="right" vertical="center"/>
    </xf>
    <xf numFmtId="0" fontId="6" fillId="12" borderId="0" xfId="0" applyFont="1" applyFill="1" applyAlignment="1">
      <alignment horizontal="center" vertical="center" wrapText="1"/>
    </xf>
    <xf numFmtId="0" fontId="16" fillId="9" borderId="0" xfId="0" applyFont="1" applyFill="1">
      <alignment vertical="center"/>
    </xf>
    <xf numFmtId="0" fontId="17" fillId="13" borderId="0" xfId="0" applyFont="1" applyFill="1">
      <alignment vertical="center"/>
    </xf>
    <xf numFmtId="0" fontId="15" fillId="10" borderId="0" xfId="0" applyFont="1" applyFill="1">
      <alignment vertical="center"/>
    </xf>
    <xf numFmtId="0" fontId="20" fillId="0" borderId="0" xfId="0" applyFont="1">
      <alignment vertical="center"/>
    </xf>
    <xf numFmtId="177" fontId="20" fillId="0" borderId="0" xfId="0" applyNumberFormat="1" applyFont="1">
      <alignment vertical="center"/>
    </xf>
    <xf numFmtId="0" fontId="21" fillId="0" borderId="0" xfId="0" applyFont="1">
      <alignment vertical="center"/>
    </xf>
    <xf numFmtId="176" fontId="6" fillId="2" borderId="0" xfId="0" applyNumberFormat="1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11" fillId="14" borderId="0" xfId="0" applyFont="1" applyFill="1">
      <alignment vertical="center"/>
    </xf>
    <xf numFmtId="176" fontId="12" fillId="14" borderId="0" xfId="0" applyNumberFormat="1" applyFont="1" applyFill="1" applyAlignment="1">
      <alignment horizontal="right" vertical="center"/>
    </xf>
    <xf numFmtId="2" fontId="11" fillId="14" borderId="0" xfId="0" applyNumberFormat="1" applyFont="1" applyFill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3" fontId="3" fillId="15" borderId="1" xfId="0" applyNumberFormat="1" applyFont="1" applyFill="1" applyBorder="1">
      <alignment vertical="center"/>
    </xf>
    <xf numFmtId="3" fontId="10" fillId="15" borderId="1" xfId="0" applyNumberFormat="1" applyFont="1" applyFill="1" applyBorder="1" applyAlignment="1">
      <alignment horizontal="right" vertical="center"/>
    </xf>
    <xf numFmtId="2" fontId="11" fillId="14" borderId="2" xfId="0" applyNumberFormat="1" applyFont="1" applyFill="1" applyBorder="1" applyAlignment="1">
      <alignment horizontal="right" vertical="center"/>
    </xf>
    <xf numFmtId="3" fontId="3" fillId="0" borderId="3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3" fillId="0" borderId="5" xfId="0" applyFont="1" applyBorder="1">
      <alignment vertical="center"/>
    </xf>
    <xf numFmtId="2" fontId="0" fillId="0" borderId="0" xfId="0" applyNumberFormat="1" applyAlignment="1">
      <alignment horizontal="right" vertical="center"/>
    </xf>
    <xf numFmtId="0" fontId="0" fillId="0" borderId="0" xfId="0" applyAlignment="1">
      <alignment horizontal="left" vertical="center" indent="1"/>
    </xf>
    <xf numFmtId="3" fontId="0" fillId="0" borderId="0" xfId="0" applyNumberFormat="1" applyAlignment="1">
      <alignment horizontal="right" vertical="center"/>
    </xf>
    <xf numFmtId="3" fontId="0" fillId="0" borderId="2" xfId="0" applyNumberFormat="1" applyBorder="1" applyAlignment="1">
      <alignment horizontal="right" vertical="center"/>
    </xf>
    <xf numFmtId="2" fontId="0" fillId="0" borderId="2" xfId="0" applyNumberFormat="1" applyBorder="1" applyAlignment="1">
      <alignment horizontal="right" vertical="center"/>
    </xf>
    <xf numFmtId="2" fontId="3" fillId="0" borderId="5" xfId="0" applyNumberFormat="1" applyFont="1" applyBorder="1" applyAlignment="1">
      <alignment horizontal="right" vertical="center"/>
    </xf>
    <xf numFmtId="0" fontId="11" fillId="0" borderId="0" xfId="0" applyFont="1">
      <alignment vertical="center"/>
    </xf>
    <xf numFmtId="0" fontId="6" fillId="2" borderId="0" xfId="0" applyFont="1" applyFill="1">
      <alignment vertical="center"/>
    </xf>
    <xf numFmtId="0" fontId="22" fillId="0" borderId="0" xfId="2">
      <alignment vertical="center"/>
    </xf>
    <xf numFmtId="0" fontId="0" fillId="0" borderId="6" xfId="0" applyBorder="1">
      <alignment vertical="center"/>
    </xf>
    <xf numFmtId="0" fontId="22" fillId="0" borderId="6" xfId="2" applyBorder="1">
      <alignment vertical="center"/>
    </xf>
    <xf numFmtId="0" fontId="3" fillId="0" borderId="6" xfId="0" applyFont="1" applyBorder="1">
      <alignment vertical="center"/>
    </xf>
    <xf numFmtId="0" fontId="3" fillId="3" borderId="6" xfId="0" applyFont="1" applyFill="1" applyBorder="1">
      <alignment vertical="center"/>
    </xf>
    <xf numFmtId="0" fontId="0" fillId="3" borderId="6" xfId="0" applyFill="1" applyBorder="1">
      <alignment vertical="center"/>
    </xf>
    <xf numFmtId="0" fontId="6" fillId="16" borderId="0" xfId="0" applyFont="1" applyFill="1">
      <alignment vertical="center"/>
    </xf>
    <xf numFmtId="0" fontId="23" fillId="0" borderId="0" xfId="0" applyFont="1">
      <alignment vertical="center"/>
    </xf>
    <xf numFmtId="0" fontId="24" fillId="17" borderId="0" xfId="0" quotePrefix="1" applyFont="1" applyFill="1">
      <alignment vertical="center"/>
    </xf>
    <xf numFmtId="0" fontId="24" fillId="17" borderId="0" xfId="0" applyFont="1" applyFill="1">
      <alignment vertical="center"/>
    </xf>
    <xf numFmtId="0" fontId="6" fillId="6" borderId="4" xfId="0" quotePrefix="1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6" fillId="11" borderId="4" xfId="0" quotePrefix="1" applyFont="1" applyFill="1" applyBorder="1" applyAlignment="1">
      <alignment horizontal="center" vertical="center"/>
    </xf>
    <xf numFmtId="0" fontId="6" fillId="11" borderId="0" xfId="0" applyFont="1" applyFill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F33D66CC-AF40-4756-B75D-FC63B1C09908}"/>
  </cellStyles>
  <dxfs count="13">
    <dxf>
      <fill>
        <patternFill>
          <bgColor rgb="FFFFD96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8C8C8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8C8C8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8C8C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76200</xdr:rowOff>
    </xdr:from>
    <xdr:to>
      <xdr:col>1</xdr:col>
      <xdr:colOff>2032000</xdr:colOff>
      <xdr:row>3</xdr:row>
      <xdr:rowOff>177800</xdr:rowOff>
    </xdr:to>
    <xdr:sp macro="ImportFiles" textlink="">
      <xdr:nvSpPr>
        <xdr:cNvPr id="5" name="btn_ImportFiles">
          <a:extLst>
            <a:ext uri="{FF2B5EF4-FFF2-40B4-BE49-F238E27FC236}">
              <a16:creationId xmlns:a16="http://schemas.microsoft.com/office/drawing/2014/main" id="{E941CF20-08F4-F098-ED59-85F3AD326E2A}"/>
            </a:ext>
          </a:extLst>
        </xdr:cNvPr>
        <xdr:cNvSpPr/>
      </xdr:nvSpPr>
      <xdr:spPr>
        <a:xfrm>
          <a:off x="276225" y="342900"/>
          <a:ext cx="2032000" cy="5588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① 元ネタ取込</a:t>
          </a:r>
        </a:p>
      </xdr:txBody>
    </xdr:sp>
    <xdr:clientData/>
  </xdr:twoCellAnchor>
  <xdr:twoCellAnchor editAs="absolute">
    <xdr:from>
      <xdr:col>1</xdr:col>
      <xdr:colOff>2286000</xdr:colOff>
      <xdr:row>1</xdr:row>
      <xdr:rowOff>76200</xdr:rowOff>
    </xdr:from>
    <xdr:to>
      <xdr:col>1</xdr:col>
      <xdr:colOff>4318000</xdr:colOff>
      <xdr:row>3</xdr:row>
      <xdr:rowOff>177800</xdr:rowOff>
    </xdr:to>
    <xdr:sp macro="CheckCounts" textlink="">
      <xdr:nvSpPr>
        <xdr:cNvPr id="6" name="btn_CheckCounts">
          <a:extLst>
            <a:ext uri="{FF2B5EF4-FFF2-40B4-BE49-F238E27FC236}">
              <a16:creationId xmlns:a16="http://schemas.microsoft.com/office/drawing/2014/main" id="{D4331B8D-CADE-4370-5FBC-6B3825F90518}"/>
            </a:ext>
          </a:extLst>
        </xdr:cNvPr>
        <xdr:cNvSpPr/>
      </xdr:nvSpPr>
      <xdr:spPr>
        <a:xfrm>
          <a:off x="2562225" y="342900"/>
          <a:ext cx="2032000" cy="558800"/>
        </a:xfrm>
        <a:prstGeom prst="roundRect">
          <a:avLst/>
        </a:prstGeom>
        <a:solidFill>
          <a:srgbClr val="C55A1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② 照合チェック</a:t>
          </a:r>
        </a:p>
      </xdr:txBody>
    </xdr:sp>
    <xdr:clientData/>
  </xdr:twoCellAnchor>
  <xdr:twoCellAnchor editAs="absolute">
    <xdr:from>
      <xdr:col>1</xdr:col>
      <xdr:colOff>4572000</xdr:colOff>
      <xdr:row>1</xdr:row>
      <xdr:rowOff>76200</xdr:rowOff>
    </xdr:from>
    <xdr:to>
      <xdr:col>1</xdr:col>
      <xdr:colOff>6604000</xdr:colOff>
      <xdr:row>3</xdr:row>
      <xdr:rowOff>177800</xdr:rowOff>
    </xdr:to>
    <xdr:sp macro="BuildList" textlink="">
      <xdr:nvSpPr>
        <xdr:cNvPr id="7" name="btn_BuildList">
          <a:extLst>
            <a:ext uri="{FF2B5EF4-FFF2-40B4-BE49-F238E27FC236}">
              <a16:creationId xmlns:a16="http://schemas.microsoft.com/office/drawing/2014/main" id="{81D956CA-82E9-9AA3-BB03-4C56D9CB0690}"/>
            </a:ext>
          </a:extLst>
        </xdr:cNvPr>
        <xdr:cNvSpPr/>
      </xdr:nvSpPr>
      <xdr:spPr>
        <a:xfrm>
          <a:off x="4848225" y="342900"/>
          <a:ext cx="2032000" cy="558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③ 集計</a:t>
          </a:r>
        </a:p>
      </xdr:txBody>
    </xdr:sp>
    <xdr:clientData/>
  </xdr:twoCellAnchor>
  <xdr:twoCellAnchor editAs="absolute">
    <xdr:from>
      <xdr:col>1</xdr:col>
      <xdr:colOff>7112000</xdr:colOff>
      <xdr:row>1</xdr:row>
      <xdr:rowOff>76200</xdr:rowOff>
    </xdr:from>
    <xdr:to>
      <xdr:col>1</xdr:col>
      <xdr:colOff>8763000</xdr:colOff>
      <xdr:row>2</xdr:row>
      <xdr:rowOff>101600</xdr:rowOff>
    </xdr:to>
    <xdr:sp macro="SaveMastersButton" textlink="">
      <xdr:nvSpPr>
        <xdr:cNvPr id="8" name="btn_SaveMastersButton">
          <a:extLst>
            <a:ext uri="{FF2B5EF4-FFF2-40B4-BE49-F238E27FC236}">
              <a16:creationId xmlns:a16="http://schemas.microsoft.com/office/drawing/2014/main" id="{FEF9663D-5866-9313-1D4E-255CCC0C3A19}"/>
            </a:ext>
          </a:extLst>
        </xdr:cNvPr>
        <xdr:cNvSpPr/>
      </xdr:nvSpPr>
      <xdr:spPr>
        <a:xfrm>
          <a:off x="7388225" y="342900"/>
          <a:ext cx="1651000" cy="254000"/>
        </a:xfrm>
        <a:prstGeom prst="roundRect">
          <a:avLst/>
        </a:prstGeom>
        <a:solidFill>
          <a:srgbClr val="BF8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マスタを保存</a:t>
          </a:r>
        </a:p>
      </xdr:txBody>
    </xdr:sp>
    <xdr:clientData/>
  </xdr:twoCellAnchor>
  <xdr:twoCellAnchor editAs="absolute">
    <xdr:from>
      <xdr:col>1</xdr:col>
      <xdr:colOff>7112000</xdr:colOff>
      <xdr:row>2</xdr:row>
      <xdr:rowOff>152400</xdr:rowOff>
    </xdr:from>
    <xdr:to>
      <xdr:col>1</xdr:col>
      <xdr:colOff>8763000</xdr:colOff>
      <xdr:row>3</xdr:row>
      <xdr:rowOff>177800</xdr:rowOff>
    </xdr:to>
    <xdr:sp macro="RestoreMastersButton" textlink="">
      <xdr:nvSpPr>
        <xdr:cNvPr id="9" name="btn_RestoreMastersButton">
          <a:extLst>
            <a:ext uri="{FF2B5EF4-FFF2-40B4-BE49-F238E27FC236}">
              <a16:creationId xmlns:a16="http://schemas.microsoft.com/office/drawing/2014/main" id="{B6404949-6112-B637-2B74-4BABB7FE04CE}"/>
            </a:ext>
          </a:extLst>
        </xdr:cNvPr>
        <xdr:cNvSpPr/>
      </xdr:nvSpPr>
      <xdr:spPr>
        <a:xfrm>
          <a:off x="7388225" y="647700"/>
          <a:ext cx="1651000" cy="254000"/>
        </a:xfrm>
        <a:prstGeom prst="roundRect">
          <a:avLst/>
        </a:prstGeom>
        <a:solidFill>
          <a:srgbClr val="8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マスタを復元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8413-456D-4D12-8773-565C12CAB0C8}">
  <sheetPr codeName="Sheet1"/>
  <dimension ref="B1:B33"/>
  <sheetViews>
    <sheetView showGridLines="0" tabSelected="1" workbookViewId="0"/>
  </sheetViews>
  <sheetFormatPr defaultRowHeight="14.25"/>
  <cols>
    <col min="1" max="1" width="3.625" customWidth="1"/>
    <col min="2" max="2" width="120.625" customWidth="1"/>
  </cols>
  <sheetData>
    <row r="1" spans="2:2" ht="21">
      <c r="B1" s="1" t="s">
        <v>0</v>
      </c>
    </row>
    <row r="2" spans="2:2" ht="18" customHeight="1"/>
    <row r="3" spans="2:2" ht="18" customHeight="1"/>
    <row r="4" spans="2:2" ht="18" customHeight="1"/>
    <row r="5" spans="2:2" ht="18" customHeight="1"/>
    <row r="7" spans="2:2">
      <c r="B7" s="2" t="s">
        <v>1</v>
      </c>
    </row>
    <row r="8" spans="2:2">
      <c r="B8" t="s">
        <v>5212</v>
      </c>
    </row>
    <row r="9" spans="2:2">
      <c r="B9" t="s">
        <v>2</v>
      </c>
    </row>
    <row r="10" spans="2:2">
      <c r="B10" t="s">
        <v>5213</v>
      </c>
    </row>
    <row r="11" spans="2:2">
      <c r="B11" t="s">
        <v>5214</v>
      </c>
    </row>
    <row r="12" spans="2:2">
      <c r="B12" t="s">
        <v>5215</v>
      </c>
    </row>
    <row r="14" spans="2:2">
      <c r="B14" s="2" t="s">
        <v>3</v>
      </c>
    </row>
    <row r="15" spans="2:2">
      <c r="B15" t="s">
        <v>4</v>
      </c>
    </row>
    <row r="16" spans="2:2">
      <c r="B16" t="s">
        <v>5131</v>
      </c>
    </row>
    <row r="17" spans="2:2">
      <c r="B17" t="s">
        <v>5216</v>
      </c>
    </row>
    <row r="18" spans="2:2">
      <c r="B18" t="s">
        <v>5217</v>
      </c>
    </row>
    <row r="20" spans="2:2">
      <c r="B20" s="2" t="s">
        <v>5</v>
      </c>
    </row>
    <row r="21" spans="2:2">
      <c r="B21" t="s">
        <v>6</v>
      </c>
    </row>
    <row r="22" spans="2:2">
      <c r="B22" t="s">
        <v>5218</v>
      </c>
    </row>
    <row r="23" spans="2:2">
      <c r="B23" t="s">
        <v>5219</v>
      </c>
    </row>
    <row r="25" spans="2:2">
      <c r="B25" s="2" t="s">
        <v>5164</v>
      </c>
    </row>
    <row r="26" spans="2:2">
      <c r="B26" t="s">
        <v>5165</v>
      </c>
    </row>
    <row r="27" spans="2:2">
      <c r="B27" t="s">
        <v>5166</v>
      </c>
    </row>
    <row r="29" spans="2:2">
      <c r="B29" s="2" t="s">
        <v>7</v>
      </c>
    </row>
    <row r="30" spans="2:2">
      <c r="B30" t="s">
        <v>5132</v>
      </c>
    </row>
    <row r="31" spans="2:2">
      <c r="B31" t="s">
        <v>5167</v>
      </c>
    </row>
    <row r="32" spans="2:2">
      <c r="B32" t="s">
        <v>8</v>
      </c>
    </row>
    <row r="33" spans="2:2">
      <c r="B33" t="s">
        <v>5233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F2B69-3978-434E-AC67-B726D96BEDB3}">
  <sheetPr codeName="Sheet3">
    <tabColor rgb="FFA9D08E"/>
  </sheetPr>
  <dimension ref="A1:CJ97"/>
  <sheetViews>
    <sheetView workbookViewId="0">
      <pane xSplit="4" ySplit="6" topLeftCell="BV79" activePane="bottomRight" state="frozen"/>
      <selection pane="topRight" activeCell="E1" sqref="E1"/>
      <selection pane="bottomLeft" activeCell="A7" sqref="A7"/>
      <selection pane="bottomRight" activeCell="E14" sqref="E14:W14"/>
    </sheetView>
  </sheetViews>
  <sheetFormatPr defaultRowHeight="14.25"/>
  <cols>
    <col min="1" max="2" width="9.625" customWidth="1"/>
    <col min="3" max="3" width="40.625" customWidth="1"/>
    <col min="4" max="4" width="7.625" customWidth="1"/>
    <col min="5" max="88" width="7.125" customWidth="1"/>
  </cols>
  <sheetData>
    <row r="1" spans="1:88" ht="19.5">
      <c r="A1" s="3" t="s">
        <v>5222</v>
      </c>
    </row>
    <row r="2" spans="1:88" ht="14.25" customHeight="1">
      <c r="A2" s="74" t="s">
        <v>5224</v>
      </c>
      <c r="B2" s="74"/>
      <c r="C2" s="35" t="str">
        <f>"赤：標準の"&amp;TEXT(マスタ_業務・標準!$Q$2,"0%")&amp;"未満（標準を下回る）"</f>
        <v>赤：標準の90%未満（標準を下回る）</v>
      </c>
      <c r="D2" s="75" t="s">
        <v>5225</v>
      </c>
      <c r="E2" t="s">
        <v>5235</v>
      </c>
    </row>
    <row r="3" spans="1:88">
      <c r="A3" s="74"/>
      <c r="B3" s="74"/>
      <c r="C3" s="36" t="str">
        <f>"黄：標準の"&amp;TEXT(マスタ_業務・標準!$Q$2,"0%")&amp;"以上"&amp;TEXT(マスタ_業務・標準!$Q$3,"0%")&amp;"未満（ほぼ標準どおり）"</f>
        <v>黄：標準の90%以上110%未満（ほぼ標準どおり）</v>
      </c>
      <c r="D3" s="76"/>
      <c r="E3" s="4" t="s">
        <v>5223</v>
      </c>
    </row>
    <row r="4" spans="1:88" ht="15" thickBot="1">
      <c r="A4" s="74"/>
      <c r="B4" s="74"/>
      <c r="C4" s="37" t="str">
        <f>"緑：標準の"&amp;TEXT(マスタ_業務・標準!$Q$3,"0%")&amp;"以上（標準を上回る）"</f>
        <v>緑：標準の110%以上（標準を上回る）</v>
      </c>
      <c r="D4" s="76"/>
      <c r="E4" s="77" t="s">
        <v>5133</v>
      </c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</row>
    <row r="5" spans="1:88" ht="30" customHeight="1" thickTop="1" thickBot="1">
      <c r="A5" s="74"/>
      <c r="B5" s="74"/>
      <c r="C5" s="53" t="s">
        <v>5168</v>
      </c>
      <c r="D5" s="76"/>
      <c r="E5" s="72" t="s">
        <v>5030</v>
      </c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2" t="s">
        <v>5031</v>
      </c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2" t="s">
        <v>5032</v>
      </c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2" t="s">
        <v>5033</v>
      </c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2" t="s">
        <v>5034</v>
      </c>
      <c r="BM5" s="73"/>
      <c r="BN5" s="73"/>
      <c r="BO5" s="73"/>
      <c r="BP5" s="73"/>
      <c r="BQ5" s="73"/>
      <c r="BR5" s="73"/>
      <c r="BS5" s="73"/>
      <c r="BT5" s="73"/>
      <c r="BU5" s="72" t="s">
        <v>5035</v>
      </c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2" t="s">
        <v>5036</v>
      </c>
      <c r="CJ5" s="73"/>
    </row>
    <row r="6" spans="1:88" ht="30" customHeight="1" thickTop="1">
      <c r="A6" s="5" t="s">
        <v>5197</v>
      </c>
      <c r="B6" s="5" t="s">
        <v>9</v>
      </c>
      <c r="C6" s="5" t="s">
        <v>10</v>
      </c>
      <c r="D6" s="5" t="s">
        <v>11</v>
      </c>
      <c r="E6" s="32" t="s">
        <v>5037</v>
      </c>
      <c r="F6" s="32" t="s">
        <v>5038</v>
      </c>
      <c r="G6" s="29" t="s">
        <v>5039</v>
      </c>
      <c r="H6" s="29" t="s">
        <v>5040</v>
      </c>
      <c r="I6" s="29" t="s">
        <v>5041</v>
      </c>
      <c r="J6" s="32" t="s">
        <v>5042</v>
      </c>
      <c r="K6" s="29" t="s">
        <v>5043</v>
      </c>
      <c r="L6" s="29" t="s">
        <v>5044</v>
      </c>
      <c r="M6" s="32" t="s">
        <v>5045</v>
      </c>
      <c r="N6" s="29" t="s">
        <v>5046</v>
      </c>
      <c r="O6" s="29" t="s">
        <v>5047</v>
      </c>
      <c r="P6" s="29" t="s">
        <v>5048</v>
      </c>
      <c r="Q6" s="32" t="s">
        <v>5049</v>
      </c>
      <c r="R6" s="29" t="s">
        <v>5050</v>
      </c>
      <c r="S6" s="29" t="s">
        <v>5051</v>
      </c>
      <c r="T6" s="32" t="s">
        <v>5052</v>
      </c>
      <c r="U6" s="32" t="s">
        <v>5053</v>
      </c>
      <c r="V6" s="29" t="s">
        <v>5054</v>
      </c>
      <c r="W6" s="29" t="s">
        <v>5055</v>
      </c>
      <c r="X6" s="29" t="s">
        <v>5056</v>
      </c>
      <c r="Y6" s="32" t="s">
        <v>5057</v>
      </c>
      <c r="Z6" s="29" t="s">
        <v>5058</v>
      </c>
      <c r="AA6" s="29" t="s">
        <v>5059</v>
      </c>
      <c r="AB6" s="29" t="s">
        <v>5060</v>
      </c>
      <c r="AC6" s="32" t="s">
        <v>5061</v>
      </c>
      <c r="AD6" s="29" t="s">
        <v>5062</v>
      </c>
      <c r="AE6" s="29" t="s">
        <v>5063</v>
      </c>
      <c r="AF6" s="29" t="s">
        <v>5064</v>
      </c>
      <c r="AG6" s="32" t="s">
        <v>5065</v>
      </c>
      <c r="AH6" s="29" t="s">
        <v>5066</v>
      </c>
      <c r="AI6" s="29" t="s">
        <v>5067</v>
      </c>
      <c r="AJ6" s="29" t="s">
        <v>5068</v>
      </c>
      <c r="AK6" s="32" t="s">
        <v>5069</v>
      </c>
      <c r="AL6" s="29" t="s">
        <v>5070</v>
      </c>
      <c r="AM6" s="29" t="s">
        <v>5071</v>
      </c>
      <c r="AN6" s="32" t="s">
        <v>5072</v>
      </c>
      <c r="AO6" s="29" t="s">
        <v>5073</v>
      </c>
      <c r="AP6" s="29" t="s">
        <v>5074</v>
      </c>
      <c r="AQ6" s="29" t="s">
        <v>5075</v>
      </c>
      <c r="AR6" s="32" t="s">
        <v>5076</v>
      </c>
      <c r="AS6" s="29" t="s">
        <v>5077</v>
      </c>
      <c r="AT6" s="29" t="s">
        <v>5078</v>
      </c>
      <c r="AU6" s="32" t="s">
        <v>5079</v>
      </c>
      <c r="AV6" s="29" t="s">
        <v>5080</v>
      </c>
      <c r="AW6" s="29" t="s">
        <v>5081</v>
      </c>
      <c r="AX6" s="29" t="s">
        <v>5082</v>
      </c>
      <c r="AY6" s="32" t="s">
        <v>5083</v>
      </c>
      <c r="AZ6" s="29" t="s">
        <v>5084</v>
      </c>
      <c r="BA6" s="32" t="s">
        <v>5085</v>
      </c>
      <c r="BB6" s="29" t="s">
        <v>5086</v>
      </c>
      <c r="BC6" s="29" t="s">
        <v>5087</v>
      </c>
      <c r="BD6" s="29" t="s">
        <v>5088</v>
      </c>
      <c r="BE6" s="32" t="s">
        <v>5089</v>
      </c>
      <c r="BF6" s="29" t="s">
        <v>5090</v>
      </c>
      <c r="BG6" s="29" t="s">
        <v>5091</v>
      </c>
      <c r="BH6" s="32" t="s">
        <v>5092</v>
      </c>
      <c r="BI6" s="29" t="s">
        <v>5093</v>
      </c>
      <c r="BJ6" s="29" t="s">
        <v>5094</v>
      </c>
      <c r="BK6" s="29" t="s">
        <v>5095</v>
      </c>
      <c r="BL6" s="32" t="s">
        <v>5096</v>
      </c>
      <c r="BM6" s="29" t="s">
        <v>5097</v>
      </c>
      <c r="BN6" s="29" t="s">
        <v>5098</v>
      </c>
      <c r="BO6" s="32" t="s">
        <v>5099</v>
      </c>
      <c r="BP6" s="29" t="s">
        <v>5100</v>
      </c>
      <c r="BQ6" s="29" t="s">
        <v>5101</v>
      </c>
      <c r="BR6" s="32" t="s">
        <v>5102</v>
      </c>
      <c r="BS6" s="29" t="s">
        <v>5103</v>
      </c>
      <c r="BT6" s="29" t="s">
        <v>5104</v>
      </c>
      <c r="BU6" s="32" t="s">
        <v>5105</v>
      </c>
      <c r="BV6" s="29" t="s">
        <v>5106</v>
      </c>
      <c r="BW6" s="32" t="s">
        <v>5107</v>
      </c>
      <c r="BX6" s="29" t="s">
        <v>5108</v>
      </c>
      <c r="BY6" s="29" t="s">
        <v>5109</v>
      </c>
      <c r="BZ6" s="29" t="s">
        <v>5110</v>
      </c>
      <c r="CA6" s="32" t="s">
        <v>5111</v>
      </c>
      <c r="CB6" s="29" t="s">
        <v>5112</v>
      </c>
      <c r="CC6" s="29" t="s">
        <v>5113</v>
      </c>
      <c r="CD6" s="29" t="s">
        <v>5114</v>
      </c>
      <c r="CE6" s="32" t="s">
        <v>5115</v>
      </c>
      <c r="CF6" s="32" t="s">
        <v>5116</v>
      </c>
      <c r="CG6" s="29" t="s">
        <v>5117</v>
      </c>
      <c r="CH6" s="29" t="s">
        <v>5118</v>
      </c>
      <c r="CI6" s="29" t="s">
        <v>5119</v>
      </c>
      <c r="CJ6" s="32" t="s">
        <v>5120</v>
      </c>
    </row>
    <row r="7" spans="1:88" ht="15.75">
      <c r="A7" s="43" t="s">
        <v>5226</v>
      </c>
      <c r="B7" s="43"/>
      <c r="C7" s="43"/>
      <c r="D7" s="44"/>
      <c r="E7" s="49"/>
      <c r="F7" s="49"/>
      <c r="G7" s="45"/>
      <c r="H7" s="45"/>
      <c r="I7" s="45"/>
      <c r="J7" s="49"/>
      <c r="K7" s="45"/>
      <c r="L7" s="45"/>
      <c r="M7" s="49"/>
      <c r="N7" s="45"/>
      <c r="O7" s="45"/>
      <c r="P7" s="45"/>
      <c r="Q7" s="49"/>
      <c r="R7" s="45"/>
      <c r="S7" s="45"/>
      <c r="T7" s="49"/>
      <c r="U7" s="49"/>
      <c r="V7" s="45"/>
      <c r="W7" s="45"/>
      <c r="X7" s="45"/>
      <c r="Y7" s="49"/>
      <c r="Z7" s="45"/>
      <c r="AA7" s="45"/>
      <c r="AB7" s="45"/>
      <c r="AC7" s="49"/>
      <c r="AD7" s="45"/>
      <c r="AE7" s="45"/>
      <c r="AF7" s="45"/>
      <c r="AG7" s="49"/>
      <c r="AH7" s="45"/>
      <c r="AI7" s="45"/>
      <c r="AJ7" s="45"/>
      <c r="AK7" s="49"/>
      <c r="AL7" s="45"/>
      <c r="AM7" s="45"/>
      <c r="AN7" s="49"/>
      <c r="AO7" s="45"/>
      <c r="AP7" s="45"/>
      <c r="AQ7" s="45"/>
      <c r="AR7" s="49"/>
      <c r="AS7" s="45"/>
      <c r="AT7" s="45"/>
      <c r="AU7" s="49"/>
      <c r="AV7" s="45"/>
      <c r="AW7" s="45"/>
      <c r="AX7" s="45"/>
      <c r="AY7" s="49"/>
      <c r="AZ7" s="45"/>
      <c r="BA7" s="49"/>
      <c r="BB7" s="45"/>
      <c r="BC7" s="45"/>
      <c r="BD7" s="45"/>
      <c r="BE7" s="49"/>
      <c r="BF7" s="45"/>
      <c r="BG7" s="45"/>
      <c r="BH7" s="49"/>
      <c r="BI7" s="45"/>
      <c r="BJ7" s="45"/>
      <c r="BK7" s="45"/>
      <c r="BL7" s="49"/>
      <c r="BM7" s="45"/>
      <c r="BN7" s="45"/>
      <c r="BO7" s="49"/>
      <c r="BP7" s="45"/>
      <c r="BQ7" s="45"/>
      <c r="BR7" s="49"/>
      <c r="BS7" s="45"/>
      <c r="BT7" s="45"/>
      <c r="BU7" s="49"/>
      <c r="BV7" s="45"/>
      <c r="BW7" s="49"/>
      <c r="BX7" s="45"/>
      <c r="BY7" s="45"/>
      <c r="BZ7" s="45"/>
      <c r="CA7" s="49"/>
      <c r="CB7" s="45"/>
      <c r="CC7" s="45"/>
      <c r="CD7" s="45"/>
      <c r="CE7" s="49"/>
      <c r="CF7" s="49"/>
      <c r="CG7" s="45"/>
      <c r="CH7" s="45"/>
      <c r="CI7" s="45"/>
      <c r="CJ7" s="49"/>
    </row>
    <row r="8" spans="1:88">
      <c r="A8" s="47" t="s">
        <v>5208</v>
      </c>
      <c r="B8" s="47" t="s">
        <v>13</v>
      </c>
      <c r="C8" s="47" t="s">
        <v>5122</v>
      </c>
      <c r="D8" s="48" t="s">
        <v>5228</v>
      </c>
      <c r="E8" s="50" t="s">
        <v>107</v>
      </c>
      <c r="F8" s="50" t="s">
        <v>107</v>
      </c>
      <c r="G8" s="46">
        <v>25</v>
      </c>
      <c r="H8" s="46" t="s">
        <v>107</v>
      </c>
      <c r="I8" s="46" t="s">
        <v>107</v>
      </c>
      <c r="J8" s="50" t="s">
        <v>107</v>
      </c>
      <c r="K8" s="46" t="s">
        <v>107</v>
      </c>
      <c r="L8" s="46" t="s">
        <v>107</v>
      </c>
      <c r="M8" s="50" t="s">
        <v>107</v>
      </c>
      <c r="N8" s="46" t="s">
        <v>107</v>
      </c>
      <c r="O8" s="46" t="s">
        <v>107</v>
      </c>
      <c r="P8" s="46">
        <v>4</v>
      </c>
      <c r="Q8" s="50" t="s">
        <v>107</v>
      </c>
      <c r="R8" s="46" t="s">
        <v>107</v>
      </c>
      <c r="S8" s="46" t="s">
        <v>107</v>
      </c>
      <c r="T8" s="50" t="s">
        <v>107</v>
      </c>
      <c r="U8" s="50" t="s">
        <v>107</v>
      </c>
      <c r="V8" s="46" t="s">
        <v>107</v>
      </c>
      <c r="W8" s="46" t="s">
        <v>107</v>
      </c>
      <c r="X8" s="46" t="s">
        <v>107</v>
      </c>
      <c r="Y8" s="50" t="s">
        <v>107</v>
      </c>
      <c r="Z8" s="46" t="s">
        <v>107</v>
      </c>
      <c r="AA8" s="46">
        <v>1</v>
      </c>
      <c r="AB8" s="46" t="s">
        <v>107</v>
      </c>
      <c r="AC8" s="50" t="s">
        <v>107</v>
      </c>
      <c r="AD8" s="46">
        <v>16</v>
      </c>
      <c r="AE8" s="46" t="s">
        <v>107</v>
      </c>
      <c r="AF8" s="46" t="s">
        <v>107</v>
      </c>
      <c r="AG8" s="50" t="s">
        <v>107</v>
      </c>
      <c r="AH8" s="46" t="s">
        <v>107</v>
      </c>
      <c r="AI8" s="46" t="s">
        <v>107</v>
      </c>
      <c r="AJ8" s="46">
        <v>20</v>
      </c>
      <c r="AK8" s="50" t="s">
        <v>107</v>
      </c>
      <c r="AL8" s="46">
        <v>16</v>
      </c>
      <c r="AM8" s="46" t="s">
        <v>107</v>
      </c>
      <c r="AN8" s="50" t="s">
        <v>107</v>
      </c>
      <c r="AO8" s="46" t="s">
        <v>107</v>
      </c>
      <c r="AP8" s="46" t="s">
        <v>107</v>
      </c>
      <c r="AQ8" s="46" t="s">
        <v>107</v>
      </c>
      <c r="AR8" s="50" t="s">
        <v>107</v>
      </c>
      <c r="AS8" s="46" t="s">
        <v>107</v>
      </c>
      <c r="AT8" s="46" t="s">
        <v>107</v>
      </c>
      <c r="AU8" s="50" t="s">
        <v>107</v>
      </c>
      <c r="AV8" s="46" t="s">
        <v>107</v>
      </c>
      <c r="AW8" s="46" t="s">
        <v>107</v>
      </c>
      <c r="AX8" s="46" t="s">
        <v>107</v>
      </c>
      <c r="AY8" s="50" t="s">
        <v>107</v>
      </c>
      <c r="AZ8" s="46">
        <v>25</v>
      </c>
      <c r="BA8" s="50">
        <v>19</v>
      </c>
      <c r="BB8" s="46" t="s">
        <v>107</v>
      </c>
      <c r="BC8" s="46" t="s">
        <v>107</v>
      </c>
      <c r="BD8" s="46" t="s">
        <v>107</v>
      </c>
      <c r="BE8" s="50" t="s">
        <v>107</v>
      </c>
      <c r="BF8" s="46">
        <v>20</v>
      </c>
      <c r="BG8" s="46" t="s">
        <v>107</v>
      </c>
      <c r="BH8" s="50">
        <v>20</v>
      </c>
      <c r="BI8" s="46" t="s">
        <v>107</v>
      </c>
      <c r="BJ8" s="46">
        <v>11</v>
      </c>
      <c r="BK8" s="46" t="s">
        <v>107</v>
      </c>
      <c r="BL8" s="50" t="s">
        <v>107</v>
      </c>
      <c r="BM8" s="46">
        <v>17</v>
      </c>
      <c r="BN8" s="46" t="s">
        <v>107</v>
      </c>
      <c r="BO8" s="50" t="s">
        <v>107</v>
      </c>
      <c r="BP8" s="46">
        <v>3</v>
      </c>
      <c r="BQ8" s="46">
        <v>4</v>
      </c>
      <c r="BR8" s="50" t="s">
        <v>107</v>
      </c>
      <c r="BS8" s="46" t="s">
        <v>107</v>
      </c>
      <c r="BT8" s="46" t="s">
        <v>107</v>
      </c>
      <c r="BU8" s="50" t="s">
        <v>107</v>
      </c>
      <c r="BV8" s="46" t="s">
        <v>107</v>
      </c>
      <c r="BW8" s="50" t="s">
        <v>107</v>
      </c>
      <c r="BX8" s="46">
        <v>2</v>
      </c>
      <c r="BY8" s="46">
        <v>4</v>
      </c>
      <c r="BZ8" s="46" t="s">
        <v>107</v>
      </c>
      <c r="CA8" s="50" t="s">
        <v>107</v>
      </c>
      <c r="CB8" s="46" t="s">
        <v>107</v>
      </c>
      <c r="CC8" s="46" t="s">
        <v>107</v>
      </c>
      <c r="CD8" s="46" t="s">
        <v>107</v>
      </c>
      <c r="CE8" s="50">
        <v>18</v>
      </c>
      <c r="CF8" s="50" t="s">
        <v>107</v>
      </c>
      <c r="CG8" s="46">
        <v>4</v>
      </c>
      <c r="CH8" s="46">
        <v>2</v>
      </c>
      <c r="CI8" s="46">
        <v>4</v>
      </c>
      <c r="CJ8" s="50" t="s">
        <v>107</v>
      </c>
    </row>
    <row r="9" spans="1:88">
      <c r="A9" s="24" t="s">
        <v>5208</v>
      </c>
      <c r="B9" s="24" t="s">
        <v>13</v>
      </c>
      <c r="C9" s="55" t="s">
        <v>63</v>
      </c>
      <c r="D9" s="18"/>
      <c r="E9" s="57" t="s">
        <v>107</v>
      </c>
      <c r="F9" s="57" t="s">
        <v>107</v>
      </c>
      <c r="G9" s="56" t="s">
        <v>107</v>
      </c>
      <c r="H9" s="56" t="s">
        <v>107</v>
      </c>
      <c r="I9" s="56" t="s">
        <v>107</v>
      </c>
      <c r="J9" s="57" t="s">
        <v>107</v>
      </c>
      <c r="K9" s="56" t="s">
        <v>107</v>
      </c>
      <c r="L9" s="56" t="s">
        <v>107</v>
      </c>
      <c r="M9" s="57" t="s">
        <v>107</v>
      </c>
      <c r="N9" s="56" t="s">
        <v>107</v>
      </c>
      <c r="O9" s="56" t="s">
        <v>107</v>
      </c>
      <c r="P9" s="56" t="s">
        <v>107</v>
      </c>
      <c r="Q9" s="57" t="s">
        <v>107</v>
      </c>
      <c r="R9" s="56" t="s">
        <v>107</v>
      </c>
      <c r="S9" s="56" t="s">
        <v>107</v>
      </c>
      <c r="T9" s="57" t="s">
        <v>107</v>
      </c>
      <c r="U9" s="57" t="s">
        <v>107</v>
      </c>
      <c r="V9" s="56" t="s">
        <v>107</v>
      </c>
      <c r="W9" s="56" t="s">
        <v>107</v>
      </c>
      <c r="X9" s="56" t="s">
        <v>107</v>
      </c>
      <c r="Y9" s="57" t="s">
        <v>107</v>
      </c>
      <c r="Z9" s="56" t="s">
        <v>107</v>
      </c>
      <c r="AA9" s="56" t="s">
        <v>107</v>
      </c>
      <c r="AB9" s="56" t="s">
        <v>107</v>
      </c>
      <c r="AC9" s="57" t="s">
        <v>107</v>
      </c>
      <c r="AD9" s="56" t="s">
        <v>107</v>
      </c>
      <c r="AE9" s="56" t="s">
        <v>107</v>
      </c>
      <c r="AF9" s="56" t="s">
        <v>107</v>
      </c>
      <c r="AG9" s="57" t="s">
        <v>107</v>
      </c>
      <c r="AH9" s="56" t="s">
        <v>107</v>
      </c>
      <c r="AI9" s="56" t="s">
        <v>107</v>
      </c>
      <c r="AJ9" s="56" t="s">
        <v>107</v>
      </c>
      <c r="AK9" s="57" t="s">
        <v>107</v>
      </c>
      <c r="AL9" s="56" t="s">
        <v>107</v>
      </c>
      <c r="AM9" s="56" t="s">
        <v>107</v>
      </c>
      <c r="AN9" s="57" t="s">
        <v>107</v>
      </c>
      <c r="AO9" s="56" t="s">
        <v>107</v>
      </c>
      <c r="AP9" s="56" t="s">
        <v>107</v>
      </c>
      <c r="AQ9" s="56" t="s">
        <v>107</v>
      </c>
      <c r="AR9" s="57" t="s">
        <v>107</v>
      </c>
      <c r="AS9" s="56" t="s">
        <v>107</v>
      </c>
      <c r="AT9" s="56" t="s">
        <v>107</v>
      </c>
      <c r="AU9" s="57" t="s">
        <v>107</v>
      </c>
      <c r="AV9" s="56" t="s">
        <v>107</v>
      </c>
      <c r="AW9" s="56" t="s">
        <v>107</v>
      </c>
      <c r="AX9" s="56" t="s">
        <v>107</v>
      </c>
      <c r="AY9" s="57" t="s">
        <v>107</v>
      </c>
      <c r="AZ9" s="56" t="s">
        <v>107</v>
      </c>
      <c r="BA9" s="57">
        <v>1</v>
      </c>
      <c r="BB9" s="56" t="s">
        <v>107</v>
      </c>
      <c r="BC9" s="56" t="s">
        <v>107</v>
      </c>
      <c r="BD9" s="56" t="s">
        <v>107</v>
      </c>
      <c r="BE9" s="57" t="s">
        <v>107</v>
      </c>
      <c r="BF9" s="56" t="s">
        <v>107</v>
      </c>
      <c r="BG9" s="56" t="s">
        <v>107</v>
      </c>
      <c r="BH9" s="57">
        <v>1</v>
      </c>
      <c r="BI9" s="56" t="s">
        <v>107</v>
      </c>
      <c r="BJ9" s="56" t="s">
        <v>107</v>
      </c>
      <c r="BK9" s="56" t="s">
        <v>107</v>
      </c>
      <c r="BL9" s="57" t="s">
        <v>107</v>
      </c>
      <c r="BM9" s="56" t="s">
        <v>107</v>
      </c>
      <c r="BN9" s="56" t="s">
        <v>107</v>
      </c>
      <c r="BO9" s="57" t="s">
        <v>107</v>
      </c>
      <c r="BP9" s="56" t="s">
        <v>107</v>
      </c>
      <c r="BQ9" s="56" t="s">
        <v>107</v>
      </c>
      <c r="BR9" s="57" t="s">
        <v>107</v>
      </c>
      <c r="BS9" s="56" t="s">
        <v>107</v>
      </c>
      <c r="BT9" s="56" t="s">
        <v>107</v>
      </c>
      <c r="BU9" s="57" t="s">
        <v>107</v>
      </c>
      <c r="BV9" s="56" t="s">
        <v>107</v>
      </c>
      <c r="BW9" s="57" t="s">
        <v>107</v>
      </c>
      <c r="BX9" s="56" t="s">
        <v>107</v>
      </c>
      <c r="BY9" s="56" t="s">
        <v>107</v>
      </c>
      <c r="BZ9" s="56" t="s">
        <v>107</v>
      </c>
      <c r="CA9" s="57" t="s">
        <v>107</v>
      </c>
      <c r="CB9" s="56" t="s">
        <v>107</v>
      </c>
      <c r="CC9" s="56" t="s">
        <v>107</v>
      </c>
      <c r="CD9" s="56" t="s">
        <v>107</v>
      </c>
      <c r="CE9" s="57" t="s">
        <v>107</v>
      </c>
      <c r="CF9" s="57" t="s">
        <v>107</v>
      </c>
      <c r="CG9" s="56" t="s">
        <v>107</v>
      </c>
      <c r="CH9" s="56" t="s">
        <v>107</v>
      </c>
      <c r="CI9" s="56" t="s">
        <v>107</v>
      </c>
      <c r="CJ9" s="57" t="s">
        <v>107</v>
      </c>
    </row>
    <row r="10" spans="1:88">
      <c r="A10" s="24" t="s">
        <v>5208</v>
      </c>
      <c r="B10" s="24" t="s">
        <v>13</v>
      </c>
      <c r="C10" s="55" t="s">
        <v>64</v>
      </c>
      <c r="D10" s="18"/>
      <c r="E10" s="57" t="s">
        <v>107</v>
      </c>
      <c r="F10" s="57" t="s">
        <v>107</v>
      </c>
      <c r="G10" s="56">
        <v>6</v>
      </c>
      <c r="H10" s="56" t="s">
        <v>107</v>
      </c>
      <c r="I10" s="56" t="s">
        <v>107</v>
      </c>
      <c r="J10" s="57" t="s">
        <v>107</v>
      </c>
      <c r="K10" s="56" t="s">
        <v>107</v>
      </c>
      <c r="L10" s="56" t="s">
        <v>107</v>
      </c>
      <c r="M10" s="57" t="s">
        <v>107</v>
      </c>
      <c r="N10" s="56" t="s">
        <v>107</v>
      </c>
      <c r="O10" s="56" t="s">
        <v>107</v>
      </c>
      <c r="P10" s="56" t="s">
        <v>107</v>
      </c>
      <c r="Q10" s="57" t="s">
        <v>107</v>
      </c>
      <c r="R10" s="56" t="s">
        <v>107</v>
      </c>
      <c r="S10" s="56" t="s">
        <v>107</v>
      </c>
      <c r="T10" s="57" t="s">
        <v>107</v>
      </c>
      <c r="U10" s="57" t="s">
        <v>107</v>
      </c>
      <c r="V10" s="56" t="s">
        <v>107</v>
      </c>
      <c r="W10" s="56" t="s">
        <v>107</v>
      </c>
      <c r="X10" s="56" t="s">
        <v>107</v>
      </c>
      <c r="Y10" s="57" t="s">
        <v>107</v>
      </c>
      <c r="Z10" s="56" t="s">
        <v>107</v>
      </c>
      <c r="AA10" s="56" t="s">
        <v>107</v>
      </c>
      <c r="AB10" s="56" t="s">
        <v>107</v>
      </c>
      <c r="AC10" s="57" t="s">
        <v>107</v>
      </c>
      <c r="AD10" s="56" t="s">
        <v>107</v>
      </c>
      <c r="AE10" s="56" t="s">
        <v>107</v>
      </c>
      <c r="AF10" s="56" t="s">
        <v>107</v>
      </c>
      <c r="AG10" s="57" t="s">
        <v>107</v>
      </c>
      <c r="AH10" s="56" t="s">
        <v>107</v>
      </c>
      <c r="AI10" s="56" t="s">
        <v>107</v>
      </c>
      <c r="AJ10" s="56">
        <v>6</v>
      </c>
      <c r="AK10" s="57" t="s">
        <v>107</v>
      </c>
      <c r="AL10" s="56">
        <v>5</v>
      </c>
      <c r="AM10" s="56" t="s">
        <v>107</v>
      </c>
      <c r="AN10" s="57" t="s">
        <v>107</v>
      </c>
      <c r="AO10" s="56" t="s">
        <v>107</v>
      </c>
      <c r="AP10" s="56" t="s">
        <v>107</v>
      </c>
      <c r="AQ10" s="56" t="s">
        <v>107</v>
      </c>
      <c r="AR10" s="57" t="s">
        <v>107</v>
      </c>
      <c r="AS10" s="56" t="s">
        <v>107</v>
      </c>
      <c r="AT10" s="56" t="s">
        <v>107</v>
      </c>
      <c r="AU10" s="57" t="s">
        <v>107</v>
      </c>
      <c r="AV10" s="56" t="s">
        <v>107</v>
      </c>
      <c r="AW10" s="56" t="s">
        <v>107</v>
      </c>
      <c r="AX10" s="56" t="s">
        <v>107</v>
      </c>
      <c r="AY10" s="57" t="s">
        <v>107</v>
      </c>
      <c r="AZ10" s="56" t="s">
        <v>107</v>
      </c>
      <c r="BA10" s="57">
        <v>4</v>
      </c>
      <c r="BB10" s="56" t="s">
        <v>107</v>
      </c>
      <c r="BC10" s="56" t="s">
        <v>107</v>
      </c>
      <c r="BD10" s="56" t="s">
        <v>107</v>
      </c>
      <c r="BE10" s="57" t="s">
        <v>107</v>
      </c>
      <c r="BF10" s="56">
        <v>5</v>
      </c>
      <c r="BG10" s="56" t="s">
        <v>107</v>
      </c>
      <c r="BH10" s="57">
        <v>4</v>
      </c>
      <c r="BI10" s="56" t="s">
        <v>107</v>
      </c>
      <c r="BJ10" s="56">
        <v>4</v>
      </c>
      <c r="BK10" s="56" t="s">
        <v>107</v>
      </c>
      <c r="BL10" s="57" t="s">
        <v>107</v>
      </c>
      <c r="BM10" s="56">
        <v>5</v>
      </c>
      <c r="BN10" s="56" t="s">
        <v>107</v>
      </c>
      <c r="BO10" s="57" t="s">
        <v>107</v>
      </c>
      <c r="BP10" s="56" t="s">
        <v>107</v>
      </c>
      <c r="BQ10" s="56">
        <v>3</v>
      </c>
      <c r="BR10" s="57" t="s">
        <v>107</v>
      </c>
      <c r="BS10" s="56" t="s">
        <v>107</v>
      </c>
      <c r="BT10" s="56" t="s">
        <v>107</v>
      </c>
      <c r="BU10" s="57" t="s">
        <v>107</v>
      </c>
      <c r="BV10" s="56" t="s">
        <v>107</v>
      </c>
      <c r="BW10" s="57" t="s">
        <v>107</v>
      </c>
      <c r="BX10" s="56" t="s">
        <v>107</v>
      </c>
      <c r="BY10" s="56">
        <v>1</v>
      </c>
      <c r="BZ10" s="56" t="s">
        <v>107</v>
      </c>
      <c r="CA10" s="57" t="s">
        <v>107</v>
      </c>
      <c r="CB10" s="56" t="s">
        <v>107</v>
      </c>
      <c r="CC10" s="56" t="s">
        <v>107</v>
      </c>
      <c r="CD10" s="56" t="s">
        <v>107</v>
      </c>
      <c r="CE10" s="57">
        <v>2</v>
      </c>
      <c r="CF10" s="57" t="s">
        <v>107</v>
      </c>
      <c r="CG10" s="56">
        <v>1</v>
      </c>
      <c r="CH10" s="56" t="s">
        <v>107</v>
      </c>
      <c r="CI10" s="56" t="s">
        <v>107</v>
      </c>
      <c r="CJ10" s="57" t="s">
        <v>107</v>
      </c>
    </row>
    <row r="11" spans="1:88">
      <c r="A11" s="24" t="s">
        <v>5208</v>
      </c>
      <c r="B11" s="24" t="s">
        <v>13</v>
      </c>
      <c r="C11" s="55" t="s">
        <v>65</v>
      </c>
      <c r="D11" s="18"/>
      <c r="E11" s="57" t="s">
        <v>107</v>
      </c>
      <c r="F11" s="57" t="s">
        <v>107</v>
      </c>
      <c r="G11" s="56">
        <v>1</v>
      </c>
      <c r="H11" s="56" t="s">
        <v>107</v>
      </c>
      <c r="I11" s="56" t="s">
        <v>107</v>
      </c>
      <c r="J11" s="57" t="s">
        <v>107</v>
      </c>
      <c r="K11" s="56" t="s">
        <v>107</v>
      </c>
      <c r="L11" s="56" t="s">
        <v>107</v>
      </c>
      <c r="M11" s="57" t="s">
        <v>107</v>
      </c>
      <c r="N11" s="56" t="s">
        <v>107</v>
      </c>
      <c r="O11" s="56" t="s">
        <v>107</v>
      </c>
      <c r="P11" s="56">
        <v>2</v>
      </c>
      <c r="Q11" s="57" t="s">
        <v>107</v>
      </c>
      <c r="R11" s="56" t="s">
        <v>107</v>
      </c>
      <c r="S11" s="56" t="s">
        <v>107</v>
      </c>
      <c r="T11" s="57" t="s">
        <v>107</v>
      </c>
      <c r="U11" s="57" t="s">
        <v>107</v>
      </c>
      <c r="V11" s="56" t="s">
        <v>107</v>
      </c>
      <c r="W11" s="56" t="s">
        <v>107</v>
      </c>
      <c r="X11" s="56" t="s">
        <v>107</v>
      </c>
      <c r="Y11" s="57" t="s">
        <v>107</v>
      </c>
      <c r="Z11" s="56" t="s">
        <v>107</v>
      </c>
      <c r="AA11" s="56" t="s">
        <v>107</v>
      </c>
      <c r="AB11" s="56" t="s">
        <v>107</v>
      </c>
      <c r="AC11" s="57" t="s">
        <v>107</v>
      </c>
      <c r="AD11" s="56" t="s">
        <v>107</v>
      </c>
      <c r="AE11" s="56" t="s">
        <v>107</v>
      </c>
      <c r="AF11" s="56" t="s">
        <v>107</v>
      </c>
      <c r="AG11" s="57" t="s">
        <v>107</v>
      </c>
      <c r="AH11" s="56" t="s">
        <v>107</v>
      </c>
      <c r="AI11" s="56" t="s">
        <v>107</v>
      </c>
      <c r="AJ11" s="56" t="s">
        <v>107</v>
      </c>
      <c r="AK11" s="57" t="s">
        <v>107</v>
      </c>
      <c r="AL11" s="56">
        <v>1</v>
      </c>
      <c r="AM11" s="56" t="s">
        <v>107</v>
      </c>
      <c r="AN11" s="57" t="s">
        <v>107</v>
      </c>
      <c r="AO11" s="56" t="s">
        <v>107</v>
      </c>
      <c r="AP11" s="56" t="s">
        <v>107</v>
      </c>
      <c r="AQ11" s="56" t="s">
        <v>107</v>
      </c>
      <c r="AR11" s="57" t="s">
        <v>107</v>
      </c>
      <c r="AS11" s="56" t="s">
        <v>107</v>
      </c>
      <c r="AT11" s="56" t="s">
        <v>107</v>
      </c>
      <c r="AU11" s="57" t="s">
        <v>107</v>
      </c>
      <c r="AV11" s="56" t="s">
        <v>107</v>
      </c>
      <c r="AW11" s="56" t="s">
        <v>107</v>
      </c>
      <c r="AX11" s="56" t="s">
        <v>107</v>
      </c>
      <c r="AY11" s="57" t="s">
        <v>107</v>
      </c>
      <c r="AZ11" s="56">
        <v>1</v>
      </c>
      <c r="BA11" s="57">
        <v>2</v>
      </c>
      <c r="BB11" s="56" t="s">
        <v>107</v>
      </c>
      <c r="BC11" s="56" t="s">
        <v>107</v>
      </c>
      <c r="BD11" s="56" t="s">
        <v>107</v>
      </c>
      <c r="BE11" s="57" t="s">
        <v>107</v>
      </c>
      <c r="BF11" s="56" t="s">
        <v>107</v>
      </c>
      <c r="BG11" s="56" t="s">
        <v>107</v>
      </c>
      <c r="BH11" s="57">
        <v>1</v>
      </c>
      <c r="BI11" s="56" t="s">
        <v>107</v>
      </c>
      <c r="BJ11" s="56" t="s">
        <v>107</v>
      </c>
      <c r="BK11" s="56" t="s">
        <v>107</v>
      </c>
      <c r="BL11" s="57" t="s">
        <v>107</v>
      </c>
      <c r="BM11" s="56">
        <v>1</v>
      </c>
      <c r="BN11" s="56" t="s">
        <v>107</v>
      </c>
      <c r="BO11" s="57" t="s">
        <v>107</v>
      </c>
      <c r="BP11" s="56">
        <v>1</v>
      </c>
      <c r="BQ11" s="56" t="s">
        <v>107</v>
      </c>
      <c r="BR11" s="57" t="s">
        <v>107</v>
      </c>
      <c r="BS11" s="56" t="s">
        <v>107</v>
      </c>
      <c r="BT11" s="56" t="s">
        <v>107</v>
      </c>
      <c r="BU11" s="57" t="s">
        <v>107</v>
      </c>
      <c r="BV11" s="56" t="s">
        <v>107</v>
      </c>
      <c r="BW11" s="57" t="s">
        <v>107</v>
      </c>
      <c r="BX11" s="56">
        <v>1</v>
      </c>
      <c r="BY11" s="56">
        <v>3</v>
      </c>
      <c r="BZ11" s="56" t="s">
        <v>107</v>
      </c>
      <c r="CA11" s="57" t="s">
        <v>107</v>
      </c>
      <c r="CB11" s="56" t="s">
        <v>107</v>
      </c>
      <c r="CC11" s="56" t="s">
        <v>107</v>
      </c>
      <c r="CD11" s="56" t="s">
        <v>107</v>
      </c>
      <c r="CE11" s="57" t="s">
        <v>107</v>
      </c>
      <c r="CF11" s="57" t="s">
        <v>107</v>
      </c>
      <c r="CG11" s="56" t="s">
        <v>107</v>
      </c>
      <c r="CH11" s="56">
        <v>1</v>
      </c>
      <c r="CI11" s="56">
        <v>1</v>
      </c>
      <c r="CJ11" s="57" t="s">
        <v>107</v>
      </c>
    </row>
    <row r="12" spans="1:88">
      <c r="A12" s="24" t="s">
        <v>5208</v>
      </c>
      <c r="B12" s="24" t="s">
        <v>13</v>
      </c>
      <c r="C12" s="55" t="s">
        <v>66</v>
      </c>
      <c r="D12" s="18"/>
      <c r="E12" s="57" t="s">
        <v>107</v>
      </c>
      <c r="F12" s="57" t="s">
        <v>107</v>
      </c>
      <c r="G12" s="56">
        <v>8</v>
      </c>
      <c r="H12" s="56" t="s">
        <v>107</v>
      </c>
      <c r="I12" s="56" t="s">
        <v>107</v>
      </c>
      <c r="J12" s="57" t="s">
        <v>107</v>
      </c>
      <c r="K12" s="56" t="s">
        <v>107</v>
      </c>
      <c r="L12" s="56" t="s">
        <v>107</v>
      </c>
      <c r="M12" s="57" t="s">
        <v>107</v>
      </c>
      <c r="N12" s="56" t="s">
        <v>107</v>
      </c>
      <c r="O12" s="56" t="s">
        <v>107</v>
      </c>
      <c r="P12" s="56" t="s">
        <v>107</v>
      </c>
      <c r="Q12" s="57" t="s">
        <v>107</v>
      </c>
      <c r="R12" s="56" t="s">
        <v>107</v>
      </c>
      <c r="S12" s="56" t="s">
        <v>107</v>
      </c>
      <c r="T12" s="57" t="s">
        <v>107</v>
      </c>
      <c r="U12" s="57" t="s">
        <v>107</v>
      </c>
      <c r="V12" s="56" t="s">
        <v>107</v>
      </c>
      <c r="W12" s="56" t="s">
        <v>107</v>
      </c>
      <c r="X12" s="56" t="s">
        <v>107</v>
      </c>
      <c r="Y12" s="57" t="s">
        <v>107</v>
      </c>
      <c r="Z12" s="56" t="s">
        <v>107</v>
      </c>
      <c r="AA12" s="56" t="s">
        <v>107</v>
      </c>
      <c r="AB12" s="56" t="s">
        <v>107</v>
      </c>
      <c r="AC12" s="57" t="s">
        <v>107</v>
      </c>
      <c r="AD12" s="56">
        <v>1</v>
      </c>
      <c r="AE12" s="56" t="s">
        <v>107</v>
      </c>
      <c r="AF12" s="56" t="s">
        <v>107</v>
      </c>
      <c r="AG12" s="57" t="s">
        <v>107</v>
      </c>
      <c r="AH12" s="56" t="s">
        <v>107</v>
      </c>
      <c r="AI12" s="56" t="s">
        <v>107</v>
      </c>
      <c r="AJ12" s="56">
        <v>7</v>
      </c>
      <c r="AK12" s="57" t="s">
        <v>107</v>
      </c>
      <c r="AL12" s="56">
        <v>10</v>
      </c>
      <c r="AM12" s="56" t="s">
        <v>107</v>
      </c>
      <c r="AN12" s="57" t="s">
        <v>107</v>
      </c>
      <c r="AO12" s="56" t="s">
        <v>107</v>
      </c>
      <c r="AP12" s="56" t="s">
        <v>107</v>
      </c>
      <c r="AQ12" s="56" t="s">
        <v>107</v>
      </c>
      <c r="AR12" s="57" t="s">
        <v>107</v>
      </c>
      <c r="AS12" s="56" t="s">
        <v>107</v>
      </c>
      <c r="AT12" s="56" t="s">
        <v>107</v>
      </c>
      <c r="AU12" s="57" t="s">
        <v>107</v>
      </c>
      <c r="AV12" s="56" t="s">
        <v>107</v>
      </c>
      <c r="AW12" s="56" t="s">
        <v>107</v>
      </c>
      <c r="AX12" s="56" t="s">
        <v>107</v>
      </c>
      <c r="AY12" s="57" t="s">
        <v>107</v>
      </c>
      <c r="AZ12" s="56">
        <v>24</v>
      </c>
      <c r="BA12" s="57">
        <v>10</v>
      </c>
      <c r="BB12" s="56" t="s">
        <v>107</v>
      </c>
      <c r="BC12" s="56" t="s">
        <v>107</v>
      </c>
      <c r="BD12" s="56" t="s">
        <v>107</v>
      </c>
      <c r="BE12" s="57" t="s">
        <v>107</v>
      </c>
      <c r="BF12" s="56">
        <v>14</v>
      </c>
      <c r="BG12" s="56" t="s">
        <v>107</v>
      </c>
      <c r="BH12" s="57">
        <v>1</v>
      </c>
      <c r="BI12" s="56" t="s">
        <v>107</v>
      </c>
      <c r="BJ12" s="56">
        <v>7</v>
      </c>
      <c r="BK12" s="56" t="s">
        <v>107</v>
      </c>
      <c r="BL12" s="57" t="s">
        <v>107</v>
      </c>
      <c r="BM12" s="56">
        <v>10</v>
      </c>
      <c r="BN12" s="56" t="s">
        <v>107</v>
      </c>
      <c r="BO12" s="57" t="s">
        <v>107</v>
      </c>
      <c r="BP12" s="56">
        <v>1</v>
      </c>
      <c r="BQ12" s="56">
        <v>1</v>
      </c>
      <c r="BR12" s="57" t="s">
        <v>107</v>
      </c>
      <c r="BS12" s="56" t="s">
        <v>107</v>
      </c>
      <c r="BT12" s="56" t="s">
        <v>107</v>
      </c>
      <c r="BU12" s="57" t="s">
        <v>107</v>
      </c>
      <c r="BV12" s="56" t="s">
        <v>107</v>
      </c>
      <c r="BW12" s="57" t="s">
        <v>107</v>
      </c>
      <c r="BX12" s="56" t="s">
        <v>107</v>
      </c>
      <c r="BY12" s="56" t="s">
        <v>107</v>
      </c>
      <c r="BZ12" s="56" t="s">
        <v>107</v>
      </c>
      <c r="CA12" s="57" t="s">
        <v>107</v>
      </c>
      <c r="CB12" s="56" t="s">
        <v>107</v>
      </c>
      <c r="CC12" s="56" t="s">
        <v>107</v>
      </c>
      <c r="CD12" s="56" t="s">
        <v>107</v>
      </c>
      <c r="CE12" s="57" t="s">
        <v>107</v>
      </c>
      <c r="CF12" s="57" t="s">
        <v>107</v>
      </c>
      <c r="CG12" s="56">
        <v>2</v>
      </c>
      <c r="CH12" s="56" t="s">
        <v>107</v>
      </c>
      <c r="CI12" s="56" t="s">
        <v>107</v>
      </c>
      <c r="CJ12" s="57" t="s">
        <v>107</v>
      </c>
    </row>
    <row r="13" spans="1:88">
      <c r="A13" s="24" t="s">
        <v>5208</v>
      </c>
      <c r="B13" s="24" t="s">
        <v>13</v>
      </c>
      <c r="C13" s="55" t="s">
        <v>67</v>
      </c>
      <c r="D13" s="18"/>
      <c r="E13" s="57" t="s">
        <v>107</v>
      </c>
      <c r="F13" s="57" t="s">
        <v>107</v>
      </c>
      <c r="G13" s="56">
        <v>10</v>
      </c>
      <c r="H13" s="56" t="s">
        <v>107</v>
      </c>
      <c r="I13" s="56" t="s">
        <v>107</v>
      </c>
      <c r="J13" s="57" t="s">
        <v>107</v>
      </c>
      <c r="K13" s="56" t="s">
        <v>107</v>
      </c>
      <c r="L13" s="56" t="s">
        <v>107</v>
      </c>
      <c r="M13" s="57" t="s">
        <v>107</v>
      </c>
      <c r="N13" s="56" t="s">
        <v>107</v>
      </c>
      <c r="O13" s="56" t="s">
        <v>107</v>
      </c>
      <c r="P13" s="56">
        <v>2</v>
      </c>
      <c r="Q13" s="57" t="s">
        <v>107</v>
      </c>
      <c r="R13" s="56" t="s">
        <v>107</v>
      </c>
      <c r="S13" s="56" t="s">
        <v>107</v>
      </c>
      <c r="T13" s="57" t="s">
        <v>107</v>
      </c>
      <c r="U13" s="57" t="s">
        <v>107</v>
      </c>
      <c r="V13" s="56" t="s">
        <v>107</v>
      </c>
      <c r="W13" s="56" t="s">
        <v>107</v>
      </c>
      <c r="X13" s="56" t="s">
        <v>107</v>
      </c>
      <c r="Y13" s="57" t="s">
        <v>107</v>
      </c>
      <c r="Z13" s="56" t="s">
        <v>107</v>
      </c>
      <c r="AA13" s="56">
        <v>1</v>
      </c>
      <c r="AB13" s="56" t="s">
        <v>107</v>
      </c>
      <c r="AC13" s="57" t="s">
        <v>107</v>
      </c>
      <c r="AD13" s="56">
        <v>15</v>
      </c>
      <c r="AE13" s="56" t="s">
        <v>107</v>
      </c>
      <c r="AF13" s="56" t="s">
        <v>107</v>
      </c>
      <c r="AG13" s="57" t="s">
        <v>107</v>
      </c>
      <c r="AH13" s="56" t="s">
        <v>107</v>
      </c>
      <c r="AI13" s="56" t="s">
        <v>107</v>
      </c>
      <c r="AJ13" s="56">
        <v>7</v>
      </c>
      <c r="AK13" s="57" t="s">
        <v>107</v>
      </c>
      <c r="AL13" s="56" t="s">
        <v>107</v>
      </c>
      <c r="AM13" s="56" t="s">
        <v>107</v>
      </c>
      <c r="AN13" s="57" t="s">
        <v>107</v>
      </c>
      <c r="AO13" s="56" t="s">
        <v>107</v>
      </c>
      <c r="AP13" s="56" t="s">
        <v>107</v>
      </c>
      <c r="AQ13" s="56" t="s">
        <v>107</v>
      </c>
      <c r="AR13" s="57" t="s">
        <v>107</v>
      </c>
      <c r="AS13" s="56" t="s">
        <v>107</v>
      </c>
      <c r="AT13" s="56" t="s">
        <v>107</v>
      </c>
      <c r="AU13" s="57" t="s">
        <v>107</v>
      </c>
      <c r="AV13" s="56" t="s">
        <v>107</v>
      </c>
      <c r="AW13" s="56" t="s">
        <v>107</v>
      </c>
      <c r="AX13" s="56" t="s">
        <v>107</v>
      </c>
      <c r="AY13" s="57" t="s">
        <v>107</v>
      </c>
      <c r="AZ13" s="56" t="s">
        <v>107</v>
      </c>
      <c r="BA13" s="57">
        <v>2</v>
      </c>
      <c r="BB13" s="56" t="s">
        <v>107</v>
      </c>
      <c r="BC13" s="56" t="s">
        <v>107</v>
      </c>
      <c r="BD13" s="56" t="s">
        <v>107</v>
      </c>
      <c r="BE13" s="57" t="s">
        <v>107</v>
      </c>
      <c r="BF13" s="56">
        <v>1</v>
      </c>
      <c r="BG13" s="56" t="s">
        <v>107</v>
      </c>
      <c r="BH13" s="57">
        <v>13</v>
      </c>
      <c r="BI13" s="56" t="s">
        <v>107</v>
      </c>
      <c r="BJ13" s="56" t="s">
        <v>107</v>
      </c>
      <c r="BK13" s="56" t="s">
        <v>107</v>
      </c>
      <c r="BL13" s="57" t="s">
        <v>107</v>
      </c>
      <c r="BM13" s="56">
        <v>1</v>
      </c>
      <c r="BN13" s="56" t="s">
        <v>107</v>
      </c>
      <c r="BO13" s="57" t="s">
        <v>107</v>
      </c>
      <c r="BP13" s="56">
        <v>1</v>
      </c>
      <c r="BQ13" s="56" t="s">
        <v>107</v>
      </c>
      <c r="BR13" s="57" t="s">
        <v>107</v>
      </c>
      <c r="BS13" s="56" t="s">
        <v>107</v>
      </c>
      <c r="BT13" s="56" t="s">
        <v>107</v>
      </c>
      <c r="BU13" s="57" t="s">
        <v>107</v>
      </c>
      <c r="BV13" s="56" t="s">
        <v>107</v>
      </c>
      <c r="BW13" s="57" t="s">
        <v>107</v>
      </c>
      <c r="BX13" s="56">
        <v>1</v>
      </c>
      <c r="BY13" s="56" t="s">
        <v>107</v>
      </c>
      <c r="BZ13" s="56" t="s">
        <v>107</v>
      </c>
      <c r="CA13" s="57" t="s">
        <v>107</v>
      </c>
      <c r="CB13" s="56" t="s">
        <v>107</v>
      </c>
      <c r="CC13" s="56" t="s">
        <v>107</v>
      </c>
      <c r="CD13" s="56" t="s">
        <v>107</v>
      </c>
      <c r="CE13" s="57">
        <v>16</v>
      </c>
      <c r="CF13" s="57" t="s">
        <v>107</v>
      </c>
      <c r="CG13" s="56">
        <v>1</v>
      </c>
      <c r="CH13" s="56">
        <v>1</v>
      </c>
      <c r="CI13" s="56">
        <v>3</v>
      </c>
      <c r="CJ13" s="57" t="s">
        <v>107</v>
      </c>
    </row>
    <row r="14" spans="1:88">
      <c r="A14" s="47" t="s">
        <v>5208</v>
      </c>
      <c r="B14" s="47" t="s">
        <v>15</v>
      </c>
      <c r="C14" s="47" t="s">
        <v>5123</v>
      </c>
      <c r="D14" s="48" t="s">
        <v>5228</v>
      </c>
      <c r="E14" s="50">
        <v>10</v>
      </c>
      <c r="F14" s="50" t="s">
        <v>107</v>
      </c>
      <c r="G14" s="46" t="s">
        <v>107</v>
      </c>
      <c r="H14" s="46" t="s">
        <v>107</v>
      </c>
      <c r="I14" s="46">
        <v>9</v>
      </c>
      <c r="J14" s="50">
        <v>9</v>
      </c>
      <c r="K14" s="46">
        <v>20</v>
      </c>
      <c r="L14" s="46" t="s">
        <v>107</v>
      </c>
      <c r="M14" s="50">
        <v>13</v>
      </c>
      <c r="N14" s="46" t="s">
        <v>107</v>
      </c>
      <c r="O14" s="46">
        <v>18</v>
      </c>
      <c r="P14" s="46">
        <v>10</v>
      </c>
      <c r="Q14" s="50">
        <v>12</v>
      </c>
      <c r="R14" s="46" t="s">
        <v>107</v>
      </c>
      <c r="S14" s="46" t="s">
        <v>107</v>
      </c>
      <c r="T14" s="50" t="s">
        <v>107</v>
      </c>
      <c r="U14" s="50">
        <v>5</v>
      </c>
      <c r="V14" s="46">
        <v>6</v>
      </c>
      <c r="W14" s="46" t="s">
        <v>107</v>
      </c>
      <c r="X14" s="46">
        <v>10</v>
      </c>
      <c r="Y14" s="50" t="s">
        <v>107</v>
      </c>
      <c r="Z14" s="46">
        <v>11</v>
      </c>
      <c r="AA14" s="46">
        <v>12</v>
      </c>
      <c r="AB14" s="46">
        <v>15</v>
      </c>
      <c r="AC14" s="50" t="s">
        <v>107</v>
      </c>
      <c r="AD14" s="46">
        <v>3</v>
      </c>
      <c r="AE14" s="46">
        <v>11</v>
      </c>
      <c r="AF14" s="46" t="s">
        <v>107</v>
      </c>
      <c r="AG14" s="50" t="s">
        <v>107</v>
      </c>
      <c r="AH14" s="46">
        <v>16</v>
      </c>
      <c r="AI14" s="46" t="s">
        <v>107</v>
      </c>
      <c r="AJ14" s="46">
        <v>1</v>
      </c>
      <c r="AK14" s="50" t="s">
        <v>107</v>
      </c>
      <c r="AL14" s="46" t="s">
        <v>107</v>
      </c>
      <c r="AM14" s="46" t="s">
        <v>107</v>
      </c>
      <c r="AN14" s="50">
        <v>10</v>
      </c>
      <c r="AO14" s="46" t="s">
        <v>107</v>
      </c>
      <c r="AP14" s="46">
        <v>10</v>
      </c>
      <c r="AQ14" s="46" t="s">
        <v>107</v>
      </c>
      <c r="AR14" s="50">
        <v>13</v>
      </c>
      <c r="AS14" s="46" t="s">
        <v>107</v>
      </c>
      <c r="AT14" s="46" t="s">
        <v>107</v>
      </c>
      <c r="AU14" s="50">
        <v>13</v>
      </c>
      <c r="AV14" s="46" t="s">
        <v>107</v>
      </c>
      <c r="AW14" s="46">
        <v>21</v>
      </c>
      <c r="AX14" s="46" t="s">
        <v>107</v>
      </c>
      <c r="AY14" s="50" t="s">
        <v>107</v>
      </c>
      <c r="AZ14" s="46">
        <v>1</v>
      </c>
      <c r="BA14" s="50" t="s">
        <v>107</v>
      </c>
      <c r="BB14" s="46">
        <v>18</v>
      </c>
      <c r="BC14" s="46">
        <v>18</v>
      </c>
      <c r="BD14" s="46">
        <v>19</v>
      </c>
      <c r="BE14" s="50" t="s">
        <v>107</v>
      </c>
      <c r="BF14" s="46" t="s">
        <v>107</v>
      </c>
      <c r="BG14" s="46" t="s">
        <v>107</v>
      </c>
      <c r="BH14" s="50" t="s">
        <v>107</v>
      </c>
      <c r="BI14" s="46" t="s">
        <v>107</v>
      </c>
      <c r="BJ14" s="46" t="s">
        <v>107</v>
      </c>
      <c r="BK14" s="46">
        <v>6</v>
      </c>
      <c r="BL14" s="50">
        <v>12</v>
      </c>
      <c r="BM14" s="46">
        <v>1</v>
      </c>
      <c r="BN14" s="46">
        <v>9</v>
      </c>
      <c r="BO14" s="50">
        <v>1</v>
      </c>
      <c r="BP14" s="46">
        <v>1</v>
      </c>
      <c r="BQ14" s="46">
        <v>8</v>
      </c>
      <c r="BR14" s="50">
        <v>9</v>
      </c>
      <c r="BS14" s="46">
        <v>7</v>
      </c>
      <c r="BT14" s="46">
        <v>11</v>
      </c>
      <c r="BU14" s="50">
        <v>18</v>
      </c>
      <c r="BV14" s="46" t="s">
        <v>107</v>
      </c>
      <c r="BW14" s="50" t="s">
        <v>107</v>
      </c>
      <c r="BX14" s="46">
        <v>15</v>
      </c>
      <c r="BY14" s="46">
        <v>7</v>
      </c>
      <c r="BZ14" s="46">
        <v>9</v>
      </c>
      <c r="CA14" s="50">
        <v>8</v>
      </c>
      <c r="CB14" s="46" t="s">
        <v>107</v>
      </c>
      <c r="CC14" s="46" t="s">
        <v>107</v>
      </c>
      <c r="CD14" s="46">
        <v>11</v>
      </c>
      <c r="CE14" s="50">
        <v>2</v>
      </c>
      <c r="CF14" s="50" t="s">
        <v>107</v>
      </c>
      <c r="CG14" s="46">
        <v>1</v>
      </c>
      <c r="CH14" s="46">
        <v>10</v>
      </c>
      <c r="CI14" s="46">
        <v>1</v>
      </c>
      <c r="CJ14" s="50" t="s">
        <v>107</v>
      </c>
    </row>
    <row r="15" spans="1:88">
      <c r="A15" s="24" t="s">
        <v>5208</v>
      </c>
      <c r="B15" s="24" t="s">
        <v>15</v>
      </c>
      <c r="C15" s="55" t="s">
        <v>36</v>
      </c>
      <c r="D15" s="18"/>
      <c r="E15" s="57" t="s">
        <v>107</v>
      </c>
      <c r="F15" s="57" t="s">
        <v>107</v>
      </c>
      <c r="G15" s="56" t="s">
        <v>107</v>
      </c>
      <c r="H15" s="56" t="s">
        <v>107</v>
      </c>
      <c r="I15" s="56" t="s">
        <v>107</v>
      </c>
      <c r="J15" s="57" t="s">
        <v>107</v>
      </c>
      <c r="K15" s="56">
        <v>1</v>
      </c>
      <c r="L15" s="56" t="s">
        <v>107</v>
      </c>
      <c r="M15" s="57" t="s">
        <v>107</v>
      </c>
      <c r="N15" s="56" t="s">
        <v>107</v>
      </c>
      <c r="O15" s="56" t="s">
        <v>107</v>
      </c>
      <c r="P15" s="56" t="s">
        <v>107</v>
      </c>
      <c r="Q15" s="57">
        <v>1</v>
      </c>
      <c r="R15" s="56" t="s">
        <v>107</v>
      </c>
      <c r="S15" s="56" t="s">
        <v>107</v>
      </c>
      <c r="T15" s="57" t="s">
        <v>107</v>
      </c>
      <c r="U15" s="57" t="s">
        <v>107</v>
      </c>
      <c r="V15" s="56" t="s">
        <v>107</v>
      </c>
      <c r="W15" s="56" t="s">
        <v>107</v>
      </c>
      <c r="X15" s="56" t="s">
        <v>107</v>
      </c>
      <c r="Y15" s="57" t="s">
        <v>107</v>
      </c>
      <c r="Z15" s="56" t="s">
        <v>107</v>
      </c>
      <c r="AA15" s="56" t="s">
        <v>107</v>
      </c>
      <c r="AB15" s="56" t="s">
        <v>107</v>
      </c>
      <c r="AC15" s="57" t="s">
        <v>107</v>
      </c>
      <c r="AD15" s="56" t="s">
        <v>107</v>
      </c>
      <c r="AE15" s="56" t="s">
        <v>107</v>
      </c>
      <c r="AF15" s="56" t="s">
        <v>107</v>
      </c>
      <c r="AG15" s="57" t="s">
        <v>107</v>
      </c>
      <c r="AH15" s="56" t="s">
        <v>107</v>
      </c>
      <c r="AI15" s="56" t="s">
        <v>107</v>
      </c>
      <c r="AJ15" s="56" t="s">
        <v>107</v>
      </c>
      <c r="AK15" s="57" t="s">
        <v>107</v>
      </c>
      <c r="AL15" s="56" t="s">
        <v>107</v>
      </c>
      <c r="AM15" s="56" t="s">
        <v>107</v>
      </c>
      <c r="AN15" s="57" t="s">
        <v>107</v>
      </c>
      <c r="AO15" s="56" t="s">
        <v>107</v>
      </c>
      <c r="AP15" s="56" t="s">
        <v>107</v>
      </c>
      <c r="AQ15" s="56" t="s">
        <v>107</v>
      </c>
      <c r="AR15" s="57" t="s">
        <v>107</v>
      </c>
      <c r="AS15" s="56" t="s">
        <v>107</v>
      </c>
      <c r="AT15" s="56" t="s">
        <v>107</v>
      </c>
      <c r="AU15" s="57" t="s">
        <v>107</v>
      </c>
      <c r="AV15" s="56" t="s">
        <v>107</v>
      </c>
      <c r="AW15" s="56" t="s">
        <v>107</v>
      </c>
      <c r="AX15" s="56" t="s">
        <v>107</v>
      </c>
      <c r="AY15" s="57" t="s">
        <v>107</v>
      </c>
      <c r="AZ15" s="56" t="s">
        <v>107</v>
      </c>
      <c r="BA15" s="57" t="s">
        <v>107</v>
      </c>
      <c r="BB15" s="56" t="s">
        <v>107</v>
      </c>
      <c r="BC15" s="56" t="s">
        <v>107</v>
      </c>
      <c r="BD15" s="56" t="s">
        <v>107</v>
      </c>
      <c r="BE15" s="57" t="s">
        <v>107</v>
      </c>
      <c r="BF15" s="56" t="s">
        <v>107</v>
      </c>
      <c r="BG15" s="56" t="s">
        <v>107</v>
      </c>
      <c r="BH15" s="57" t="s">
        <v>107</v>
      </c>
      <c r="BI15" s="56" t="s">
        <v>107</v>
      </c>
      <c r="BJ15" s="56" t="s">
        <v>107</v>
      </c>
      <c r="BK15" s="56" t="s">
        <v>107</v>
      </c>
      <c r="BL15" s="57" t="s">
        <v>107</v>
      </c>
      <c r="BM15" s="56" t="s">
        <v>107</v>
      </c>
      <c r="BN15" s="56" t="s">
        <v>107</v>
      </c>
      <c r="BO15" s="57" t="s">
        <v>107</v>
      </c>
      <c r="BP15" s="56" t="s">
        <v>107</v>
      </c>
      <c r="BQ15" s="56" t="s">
        <v>107</v>
      </c>
      <c r="BR15" s="57" t="s">
        <v>107</v>
      </c>
      <c r="BS15" s="56" t="s">
        <v>107</v>
      </c>
      <c r="BT15" s="56" t="s">
        <v>107</v>
      </c>
      <c r="BU15" s="57" t="s">
        <v>107</v>
      </c>
      <c r="BV15" s="56" t="s">
        <v>107</v>
      </c>
      <c r="BW15" s="57" t="s">
        <v>107</v>
      </c>
      <c r="BX15" s="56" t="s">
        <v>107</v>
      </c>
      <c r="BY15" s="56" t="s">
        <v>107</v>
      </c>
      <c r="BZ15" s="56" t="s">
        <v>107</v>
      </c>
      <c r="CA15" s="57" t="s">
        <v>107</v>
      </c>
      <c r="CB15" s="56" t="s">
        <v>107</v>
      </c>
      <c r="CC15" s="56" t="s">
        <v>107</v>
      </c>
      <c r="CD15" s="56" t="s">
        <v>107</v>
      </c>
      <c r="CE15" s="57" t="s">
        <v>107</v>
      </c>
      <c r="CF15" s="57" t="s">
        <v>107</v>
      </c>
      <c r="CG15" s="56" t="s">
        <v>107</v>
      </c>
      <c r="CH15" s="56" t="s">
        <v>107</v>
      </c>
      <c r="CI15" s="56" t="s">
        <v>107</v>
      </c>
      <c r="CJ15" s="57" t="s">
        <v>107</v>
      </c>
    </row>
    <row r="16" spans="1:88">
      <c r="A16" s="24" t="s">
        <v>5208</v>
      </c>
      <c r="B16" s="24" t="s">
        <v>15</v>
      </c>
      <c r="C16" s="55" t="s">
        <v>39</v>
      </c>
      <c r="D16" s="18"/>
      <c r="E16" s="57">
        <v>2</v>
      </c>
      <c r="F16" s="57" t="s">
        <v>107</v>
      </c>
      <c r="G16" s="56" t="s">
        <v>107</v>
      </c>
      <c r="H16" s="56" t="s">
        <v>107</v>
      </c>
      <c r="I16" s="56" t="s">
        <v>107</v>
      </c>
      <c r="J16" s="57" t="s">
        <v>107</v>
      </c>
      <c r="K16" s="56" t="s">
        <v>107</v>
      </c>
      <c r="L16" s="56" t="s">
        <v>107</v>
      </c>
      <c r="M16" s="57" t="s">
        <v>107</v>
      </c>
      <c r="N16" s="56" t="s">
        <v>107</v>
      </c>
      <c r="O16" s="56" t="s">
        <v>107</v>
      </c>
      <c r="P16" s="56" t="s">
        <v>107</v>
      </c>
      <c r="Q16" s="57" t="s">
        <v>107</v>
      </c>
      <c r="R16" s="56" t="s">
        <v>107</v>
      </c>
      <c r="S16" s="56" t="s">
        <v>107</v>
      </c>
      <c r="T16" s="57" t="s">
        <v>107</v>
      </c>
      <c r="U16" s="57" t="s">
        <v>107</v>
      </c>
      <c r="V16" s="56" t="s">
        <v>107</v>
      </c>
      <c r="W16" s="56" t="s">
        <v>107</v>
      </c>
      <c r="X16" s="56" t="s">
        <v>107</v>
      </c>
      <c r="Y16" s="57" t="s">
        <v>107</v>
      </c>
      <c r="Z16" s="56" t="s">
        <v>107</v>
      </c>
      <c r="AA16" s="56" t="s">
        <v>107</v>
      </c>
      <c r="AB16" s="56" t="s">
        <v>107</v>
      </c>
      <c r="AC16" s="57" t="s">
        <v>107</v>
      </c>
      <c r="AD16" s="56" t="s">
        <v>107</v>
      </c>
      <c r="AE16" s="56" t="s">
        <v>107</v>
      </c>
      <c r="AF16" s="56" t="s">
        <v>107</v>
      </c>
      <c r="AG16" s="57" t="s">
        <v>107</v>
      </c>
      <c r="AH16" s="56">
        <v>3</v>
      </c>
      <c r="AI16" s="56" t="s">
        <v>107</v>
      </c>
      <c r="AJ16" s="56" t="s">
        <v>107</v>
      </c>
      <c r="AK16" s="57" t="s">
        <v>107</v>
      </c>
      <c r="AL16" s="56" t="s">
        <v>107</v>
      </c>
      <c r="AM16" s="56" t="s">
        <v>107</v>
      </c>
      <c r="AN16" s="57" t="s">
        <v>107</v>
      </c>
      <c r="AO16" s="56" t="s">
        <v>107</v>
      </c>
      <c r="AP16" s="56">
        <v>4</v>
      </c>
      <c r="AQ16" s="56" t="s">
        <v>107</v>
      </c>
      <c r="AR16" s="57">
        <v>2</v>
      </c>
      <c r="AS16" s="56" t="s">
        <v>107</v>
      </c>
      <c r="AT16" s="56" t="s">
        <v>107</v>
      </c>
      <c r="AU16" s="57">
        <v>7</v>
      </c>
      <c r="AV16" s="56" t="s">
        <v>107</v>
      </c>
      <c r="AW16" s="56">
        <v>7</v>
      </c>
      <c r="AX16" s="56" t="s">
        <v>107</v>
      </c>
      <c r="AY16" s="57" t="s">
        <v>107</v>
      </c>
      <c r="AZ16" s="56" t="s">
        <v>107</v>
      </c>
      <c r="BA16" s="57" t="s">
        <v>107</v>
      </c>
      <c r="BB16" s="56">
        <v>6</v>
      </c>
      <c r="BC16" s="56">
        <v>6</v>
      </c>
      <c r="BD16" s="56">
        <v>4</v>
      </c>
      <c r="BE16" s="57" t="s">
        <v>107</v>
      </c>
      <c r="BF16" s="56" t="s">
        <v>107</v>
      </c>
      <c r="BG16" s="56" t="s">
        <v>107</v>
      </c>
      <c r="BH16" s="57" t="s">
        <v>107</v>
      </c>
      <c r="BI16" s="56" t="s">
        <v>107</v>
      </c>
      <c r="BJ16" s="56" t="s">
        <v>107</v>
      </c>
      <c r="BK16" s="56" t="s">
        <v>107</v>
      </c>
      <c r="BL16" s="57">
        <v>4</v>
      </c>
      <c r="BM16" s="56" t="s">
        <v>107</v>
      </c>
      <c r="BN16" s="56" t="s">
        <v>107</v>
      </c>
      <c r="BO16" s="57" t="s">
        <v>107</v>
      </c>
      <c r="BP16" s="56" t="s">
        <v>107</v>
      </c>
      <c r="BQ16" s="56" t="s">
        <v>107</v>
      </c>
      <c r="BR16" s="57" t="s">
        <v>107</v>
      </c>
      <c r="BS16" s="56" t="s">
        <v>107</v>
      </c>
      <c r="BT16" s="56" t="s">
        <v>107</v>
      </c>
      <c r="BU16" s="57" t="s">
        <v>107</v>
      </c>
      <c r="BV16" s="56" t="s">
        <v>107</v>
      </c>
      <c r="BW16" s="57" t="s">
        <v>107</v>
      </c>
      <c r="BX16" s="56" t="s">
        <v>107</v>
      </c>
      <c r="BY16" s="56" t="s">
        <v>107</v>
      </c>
      <c r="BZ16" s="56" t="s">
        <v>107</v>
      </c>
      <c r="CA16" s="57" t="s">
        <v>107</v>
      </c>
      <c r="CB16" s="56" t="s">
        <v>107</v>
      </c>
      <c r="CC16" s="56" t="s">
        <v>107</v>
      </c>
      <c r="CD16" s="56" t="s">
        <v>107</v>
      </c>
      <c r="CE16" s="57" t="s">
        <v>107</v>
      </c>
      <c r="CF16" s="57" t="s">
        <v>107</v>
      </c>
      <c r="CG16" s="56" t="s">
        <v>107</v>
      </c>
      <c r="CH16" s="56" t="s">
        <v>107</v>
      </c>
      <c r="CI16" s="56" t="s">
        <v>107</v>
      </c>
      <c r="CJ16" s="57" t="s">
        <v>107</v>
      </c>
    </row>
    <row r="17" spans="1:88">
      <c r="A17" s="24" t="s">
        <v>5208</v>
      </c>
      <c r="B17" s="24" t="s">
        <v>15</v>
      </c>
      <c r="C17" s="55" t="s">
        <v>40</v>
      </c>
      <c r="D17" s="18"/>
      <c r="E17" s="57">
        <v>1</v>
      </c>
      <c r="F17" s="57" t="s">
        <v>107</v>
      </c>
      <c r="G17" s="56" t="s">
        <v>107</v>
      </c>
      <c r="H17" s="56" t="s">
        <v>107</v>
      </c>
      <c r="I17" s="56">
        <v>1</v>
      </c>
      <c r="J17" s="57" t="s">
        <v>107</v>
      </c>
      <c r="K17" s="56" t="s">
        <v>107</v>
      </c>
      <c r="L17" s="56" t="s">
        <v>107</v>
      </c>
      <c r="M17" s="57" t="s">
        <v>107</v>
      </c>
      <c r="N17" s="56" t="s">
        <v>107</v>
      </c>
      <c r="O17" s="56" t="s">
        <v>107</v>
      </c>
      <c r="P17" s="56" t="s">
        <v>107</v>
      </c>
      <c r="Q17" s="57">
        <v>1</v>
      </c>
      <c r="R17" s="56" t="s">
        <v>107</v>
      </c>
      <c r="S17" s="56" t="s">
        <v>107</v>
      </c>
      <c r="T17" s="57" t="s">
        <v>107</v>
      </c>
      <c r="U17" s="57" t="s">
        <v>107</v>
      </c>
      <c r="V17" s="56" t="s">
        <v>107</v>
      </c>
      <c r="W17" s="56" t="s">
        <v>107</v>
      </c>
      <c r="X17" s="56">
        <v>2</v>
      </c>
      <c r="Y17" s="57" t="s">
        <v>107</v>
      </c>
      <c r="Z17" s="56">
        <v>1</v>
      </c>
      <c r="AA17" s="56" t="s">
        <v>107</v>
      </c>
      <c r="AB17" s="56" t="s">
        <v>107</v>
      </c>
      <c r="AC17" s="57" t="s">
        <v>107</v>
      </c>
      <c r="AD17" s="56" t="s">
        <v>107</v>
      </c>
      <c r="AE17" s="56" t="s">
        <v>107</v>
      </c>
      <c r="AF17" s="56" t="s">
        <v>107</v>
      </c>
      <c r="AG17" s="57" t="s">
        <v>107</v>
      </c>
      <c r="AH17" s="56">
        <v>1</v>
      </c>
      <c r="AI17" s="56" t="s">
        <v>107</v>
      </c>
      <c r="AJ17" s="56" t="s">
        <v>107</v>
      </c>
      <c r="AK17" s="57" t="s">
        <v>107</v>
      </c>
      <c r="AL17" s="56" t="s">
        <v>107</v>
      </c>
      <c r="AM17" s="56" t="s">
        <v>107</v>
      </c>
      <c r="AN17" s="57" t="s">
        <v>107</v>
      </c>
      <c r="AO17" s="56" t="s">
        <v>107</v>
      </c>
      <c r="AP17" s="56">
        <v>1</v>
      </c>
      <c r="AQ17" s="56" t="s">
        <v>107</v>
      </c>
      <c r="AR17" s="57" t="s">
        <v>107</v>
      </c>
      <c r="AS17" s="56" t="s">
        <v>107</v>
      </c>
      <c r="AT17" s="56" t="s">
        <v>107</v>
      </c>
      <c r="AU17" s="57" t="s">
        <v>107</v>
      </c>
      <c r="AV17" s="56" t="s">
        <v>107</v>
      </c>
      <c r="AW17" s="56" t="s">
        <v>107</v>
      </c>
      <c r="AX17" s="56" t="s">
        <v>107</v>
      </c>
      <c r="AY17" s="57" t="s">
        <v>107</v>
      </c>
      <c r="AZ17" s="56" t="s">
        <v>107</v>
      </c>
      <c r="BA17" s="57" t="s">
        <v>107</v>
      </c>
      <c r="BB17" s="56" t="s">
        <v>107</v>
      </c>
      <c r="BC17" s="56">
        <v>1</v>
      </c>
      <c r="BD17" s="56" t="s">
        <v>107</v>
      </c>
      <c r="BE17" s="57" t="s">
        <v>107</v>
      </c>
      <c r="BF17" s="56" t="s">
        <v>107</v>
      </c>
      <c r="BG17" s="56" t="s">
        <v>107</v>
      </c>
      <c r="BH17" s="57" t="s">
        <v>107</v>
      </c>
      <c r="BI17" s="56" t="s">
        <v>107</v>
      </c>
      <c r="BJ17" s="56" t="s">
        <v>107</v>
      </c>
      <c r="BK17" s="56" t="s">
        <v>107</v>
      </c>
      <c r="BL17" s="57" t="s">
        <v>107</v>
      </c>
      <c r="BM17" s="56" t="s">
        <v>107</v>
      </c>
      <c r="BN17" s="56" t="s">
        <v>107</v>
      </c>
      <c r="BO17" s="57" t="s">
        <v>107</v>
      </c>
      <c r="BP17" s="56" t="s">
        <v>107</v>
      </c>
      <c r="BQ17" s="56" t="s">
        <v>107</v>
      </c>
      <c r="BR17" s="57" t="s">
        <v>107</v>
      </c>
      <c r="BS17" s="56" t="s">
        <v>107</v>
      </c>
      <c r="BT17" s="56">
        <v>1</v>
      </c>
      <c r="BU17" s="57" t="s">
        <v>107</v>
      </c>
      <c r="BV17" s="56" t="s">
        <v>107</v>
      </c>
      <c r="BW17" s="57" t="s">
        <v>107</v>
      </c>
      <c r="BX17" s="56">
        <v>1</v>
      </c>
      <c r="BY17" s="56" t="s">
        <v>107</v>
      </c>
      <c r="BZ17" s="56">
        <v>1</v>
      </c>
      <c r="CA17" s="57" t="s">
        <v>107</v>
      </c>
      <c r="CB17" s="56" t="s">
        <v>107</v>
      </c>
      <c r="CC17" s="56" t="s">
        <v>107</v>
      </c>
      <c r="CD17" s="56" t="s">
        <v>107</v>
      </c>
      <c r="CE17" s="57" t="s">
        <v>107</v>
      </c>
      <c r="CF17" s="57" t="s">
        <v>107</v>
      </c>
      <c r="CG17" s="56" t="s">
        <v>107</v>
      </c>
      <c r="CH17" s="56" t="s">
        <v>107</v>
      </c>
      <c r="CI17" s="56" t="s">
        <v>107</v>
      </c>
      <c r="CJ17" s="57" t="s">
        <v>107</v>
      </c>
    </row>
    <row r="18" spans="1:88">
      <c r="A18" s="24" t="s">
        <v>5208</v>
      </c>
      <c r="B18" s="24" t="s">
        <v>15</v>
      </c>
      <c r="C18" s="55" t="s">
        <v>41</v>
      </c>
      <c r="D18" s="18"/>
      <c r="E18" s="57" t="s">
        <v>107</v>
      </c>
      <c r="F18" s="57" t="s">
        <v>107</v>
      </c>
      <c r="G18" s="56" t="s">
        <v>107</v>
      </c>
      <c r="H18" s="56" t="s">
        <v>107</v>
      </c>
      <c r="I18" s="56" t="s">
        <v>107</v>
      </c>
      <c r="J18" s="57" t="s">
        <v>107</v>
      </c>
      <c r="K18" s="56" t="s">
        <v>107</v>
      </c>
      <c r="L18" s="56" t="s">
        <v>107</v>
      </c>
      <c r="M18" s="57" t="s">
        <v>107</v>
      </c>
      <c r="N18" s="56" t="s">
        <v>107</v>
      </c>
      <c r="O18" s="56" t="s">
        <v>107</v>
      </c>
      <c r="P18" s="56" t="s">
        <v>107</v>
      </c>
      <c r="Q18" s="57" t="s">
        <v>107</v>
      </c>
      <c r="R18" s="56" t="s">
        <v>107</v>
      </c>
      <c r="S18" s="56" t="s">
        <v>107</v>
      </c>
      <c r="T18" s="57" t="s">
        <v>107</v>
      </c>
      <c r="U18" s="57" t="s">
        <v>107</v>
      </c>
      <c r="V18" s="56" t="s">
        <v>107</v>
      </c>
      <c r="W18" s="56" t="s">
        <v>107</v>
      </c>
      <c r="X18" s="56" t="s">
        <v>107</v>
      </c>
      <c r="Y18" s="57" t="s">
        <v>107</v>
      </c>
      <c r="Z18" s="56" t="s">
        <v>107</v>
      </c>
      <c r="AA18" s="56" t="s">
        <v>107</v>
      </c>
      <c r="AB18" s="56" t="s">
        <v>107</v>
      </c>
      <c r="AC18" s="57" t="s">
        <v>107</v>
      </c>
      <c r="AD18" s="56" t="s">
        <v>107</v>
      </c>
      <c r="AE18" s="56" t="s">
        <v>107</v>
      </c>
      <c r="AF18" s="56" t="s">
        <v>107</v>
      </c>
      <c r="AG18" s="57" t="s">
        <v>107</v>
      </c>
      <c r="AH18" s="56" t="s">
        <v>107</v>
      </c>
      <c r="AI18" s="56" t="s">
        <v>107</v>
      </c>
      <c r="AJ18" s="56" t="s">
        <v>107</v>
      </c>
      <c r="AK18" s="57" t="s">
        <v>107</v>
      </c>
      <c r="AL18" s="56" t="s">
        <v>107</v>
      </c>
      <c r="AM18" s="56" t="s">
        <v>107</v>
      </c>
      <c r="AN18" s="57" t="s">
        <v>107</v>
      </c>
      <c r="AO18" s="56" t="s">
        <v>107</v>
      </c>
      <c r="AP18" s="56" t="s">
        <v>107</v>
      </c>
      <c r="AQ18" s="56" t="s">
        <v>107</v>
      </c>
      <c r="AR18" s="57">
        <v>1</v>
      </c>
      <c r="AS18" s="56" t="s">
        <v>107</v>
      </c>
      <c r="AT18" s="56" t="s">
        <v>107</v>
      </c>
      <c r="AU18" s="57" t="s">
        <v>107</v>
      </c>
      <c r="AV18" s="56" t="s">
        <v>107</v>
      </c>
      <c r="AW18" s="56" t="s">
        <v>107</v>
      </c>
      <c r="AX18" s="56" t="s">
        <v>107</v>
      </c>
      <c r="AY18" s="57" t="s">
        <v>107</v>
      </c>
      <c r="AZ18" s="56" t="s">
        <v>107</v>
      </c>
      <c r="BA18" s="57" t="s">
        <v>107</v>
      </c>
      <c r="BB18" s="56" t="s">
        <v>107</v>
      </c>
      <c r="BC18" s="56" t="s">
        <v>107</v>
      </c>
      <c r="BD18" s="56" t="s">
        <v>107</v>
      </c>
      <c r="BE18" s="57" t="s">
        <v>107</v>
      </c>
      <c r="BF18" s="56" t="s">
        <v>107</v>
      </c>
      <c r="BG18" s="56" t="s">
        <v>107</v>
      </c>
      <c r="BH18" s="57" t="s">
        <v>107</v>
      </c>
      <c r="BI18" s="56" t="s">
        <v>107</v>
      </c>
      <c r="BJ18" s="56" t="s">
        <v>107</v>
      </c>
      <c r="BK18" s="56" t="s">
        <v>107</v>
      </c>
      <c r="BL18" s="57" t="s">
        <v>107</v>
      </c>
      <c r="BM18" s="56" t="s">
        <v>107</v>
      </c>
      <c r="BN18" s="56" t="s">
        <v>107</v>
      </c>
      <c r="BO18" s="57" t="s">
        <v>107</v>
      </c>
      <c r="BP18" s="56" t="s">
        <v>107</v>
      </c>
      <c r="BQ18" s="56" t="s">
        <v>107</v>
      </c>
      <c r="BR18" s="57" t="s">
        <v>107</v>
      </c>
      <c r="BS18" s="56" t="s">
        <v>107</v>
      </c>
      <c r="BT18" s="56" t="s">
        <v>107</v>
      </c>
      <c r="BU18" s="57" t="s">
        <v>107</v>
      </c>
      <c r="BV18" s="56" t="s">
        <v>107</v>
      </c>
      <c r="BW18" s="57" t="s">
        <v>107</v>
      </c>
      <c r="BX18" s="56" t="s">
        <v>107</v>
      </c>
      <c r="BY18" s="56" t="s">
        <v>107</v>
      </c>
      <c r="BZ18" s="56" t="s">
        <v>107</v>
      </c>
      <c r="CA18" s="57" t="s">
        <v>107</v>
      </c>
      <c r="CB18" s="56" t="s">
        <v>107</v>
      </c>
      <c r="CC18" s="56" t="s">
        <v>107</v>
      </c>
      <c r="CD18" s="56" t="s">
        <v>107</v>
      </c>
      <c r="CE18" s="57" t="s">
        <v>107</v>
      </c>
      <c r="CF18" s="57" t="s">
        <v>107</v>
      </c>
      <c r="CG18" s="56" t="s">
        <v>107</v>
      </c>
      <c r="CH18" s="56" t="s">
        <v>107</v>
      </c>
      <c r="CI18" s="56" t="s">
        <v>107</v>
      </c>
      <c r="CJ18" s="57" t="s">
        <v>107</v>
      </c>
    </row>
    <row r="19" spans="1:88">
      <c r="A19" s="24" t="s">
        <v>5208</v>
      </c>
      <c r="B19" s="24" t="s">
        <v>15</v>
      </c>
      <c r="C19" s="55" t="s">
        <v>42</v>
      </c>
      <c r="D19" s="18"/>
      <c r="E19" s="57" t="s">
        <v>107</v>
      </c>
      <c r="F19" s="57" t="s">
        <v>107</v>
      </c>
      <c r="G19" s="56" t="s">
        <v>107</v>
      </c>
      <c r="H19" s="56" t="s">
        <v>107</v>
      </c>
      <c r="I19" s="56" t="s">
        <v>107</v>
      </c>
      <c r="J19" s="57" t="s">
        <v>107</v>
      </c>
      <c r="K19" s="56">
        <v>2</v>
      </c>
      <c r="L19" s="56" t="s">
        <v>107</v>
      </c>
      <c r="M19" s="57">
        <v>1</v>
      </c>
      <c r="N19" s="56" t="s">
        <v>107</v>
      </c>
      <c r="O19" s="56">
        <v>2</v>
      </c>
      <c r="P19" s="56">
        <v>1</v>
      </c>
      <c r="Q19" s="57">
        <v>1</v>
      </c>
      <c r="R19" s="56" t="s">
        <v>107</v>
      </c>
      <c r="S19" s="56" t="s">
        <v>107</v>
      </c>
      <c r="T19" s="57" t="s">
        <v>107</v>
      </c>
      <c r="U19" s="57" t="s">
        <v>107</v>
      </c>
      <c r="V19" s="56" t="s">
        <v>107</v>
      </c>
      <c r="W19" s="56" t="s">
        <v>107</v>
      </c>
      <c r="X19" s="56">
        <v>1</v>
      </c>
      <c r="Y19" s="57" t="s">
        <v>107</v>
      </c>
      <c r="Z19" s="56">
        <v>2</v>
      </c>
      <c r="AA19" s="56">
        <v>1</v>
      </c>
      <c r="AB19" s="56">
        <v>3</v>
      </c>
      <c r="AC19" s="57" t="s">
        <v>107</v>
      </c>
      <c r="AD19" s="56" t="s">
        <v>107</v>
      </c>
      <c r="AE19" s="56" t="s">
        <v>107</v>
      </c>
      <c r="AF19" s="56" t="s">
        <v>107</v>
      </c>
      <c r="AG19" s="57" t="s">
        <v>107</v>
      </c>
      <c r="AH19" s="56" t="s">
        <v>107</v>
      </c>
      <c r="AI19" s="56" t="s">
        <v>107</v>
      </c>
      <c r="AJ19" s="56" t="s">
        <v>107</v>
      </c>
      <c r="AK19" s="57" t="s">
        <v>107</v>
      </c>
      <c r="AL19" s="56" t="s">
        <v>107</v>
      </c>
      <c r="AM19" s="56" t="s">
        <v>107</v>
      </c>
      <c r="AN19" s="57" t="s">
        <v>107</v>
      </c>
      <c r="AO19" s="56" t="s">
        <v>107</v>
      </c>
      <c r="AP19" s="56" t="s">
        <v>107</v>
      </c>
      <c r="AQ19" s="56" t="s">
        <v>107</v>
      </c>
      <c r="AR19" s="57">
        <v>1</v>
      </c>
      <c r="AS19" s="56" t="s">
        <v>107</v>
      </c>
      <c r="AT19" s="56" t="s">
        <v>107</v>
      </c>
      <c r="AU19" s="57" t="s">
        <v>107</v>
      </c>
      <c r="AV19" s="56" t="s">
        <v>107</v>
      </c>
      <c r="AW19" s="56" t="s">
        <v>107</v>
      </c>
      <c r="AX19" s="56" t="s">
        <v>107</v>
      </c>
      <c r="AY19" s="57" t="s">
        <v>107</v>
      </c>
      <c r="AZ19" s="56" t="s">
        <v>107</v>
      </c>
      <c r="BA19" s="57" t="s">
        <v>107</v>
      </c>
      <c r="BB19" s="56">
        <v>1</v>
      </c>
      <c r="BC19" s="56" t="s">
        <v>107</v>
      </c>
      <c r="BD19" s="56">
        <v>1</v>
      </c>
      <c r="BE19" s="57" t="s">
        <v>107</v>
      </c>
      <c r="BF19" s="56" t="s">
        <v>107</v>
      </c>
      <c r="BG19" s="56" t="s">
        <v>107</v>
      </c>
      <c r="BH19" s="57" t="s">
        <v>107</v>
      </c>
      <c r="BI19" s="56" t="s">
        <v>107</v>
      </c>
      <c r="BJ19" s="56" t="s">
        <v>107</v>
      </c>
      <c r="BK19" s="56" t="s">
        <v>107</v>
      </c>
      <c r="BL19" s="57">
        <v>1</v>
      </c>
      <c r="BM19" s="56" t="s">
        <v>107</v>
      </c>
      <c r="BN19" s="56">
        <v>3</v>
      </c>
      <c r="BO19" s="57" t="s">
        <v>107</v>
      </c>
      <c r="BP19" s="56">
        <v>1</v>
      </c>
      <c r="BQ19" s="56" t="s">
        <v>107</v>
      </c>
      <c r="BR19" s="57">
        <v>3</v>
      </c>
      <c r="BS19" s="56">
        <v>1</v>
      </c>
      <c r="BT19" s="56" t="s">
        <v>107</v>
      </c>
      <c r="BU19" s="57" t="s">
        <v>107</v>
      </c>
      <c r="BV19" s="56" t="s">
        <v>107</v>
      </c>
      <c r="BW19" s="57" t="s">
        <v>107</v>
      </c>
      <c r="BX19" s="56" t="s">
        <v>107</v>
      </c>
      <c r="BY19" s="56" t="s">
        <v>107</v>
      </c>
      <c r="BZ19" s="56">
        <v>1</v>
      </c>
      <c r="CA19" s="57" t="s">
        <v>107</v>
      </c>
      <c r="CB19" s="56" t="s">
        <v>107</v>
      </c>
      <c r="CC19" s="56" t="s">
        <v>107</v>
      </c>
      <c r="CD19" s="56">
        <v>1</v>
      </c>
      <c r="CE19" s="57" t="s">
        <v>107</v>
      </c>
      <c r="CF19" s="57" t="s">
        <v>107</v>
      </c>
      <c r="CG19" s="56" t="s">
        <v>107</v>
      </c>
      <c r="CH19" s="56">
        <v>4</v>
      </c>
      <c r="CI19" s="56" t="s">
        <v>107</v>
      </c>
      <c r="CJ19" s="57" t="s">
        <v>107</v>
      </c>
    </row>
    <row r="20" spans="1:88">
      <c r="A20" s="24" t="s">
        <v>5208</v>
      </c>
      <c r="B20" s="24" t="s">
        <v>15</v>
      </c>
      <c r="C20" s="55" t="s">
        <v>43</v>
      </c>
      <c r="D20" s="18"/>
      <c r="E20" s="57" t="s">
        <v>107</v>
      </c>
      <c r="F20" s="57" t="s">
        <v>107</v>
      </c>
      <c r="G20" s="56" t="s">
        <v>107</v>
      </c>
      <c r="H20" s="56" t="s">
        <v>107</v>
      </c>
      <c r="I20" s="56" t="s">
        <v>107</v>
      </c>
      <c r="J20" s="57" t="s">
        <v>107</v>
      </c>
      <c r="K20" s="56" t="s">
        <v>107</v>
      </c>
      <c r="L20" s="56" t="s">
        <v>107</v>
      </c>
      <c r="M20" s="57" t="s">
        <v>107</v>
      </c>
      <c r="N20" s="56" t="s">
        <v>107</v>
      </c>
      <c r="O20" s="56" t="s">
        <v>107</v>
      </c>
      <c r="P20" s="56" t="s">
        <v>107</v>
      </c>
      <c r="Q20" s="57" t="s">
        <v>107</v>
      </c>
      <c r="R20" s="56" t="s">
        <v>107</v>
      </c>
      <c r="S20" s="56" t="s">
        <v>107</v>
      </c>
      <c r="T20" s="57" t="s">
        <v>107</v>
      </c>
      <c r="U20" s="57" t="s">
        <v>107</v>
      </c>
      <c r="V20" s="56" t="s">
        <v>107</v>
      </c>
      <c r="W20" s="56" t="s">
        <v>107</v>
      </c>
      <c r="X20" s="56" t="s">
        <v>107</v>
      </c>
      <c r="Y20" s="57" t="s">
        <v>107</v>
      </c>
      <c r="Z20" s="56">
        <v>1</v>
      </c>
      <c r="AA20" s="56" t="s">
        <v>107</v>
      </c>
      <c r="AB20" s="56">
        <v>3</v>
      </c>
      <c r="AC20" s="57" t="s">
        <v>107</v>
      </c>
      <c r="AD20" s="56" t="s">
        <v>107</v>
      </c>
      <c r="AE20" s="56" t="s">
        <v>107</v>
      </c>
      <c r="AF20" s="56" t="s">
        <v>107</v>
      </c>
      <c r="AG20" s="57" t="s">
        <v>107</v>
      </c>
      <c r="AH20" s="56">
        <v>1</v>
      </c>
      <c r="AI20" s="56" t="s">
        <v>107</v>
      </c>
      <c r="AJ20" s="56" t="s">
        <v>107</v>
      </c>
      <c r="AK20" s="57" t="s">
        <v>107</v>
      </c>
      <c r="AL20" s="56" t="s">
        <v>107</v>
      </c>
      <c r="AM20" s="56" t="s">
        <v>107</v>
      </c>
      <c r="AN20" s="57">
        <v>3</v>
      </c>
      <c r="AO20" s="56" t="s">
        <v>107</v>
      </c>
      <c r="AP20" s="56" t="s">
        <v>107</v>
      </c>
      <c r="AQ20" s="56" t="s">
        <v>107</v>
      </c>
      <c r="AR20" s="57" t="s">
        <v>107</v>
      </c>
      <c r="AS20" s="56" t="s">
        <v>107</v>
      </c>
      <c r="AT20" s="56" t="s">
        <v>107</v>
      </c>
      <c r="AU20" s="57" t="s">
        <v>107</v>
      </c>
      <c r="AV20" s="56" t="s">
        <v>107</v>
      </c>
      <c r="AW20" s="56" t="s">
        <v>107</v>
      </c>
      <c r="AX20" s="56" t="s">
        <v>107</v>
      </c>
      <c r="AY20" s="57" t="s">
        <v>107</v>
      </c>
      <c r="AZ20" s="56" t="s">
        <v>107</v>
      </c>
      <c r="BA20" s="57" t="s">
        <v>107</v>
      </c>
      <c r="BB20" s="56" t="s">
        <v>107</v>
      </c>
      <c r="BC20" s="56" t="s">
        <v>107</v>
      </c>
      <c r="BD20" s="56" t="s">
        <v>107</v>
      </c>
      <c r="BE20" s="57" t="s">
        <v>107</v>
      </c>
      <c r="BF20" s="56" t="s">
        <v>107</v>
      </c>
      <c r="BG20" s="56" t="s">
        <v>107</v>
      </c>
      <c r="BH20" s="57" t="s">
        <v>107</v>
      </c>
      <c r="BI20" s="56" t="s">
        <v>107</v>
      </c>
      <c r="BJ20" s="56" t="s">
        <v>107</v>
      </c>
      <c r="BK20" s="56" t="s">
        <v>107</v>
      </c>
      <c r="BL20" s="57" t="s">
        <v>107</v>
      </c>
      <c r="BM20" s="56" t="s">
        <v>107</v>
      </c>
      <c r="BN20" s="56" t="s">
        <v>107</v>
      </c>
      <c r="BO20" s="57" t="s">
        <v>107</v>
      </c>
      <c r="BP20" s="56" t="s">
        <v>107</v>
      </c>
      <c r="BQ20" s="56" t="s">
        <v>107</v>
      </c>
      <c r="BR20" s="57" t="s">
        <v>107</v>
      </c>
      <c r="BS20" s="56" t="s">
        <v>107</v>
      </c>
      <c r="BT20" s="56" t="s">
        <v>107</v>
      </c>
      <c r="BU20" s="57" t="s">
        <v>107</v>
      </c>
      <c r="BV20" s="56" t="s">
        <v>107</v>
      </c>
      <c r="BW20" s="57" t="s">
        <v>107</v>
      </c>
      <c r="BX20" s="56" t="s">
        <v>107</v>
      </c>
      <c r="BY20" s="56" t="s">
        <v>107</v>
      </c>
      <c r="BZ20" s="56" t="s">
        <v>107</v>
      </c>
      <c r="CA20" s="57" t="s">
        <v>107</v>
      </c>
      <c r="CB20" s="56" t="s">
        <v>107</v>
      </c>
      <c r="CC20" s="56" t="s">
        <v>107</v>
      </c>
      <c r="CD20" s="56" t="s">
        <v>107</v>
      </c>
      <c r="CE20" s="57" t="s">
        <v>107</v>
      </c>
      <c r="CF20" s="57" t="s">
        <v>107</v>
      </c>
      <c r="CG20" s="56" t="s">
        <v>107</v>
      </c>
      <c r="CH20" s="56" t="s">
        <v>107</v>
      </c>
      <c r="CI20" s="56" t="s">
        <v>107</v>
      </c>
      <c r="CJ20" s="57" t="s">
        <v>107</v>
      </c>
    </row>
    <row r="21" spans="1:88">
      <c r="A21" s="24" t="s">
        <v>5208</v>
      </c>
      <c r="B21" s="24" t="s">
        <v>15</v>
      </c>
      <c r="C21" s="55" t="s">
        <v>44</v>
      </c>
      <c r="D21" s="18"/>
      <c r="E21" s="57" t="s">
        <v>107</v>
      </c>
      <c r="F21" s="57" t="s">
        <v>107</v>
      </c>
      <c r="G21" s="56" t="s">
        <v>107</v>
      </c>
      <c r="H21" s="56" t="s">
        <v>107</v>
      </c>
      <c r="I21" s="56">
        <v>2</v>
      </c>
      <c r="J21" s="57" t="s">
        <v>107</v>
      </c>
      <c r="K21" s="56">
        <v>2</v>
      </c>
      <c r="L21" s="56" t="s">
        <v>107</v>
      </c>
      <c r="M21" s="57" t="s">
        <v>107</v>
      </c>
      <c r="N21" s="56" t="s">
        <v>107</v>
      </c>
      <c r="O21" s="56">
        <v>3</v>
      </c>
      <c r="P21" s="56" t="s">
        <v>107</v>
      </c>
      <c r="Q21" s="57">
        <v>1</v>
      </c>
      <c r="R21" s="56" t="s">
        <v>107</v>
      </c>
      <c r="S21" s="56" t="s">
        <v>107</v>
      </c>
      <c r="T21" s="57" t="s">
        <v>107</v>
      </c>
      <c r="U21" s="57">
        <v>1</v>
      </c>
      <c r="V21" s="56">
        <v>3</v>
      </c>
      <c r="W21" s="56" t="s">
        <v>107</v>
      </c>
      <c r="X21" s="56" t="s">
        <v>107</v>
      </c>
      <c r="Y21" s="57" t="s">
        <v>107</v>
      </c>
      <c r="Z21" s="56">
        <v>1</v>
      </c>
      <c r="AA21" s="56">
        <v>1</v>
      </c>
      <c r="AB21" s="56" t="s">
        <v>107</v>
      </c>
      <c r="AC21" s="57" t="s">
        <v>107</v>
      </c>
      <c r="AD21" s="56" t="s">
        <v>107</v>
      </c>
      <c r="AE21" s="56" t="s">
        <v>107</v>
      </c>
      <c r="AF21" s="56" t="s">
        <v>107</v>
      </c>
      <c r="AG21" s="57" t="s">
        <v>107</v>
      </c>
      <c r="AH21" s="56">
        <v>2</v>
      </c>
      <c r="AI21" s="56" t="s">
        <v>107</v>
      </c>
      <c r="AJ21" s="56" t="s">
        <v>107</v>
      </c>
      <c r="AK21" s="57" t="s">
        <v>107</v>
      </c>
      <c r="AL21" s="56" t="s">
        <v>107</v>
      </c>
      <c r="AM21" s="56" t="s">
        <v>107</v>
      </c>
      <c r="AN21" s="57">
        <v>1</v>
      </c>
      <c r="AO21" s="56" t="s">
        <v>107</v>
      </c>
      <c r="AP21" s="56" t="s">
        <v>107</v>
      </c>
      <c r="AQ21" s="56" t="s">
        <v>107</v>
      </c>
      <c r="AR21" s="57">
        <v>2</v>
      </c>
      <c r="AS21" s="56" t="s">
        <v>107</v>
      </c>
      <c r="AT21" s="56" t="s">
        <v>107</v>
      </c>
      <c r="AU21" s="57" t="s">
        <v>107</v>
      </c>
      <c r="AV21" s="56" t="s">
        <v>107</v>
      </c>
      <c r="AW21" s="56" t="s">
        <v>107</v>
      </c>
      <c r="AX21" s="56" t="s">
        <v>107</v>
      </c>
      <c r="AY21" s="57" t="s">
        <v>107</v>
      </c>
      <c r="AZ21" s="56" t="s">
        <v>107</v>
      </c>
      <c r="BA21" s="57" t="s">
        <v>107</v>
      </c>
      <c r="BB21" s="56" t="s">
        <v>107</v>
      </c>
      <c r="BC21" s="56">
        <v>2</v>
      </c>
      <c r="BD21" s="56">
        <v>2</v>
      </c>
      <c r="BE21" s="57" t="s">
        <v>107</v>
      </c>
      <c r="BF21" s="56" t="s">
        <v>107</v>
      </c>
      <c r="BG21" s="56" t="s">
        <v>107</v>
      </c>
      <c r="BH21" s="57" t="s">
        <v>107</v>
      </c>
      <c r="BI21" s="56" t="s">
        <v>107</v>
      </c>
      <c r="BJ21" s="56" t="s">
        <v>107</v>
      </c>
      <c r="BK21" s="56" t="s">
        <v>107</v>
      </c>
      <c r="BL21" s="57">
        <v>1</v>
      </c>
      <c r="BM21" s="56" t="s">
        <v>107</v>
      </c>
      <c r="BN21" s="56">
        <v>1</v>
      </c>
      <c r="BO21" s="57" t="s">
        <v>107</v>
      </c>
      <c r="BP21" s="56" t="s">
        <v>107</v>
      </c>
      <c r="BQ21" s="56">
        <v>1</v>
      </c>
      <c r="BR21" s="57">
        <v>1</v>
      </c>
      <c r="BS21" s="56" t="s">
        <v>107</v>
      </c>
      <c r="BT21" s="56">
        <v>1</v>
      </c>
      <c r="BU21" s="57">
        <v>5</v>
      </c>
      <c r="BV21" s="56" t="s">
        <v>107</v>
      </c>
      <c r="BW21" s="57" t="s">
        <v>107</v>
      </c>
      <c r="BX21" s="56" t="s">
        <v>107</v>
      </c>
      <c r="BY21" s="56" t="s">
        <v>107</v>
      </c>
      <c r="BZ21" s="56" t="s">
        <v>107</v>
      </c>
      <c r="CA21" s="57" t="s">
        <v>107</v>
      </c>
      <c r="CB21" s="56" t="s">
        <v>107</v>
      </c>
      <c r="CC21" s="56" t="s">
        <v>107</v>
      </c>
      <c r="CD21" s="56" t="s">
        <v>107</v>
      </c>
      <c r="CE21" s="57" t="s">
        <v>107</v>
      </c>
      <c r="CF21" s="57" t="s">
        <v>107</v>
      </c>
      <c r="CG21" s="56" t="s">
        <v>107</v>
      </c>
      <c r="CH21" s="56">
        <v>3</v>
      </c>
      <c r="CI21" s="56">
        <v>1</v>
      </c>
      <c r="CJ21" s="57" t="s">
        <v>107</v>
      </c>
    </row>
    <row r="22" spans="1:88">
      <c r="A22" s="24" t="s">
        <v>5208</v>
      </c>
      <c r="B22" s="24" t="s">
        <v>15</v>
      </c>
      <c r="C22" s="55" t="s">
        <v>45</v>
      </c>
      <c r="D22" s="18"/>
      <c r="E22" s="57" t="s">
        <v>107</v>
      </c>
      <c r="F22" s="57" t="s">
        <v>107</v>
      </c>
      <c r="G22" s="56" t="s">
        <v>107</v>
      </c>
      <c r="H22" s="56" t="s">
        <v>107</v>
      </c>
      <c r="I22" s="56" t="s">
        <v>107</v>
      </c>
      <c r="J22" s="57" t="s">
        <v>107</v>
      </c>
      <c r="K22" s="56" t="s">
        <v>107</v>
      </c>
      <c r="L22" s="56" t="s">
        <v>107</v>
      </c>
      <c r="M22" s="57" t="s">
        <v>107</v>
      </c>
      <c r="N22" s="56" t="s">
        <v>107</v>
      </c>
      <c r="O22" s="56" t="s">
        <v>107</v>
      </c>
      <c r="P22" s="56" t="s">
        <v>107</v>
      </c>
      <c r="Q22" s="57" t="s">
        <v>107</v>
      </c>
      <c r="R22" s="56" t="s">
        <v>107</v>
      </c>
      <c r="S22" s="56" t="s">
        <v>107</v>
      </c>
      <c r="T22" s="57" t="s">
        <v>107</v>
      </c>
      <c r="U22" s="57" t="s">
        <v>107</v>
      </c>
      <c r="V22" s="56" t="s">
        <v>107</v>
      </c>
      <c r="W22" s="56" t="s">
        <v>107</v>
      </c>
      <c r="X22" s="56" t="s">
        <v>107</v>
      </c>
      <c r="Y22" s="57" t="s">
        <v>107</v>
      </c>
      <c r="Z22" s="56" t="s">
        <v>107</v>
      </c>
      <c r="AA22" s="56" t="s">
        <v>107</v>
      </c>
      <c r="AB22" s="56" t="s">
        <v>107</v>
      </c>
      <c r="AC22" s="57" t="s">
        <v>107</v>
      </c>
      <c r="AD22" s="56" t="s">
        <v>107</v>
      </c>
      <c r="AE22" s="56" t="s">
        <v>107</v>
      </c>
      <c r="AF22" s="56" t="s">
        <v>107</v>
      </c>
      <c r="AG22" s="57" t="s">
        <v>107</v>
      </c>
      <c r="AH22" s="56" t="s">
        <v>107</v>
      </c>
      <c r="AI22" s="56" t="s">
        <v>107</v>
      </c>
      <c r="AJ22" s="56" t="s">
        <v>107</v>
      </c>
      <c r="AK22" s="57" t="s">
        <v>107</v>
      </c>
      <c r="AL22" s="56" t="s">
        <v>107</v>
      </c>
      <c r="AM22" s="56" t="s">
        <v>107</v>
      </c>
      <c r="AN22" s="57" t="s">
        <v>107</v>
      </c>
      <c r="AO22" s="56" t="s">
        <v>107</v>
      </c>
      <c r="AP22" s="56" t="s">
        <v>107</v>
      </c>
      <c r="AQ22" s="56" t="s">
        <v>107</v>
      </c>
      <c r="AR22" s="57" t="s">
        <v>107</v>
      </c>
      <c r="AS22" s="56" t="s">
        <v>107</v>
      </c>
      <c r="AT22" s="56" t="s">
        <v>107</v>
      </c>
      <c r="AU22" s="57" t="s">
        <v>107</v>
      </c>
      <c r="AV22" s="56" t="s">
        <v>107</v>
      </c>
      <c r="AW22" s="56" t="s">
        <v>107</v>
      </c>
      <c r="AX22" s="56" t="s">
        <v>107</v>
      </c>
      <c r="AY22" s="57" t="s">
        <v>107</v>
      </c>
      <c r="AZ22" s="56" t="s">
        <v>107</v>
      </c>
      <c r="BA22" s="57" t="s">
        <v>107</v>
      </c>
      <c r="BB22" s="56" t="s">
        <v>107</v>
      </c>
      <c r="BC22" s="56" t="s">
        <v>107</v>
      </c>
      <c r="BD22" s="56" t="s">
        <v>107</v>
      </c>
      <c r="BE22" s="57" t="s">
        <v>107</v>
      </c>
      <c r="BF22" s="56" t="s">
        <v>107</v>
      </c>
      <c r="BG22" s="56" t="s">
        <v>107</v>
      </c>
      <c r="BH22" s="57" t="s">
        <v>107</v>
      </c>
      <c r="BI22" s="56" t="s">
        <v>107</v>
      </c>
      <c r="BJ22" s="56" t="s">
        <v>107</v>
      </c>
      <c r="BK22" s="56" t="s">
        <v>107</v>
      </c>
      <c r="BL22" s="57" t="s">
        <v>107</v>
      </c>
      <c r="BM22" s="56" t="s">
        <v>107</v>
      </c>
      <c r="BN22" s="56" t="s">
        <v>107</v>
      </c>
      <c r="BO22" s="57" t="s">
        <v>107</v>
      </c>
      <c r="BP22" s="56" t="s">
        <v>107</v>
      </c>
      <c r="BQ22" s="56" t="s">
        <v>107</v>
      </c>
      <c r="BR22" s="57" t="s">
        <v>107</v>
      </c>
      <c r="BS22" s="56" t="s">
        <v>107</v>
      </c>
      <c r="BT22" s="56" t="s">
        <v>107</v>
      </c>
      <c r="BU22" s="57" t="s">
        <v>107</v>
      </c>
      <c r="BV22" s="56" t="s">
        <v>107</v>
      </c>
      <c r="BW22" s="57" t="s">
        <v>107</v>
      </c>
      <c r="BX22" s="56" t="s">
        <v>107</v>
      </c>
      <c r="BY22" s="56" t="s">
        <v>107</v>
      </c>
      <c r="BZ22" s="56" t="s">
        <v>107</v>
      </c>
      <c r="CA22" s="57" t="s">
        <v>107</v>
      </c>
      <c r="CB22" s="56" t="s">
        <v>107</v>
      </c>
      <c r="CC22" s="56" t="s">
        <v>107</v>
      </c>
      <c r="CD22" s="56" t="s">
        <v>107</v>
      </c>
      <c r="CE22" s="57" t="s">
        <v>107</v>
      </c>
      <c r="CF22" s="57" t="s">
        <v>107</v>
      </c>
      <c r="CG22" s="56" t="s">
        <v>107</v>
      </c>
      <c r="CH22" s="56">
        <v>1</v>
      </c>
      <c r="CI22" s="56" t="s">
        <v>107</v>
      </c>
      <c r="CJ22" s="57" t="s">
        <v>107</v>
      </c>
    </row>
    <row r="23" spans="1:88">
      <c r="A23" s="24" t="s">
        <v>5208</v>
      </c>
      <c r="B23" s="24" t="s">
        <v>15</v>
      </c>
      <c r="C23" s="55" t="s">
        <v>46</v>
      </c>
      <c r="D23" s="18"/>
      <c r="E23" s="57" t="s">
        <v>107</v>
      </c>
      <c r="F23" s="57" t="s">
        <v>107</v>
      </c>
      <c r="G23" s="56" t="s">
        <v>107</v>
      </c>
      <c r="H23" s="56" t="s">
        <v>107</v>
      </c>
      <c r="I23" s="56" t="s">
        <v>107</v>
      </c>
      <c r="J23" s="57" t="s">
        <v>107</v>
      </c>
      <c r="K23" s="56" t="s">
        <v>107</v>
      </c>
      <c r="L23" s="56" t="s">
        <v>107</v>
      </c>
      <c r="M23" s="57" t="s">
        <v>107</v>
      </c>
      <c r="N23" s="56" t="s">
        <v>107</v>
      </c>
      <c r="O23" s="56" t="s">
        <v>107</v>
      </c>
      <c r="P23" s="56" t="s">
        <v>107</v>
      </c>
      <c r="Q23" s="57" t="s">
        <v>107</v>
      </c>
      <c r="R23" s="56" t="s">
        <v>107</v>
      </c>
      <c r="S23" s="56" t="s">
        <v>107</v>
      </c>
      <c r="T23" s="57" t="s">
        <v>107</v>
      </c>
      <c r="U23" s="57" t="s">
        <v>107</v>
      </c>
      <c r="V23" s="56" t="s">
        <v>107</v>
      </c>
      <c r="W23" s="56" t="s">
        <v>107</v>
      </c>
      <c r="X23" s="56" t="s">
        <v>107</v>
      </c>
      <c r="Y23" s="57" t="s">
        <v>107</v>
      </c>
      <c r="Z23" s="56" t="s">
        <v>107</v>
      </c>
      <c r="AA23" s="56">
        <v>1</v>
      </c>
      <c r="AB23" s="56" t="s">
        <v>107</v>
      </c>
      <c r="AC23" s="57" t="s">
        <v>107</v>
      </c>
      <c r="AD23" s="56" t="s">
        <v>107</v>
      </c>
      <c r="AE23" s="56" t="s">
        <v>107</v>
      </c>
      <c r="AF23" s="56" t="s">
        <v>107</v>
      </c>
      <c r="AG23" s="57" t="s">
        <v>107</v>
      </c>
      <c r="AH23" s="56" t="s">
        <v>107</v>
      </c>
      <c r="AI23" s="56" t="s">
        <v>107</v>
      </c>
      <c r="AJ23" s="56" t="s">
        <v>107</v>
      </c>
      <c r="AK23" s="57" t="s">
        <v>107</v>
      </c>
      <c r="AL23" s="56" t="s">
        <v>107</v>
      </c>
      <c r="AM23" s="56" t="s">
        <v>107</v>
      </c>
      <c r="AN23" s="57" t="s">
        <v>107</v>
      </c>
      <c r="AO23" s="56" t="s">
        <v>107</v>
      </c>
      <c r="AP23" s="56" t="s">
        <v>107</v>
      </c>
      <c r="AQ23" s="56" t="s">
        <v>107</v>
      </c>
      <c r="AR23" s="57" t="s">
        <v>107</v>
      </c>
      <c r="AS23" s="56" t="s">
        <v>107</v>
      </c>
      <c r="AT23" s="56" t="s">
        <v>107</v>
      </c>
      <c r="AU23" s="57" t="s">
        <v>107</v>
      </c>
      <c r="AV23" s="56" t="s">
        <v>107</v>
      </c>
      <c r="AW23" s="56" t="s">
        <v>107</v>
      </c>
      <c r="AX23" s="56" t="s">
        <v>107</v>
      </c>
      <c r="AY23" s="57" t="s">
        <v>107</v>
      </c>
      <c r="AZ23" s="56" t="s">
        <v>107</v>
      </c>
      <c r="BA23" s="57" t="s">
        <v>107</v>
      </c>
      <c r="BB23" s="56" t="s">
        <v>107</v>
      </c>
      <c r="BC23" s="56" t="s">
        <v>107</v>
      </c>
      <c r="BD23" s="56" t="s">
        <v>107</v>
      </c>
      <c r="BE23" s="57" t="s">
        <v>107</v>
      </c>
      <c r="BF23" s="56" t="s">
        <v>107</v>
      </c>
      <c r="BG23" s="56" t="s">
        <v>107</v>
      </c>
      <c r="BH23" s="57" t="s">
        <v>107</v>
      </c>
      <c r="BI23" s="56" t="s">
        <v>107</v>
      </c>
      <c r="BJ23" s="56" t="s">
        <v>107</v>
      </c>
      <c r="BK23" s="56" t="s">
        <v>107</v>
      </c>
      <c r="BL23" s="57" t="s">
        <v>107</v>
      </c>
      <c r="BM23" s="56" t="s">
        <v>107</v>
      </c>
      <c r="BN23" s="56" t="s">
        <v>107</v>
      </c>
      <c r="BO23" s="57" t="s">
        <v>107</v>
      </c>
      <c r="BP23" s="56" t="s">
        <v>107</v>
      </c>
      <c r="BQ23" s="56" t="s">
        <v>107</v>
      </c>
      <c r="BR23" s="57" t="s">
        <v>107</v>
      </c>
      <c r="BS23" s="56" t="s">
        <v>107</v>
      </c>
      <c r="BT23" s="56" t="s">
        <v>107</v>
      </c>
      <c r="BU23" s="57" t="s">
        <v>107</v>
      </c>
      <c r="BV23" s="56" t="s">
        <v>107</v>
      </c>
      <c r="BW23" s="57" t="s">
        <v>107</v>
      </c>
      <c r="BX23" s="56" t="s">
        <v>107</v>
      </c>
      <c r="BY23" s="56" t="s">
        <v>107</v>
      </c>
      <c r="BZ23" s="56" t="s">
        <v>107</v>
      </c>
      <c r="CA23" s="57" t="s">
        <v>107</v>
      </c>
      <c r="CB23" s="56" t="s">
        <v>107</v>
      </c>
      <c r="CC23" s="56" t="s">
        <v>107</v>
      </c>
      <c r="CD23" s="56" t="s">
        <v>107</v>
      </c>
      <c r="CE23" s="57" t="s">
        <v>107</v>
      </c>
      <c r="CF23" s="57" t="s">
        <v>107</v>
      </c>
      <c r="CG23" s="56" t="s">
        <v>107</v>
      </c>
      <c r="CH23" s="56" t="s">
        <v>107</v>
      </c>
      <c r="CI23" s="56" t="s">
        <v>107</v>
      </c>
      <c r="CJ23" s="57" t="s">
        <v>107</v>
      </c>
    </row>
    <row r="24" spans="1:88">
      <c r="A24" s="24" t="s">
        <v>5208</v>
      </c>
      <c r="B24" s="24" t="s">
        <v>15</v>
      </c>
      <c r="C24" s="55" t="s">
        <v>47</v>
      </c>
      <c r="D24" s="18"/>
      <c r="E24" s="57" t="s">
        <v>107</v>
      </c>
      <c r="F24" s="57" t="s">
        <v>107</v>
      </c>
      <c r="G24" s="56" t="s">
        <v>107</v>
      </c>
      <c r="H24" s="56" t="s">
        <v>107</v>
      </c>
      <c r="I24" s="56" t="s">
        <v>107</v>
      </c>
      <c r="J24" s="57" t="s">
        <v>107</v>
      </c>
      <c r="K24" s="56" t="s">
        <v>107</v>
      </c>
      <c r="L24" s="56" t="s">
        <v>107</v>
      </c>
      <c r="M24" s="57" t="s">
        <v>107</v>
      </c>
      <c r="N24" s="56" t="s">
        <v>107</v>
      </c>
      <c r="O24" s="56" t="s">
        <v>107</v>
      </c>
      <c r="P24" s="56" t="s">
        <v>107</v>
      </c>
      <c r="Q24" s="57" t="s">
        <v>107</v>
      </c>
      <c r="R24" s="56" t="s">
        <v>107</v>
      </c>
      <c r="S24" s="56" t="s">
        <v>107</v>
      </c>
      <c r="T24" s="57" t="s">
        <v>107</v>
      </c>
      <c r="U24" s="57" t="s">
        <v>107</v>
      </c>
      <c r="V24" s="56" t="s">
        <v>107</v>
      </c>
      <c r="W24" s="56" t="s">
        <v>107</v>
      </c>
      <c r="X24" s="56" t="s">
        <v>107</v>
      </c>
      <c r="Y24" s="57" t="s">
        <v>107</v>
      </c>
      <c r="Z24" s="56" t="s">
        <v>107</v>
      </c>
      <c r="AA24" s="56" t="s">
        <v>107</v>
      </c>
      <c r="AB24" s="56">
        <v>1</v>
      </c>
      <c r="AC24" s="57" t="s">
        <v>107</v>
      </c>
      <c r="AD24" s="56" t="s">
        <v>107</v>
      </c>
      <c r="AE24" s="56" t="s">
        <v>107</v>
      </c>
      <c r="AF24" s="56" t="s">
        <v>107</v>
      </c>
      <c r="AG24" s="57" t="s">
        <v>107</v>
      </c>
      <c r="AH24" s="56" t="s">
        <v>107</v>
      </c>
      <c r="AI24" s="56" t="s">
        <v>107</v>
      </c>
      <c r="AJ24" s="56" t="s">
        <v>107</v>
      </c>
      <c r="AK24" s="57" t="s">
        <v>107</v>
      </c>
      <c r="AL24" s="56" t="s">
        <v>107</v>
      </c>
      <c r="AM24" s="56" t="s">
        <v>107</v>
      </c>
      <c r="AN24" s="57" t="s">
        <v>107</v>
      </c>
      <c r="AO24" s="56" t="s">
        <v>107</v>
      </c>
      <c r="AP24" s="56">
        <v>1</v>
      </c>
      <c r="AQ24" s="56" t="s">
        <v>107</v>
      </c>
      <c r="AR24" s="57" t="s">
        <v>107</v>
      </c>
      <c r="AS24" s="56" t="s">
        <v>107</v>
      </c>
      <c r="AT24" s="56" t="s">
        <v>107</v>
      </c>
      <c r="AU24" s="57" t="s">
        <v>107</v>
      </c>
      <c r="AV24" s="56" t="s">
        <v>107</v>
      </c>
      <c r="AW24" s="56" t="s">
        <v>107</v>
      </c>
      <c r="AX24" s="56" t="s">
        <v>107</v>
      </c>
      <c r="AY24" s="57" t="s">
        <v>107</v>
      </c>
      <c r="AZ24" s="56" t="s">
        <v>107</v>
      </c>
      <c r="BA24" s="57" t="s">
        <v>107</v>
      </c>
      <c r="BB24" s="56" t="s">
        <v>107</v>
      </c>
      <c r="BC24" s="56">
        <v>1</v>
      </c>
      <c r="BD24" s="56" t="s">
        <v>107</v>
      </c>
      <c r="BE24" s="57" t="s">
        <v>107</v>
      </c>
      <c r="BF24" s="56" t="s">
        <v>107</v>
      </c>
      <c r="BG24" s="56" t="s">
        <v>107</v>
      </c>
      <c r="BH24" s="57" t="s">
        <v>107</v>
      </c>
      <c r="BI24" s="56" t="s">
        <v>107</v>
      </c>
      <c r="BJ24" s="56" t="s">
        <v>107</v>
      </c>
      <c r="BK24" s="56" t="s">
        <v>107</v>
      </c>
      <c r="BL24" s="57" t="s">
        <v>107</v>
      </c>
      <c r="BM24" s="56" t="s">
        <v>107</v>
      </c>
      <c r="BN24" s="56">
        <v>1</v>
      </c>
      <c r="BO24" s="57" t="s">
        <v>107</v>
      </c>
      <c r="BP24" s="56" t="s">
        <v>107</v>
      </c>
      <c r="BQ24" s="56" t="s">
        <v>107</v>
      </c>
      <c r="BR24" s="57" t="s">
        <v>107</v>
      </c>
      <c r="BS24" s="56">
        <v>1</v>
      </c>
      <c r="BT24" s="56" t="s">
        <v>107</v>
      </c>
      <c r="BU24" s="57" t="s">
        <v>107</v>
      </c>
      <c r="BV24" s="56" t="s">
        <v>107</v>
      </c>
      <c r="BW24" s="57" t="s">
        <v>107</v>
      </c>
      <c r="BX24" s="56" t="s">
        <v>107</v>
      </c>
      <c r="BY24" s="56" t="s">
        <v>107</v>
      </c>
      <c r="BZ24" s="56" t="s">
        <v>107</v>
      </c>
      <c r="CA24" s="57">
        <v>1</v>
      </c>
      <c r="CB24" s="56" t="s">
        <v>107</v>
      </c>
      <c r="CC24" s="56" t="s">
        <v>107</v>
      </c>
      <c r="CD24" s="56" t="s">
        <v>107</v>
      </c>
      <c r="CE24" s="57" t="s">
        <v>107</v>
      </c>
      <c r="CF24" s="57" t="s">
        <v>107</v>
      </c>
      <c r="CG24" s="56" t="s">
        <v>107</v>
      </c>
      <c r="CH24" s="56" t="s">
        <v>107</v>
      </c>
      <c r="CI24" s="56" t="s">
        <v>107</v>
      </c>
      <c r="CJ24" s="57" t="s">
        <v>107</v>
      </c>
    </row>
    <row r="25" spans="1:88">
      <c r="A25" s="24" t="s">
        <v>5208</v>
      </c>
      <c r="B25" s="24" t="s">
        <v>15</v>
      </c>
      <c r="C25" s="55" t="s">
        <v>48</v>
      </c>
      <c r="D25" s="18"/>
      <c r="E25" s="57" t="s">
        <v>107</v>
      </c>
      <c r="F25" s="57" t="s">
        <v>107</v>
      </c>
      <c r="G25" s="56" t="s">
        <v>107</v>
      </c>
      <c r="H25" s="56" t="s">
        <v>107</v>
      </c>
      <c r="I25" s="56" t="s">
        <v>107</v>
      </c>
      <c r="J25" s="57" t="s">
        <v>107</v>
      </c>
      <c r="K25" s="56" t="s">
        <v>107</v>
      </c>
      <c r="L25" s="56" t="s">
        <v>107</v>
      </c>
      <c r="M25" s="57" t="s">
        <v>107</v>
      </c>
      <c r="N25" s="56" t="s">
        <v>107</v>
      </c>
      <c r="O25" s="56" t="s">
        <v>107</v>
      </c>
      <c r="P25" s="56" t="s">
        <v>107</v>
      </c>
      <c r="Q25" s="57" t="s">
        <v>107</v>
      </c>
      <c r="R25" s="56" t="s">
        <v>107</v>
      </c>
      <c r="S25" s="56" t="s">
        <v>107</v>
      </c>
      <c r="T25" s="57" t="s">
        <v>107</v>
      </c>
      <c r="U25" s="57" t="s">
        <v>107</v>
      </c>
      <c r="V25" s="56" t="s">
        <v>107</v>
      </c>
      <c r="W25" s="56" t="s">
        <v>107</v>
      </c>
      <c r="X25" s="56" t="s">
        <v>107</v>
      </c>
      <c r="Y25" s="57" t="s">
        <v>107</v>
      </c>
      <c r="Z25" s="56">
        <v>1</v>
      </c>
      <c r="AA25" s="56" t="s">
        <v>107</v>
      </c>
      <c r="AB25" s="56" t="s">
        <v>107</v>
      </c>
      <c r="AC25" s="57" t="s">
        <v>107</v>
      </c>
      <c r="AD25" s="56" t="s">
        <v>107</v>
      </c>
      <c r="AE25" s="56" t="s">
        <v>107</v>
      </c>
      <c r="AF25" s="56" t="s">
        <v>107</v>
      </c>
      <c r="AG25" s="57" t="s">
        <v>107</v>
      </c>
      <c r="AH25" s="56" t="s">
        <v>107</v>
      </c>
      <c r="AI25" s="56" t="s">
        <v>107</v>
      </c>
      <c r="AJ25" s="56" t="s">
        <v>107</v>
      </c>
      <c r="AK25" s="57" t="s">
        <v>107</v>
      </c>
      <c r="AL25" s="56" t="s">
        <v>107</v>
      </c>
      <c r="AM25" s="56" t="s">
        <v>107</v>
      </c>
      <c r="AN25" s="57" t="s">
        <v>107</v>
      </c>
      <c r="AO25" s="56" t="s">
        <v>107</v>
      </c>
      <c r="AP25" s="56" t="s">
        <v>107</v>
      </c>
      <c r="AQ25" s="56" t="s">
        <v>107</v>
      </c>
      <c r="AR25" s="57" t="s">
        <v>107</v>
      </c>
      <c r="AS25" s="56" t="s">
        <v>107</v>
      </c>
      <c r="AT25" s="56" t="s">
        <v>107</v>
      </c>
      <c r="AU25" s="57" t="s">
        <v>107</v>
      </c>
      <c r="AV25" s="56" t="s">
        <v>107</v>
      </c>
      <c r="AW25" s="56" t="s">
        <v>107</v>
      </c>
      <c r="AX25" s="56" t="s">
        <v>107</v>
      </c>
      <c r="AY25" s="57" t="s">
        <v>107</v>
      </c>
      <c r="AZ25" s="56" t="s">
        <v>107</v>
      </c>
      <c r="BA25" s="57" t="s">
        <v>107</v>
      </c>
      <c r="BB25" s="56" t="s">
        <v>107</v>
      </c>
      <c r="BC25" s="56" t="s">
        <v>107</v>
      </c>
      <c r="BD25" s="56" t="s">
        <v>107</v>
      </c>
      <c r="BE25" s="57" t="s">
        <v>107</v>
      </c>
      <c r="BF25" s="56" t="s">
        <v>107</v>
      </c>
      <c r="BG25" s="56" t="s">
        <v>107</v>
      </c>
      <c r="BH25" s="57" t="s">
        <v>107</v>
      </c>
      <c r="BI25" s="56" t="s">
        <v>107</v>
      </c>
      <c r="BJ25" s="56" t="s">
        <v>107</v>
      </c>
      <c r="BK25" s="56" t="s">
        <v>107</v>
      </c>
      <c r="BL25" s="57" t="s">
        <v>107</v>
      </c>
      <c r="BM25" s="56" t="s">
        <v>107</v>
      </c>
      <c r="BN25" s="56" t="s">
        <v>107</v>
      </c>
      <c r="BO25" s="57" t="s">
        <v>107</v>
      </c>
      <c r="BP25" s="56" t="s">
        <v>107</v>
      </c>
      <c r="BQ25" s="56" t="s">
        <v>107</v>
      </c>
      <c r="BR25" s="57" t="s">
        <v>107</v>
      </c>
      <c r="BS25" s="56" t="s">
        <v>107</v>
      </c>
      <c r="BT25" s="56" t="s">
        <v>107</v>
      </c>
      <c r="BU25" s="57" t="s">
        <v>107</v>
      </c>
      <c r="BV25" s="56" t="s">
        <v>107</v>
      </c>
      <c r="BW25" s="57" t="s">
        <v>107</v>
      </c>
      <c r="BX25" s="56" t="s">
        <v>107</v>
      </c>
      <c r="BY25" s="56" t="s">
        <v>107</v>
      </c>
      <c r="BZ25" s="56" t="s">
        <v>107</v>
      </c>
      <c r="CA25" s="57" t="s">
        <v>107</v>
      </c>
      <c r="CB25" s="56" t="s">
        <v>107</v>
      </c>
      <c r="CC25" s="56" t="s">
        <v>107</v>
      </c>
      <c r="CD25" s="56">
        <v>1</v>
      </c>
      <c r="CE25" s="57" t="s">
        <v>107</v>
      </c>
      <c r="CF25" s="57" t="s">
        <v>107</v>
      </c>
      <c r="CG25" s="56" t="s">
        <v>107</v>
      </c>
      <c r="CH25" s="56" t="s">
        <v>107</v>
      </c>
      <c r="CI25" s="56" t="s">
        <v>107</v>
      </c>
      <c r="CJ25" s="57" t="s">
        <v>107</v>
      </c>
    </row>
    <row r="26" spans="1:88">
      <c r="A26" s="24" t="s">
        <v>5208</v>
      </c>
      <c r="B26" s="24" t="s">
        <v>15</v>
      </c>
      <c r="C26" s="55" t="s">
        <v>49</v>
      </c>
      <c r="D26" s="18"/>
      <c r="E26" s="57" t="s">
        <v>107</v>
      </c>
      <c r="F26" s="57" t="s">
        <v>107</v>
      </c>
      <c r="G26" s="56" t="s">
        <v>107</v>
      </c>
      <c r="H26" s="56" t="s">
        <v>107</v>
      </c>
      <c r="I26" s="56" t="s">
        <v>107</v>
      </c>
      <c r="J26" s="57" t="s">
        <v>107</v>
      </c>
      <c r="K26" s="56">
        <v>1</v>
      </c>
      <c r="L26" s="56" t="s">
        <v>107</v>
      </c>
      <c r="M26" s="57" t="s">
        <v>107</v>
      </c>
      <c r="N26" s="56" t="s">
        <v>107</v>
      </c>
      <c r="O26" s="56" t="s">
        <v>107</v>
      </c>
      <c r="P26" s="56" t="s">
        <v>107</v>
      </c>
      <c r="Q26" s="57">
        <v>1</v>
      </c>
      <c r="R26" s="56" t="s">
        <v>107</v>
      </c>
      <c r="S26" s="56" t="s">
        <v>107</v>
      </c>
      <c r="T26" s="57" t="s">
        <v>107</v>
      </c>
      <c r="U26" s="57" t="s">
        <v>107</v>
      </c>
      <c r="V26" s="56" t="s">
        <v>107</v>
      </c>
      <c r="W26" s="56" t="s">
        <v>107</v>
      </c>
      <c r="X26" s="56" t="s">
        <v>107</v>
      </c>
      <c r="Y26" s="57" t="s">
        <v>107</v>
      </c>
      <c r="Z26" s="56" t="s">
        <v>107</v>
      </c>
      <c r="AA26" s="56" t="s">
        <v>107</v>
      </c>
      <c r="AB26" s="56" t="s">
        <v>107</v>
      </c>
      <c r="AC26" s="57" t="s">
        <v>107</v>
      </c>
      <c r="AD26" s="56" t="s">
        <v>107</v>
      </c>
      <c r="AE26" s="56" t="s">
        <v>107</v>
      </c>
      <c r="AF26" s="56" t="s">
        <v>107</v>
      </c>
      <c r="AG26" s="57" t="s">
        <v>107</v>
      </c>
      <c r="AH26" s="56" t="s">
        <v>107</v>
      </c>
      <c r="AI26" s="56" t="s">
        <v>107</v>
      </c>
      <c r="AJ26" s="56" t="s">
        <v>107</v>
      </c>
      <c r="AK26" s="57" t="s">
        <v>107</v>
      </c>
      <c r="AL26" s="56" t="s">
        <v>107</v>
      </c>
      <c r="AM26" s="56" t="s">
        <v>107</v>
      </c>
      <c r="AN26" s="57" t="s">
        <v>107</v>
      </c>
      <c r="AO26" s="56" t="s">
        <v>107</v>
      </c>
      <c r="AP26" s="56" t="s">
        <v>107</v>
      </c>
      <c r="AQ26" s="56" t="s">
        <v>107</v>
      </c>
      <c r="AR26" s="57" t="s">
        <v>107</v>
      </c>
      <c r="AS26" s="56" t="s">
        <v>107</v>
      </c>
      <c r="AT26" s="56" t="s">
        <v>107</v>
      </c>
      <c r="AU26" s="57" t="s">
        <v>107</v>
      </c>
      <c r="AV26" s="56" t="s">
        <v>107</v>
      </c>
      <c r="AW26" s="56" t="s">
        <v>107</v>
      </c>
      <c r="AX26" s="56" t="s">
        <v>107</v>
      </c>
      <c r="AY26" s="57" t="s">
        <v>107</v>
      </c>
      <c r="AZ26" s="56" t="s">
        <v>107</v>
      </c>
      <c r="BA26" s="57" t="s">
        <v>107</v>
      </c>
      <c r="BB26" s="56" t="s">
        <v>107</v>
      </c>
      <c r="BC26" s="56" t="s">
        <v>107</v>
      </c>
      <c r="BD26" s="56" t="s">
        <v>107</v>
      </c>
      <c r="BE26" s="57" t="s">
        <v>107</v>
      </c>
      <c r="BF26" s="56" t="s">
        <v>107</v>
      </c>
      <c r="BG26" s="56" t="s">
        <v>107</v>
      </c>
      <c r="BH26" s="57" t="s">
        <v>107</v>
      </c>
      <c r="BI26" s="56" t="s">
        <v>107</v>
      </c>
      <c r="BJ26" s="56" t="s">
        <v>107</v>
      </c>
      <c r="BK26" s="56" t="s">
        <v>107</v>
      </c>
      <c r="BL26" s="57" t="s">
        <v>107</v>
      </c>
      <c r="BM26" s="56" t="s">
        <v>107</v>
      </c>
      <c r="BN26" s="56" t="s">
        <v>107</v>
      </c>
      <c r="BO26" s="57" t="s">
        <v>107</v>
      </c>
      <c r="BP26" s="56" t="s">
        <v>107</v>
      </c>
      <c r="BQ26" s="56" t="s">
        <v>107</v>
      </c>
      <c r="BR26" s="57" t="s">
        <v>107</v>
      </c>
      <c r="BS26" s="56" t="s">
        <v>107</v>
      </c>
      <c r="BT26" s="56" t="s">
        <v>107</v>
      </c>
      <c r="BU26" s="57" t="s">
        <v>107</v>
      </c>
      <c r="BV26" s="56" t="s">
        <v>107</v>
      </c>
      <c r="BW26" s="57" t="s">
        <v>107</v>
      </c>
      <c r="BX26" s="56" t="s">
        <v>107</v>
      </c>
      <c r="BY26" s="56" t="s">
        <v>107</v>
      </c>
      <c r="BZ26" s="56" t="s">
        <v>107</v>
      </c>
      <c r="CA26" s="57">
        <v>1</v>
      </c>
      <c r="CB26" s="56" t="s">
        <v>107</v>
      </c>
      <c r="CC26" s="56" t="s">
        <v>107</v>
      </c>
      <c r="CD26" s="56">
        <v>1</v>
      </c>
      <c r="CE26" s="57" t="s">
        <v>107</v>
      </c>
      <c r="CF26" s="57" t="s">
        <v>107</v>
      </c>
      <c r="CG26" s="56" t="s">
        <v>107</v>
      </c>
      <c r="CH26" s="56" t="s">
        <v>107</v>
      </c>
      <c r="CI26" s="56" t="s">
        <v>107</v>
      </c>
      <c r="CJ26" s="57" t="s">
        <v>107</v>
      </c>
    </row>
    <row r="27" spans="1:88">
      <c r="A27" s="24" t="s">
        <v>5208</v>
      </c>
      <c r="B27" s="24" t="s">
        <v>15</v>
      </c>
      <c r="C27" s="55" t="s">
        <v>50</v>
      </c>
      <c r="D27" s="18"/>
      <c r="E27" s="57" t="s">
        <v>107</v>
      </c>
      <c r="F27" s="57" t="s">
        <v>107</v>
      </c>
      <c r="G27" s="56" t="s">
        <v>107</v>
      </c>
      <c r="H27" s="56" t="s">
        <v>107</v>
      </c>
      <c r="I27" s="56" t="s">
        <v>107</v>
      </c>
      <c r="J27" s="57" t="s">
        <v>107</v>
      </c>
      <c r="K27" s="56" t="s">
        <v>107</v>
      </c>
      <c r="L27" s="56" t="s">
        <v>107</v>
      </c>
      <c r="M27" s="57" t="s">
        <v>107</v>
      </c>
      <c r="N27" s="56" t="s">
        <v>107</v>
      </c>
      <c r="O27" s="56" t="s">
        <v>107</v>
      </c>
      <c r="P27" s="56">
        <v>3</v>
      </c>
      <c r="Q27" s="57" t="s">
        <v>107</v>
      </c>
      <c r="R27" s="56" t="s">
        <v>107</v>
      </c>
      <c r="S27" s="56" t="s">
        <v>107</v>
      </c>
      <c r="T27" s="57" t="s">
        <v>107</v>
      </c>
      <c r="U27" s="57" t="s">
        <v>107</v>
      </c>
      <c r="V27" s="56" t="s">
        <v>107</v>
      </c>
      <c r="W27" s="56" t="s">
        <v>107</v>
      </c>
      <c r="X27" s="56" t="s">
        <v>107</v>
      </c>
      <c r="Y27" s="57" t="s">
        <v>107</v>
      </c>
      <c r="Z27" s="56" t="s">
        <v>107</v>
      </c>
      <c r="AA27" s="56">
        <v>2</v>
      </c>
      <c r="AB27" s="56" t="s">
        <v>107</v>
      </c>
      <c r="AC27" s="57" t="s">
        <v>107</v>
      </c>
      <c r="AD27" s="56">
        <v>3</v>
      </c>
      <c r="AE27" s="56" t="s">
        <v>107</v>
      </c>
      <c r="AF27" s="56" t="s">
        <v>107</v>
      </c>
      <c r="AG27" s="57" t="s">
        <v>107</v>
      </c>
      <c r="AH27" s="56" t="s">
        <v>107</v>
      </c>
      <c r="AI27" s="56" t="s">
        <v>107</v>
      </c>
      <c r="AJ27" s="56">
        <v>1</v>
      </c>
      <c r="AK27" s="57" t="s">
        <v>107</v>
      </c>
      <c r="AL27" s="56" t="s">
        <v>107</v>
      </c>
      <c r="AM27" s="56" t="s">
        <v>107</v>
      </c>
      <c r="AN27" s="57" t="s">
        <v>107</v>
      </c>
      <c r="AO27" s="56" t="s">
        <v>107</v>
      </c>
      <c r="AP27" s="56" t="s">
        <v>107</v>
      </c>
      <c r="AQ27" s="56" t="s">
        <v>107</v>
      </c>
      <c r="AR27" s="57" t="s">
        <v>107</v>
      </c>
      <c r="AS27" s="56" t="s">
        <v>107</v>
      </c>
      <c r="AT27" s="56" t="s">
        <v>107</v>
      </c>
      <c r="AU27" s="57" t="s">
        <v>107</v>
      </c>
      <c r="AV27" s="56" t="s">
        <v>107</v>
      </c>
      <c r="AW27" s="56" t="s">
        <v>107</v>
      </c>
      <c r="AX27" s="56" t="s">
        <v>107</v>
      </c>
      <c r="AY27" s="57" t="s">
        <v>107</v>
      </c>
      <c r="AZ27" s="56">
        <v>1</v>
      </c>
      <c r="BA27" s="57" t="s">
        <v>107</v>
      </c>
      <c r="BB27" s="56" t="s">
        <v>107</v>
      </c>
      <c r="BC27" s="56" t="s">
        <v>107</v>
      </c>
      <c r="BD27" s="56" t="s">
        <v>107</v>
      </c>
      <c r="BE27" s="57" t="s">
        <v>107</v>
      </c>
      <c r="BF27" s="56" t="s">
        <v>107</v>
      </c>
      <c r="BG27" s="56" t="s">
        <v>107</v>
      </c>
      <c r="BH27" s="57" t="s">
        <v>107</v>
      </c>
      <c r="BI27" s="56" t="s">
        <v>107</v>
      </c>
      <c r="BJ27" s="56" t="s">
        <v>107</v>
      </c>
      <c r="BK27" s="56" t="s">
        <v>107</v>
      </c>
      <c r="BL27" s="57" t="s">
        <v>107</v>
      </c>
      <c r="BM27" s="56">
        <v>1</v>
      </c>
      <c r="BN27" s="56" t="s">
        <v>107</v>
      </c>
      <c r="BO27" s="57" t="s">
        <v>107</v>
      </c>
      <c r="BP27" s="56" t="s">
        <v>107</v>
      </c>
      <c r="BQ27" s="56" t="s">
        <v>107</v>
      </c>
      <c r="BR27" s="57" t="s">
        <v>107</v>
      </c>
      <c r="BS27" s="56" t="s">
        <v>107</v>
      </c>
      <c r="BT27" s="56" t="s">
        <v>107</v>
      </c>
      <c r="BU27" s="57" t="s">
        <v>107</v>
      </c>
      <c r="BV27" s="56" t="s">
        <v>107</v>
      </c>
      <c r="BW27" s="57" t="s">
        <v>107</v>
      </c>
      <c r="BX27" s="56" t="s">
        <v>107</v>
      </c>
      <c r="BY27" s="56">
        <v>4</v>
      </c>
      <c r="BZ27" s="56" t="s">
        <v>107</v>
      </c>
      <c r="CA27" s="57" t="s">
        <v>107</v>
      </c>
      <c r="CB27" s="56" t="s">
        <v>107</v>
      </c>
      <c r="CC27" s="56" t="s">
        <v>107</v>
      </c>
      <c r="CD27" s="56" t="s">
        <v>107</v>
      </c>
      <c r="CE27" s="57">
        <v>1</v>
      </c>
      <c r="CF27" s="57" t="s">
        <v>107</v>
      </c>
      <c r="CG27" s="56">
        <v>1</v>
      </c>
      <c r="CH27" s="56" t="s">
        <v>107</v>
      </c>
      <c r="CI27" s="56" t="s">
        <v>107</v>
      </c>
      <c r="CJ27" s="57" t="s">
        <v>107</v>
      </c>
    </row>
    <row r="28" spans="1:88">
      <c r="A28" s="24" t="s">
        <v>5208</v>
      </c>
      <c r="B28" s="24" t="s">
        <v>15</v>
      </c>
      <c r="C28" s="55" t="s">
        <v>51</v>
      </c>
      <c r="D28" s="18"/>
      <c r="E28" s="57">
        <v>1</v>
      </c>
      <c r="F28" s="57" t="s">
        <v>107</v>
      </c>
      <c r="G28" s="56" t="s">
        <v>107</v>
      </c>
      <c r="H28" s="56" t="s">
        <v>107</v>
      </c>
      <c r="I28" s="56" t="s">
        <v>107</v>
      </c>
      <c r="J28" s="57" t="s">
        <v>107</v>
      </c>
      <c r="K28" s="56" t="s">
        <v>107</v>
      </c>
      <c r="L28" s="56" t="s">
        <v>107</v>
      </c>
      <c r="M28" s="57" t="s">
        <v>107</v>
      </c>
      <c r="N28" s="56" t="s">
        <v>107</v>
      </c>
      <c r="O28" s="56" t="s">
        <v>107</v>
      </c>
      <c r="P28" s="56" t="s">
        <v>107</v>
      </c>
      <c r="Q28" s="57" t="s">
        <v>107</v>
      </c>
      <c r="R28" s="56" t="s">
        <v>107</v>
      </c>
      <c r="S28" s="56" t="s">
        <v>107</v>
      </c>
      <c r="T28" s="57" t="s">
        <v>107</v>
      </c>
      <c r="U28" s="57" t="s">
        <v>107</v>
      </c>
      <c r="V28" s="56" t="s">
        <v>107</v>
      </c>
      <c r="W28" s="56" t="s">
        <v>107</v>
      </c>
      <c r="X28" s="56" t="s">
        <v>107</v>
      </c>
      <c r="Y28" s="57" t="s">
        <v>107</v>
      </c>
      <c r="Z28" s="56" t="s">
        <v>107</v>
      </c>
      <c r="AA28" s="56" t="s">
        <v>107</v>
      </c>
      <c r="AB28" s="56" t="s">
        <v>107</v>
      </c>
      <c r="AC28" s="57" t="s">
        <v>107</v>
      </c>
      <c r="AD28" s="56" t="s">
        <v>107</v>
      </c>
      <c r="AE28" s="56" t="s">
        <v>107</v>
      </c>
      <c r="AF28" s="56" t="s">
        <v>107</v>
      </c>
      <c r="AG28" s="57" t="s">
        <v>107</v>
      </c>
      <c r="AH28" s="56" t="s">
        <v>107</v>
      </c>
      <c r="AI28" s="56" t="s">
        <v>107</v>
      </c>
      <c r="AJ28" s="56" t="s">
        <v>107</v>
      </c>
      <c r="AK28" s="57" t="s">
        <v>107</v>
      </c>
      <c r="AL28" s="56" t="s">
        <v>107</v>
      </c>
      <c r="AM28" s="56" t="s">
        <v>107</v>
      </c>
      <c r="AN28" s="57" t="s">
        <v>107</v>
      </c>
      <c r="AO28" s="56" t="s">
        <v>107</v>
      </c>
      <c r="AP28" s="56" t="s">
        <v>107</v>
      </c>
      <c r="AQ28" s="56" t="s">
        <v>107</v>
      </c>
      <c r="AR28" s="57" t="s">
        <v>107</v>
      </c>
      <c r="AS28" s="56" t="s">
        <v>107</v>
      </c>
      <c r="AT28" s="56" t="s">
        <v>107</v>
      </c>
      <c r="AU28" s="57" t="s">
        <v>107</v>
      </c>
      <c r="AV28" s="56" t="s">
        <v>107</v>
      </c>
      <c r="AW28" s="56" t="s">
        <v>107</v>
      </c>
      <c r="AX28" s="56" t="s">
        <v>107</v>
      </c>
      <c r="AY28" s="57" t="s">
        <v>107</v>
      </c>
      <c r="AZ28" s="56" t="s">
        <v>107</v>
      </c>
      <c r="BA28" s="57" t="s">
        <v>107</v>
      </c>
      <c r="BB28" s="56" t="s">
        <v>107</v>
      </c>
      <c r="BC28" s="56" t="s">
        <v>107</v>
      </c>
      <c r="BD28" s="56" t="s">
        <v>107</v>
      </c>
      <c r="BE28" s="57" t="s">
        <v>107</v>
      </c>
      <c r="BF28" s="56" t="s">
        <v>107</v>
      </c>
      <c r="BG28" s="56" t="s">
        <v>107</v>
      </c>
      <c r="BH28" s="57" t="s">
        <v>107</v>
      </c>
      <c r="BI28" s="56" t="s">
        <v>107</v>
      </c>
      <c r="BJ28" s="56" t="s">
        <v>107</v>
      </c>
      <c r="BK28" s="56" t="s">
        <v>107</v>
      </c>
      <c r="BL28" s="57" t="s">
        <v>107</v>
      </c>
      <c r="BM28" s="56" t="s">
        <v>107</v>
      </c>
      <c r="BN28" s="56" t="s">
        <v>107</v>
      </c>
      <c r="BO28" s="57" t="s">
        <v>107</v>
      </c>
      <c r="BP28" s="56" t="s">
        <v>107</v>
      </c>
      <c r="BQ28" s="56" t="s">
        <v>107</v>
      </c>
      <c r="BR28" s="57" t="s">
        <v>107</v>
      </c>
      <c r="BS28" s="56" t="s">
        <v>107</v>
      </c>
      <c r="BT28" s="56" t="s">
        <v>107</v>
      </c>
      <c r="BU28" s="57" t="s">
        <v>107</v>
      </c>
      <c r="BV28" s="56" t="s">
        <v>107</v>
      </c>
      <c r="BW28" s="57" t="s">
        <v>107</v>
      </c>
      <c r="BX28" s="56" t="s">
        <v>107</v>
      </c>
      <c r="BY28" s="56" t="s">
        <v>107</v>
      </c>
      <c r="BZ28" s="56" t="s">
        <v>107</v>
      </c>
      <c r="CA28" s="57" t="s">
        <v>107</v>
      </c>
      <c r="CB28" s="56" t="s">
        <v>107</v>
      </c>
      <c r="CC28" s="56" t="s">
        <v>107</v>
      </c>
      <c r="CD28" s="56" t="s">
        <v>107</v>
      </c>
      <c r="CE28" s="57" t="s">
        <v>107</v>
      </c>
      <c r="CF28" s="57" t="s">
        <v>107</v>
      </c>
      <c r="CG28" s="56" t="s">
        <v>107</v>
      </c>
      <c r="CH28" s="56" t="s">
        <v>107</v>
      </c>
      <c r="CI28" s="56" t="s">
        <v>107</v>
      </c>
      <c r="CJ28" s="57" t="s">
        <v>107</v>
      </c>
    </row>
    <row r="29" spans="1:88">
      <c r="A29" s="24" t="s">
        <v>5208</v>
      </c>
      <c r="B29" s="24" t="s">
        <v>15</v>
      </c>
      <c r="C29" s="55" t="s">
        <v>52</v>
      </c>
      <c r="D29" s="18"/>
      <c r="E29" s="57">
        <v>1</v>
      </c>
      <c r="F29" s="57" t="s">
        <v>107</v>
      </c>
      <c r="G29" s="56" t="s">
        <v>107</v>
      </c>
      <c r="H29" s="56" t="s">
        <v>107</v>
      </c>
      <c r="I29" s="56" t="s">
        <v>107</v>
      </c>
      <c r="J29" s="57" t="s">
        <v>107</v>
      </c>
      <c r="K29" s="56" t="s">
        <v>107</v>
      </c>
      <c r="L29" s="56" t="s">
        <v>107</v>
      </c>
      <c r="M29" s="57" t="s">
        <v>107</v>
      </c>
      <c r="N29" s="56" t="s">
        <v>107</v>
      </c>
      <c r="O29" s="56">
        <v>1</v>
      </c>
      <c r="P29" s="56" t="s">
        <v>107</v>
      </c>
      <c r="Q29" s="57" t="s">
        <v>107</v>
      </c>
      <c r="R29" s="56" t="s">
        <v>107</v>
      </c>
      <c r="S29" s="56" t="s">
        <v>107</v>
      </c>
      <c r="T29" s="57" t="s">
        <v>107</v>
      </c>
      <c r="U29" s="57" t="s">
        <v>107</v>
      </c>
      <c r="V29" s="56" t="s">
        <v>107</v>
      </c>
      <c r="W29" s="56" t="s">
        <v>107</v>
      </c>
      <c r="X29" s="56" t="s">
        <v>107</v>
      </c>
      <c r="Y29" s="57" t="s">
        <v>107</v>
      </c>
      <c r="Z29" s="56" t="s">
        <v>107</v>
      </c>
      <c r="AA29" s="56" t="s">
        <v>107</v>
      </c>
      <c r="AB29" s="56">
        <v>1</v>
      </c>
      <c r="AC29" s="57" t="s">
        <v>107</v>
      </c>
      <c r="AD29" s="56" t="s">
        <v>107</v>
      </c>
      <c r="AE29" s="56" t="s">
        <v>107</v>
      </c>
      <c r="AF29" s="56" t="s">
        <v>107</v>
      </c>
      <c r="AG29" s="57" t="s">
        <v>107</v>
      </c>
      <c r="AH29" s="56">
        <v>1</v>
      </c>
      <c r="AI29" s="56" t="s">
        <v>107</v>
      </c>
      <c r="AJ29" s="56" t="s">
        <v>107</v>
      </c>
      <c r="AK29" s="57" t="s">
        <v>107</v>
      </c>
      <c r="AL29" s="56" t="s">
        <v>107</v>
      </c>
      <c r="AM29" s="56" t="s">
        <v>107</v>
      </c>
      <c r="AN29" s="57" t="s">
        <v>107</v>
      </c>
      <c r="AO29" s="56" t="s">
        <v>107</v>
      </c>
      <c r="AP29" s="56" t="s">
        <v>107</v>
      </c>
      <c r="AQ29" s="56" t="s">
        <v>107</v>
      </c>
      <c r="AR29" s="57" t="s">
        <v>107</v>
      </c>
      <c r="AS29" s="56" t="s">
        <v>107</v>
      </c>
      <c r="AT29" s="56" t="s">
        <v>107</v>
      </c>
      <c r="AU29" s="57" t="s">
        <v>107</v>
      </c>
      <c r="AV29" s="56" t="s">
        <v>107</v>
      </c>
      <c r="AW29" s="56" t="s">
        <v>107</v>
      </c>
      <c r="AX29" s="56" t="s">
        <v>107</v>
      </c>
      <c r="AY29" s="57" t="s">
        <v>107</v>
      </c>
      <c r="AZ29" s="56" t="s">
        <v>107</v>
      </c>
      <c r="BA29" s="57" t="s">
        <v>107</v>
      </c>
      <c r="BB29" s="56" t="s">
        <v>107</v>
      </c>
      <c r="BC29" s="56" t="s">
        <v>107</v>
      </c>
      <c r="BD29" s="56" t="s">
        <v>107</v>
      </c>
      <c r="BE29" s="57" t="s">
        <v>107</v>
      </c>
      <c r="BF29" s="56" t="s">
        <v>107</v>
      </c>
      <c r="BG29" s="56" t="s">
        <v>107</v>
      </c>
      <c r="BH29" s="57" t="s">
        <v>107</v>
      </c>
      <c r="BI29" s="56" t="s">
        <v>107</v>
      </c>
      <c r="BJ29" s="56" t="s">
        <v>107</v>
      </c>
      <c r="BK29" s="56" t="s">
        <v>107</v>
      </c>
      <c r="BL29" s="57" t="s">
        <v>107</v>
      </c>
      <c r="BM29" s="56" t="s">
        <v>107</v>
      </c>
      <c r="BN29" s="56" t="s">
        <v>107</v>
      </c>
      <c r="BO29" s="57" t="s">
        <v>107</v>
      </c>
      <c r="BP29" s="56" t="s">
        <v>107</v>
      </c>
      <c r="BQ29" s="56" t="s">
        <v>107</v>
      </c>
      <c r="BR29" s="57" t="s">
        <v>107</v>
      </c>
      <c r="BS29" s="56">
        <v>2</v>
      </c>
      <c r="BT29" s="56" t="s">
        <v>107</v>
      </c>
      <c r="BU29" s="57" t="s">
        <v>107</v>
      </c>
      <c r="BV29" s="56" t="s">
        <v>107</v>
      </c>
      <c r="BW29" s="57" t="s">
        <v>107</v>
      </c>
      <c r="BX29" s="56" t="s">
        <v>107</v>
      </c>
      <c r="BY29" s="56" t="s">
        <v>107</v>
      </c>
      <c r="BZ29" s="56" t="s">
        <v>107</v>
      </c>
      <c r="CA29" s="57" t="s">
        <v>107</v>
      </c>
      <c r="CB29" s="56" t="s">
        <v>107</v>
      </c>
      <c r="CC29" s="56" t="s">
        <v>107</v>
      </c>
      <c r="CD29" s="56" t="s">
        <v>107</v>
      </c>
      <c r="CE29" s="57" t="s">
        <v>107</v>
      </c>
      <c r="CF29" s="57" t="s">
        <v>107</v>
      </c>
      <c r="CG29" s="56" t="s">
        <v>107</v>
      </c>
      <c r="CH29" s="56" t="s">
        <v>107</v>
      </c>
      <c r="CI29" s="56" t="s">
        <v>107</v>
      </c>
      <c r="CJ29" s="57" t="s">
        <v>107</v>
      </c>
    </row>
    <row r="30" spans="1:88">
      <c r="A30" s="24" t="s">
        <v>5208</v>
      </c>
      <c r="B30" s="24" t="s">
        <v>15</v>
      </c>
      <c r="C30" s="55" t="s">
        <v>53</v>
      </c>
      <c r="D30" s="18"/>
      <c r="E30" s="57" t="s">
        <v>107</v>
      </c>
      <c r="F30" s="57" t="s">
        <v>107</v>
      </c>
      <c r="G30" s="56" t="s">
        <v>107</v>
      </c>
      <c r="H30" s="56" t="s">
        <v>107</v>
      </c>
      <c r="I30" s="56">
        <v>1</v>
      </c>
      <c r="J30" s="57" t="s">
        <v>107</v>
      </c>
      <c r="K30" s="56">
        <v>4</v>
      </c>
      <c r="L30" s="56" t="s">
        <v>107</v>
      </c>
      <c r="M30" s="57">
        <v>1</v>
      </c>
      <c r="N30" s="56" t="s">
        <v>107</v>
      </c>
      <c r="O30" s="56" t="s">
        <v>107</v>
      </c>
      <c r="P30" s="56" t="s">
        <v>107</v>
      </c>
      <c r="Q30" s="57" t="s">
        <v>107</v>
      </c>
      <c r="R30" s="56" t="s">
        <v>107</v>
      </c>
      <c r="S30" s="56" t="s">
        <v>107</v>
      </c>
      <c r="T30" s="57" t="s">
        <v>107</v>
      </c>
      <c r="U30" s="57">
        <v>1</v>
      </c>
      <c r="V30" s="56" t="s">
        <v>107</v>
      </c>
      <c r="W30" s="56" t="s">
        <v>107</v>
      </c>
      <c r="X30" s="56">
        <v>3</v>
      </c>
      <c r="Y30" s="57" t="s">
        <v>107</v>
      </c>
      <c r="Z30" s="56">
        <v>1</v>
      </c>
      <c r="AA30" s="56">
        <v>3</v>
      </c>
      <c r="AB30" s="56">
        <v>1</v>
      </c>
      <c r="AC30" s="57" t="s">
        <v>107</v>
      </c>
      <c r="AD30" s="56" t="s">
        <v>107</v>
      </c>
      <c r="AE30" s="56" t="s">
        <v>107</v>
      </c>
      <c r="AF30" s="56" t="s">
        <v>107</v>
      </c>
      <c r="AG30" s="57" t="s">
        <v>107</v>
      </c>
      <c r="AH30" s="56">
        <v>1</v>
      </c>
      <c r="AI30" s="56" t="s">
        <v>107</v>
      </c>
      <c r="AJ30" s="56" t="s">
        <v>107</v>
      </c>
      <c r="AK30" s="57" t="s">
        <v>107</v>
      </c>
      <c r="AL30" s="56" t="s">
        <v>107</v>
      </c>
      <c r="AM30" s="56" t="s">
        <v>107</v>
      </c>
      <c r="AN30" s="57">
        <v>3</v>
      </c>
      <c r="AO30" s="56" t="s">
        <v>107</v>
      </c>
      <c r="AP30" s="56" t="s">
        <v>107</v>
      </c>
      <c r="AQ30" s="56" t="s">
        <v>107</v>
      </c>
      <c r="AR30" s="57" t="s">
        <v>107</v>
      </c>
      <c r="AS30" s="56" t="s">
        <v>107</v>
      </c>
      <c r="AT30" s="56" t="s">
        <v>107</v>
      </c>
      <c r="AU30" s="57">
        <v>1</v>
      </c>
      <c r="AV30" s="56" t="s">
        <v>107</v>
      </c>
      <c r="AW30" s="56">
        <v>1</v>
      </c>
      <c r="AX30" s="56" t="s">
        <v>107</v>
      </c>
      <c r="AY30" s="57" t="s">
        <v>107</v>
      </c>
      <c r="AZ30" s="56" t="s">
        <v>107</v>
      </c>
      <c r="BA30" s="57" t="s">
        <v>107</v>
      </c>
      <c r="BB30" s="56">
        <v>2</v>
      </c>
      <c r="BC30" s="56">
        <v>2</v>
      </c>
      <c r="BD30" s="56">
        <v>1</v>
      </c>
      <c r="BE30" s="57" t="s">
        <v>107</v>
      </c>
      <c r="BF30" s="56" t="s">
        <v>107</v>
      </c>
      <c r="BG30" s="56" t="s">
        <v>107</v>
      </c>
      <c r="BH30" s="57" t="s">
        <v>107</v>
      </c>
      <c r="BI30" s="56" t="s">
        <v>107</v>
      </c>
      <c r="BJ30" s="56" t="s">
        <v>107</v>
      </c>
      <c r="BK30" s="56" t="s">
        <v>107</v>
      </c>
      <c r="BL30" s="57">
        <v>1</v>
      </c>
      <c r="BM30" s="56" t="s">
        <v>107</v>
      </c>
      <c r="BN30" s="56" t="s">
        <v>107</v>
      </c>
      <c r="BO30" s="57" t="s">
        <v>107</v>
      </c>
      <c r="BP30" s="56" t="s">
        <v>107</v>
      </c>
      <c r="BQ30" s="56" t="s">
        <v>107</v>
      </c>
      <c r="BR30" s="57">
        <v>1</v>
      </c>
      <c r="BS30" s="56">
        <v>1</v>
      </c>
      <c r="BT30" s="56">
        <v>2</v>
      </c>
      <c r="BU30" s="57" t="s">
        <v>107</v>
      </c>
      <c r="BV30" s="56" t="s">
        <v>107</v>
      </c>
      <c r="BW30" s="57" t="s">
        <v>107</v>
      </c>
      <c r="BX30" s="56" t="s">
        <v>107</v>
      </c>
      <c r="BY30" s="56" t="s">
        <v>107</v>
      </c>
      <c r="BZ30" s="56">
        <v>2</v>
      </c>
      <c r="CA30" s="57" t="s">
        <v>107</v>
      </c>
      <c r="CB30" s="56" t="s">
        <v>107</v>
      </c>
      <c r="CC30" s="56" t="s">
        <v>107</v>
      </c>
      <c r="CD30" s="56">
        <v>1</v>
      </c>
      <c r="CE30" s="57" t="s">
        <v>107</v>
      </c>
      <c r="CF30" s="57" t="s">
        <v>107</v>
      </c>
      <c r="CG30" s="56" t="s">
        <v>107</v>
      </c>
      <c r="CH30" s="56">
        <v>1</v>
      </c>
      <c r="CI30" s="56" t="s">
        <v>107</v>
      </c>
      <c r="CJ30" s="57" t="s">
        <v>107</v>
      </c>
    </row>
    <row r="31" spans="1:88">
      <c r="A31" s="24" t="s">
        <v>5208</v>
      </c>
      <c r="B31" s="24" t="s">
        <v>15</v>
      </c>
      <c r="C31" s="55" t="s">
        <v>54</v>
      </c>
      <c r="D31" s="18"/>
      <c r="E31" s="57" t="s">
        <v>107</v>
      </c>
      <c r="F31" s="57" t="s">
        <v>107</v>
      </c>
      <c r="G31" s="56" t="s">
        <v>107</v>
      </c>
      <c r="H31" s="56" t="s">
        <v>107</v>
      </c>
      <c r="I31" s="56" t="s">
        <v>107</v>
      </c>
      <c r="J31" s="57" t="s">
        <v>107</v>
      </c>
      <c r="K31" s="56" t="s">
        <v>107</v>
      </c>
      <c r="L31" s="56" t="s">
        <v>107</v>
      </c>
      <c r="M31" s="57" t="s">
        <v>107</v>
      </c>
      <c r="N31" s="56" t="s">
        <v>107</v>
      </c>
      <c r="O31" s="56" t="s">
        <v>107</v>
      </c>
      <c r="P31" s="56" t="s">
        <v>107</v>
      </c>
      <c r="Q31" s="57" t="s">
        <v>107</v>
      </c>
      <c r="R31" s="56" t="s">
        <v>107</v>
      </c>
      <c r="S31" s="56" t="s">
        <v>107</v>
      </c>
      <c r="T31" s="57" t="s">
        <v>107</v>
      </c>
      <c r="U31" s="57" t="s">
        <v>107</v>
      </c>
      <c r="V31" s="56" t="s">
        <v>107</v>
      </c>
      <c r="W31" s="56" t="s">
        <v>107</v>
      </c>
      <c r="X31" s="56" t="s">
        <v>107</v>
      </c>
      <c r="Y31" s="57" t="s">
        <v>107</v>
      </c>
      <c r="Z31" s="56" t="s">
        <v>107</v>
      </c>
      <c r="AA31" s="56" t="s">
        <v>107</v>
      </c>
      <c r="AB31" s="56" t="s">
        <v>107</v>
      </c>
      <c r="AC31" s="57" t="s">
        <v>107</v>
      </c>
      <c r="AD31" s="56" t="s">
        <v>107</v>
      </c>
      <c r="AE31" s="56" t="s">
        <v>107</v>
      </c>
      <c r="AF31" s="56" t="s">
        <v>107</v>
      </c>
      <c r="AG31" s="57" t="s">
        <v>107</v>
      </c>
      <c r="AH31" s="56" t="s">
        <v>107</v>
      </c>
      <c r="AI31" s="56" t="s">
        <v>107</v>
      </c>
      <c r="AJ31" s="56" t="s">
        <v>107</v>
      </c>
      <c r="AK31" s="57" t="s">
        <v>107</v>
      </c>
      <c r="AL31" s="56" t="s">
        <v>107</v>
      </c>
      <c r="AM31" s="56" t="s">
        <v>107</v>
      </c>
      <c r="AN31" s="57" t="s">
        <v>107</v>
      </c>
      <c r="AO31" s="56" t="s">
        <v>107</v>
      </c>
      <c r="AP31" s="56" t="s">
        <v>107</v>
      </c>
      <c r="AQ31" s="56" t="s">
        <v>107</v>
      </c>
      <c r="AR31" s="57" t="s">
        <v>107</v>
      </c>
      <c r="AS31" s="56" t="s">
        <v>107</v>
      </c>
      <c r="AT31" s="56" t="s">
        <v>107</v>
      </c>
      <c r="AU31" s="57" t="s">
        <v>107</v>
      </c>
      <c r="AV31" s="56" t="s">
        <v>107</v>
      </c>
      <c r="AW31" s="56" t="s">
        <v>107</v>
      </c>
      <c r="AX31" s="56" t="s">
        <v>107</v>
      </c>
      <c r="AY31" s="57" t="s">
        <v>107</v>
      </c>
      <c r="AZ31" s="56" t="s">
        <v>107</v>
      </c>
      <c r="BA31" s="57" t="s">
        <v>107</v>
      </c>
      <c r="BB31" s="56" t="s">
        <v>107</v>
      </c>
      <c r="BC31" s="56" t="s">
        <v>107</v>
      </c>
      <c r="BD31" s="56" t="s">
        <v>107</v>
      </c>
      <c r="BE31" s="57" t="s">
        <v>107</v>
      </c>
      <c r="BF31" s="56" t="s">
        <v>107</v>
      </c>
      <c r="BG31" s="56" t="s">
        <v>107</v>
      </c>
      <c r="BH31" s="57" t="s">
        <v>107</v>
      </c>
      <c r="BI31" s="56" t="s">
        <v>107</v>
      </c>
      <c r="BJ31" s="56" t="s">
        <v>107</v>
      </c>
      <c r="BK31" s="56">
        <v>1</v>
      </c>
      <c r="BL31" s="57" t="s">
        <v>107</v>
      </c>
      <c r="BM31" s="56" t="s">
        <v>107</v>
      </c>
      <c r="BN31" s="56" t="s">
        <v>107</v>
      </c>
      <c r="BO31" s="57" t="s">
        <v>107</v>
      </c>
      <c r="BP31" s="56" t="s">
        <v>107</v>
      </c>
      <c r="BQ31" s="56" t="s">
        <v>107</v>
      </c>
      <c r="BR31" s="57" t="s">
        <v>107</v>
      </c>
      <c r="BS31" s="56" t="s">
        <v>107</v>
      </c>
      <c r="BT31" s="56" t="s">
        <v>107</v>
      </c>
      <c r="BU31" s="57" t="s">
        <v>107</v>
      </c>
      <c r="BV31" s="56" t="s">
        <v>107</v>
      </c>
      <c r="BW31" s="57" t="s">
        <v>107</v>
      </c>
      <c r="BX31" s="56" t="s">
        <v>107</v>
      </c>
      <c r="BY31" s="56" t="s">
        <v>107</v>
      </c>
      <c r="BZ31" s="56" t="s">
        <v>107</v>
      </c>
      <c r="CA31" s="57" t="s">
        <v>107</v>
      </c>
      <c r="CB31" s="56" t="s">
        <v>107</v>
      </c>
      <c r="CC31" s="56" t="s">
        <v>107</v>
      </c>
      <c r="CD31" s="56" t="s">
        <v>107</v>
      </c>
      <c r="CE31" s="57" t="s">
        <v>107</v>
      </c>
      <c r="CF31" s="57" t="s">
        <v>107</v>
      </c>
      <c r="CG31" s="56" t="s">
        <v>107</v>
      </c>
      <c r="CH31" s="56" t="s">
        <v>107</v>
      </c>
      <c r="CI31" s="56" t="s">
        <v>107</v>
      </c>
      <c r="CJ31" s="57" t="s">
        <v>107</v>
      </c>
    </row>
    <row r="32" spans="1:88">
      <c r="A32" s="24" t="s">
        <v>5208</v>
      </c>
      <c r="B32" s="24" t="s">
        <v>15</v>
      </c>
      <c r="C32" s="55" t="s">
        <v>55</v>
      </c>
      <c r="D32" s="18"/>
      <c r="E32" s="57" t="s">
        <v>107</v>
      </c>
      <c r="F32" s="57" t="s">
        <v>107</v>
      </c>
      <c r="G32" s="56" t="s">
        <v>107</v>
      </c>
      <c r="H32" s="56" t="s">
        <v>107</v>
      </c>
      <c r="I32" s="56">
        <v>1</v>
      </c>
      <c r="J32" s="57" t="s">
        <v>107</v>
      </c>
      <c r="K32" s="56" t="s">
        <v>107</v>
      </c>
      <c r="L32" s="56" t="s">
        <v>107</v>
      </c>
      <c r="M32" s="57" t="s">
        <v>107</v>
      </c>
      <c r="N32" s="56" t="s">
        <v>107</v>
      </c>
      <c r="O32" s="56" t="s">
        <v>107</v>
      </c>
      <c r="P32" s="56" t="s">
        <v>107</v>
      </c>
      <c r="Q32" s="57" t="s">
        <v>107</v>
      </c>
      <c r="R32" s="56" t="s">
        <v>107</v>
      </c>
      <c r="S32" s="56" t="s">
        <v>107</v>
      </c>
      <c r="T32" s="57" t="s">
        <v>107</v>
      </c>
      <c r="U32" s="57" t="s">
        <v>107</v>
      </c>
      <c r="V32" s="56" t="s">
        <v>107</v>
      </c>
      <c r="W32" s="56" t="s">
        <v>107</v>
      </c>
      <c r="X32" s="56" t="s">
        <v>107</v>
      </c>
      <c r="Y32" s="57" t="s">
        <v>107</v>
      </c>
      <c r="Z32" s="56" t="s">
        <v>107</v>
      </c>
      <c r="AA32" s="56">
        <v>1</v>
      </c>
      <c r="AB32" s="56">
        <v>1</v>
      </c>
      <c r="AC32" s="57" t="s">
        <v>107</v>
      </c>
      <c r="AD32" s="56" t="s">
        <v>107</v>
      </c>
      <c r="AE32" s="56" t="s">
        <v>107</v>
      </c>
      <c r="AF32" s="56" t="s">
        <v>107</v>
      </c>
      <c r="AG32" s="57" t="s">
        <v>107</v>
      </c>
      <c r="AH32" s="56" t="s">
        <v>107</v>
      </c>
      <c r="AI32" s="56" t="s">
        <v>107</v>
      </c>
      <c r="AJ32" s="56" t="s">
        <v>107</v>
      </c>
      <c r="AK32" s="57" t="s">
        <v>107</v>
      </c>
      <c r="AL32" s="56" t="s">
        <v>107</v>
      </c>
      <c r="AM32" s="56" t="s">
        <v>107</v>
      </c>
      <c r="AN32" s="57" t="s">
        <v>107</v>
      </c>
      <c r="AO32" s="56" t="s">
        <v>107</v>
      </c>
      <c r="AP32" s="56" t="s">
        <v>107</v>
      </c>
      <c r="AQ32" s="56" t="s">
        <v>107</v>
      </c>
      <c r="AR32" s="57" t="s">
        <v>107</v>
      </c>
      <c r="AS32" s="56" t="s">
        <v>107</v>
      </c>
      <c r="AT32" s="56" t="s">
        <v>107</v>
      </c>
      <c r="AU32" s="57" t="s">
        <v>107</v>
      </c>
      <c r="AV32" s="56" t="s">
        <v>107</v>
      </c>
      <c r="AW32" s="56" t="s">
        <v>107</v>
      </c>
      <c r="AX32" s="56" t="s">
        <v>107</v>
      </c>
      <c r="AY32" s="57" t="s">
        <v>107</v>
      </c>
      <c r="AZ32" s="56" t="s">
        <v>107</v>
      </c>
      <c r="BA32" s="57" t="s">
        <v>107</v>
      </c>
      <c r="BB32" s="56" t="s">
        <v>107</v>
      </c>
      <c r="BC32" s="56" t="s">
        <v>107</v>
      </c>
      <c r="BD32" s="56" t="s">
        <v>107</v>
      </c>
      <c r="BE32" s="57" t="s">
        <v>107</v>
      </c>
      <c r="BF32" s="56" t="s">
        <v>107</v>
      </c>
      <c r="BG32" s="56" t="s">
        <v>107</v>
      </c>
      <c r="BH32" s="57" t="s">
        <v>107</v>
      </c>
      <c r="BI32" s="56" t="s">
        <v>107</v>
      </c>
      <c r="BJ32" s="56" t="s">
        <v>107</v>
      </c>
      <c r="BK32" s="56" t="s">
        <v>107</v>
      </c>
      <c r="BL32" s="57" t="s">
        <v>107</v>
      </c>
      <c r="BM32" s="56" t="s">
        <v>107</v>
      </c>
      <c r="BN32" s="56" t="s">
        <v>107</v>
      </c>
      <c r="BO32" s="57" t="s">
        <v>107</v>
      </c>
      <c r="BP32" s="56" t="s">
        <v>107</v>
      </c>
      <c r="BQ32" s="56" t="s">
        <v>107</v>
      </c>
      <c r="BR32" s="57" t="s">
        <v>107</v>
      </c>
      <c r="BS32" s="56" t="s">
        <v>107</v>
      </c>
      <c r="BT32" s="56">
        <v>2</v>
      </c>
      <c r="BU32" s="57">
        <v>2</v>
      </c>
      <c r="BV32" s="56" t="s">
        <v>107</v>
      </c>
      <c r="BW32" s="57" t="s">
        <v>107</v>
      </c>
      <c r="BX32" s="56">
        <v>1</v>
      </c>
      <c r="BY32" s="56" t="s">
        <v>107</v>
      </c>
      <c r="BZ32" s="56" t="s">
        <v>107</v>
      </c>
      <c r="CA32" s="57" t="s">
        <v>107</v>
      </c>
      <c r="CB32" s="56" t="s">
        <v>107</v>
      </c>
      <c r="CC32" s="56" t="s">
        <v>107</v>
      </c>
      <c r="CD32" s="56" t="s">
        <v>107</v>
      </c>
      <c r="CE32" s="57" t="s">
        <v>107</v>
      </c>
      <c r="CF32" s="57" t="s">
        <v>107</v>
      </c>
      <c r="CG32" s="56" t="s">
        <v>107</v>
      </c>
      <c r="CH32" s="56" t="s">
        <v>107</v>
      </c>
      <c r="CI32" s="56" t="s">
        <v>107</v>
      </c>
      <c r="CJ32" s="57" t="s">
        <v>107</v>
      </c>
    </row>
    <row r="33" spans="1:88">
      <c r="A33" s="24" t="s">
        <v>5208</v>
      </c>
      <c r="B33" s="24" t="s">
        <v>15</v>
      </c>
      <c r="C33" s="55" t="s">
        <v>56</v>
      </c>
      <c r="D33" s="18"/>
      <c r="E33" s="57" t="s">
        <v>107</v>
      </c>
      <c r="F33" s="57" t="s">
        <v>107</v>
      </c>
      <c r="G33" s="56" t="s">
        <v>107</v>
      </c>
      <c r="H33" s="56" t="s">
        <v>107</v>
      </c>
      <c r="I33" s="56" t="s">
        <v>107</v>
      </c>
      <c r="J33" s="57" t="s">
        <v>107</v>
      </c>
      <c r="K33" s="56" t="s">
        <v>107</v>
      </c>
      <c r="L33" s="56" t="s">
        <v>107</v>
      </c>
      <c r="M33" s="57" t="s">
        <v>107</v>
      </c>
      <c r="N33" s="56" t="s">
        <v>107</v>
      </c>
      <c r="O33" s="56" t="s">
        <v>107</v>
      </c>
      <c r="P33" s="56" t="s">
        <v>107</v>
      </c>
      <c r="Q33" s="57" t="s">
        <v>107</v>
      </c>
      <c r="R33" s="56" t="s">
        <v>107</v>
      </c>
      <c r="S33" s="56" t="s">
        <v>107</v>
      </c>
      <c r="T33" s="57" t="s">
        <v>107</v>
      </c>
      <c r="U33" s="57" t="s">
        <v>107</v>
      </c>
      <c r="V33" s="56" t="s">
        <v>107</v>
      </c>
      <c r="W33" s="56" t="s">
        <v>107</v>
      </c>
      <c r="X33" s="56" t="s">
        <v>107</v>
      </c>
      <c r="Y33" s="57" t="s">
        <v>107</v>
      </c>
      <c r="Z33" s="56" t="s">
        <v>107</v>
      </c>
      <c r="AA33" s="56" t="s">
        <v>107</v>
      </c>
      <c r="AB33" s="56" t="s">
        <v>107</v>
      </c>
      <c r="AC33" s="57" t="s">
        <v>107</v>
      </c>
      <c r="AD33" s="56" t="s">
        <v>107</v>
      </c>
      <c r="AE33" s="56">
        <v>1</v>
      </c>
      <c r="AF33" s="56" t="s">
        <v>107</v>
      </c>
      <c r="AG33" s="57" t="s">
        <v>107</v>
      </c>
      <c r="AH33" s="56">
        <v>1</v>
      </c>
      <c r="AI33" s="56" t="s">
        <v>107</v>
      </c>
      <c r="AJ33" s="56" t="s">
        <v>107</v>
      </c>
      <c r="AK33" s="57" t="s">
        <v>107</v>
      </c>
      <c r="AL33" s="56" t="s">
        <v>107</v>
      </c>
      <c r="AM33" s="56" t="s">
        <v>107</v>
      </c>
      <c r="AN33" s="57">
        <v>2</v>
      </c>
      <c r="AO33" s="56" t="s">
        <v>107</v>
      </c>
      <c r="AP33" s="56" t="s">
        <v>107</v>
      </c>
      <c r="AQ33" s="56" t="s">
        <v>107</v>
      </c>
      <c r="AR33" s="57">
        <v>3</v>
      </c>
      <c r="AS33" s="56" t="s">
        <v>107</v>
      </c>
      <c r="AT33" s="56" t="s">
        <v>107</v>
      </c>
      <c r="AU33" s="57" t="s">
        <v>107</v>
      </c>
      <c r="AV33" s="56" t="s">
        <v>107</v>
      </c>
      <c r="AW33" s="56">
        <v>3</v>
      </c>
      <c r="AX33" s="56" t="s">
        <v>107</v>
      </c>
      <c r="AY33" s="57" t="s">
        <v>107</v>
      </c>
      <c r="AZ33" s="56" t="s">
        <v>107</v>
      </c>
      <c r="BA33" s="57" t="s">
        <v>107</v>
      </c>
      <c r="BB33" s="56" t="s">
        <v>107</v>
      </c>
      <c r="BC33" s="56" t="s">
        <v>107</v>
      </c>
      <c r="BD33" s="56">
        <v>3</v>
      </c>
      <c r="BE33" s="57" t="s">
        <v>107</v>
      </c>
      <c r="BF33" s="56" t="s">
        <v>107</v>
      </c>
      <c r="BG33" s="56" t="s">
        <v>107</v>
      </c>
      <c r="BH33" s="57" t="s">
        <v>107</v>
      </c>
      <c r="BI33" s="56" t="s">
        <v>107</v>
      </c>
      <c r="BJ33" s="56" t="s">
        <v>107</v>
      </c>
      <c r="BK33" s="56">
        <v>1</v>
      </c>
      <c r="BL33" s="57" t="s">
        <v>107</v>
      </c>
      <c r="BM33" s="56" t="s">
        <v>107</v>
      </c>
      <c r="BN33" s="56">
        <v>3</v>
      </c>
      <c r="BO33" s="57">
        <v>1</v>
      </c>
      <c r="BP33" s="56" t="s">
        <v>107</v>
      </c>
      <c r="BQ33" s="56">
        <v>2</v>
      </c>
      <c r="BR33" s="57">
        <v>1</v>
      </c>
      <c r="BS33" s="56" t="s">
        <v>107</v>
      </c>
      <c r="BT33" s="56">
        <v>5</v>
      </c>
      <c r="BU33" s="57">
        <v>3</v>
      </c>
      <c r="BV33" s="56" t="s">
        <v>107</v>
      </c>
      <c r="BW33" s="57" t="s">
        <v>107</v>
      </c>
      <c r="BX33" s="56">
        <v>1</v>
      </c>
      <c r="BY33" s="56" t="s">
        <v>107</v>
      </c>
      <c r="BZ33" s="56">
        <v>1</v>
      </c>
      <c r="CA33" s="57">
        <v>3</v>
      </c>
      <c r="CB33" s="56" t="s">
        <v>107</v>
      </c>
      <c r="CC33" s="56" t="s">
        <v>107</v>
      </c>
      <c r="CD33" s="56">
        <v>2</v>
      </c>
      <c r="CE33" s="57" t="s">
        <v>107</v>
      </c>
      <c r="CF33" s="57" t="s">
        <v>107</v>
      </c>
      <c r="CG33" s="56" t="s">
        <v>107</v>
      </c>
      <c r="CH33" s="56">
        <v>1</v>
      </c>
      <c r="CI33" s="56" t="s">
        <v>107</v>
      </c>
      <c r="CJ33" s="57" t="s">
        <v>107</v>
      </c>
    </row>
    <row r="34" spans="1:88">
      <c r="A34" s="24" t="s">
        <v>5208</v>
      </c>
      <c r="B34" s="24" t="s">
        <v>15</v>
      </c>
      <c r="C34" s="55" t="s">
        <v>57</v>
      </c>
      <c r="D34" s="18"/>
      <c r="E34" s="57" t="s">
        <v>107</v>
      </c>
      <c r="F34" s="57" t="s">
        <v>107</v>
      </c>
      <c r="G34" s="56" t="s">
        <v>107</v>
      </c>
      <c r="H34" s="56" t="s">
        <v>107</v>
      </c>
      <c r="I34" s="56" t="s">
        <v>107</v>
      </c>
      <c r="J34" s="57" t="s">
        <v>107</v>
      </c>
      <c r="K34" s="56" t="s">
        <v>107</v>
      </c>
      <c r="L34" s="56" t="s">
        <v>107</v>
      </c>
      <c r="M34" s="57" t="s">
        <v>107</v>
      </c>
      <c r="N34" s="56" t="s">
        <v>107</v>
      </c>
      <c r="O34" s="56" t="s">
        <v>107</v>
      </c>
      <c r="P34" s="56" t="s">
        <v>107</v>
      </c>
      <c r="Q34" s="57" t="s">
        <v>107</v>
      </c>
      <c r="R34" s="56" t="s">
        <v>107</v>
      </c>
      <c r="S34" s="56" t="s">
        <v>107</v>
      </c>
      <c r="T34" s="57" t="s">
        <v>107</v>
      </c>
      <c r="U34" s="57" t="s">
        <v>107</v>
      </c>
      <c r="V34" s="56" t="s">
        <v>107</v>
      </c>
      <c r="W34" s="56" t="s">
        <v>107</v>
      </c>
      <c r="X34" s="56" t="s">
        <v>107</v>
      </c>
      <c r="Y34" s="57" t="s">
        <v>107</v>
      </c>
      <c r="Z34" s="56" t="s">
        <v>107</v>
      </c>
      <c r="AA34" s="56" t="s">
        <v>107</v>
      </c>
      <c r="AB34" s="56" t="s">
        <v>107</v>
      </c>
      <c r="AC34" s="57" t="s">
        <v>107</v>
      </c>
      <c r="AD34" s="56" t="s">
        <v>107</v>
      </c>
      <c r="AE34" s="56" t="s">
        <v>107</v>
      </c>
      <c r="AF34" s="56" t="s">
        <v>107</v>
      </c>
      <c r="AG34" s="57" t="s">
        <v>107</v>
      </c>
      <c r="AH34" s="56" t="s">
        <v>107</v>
      </c>
      <c r="AI34" s="56" t="s">
        <v>107</v>
      </c>
      <c r="AJ34" s="56" t="s">
        <v>107</v>
      </c>
      <c r="AK34" s="57" t="s">
        <v>107</v>
      </c>
      <c r="AL34" s="56" t="s">
        <v>107</v>
      </c>
      <c r="AM34" s="56" t="s">
        <v>107</v>
      </c>
      <c r="AN34" s="57" t="s">
        <v>107</v>
      </c>
      <c r="AO34" s="56" t="s">
        <v>107</v>
      </c>
      <c r="AP34" s="56" t="s">
        <v>107</v>
      </c>
      <c r="AQ34" s="56" t="s">
        <v>107</v>
      </c>
      <c r="AR34" s="57" t="s">
        <v>107</v>
      </c>
      <c r="AS34" s="56" t="s">
        <v>107</v>
      </c>
      <c r="AT34" s="56" t="s">
        <v>107</v>
      </c>
      <c r="AU34" s="57" t="s">
        <v>107</v>
      </c>
      <c r="AV34" s="56" t="s">
        <v>107</v>
      </c>
      <c r="AW34" s="56">
        <v>1</v>
      </c>
      <c r="AX34" s="56" t="s">
        <v>107</v>
      </c>
      <c r="AY34" s="57" t="s">
        <v>107</v>
      </c>
      <c r="AZ34" s="56" t="s">
        <v>107</v>
      </c>
      <c r="BA34" s="57" t="s">
        <v>107</v>
      </c>
      <c r="BB34" s="56" t="s">
        <v>107</v>
      </c>
      <c r="BC34" s="56" t="s">
        <v>107</v>
      </c>
      <c r="BD34" s="56" t="s">
        <v>107</v>
      </c>
      <c r="BE34" s="57" t="s">
        <v>107</v>
      </c>
      <c r="BF34" s="56" t="s">
        <v>107</v>
      </c>
      <c r="BG34" s="56" t="s">
        <v>107</v>
      </c>
      <c r="BH34" s="57" t="s">
        <v>107</v>
      </c>
      <c r="BI34" s="56" t="s">
        <v>107</v>
      </c>
      <c r="BJ34" s="56" t="s">
        <v>107</v>
      </c>
      <c r="BK34" s="56" t="s">
        <v>107</v>
      </c>
      <c r="BL34" s="57" t="s">
        <v>107</v>
      </c>
      <c r="BM34" s="56" t="s">
        <v>107</v>
      </c>
      <c r="BN34" s="56" t="s">
        <v>107</v>
      </c>
      <c r="BO34" s="57" t="s">
        <v>107</v>
      </c>
      <c r="BP34" s="56" t="s">
        <v>107</v>
      </c>
      <c r="BQ34" s="56" t="s">
        <v>107</v>
      </c>
      <c r="BR34" s="57" t="s">
        <v>107</v>
      </c>
      <c r="BS34" s="56" t="s">
        <v>107</v>
      </c>
      <c r="BT34" s="56" t="s">
        <v>107</v>
      </c>
      <c r="BU34" s="57" t="s">
        <v>107</v>
      </c>
      <c r="BV34" s="56" t="s">
        <v>107</v>
      </c>
      <c r="BW34" s="57" t="s">
        <v>107</v>
      </c>
      <c r="BX34" s="56" t="s">
        <v>107</v>
      </c>
      <c r="BY34" s="56" t="s">
        <v>107</v>
      </c>
      <c r="BZ34" s="56" t="s">
        <v>107</v>
      </c>
      <c r="CA34" s="57" t="s">
        <v>107</v>
      </c>
      <c r="CB34" s="56" t="s">
        <v>107</v>
      </c>
      <c r="CC34" s="56" t="s">
        <v>107</v>
      </c>
      <c r="CD34" s="56" t="s">
        <v>107</v>
      </c>
      <c r="CE34" s="57" t="s">
        <v>107</v>
      </c>
      <c r="CF34" s="57" t="s">
        <v>107</v>
      </c>
      <c r="CG34" s="56" t="s">
        <v>107</v>
      </c>
      <c r="CH34" s="56" t="s">
        <v>107</v>
      </c>
      <c r="CI34" s="56" t="s">
        <v>107</v>
      </c>
      <c r="CJ34" s="57" t="s">
        <v>107</v>
      </c>
    </row>
    <row r="35" spans="1:88">
      <c r="A35" s="24" t="s">
        <v>5208</v>
      </c>
      <c r="B35" s="24" t="s">
        <v>15</v>
      </c>
      <c r="C35" s="55" t="s">
        <v>58</v>
      </c>
      <c r="D35" s="18"/>
      <c r="E35" s="57" t="s">
        <v>107</v>
      </c>
      <c r="F35" s="57" t="s">
        <v>107</v>
      </c>
      <c r="G35" s="56" t="s">
        <v>107</v>
      </c>
      <c r="H35" s="56" t="s">
        <v>107</v>
      </c>
      <c r="I35" s="56" t="s">
        <v>107</v>
      </c>
      <c r="J35" s="57" t="s">
        <v>107</v>
      </c>
      <c r="K35" s="56" t="s">
        <v>107</v>
      </c>
      <c r="L35" s="56" t="s">
        <v>107</v>
      </c>
      <c r="M35" s="57" t="s">
        <v>107</v>
      </c>
      <c r="N35" s="56" t="s">
        <v>107</v>
      </c>
      <c r="O35" s="56" t="s">
        <v>107</v>
      </c>
      <c r="P35" s="56" t="s">
        <v>107</v>
      </c>
      <c r="Q35" s="57" t="s">
        <v>107</v>
      </c>
      <c r="R35" s="56" t="s">
        <v>107</v>
      </c>
      <c r="S35" s="56" t="s">
        <v>107</v>
      </c>
      <c r="T35" s="57" t="s">
        <v>107</v>
      </c>
      <c r="U35" s="57" t="s">
        <v>107</v>
      </c>
      <c r="V35" s="56" t="s">
        <v>107</v>
      </c>
      <c r="W35" s="56" t="s">
        <v>107</v>
      </c>
      <c r="X35" s="56">
        <v>1</v>
      </c>
      <c r="Y35" s="57" t="s">
        <v>107</v>
      </c>
      <c r="Z35" s="56" t="s">
        <v>107</v>
      </c>
      <c r="AA35" s="56">
        <v>1</v>
      </c>
      <c r="AB35" s="56" t="s">
        <v>107</v>
      </c>
      <c r="AC35" s="57" t="s">
        <v>107</v>
      </c>
      <c r="AD35" s="56" t="s">
        <v>107</v>
      </c>
      <c r="AE35" s="56" t="s">
        <v>107</v>
      </c>
      <c r="AF35" s="56" t="s">
        <v>107</v>
      </c>
      <c r="AG35" s="57" t="s">
        <v>107</v>
      </c>
      <c r="AH35" s="56" t="s">
        <v>107</v>
      </c>
      <c r="AI35" s="56" t="s">
        <v>107</v>
      </c>
      <c r="AJ35" s="56" t="s">
        <v>107</v>
      </c>
      <c r="AK35" s="57" t="s">
        <v>107</v>
      </c>
      <c r="AL35" s="56" t="s">
        <v>107</v>
      </c>
      <c r="AM35" s="56" t="s">
        <v>107</v>
      </c>
      <c r="AN35" s="57">
        <v>1</v>
      </c>
      <c r="AO35" s="56" t="s">
        <v>107</v>
      </c>
      <c r="AP35" s="56" t="s">
        <v>107</v>
      </c>
      <c r="AQ35" s="56" t="s">
        <v>107</v>
      </c>
      <c r="AR35" s="57" t="s">
        <v>107</v>
      </c>
      <c r="AS35" s="56" t="s">
        <v>107</v>
      </c>
      <c r="AT35" s="56" t="s">
        <v>107</v>
      </c>
      <c r="AU35" s="57" t="s">
        <v>107</v>
      </c>
      <c r="AV35" s="56" t="s">
        <v>107</v>
      </c>
      <c r="AW35" s="56" t="s">
        <v>107</v>
      </c>
      <c r="AX35" s="56" t="s">
        <v>107</v>
      </c>
      <c r="AY35" s="57" t="s">
        <v>107</v>
      </c>
      <c r="AZ35" s="56" t="s">
        <v>107</v>
      </c>
      <c r="BA35" s="57" t="s">
        <v>107</v>
      </c>
      <c r="BB35" s="56">
        <v>1</v>
      </c>
      <c r="BC35" s="56">
        <v>1</v>
      </c>
      <c r="BD35" s="56" t="s">
        <v>107</v>
      </c>
      <c r="BE35" s="57" t="s">
        <v>107</v>
      </c>
      <c r="BF35" s="56" t="s">
        <v>107</v>
      </c>
      <c r="BG35" s="56" t="s">
        <v>107</v>
      </c>
      <c r="BH35" s="57" t="s">
        <v>107</v>
      </c>
      <c r="BI35" s="56" t="s">
        <v>107</v>
      </c>
      <c r="BJ35" s="56" t="s">
        <v>107</v>
      </c>
      <c r="BK35" s="56" t="s">
        <v>107</v>
      </c>
      <c r="BL35" s="57">
        <v>1</v>
      </c>
      <c r="BM35" s="56" t="s">
        <v>107</v>
      </c>
      <c r="BN35" s="56" t="s">
        <v>107</v>
      </c>
      <c r="BO35" s="57" t="s">
        <v>107</v>
      </c>
      <c r="BP35" s="56" t="s">
        <v>107</v>
      </c>
      <c r="BQ35" s="56" t="s">
        <v>107</v>
      </c>
      <c r="BR35" s="57" t="s">
        <v>107</v>
      </c>
      <c r="BS35" s="56" t="s">
        <v>107</v>
      </c>
      <c r="BT35" s="56" t="s">
        <v>107</v>
      </c>
      <c r="BU35" s="57">
        <v>6</v>
      </c>
      <c r="BV35" s="56" t="s">
        <v>107</v>
      </c>
      <c r="BW35" s="57" t="s">
        <v>107</v>
      </c>
      <c r="BX35" s="56">
        <v>1</v>
      </c>
      <c r="BY35" s="56" t="s">
        <v>107</v>
      </c>
      <c r="BZ35" s="56" t="s">
        <v>107</v>
      </c>
      <c r="CA35" s="57" t="s">
        <v>107</v>
      </c>
      <c r="CB35" s="56" t="s">
        <v>107</v>
      </c>
      <c r="CC35" s="56" t="s">
        <v>107</v>
      </c>
      <c r="CD35" s="56" t="s">
        <v>107</v>
      </c>
      <c r="CE35" s="57" t="s">
        <v>107</v>
      </c>
      <c r="CF35" s="57" t="s">
        <v>107</v>
      </c>
      <c r="CG35" s="56" t="s">
        <v>107</v>
      </c>
      <c r="CH35" s="56" t="s">
        <v>107</v>
      </c>
      <c r="CI35" s="56" t="s">
        <v>107</v>
      </c>
      <c r="CJ35" s="57" t="s">
        <v>107</v>
      </c>
    </row>
    <row r="36" spans="1:88">
      <c r="A36" s="24" t="s">
        <v>5208</v>
      </c>
      <c r="B36" s="24" t="s">
        <v>15</v>
      </c>
      <c r="C36" s="55" t="s">
        <v>59</v>
      </c>
      <c r="D36" s="18"/>
      <c r="E36" s="57" t="s">
        <v>107</v>
      </c>
      <c r="F36" s="57" t="s">
        <v>107</v>
      </c>
      <c r="G36" s="56" t="s">
        <v>107</v>
      </c>
      <c r="H36" s="56" t="s">
        <v>107</v>
      </c>
      <c r="I36" s="56" t="s">
        <v>107</v>
      </c>
      <c r="J36" s="57" t="s">
        <v>107</v>
      </c>
      <c r="K36" s="56" t="s">
        <v>107</v>
      </c>
      <c r="L36" s="56" t="s">
        <v>107</v>
      </c>
      <c r="M36" s="57" t="s">
        <v>107</v>
      </c>
      <c r="N36" s="56" t="s">
        <v>107</v>
      </c>
      <c r="O36" s="56" t="s">
        <v>107</v>
      </c>
      <c r="P36" s="56" t="s">
        <v>107</v>
      </c>
      <c r="Q36" s="57" t="s">
        <v>107</v>
      </c>
      <c r="R36" s="56" t="s">
        <v>107</v>
      </c>
      <c r="S36" s="56" t="s">
        <v>107</v>
      </c>
      <c r="T36" s="57" t="s">
        <v>107</v>
      </c>
      <c r="U36" s="57" t="s">
        <v>107</v>
      </c>
      <c r="V36" s="56" t="s">
        <v>107</v>
      </c>
      <c r="W36" s="56" t="s">
        <v>107</v>
      </c>
      <c r="X36" s="56" t="s">
        <v>107</v>
      </c>
      <c r="Y36" s="57" t="s">
        <v>107</v>
      </c>
      <c r="Z36" s="56" t="s">
        <v>107</v>
      </c>
      <c r="AA36" s="56">
        <v>1</v>
      </c>
      <c r="AB36" s="56">
        <v>1</v>
      </c>
      <c r="AC36" s="57" t="s">
        <v>107</v>
      </c>
      <c r="AD36" s="56" t="s">
        <v>107</v>
      </c>
      <c r="AE36" s="56" t="s">
        <v>107</v>
      </c>
      <c r="AF36" s="56" t="s">
        <v>107</v>
      </c>
      <c r="AG36" s="57" t="s">
        <v>107</v>
      </c>
      <c r="AH36" s="56" t="s">
        <v>107</v>
      </c>
      <c r="AI36" s="56" t="s">
        <v>107</v>
      </c>
      <c r="AJ36" s="56" t="s">
        <v>107</v>
      </c>
      <c r="AK36" s="57" t="s">
        <v>107</v>
      </c>
      <c r="AL36" s="56" t="s">
        <v>107</v>
      </c>
      <c r="AM36" s="56" t="s">
        <v>107</v>
      </c>
      <c r="AN36" s="57" t="s">
        <v>107</v>
      </c>
      <c r="AO36" s="56" t="s">
        <v>107</v>
      </c>
      <c r="AP36" s="56" t="s">
        <v>107</v>
      </c>
      <c r="AQ36" s="56" t="s">
        <v>107</v>
      </c>
      <c r="AR36" s="57" t="s">
        <v>107</v>
      </c>
      <c r="AS36" s="56" t="s">
        <v>107</v>
      </c>
      <c r="AT36" s="56" t="s">
        <v>107</v>
      </c>
      <c r="AU36" s="57" t="s">
        <v>107</v>
      </c>
      <c r="AV36" s="56" t="s">
        <v>107</v>
      </c>
      <c r="AW36" s="56" t="s">
        <v>107</v>
      </c>
      <c r="AX36" s="56" t="s">
        <v>107</v>
      </c>
      <c r="AY36" s="57" t="s">
        <v>107</v>
      </c>
      <c r="AZ36" s="56" t="s">
        <v>107</v>
      </c>
      <c r="BA36" s="57" t="s">
        <v>107</v>
      </c>
      <c r="BB36" s="56" t="s">
        <v>107</v>
      </c>
      <c r="BC36" s="56" t="s">
        <v>107</v>
      </c>
      <c r="BD36" s="56">
        <v>1</v>
      </c>
      <c r="BE36" s="57" t="s">
        <v>107</v>
      </c>
      <c r="BF36" s="56" t="s">
        <v>107</v>
      </c>
      <c r="BG36" s="56" t="s">
        <v>107</v>
      </c>
      <c r="BH36" s="57" t="s">
        <v>107</v>
      </c>
      <c r="BI36" s="56" t="s">
        <v>107</v>
      </c>
      <c r="BJ36" s="56" t="s">
        <v>107</v>
      </c>
      <c r="BK36" s="56" t="s">
        <v>107</v>
      </c>
      <c r="BL36" s="57" t="s">
        <v>107</v>
      </c>
      <c r="BM36" s="56" t="s">
        <v>107</v>
      </c>
      <c r="BN36" s="56">
        <v>1</v>
      </c>
      <c r="BO36" s="57" t="s">
        <v>107</v>
      </c>
      <c r="BP36" s="56" t="s">
        <v>107</v>
      </c>
      <c r="BQ36" s="56" t="s">
        <v>107</v>
      </c>
      <c r="BR36" s="57" t="s">
        <v>107</v>
      </c>
      <c r="BS36" s="56" t="s">
        <v>107</v>
      </c>
      <c r="BT36" s="56" t="s">
        <v>107</v>
      </c>
      <c r="BU36" s="57" t="s">
        <v>107</v>
      </c>
      <c r="BV36" s="56" t="s">
        <v>107</v>
      </c>
      <c r="BW36" s="57" t="s">
        <v>107</v>
      </c>
      <c r="BX36" s="56" t="s">
        <v>107</v>
      </c>
      <c r="BY36" s="56" t="s">
        <v>107</v>
      </c>
      <c r="BZ36" s="56" t="s">
        <v>107</v>
      </c>
      <c r="CA36" s="57" t="s">
        <v>107</v>
      </c>
      <c r="CB36" s="56" t="s">
        <v>107</v>
      </c>
      <c r="CC36" s="56" t="s">
        <v>107</v>
      </c>
      <c r="CD36" s="56" t="s">
        <v>107</v>
      </c>
      <c r="CE36" s="57" t="s">
        <v>107</v>
      </c>
      <c r="CF36" s="57" t="s">
        <v>107</v>
      </c>
      <c r="CG36" s="56" t="s">
        <v>107</v>
      </c>
      <c r="CH36" s="56" t="s">
        <v>107</v>
      </c>
      <c r="CI36" s="56" t="s">
        <v>107</v>
      </c>
      <c r="CJ36" s="57" t="s">
        <v>107</v>
      </c>
    </row>
    <row r="37" spans="1:88">
      <c r="A37" s="24" t="s">
        <v>5208</v>
      </c>
      <c r="B37" s="24" t="s">
        <v>15</v>
      </c>
      <c r="C37" s="55" t="s">
        <v>60</v>
      </c>
      <c r="D37" s="18"/>
      <c r="E37" s="57" t="s">
        <v>107</v>
      </c>
      <c r="F37" s="57" t="s">
        <v>107</v>
      </c>
      <c r="G37" s="56" t="s">
        <v>107</v>
      </c>
      <c r="H37" s="56" t="s">
        <v>107</v>
      </c>
      <c r="I37" s="56" t="s">
        <v>107</v>
      </c>
      <c r="J37" s="57" t="s">
        <v>107</v>
      </c>
      <c r="K37" s="56" t="s">
        <v>107</v>
      </c>
      <c r="L37" s="56" t="s">
        <v>107</v>
      </c>
      <c r="M37" s="57" t="s">
        <v>107</v>
      </c>
      <c r="N37" s="56" t="s">
        <v>107</v>
      </c>
      <c r="O37" s="56" t="s">
        <v>107</v>
      </c>
      <c r="P37" s="56" t="s">
        <v>107</v>
      </c>
      <c r="Q37" s="57" t="s">
        <v>107</v>
      </c>
      <c r="R37" s="56" t="s">
        <v>107</v>
      </c>
      <c r="S37" s="56" t="s">
        <v>107</v>
      </c>
      <c r="T37" s="57" t="s">
        <v>107</v>
      </c>
      <c r="U37" s="57" t="s">
        <v>107</v>
      </c>
      <c r="V37" s="56" t="s">
        <v>107</v>
      </c>
      <c r="W37" s="56" t="s">
        <v>107</v>
      </c>
      <c r="X37" s="56" t="s">
        <v>107</v>
      </c>
      <c r="Y37" s="57" t="s">
        <v>107</v>
      </c>
      <c r="Z37" s="56" t="s">
        <v>107</v>
      </c>
      <c r="AA37" s="56" t="s">
        <v>107</v>
      </c>
      <c r="AB37" s="56">
        <v>1</v>
      </c>
      <c r="AC37" s="57" t="s">
        <v>107</v>
      </c>
      <c r="AD37" s="56" t="s">
        <v>107</v>
      </c>
      <c r="AE37" s="56" t="s">
        <v>107</v>
      </c>
      <c r="AF37" s="56" t="s">
        <v>107</v>
      </c>
      <c r="AG37" s="57" t="s">
        <v>107</v>
      </c>
      <c r="AH37" s="56" t="s">
        <v>107</v>
      </c>
      <c r="AI37" s="56" t="s">
        <v>107</v>
      </c>
      <c r="AJ37" s="56" t="s">
        <v>107</v>
      </c>
      <c r="AK37" s="57" t="s">
        <v>107</v>
      </c>
      <c r="AL37" s="56" t="s">
        <v>107</v>
      </c>
      <c r="AM37" s="56" t="s">
        <v>107</v>
      </c>
      <c r="AN37" s="57" t="s">
        <v>107</v>
      </c>
      <c r="AO37" s="56" t="s">
        <v>107</v>
      </c>
      <c r="AP37" s="56" t="s">
        <v>107</v>
      </c>
      <c r="AQ37" s="56" t="s">
        <v>107</v>
      </c>
      <c r="AR37" s="57" t="s">
        <v>107</v>
      </c>
      <c r="AS37" s="56" t="s">
        <v>107</v>
      </c>
      <c r="AT37" s="56" t="s">
        <v>107</v>
      </c>
      <c r="AU37" s="57" t="s">
        <v>107</v>
      </c>
      <c r="AV37" s="56" t="s">
        <v>107</v>
      </c>
      <c r="AW37" s="56" t="s">
        <v>107</v>
      </c>
      <c r="AX37" s="56" t="s">
        <v>107</v>
      </c>
      <c r="AY37" s="57" t="s">
        <v>107</v>
      </c>
      <c r="AZ37" s="56" t="s">
        <v>107</v>
      </c>
      <c r="BA37" s="57" t="s">
        <v>107</v>
      </c>
      <c r="BB37" s="56">
        <v>1</v>
      </c>
      <c r="BC37" s="56" t="s">
        <v>107</v>
      </c>
      <c r="BD37" s="56" t="s">
        <v>107</v>
      </c>
      <c r="BE37" s="57" t="s">
        <v>107</v>
      </c>
      <c r="BF37" s="56" t="s">
        <v>107</v>
      </c>
      <c r="BG37" s="56" t="s">
        <v>107</v>
      </c>
      <c r="BH37" s="57" t="s">
        <v>107</v>
      </c>
      <c r="BI37" s="56" t="s">
        <v>107</v>
      </c>
      <c r="BJ37" s="56" t="s">
        <v>107</v>
      </c>
      <c r="BK37" s="56" t="s">
        <v>107</v>
      </c>
      <c r="BL37" s="57" t="s">
        <v>107</v>
      </c>
      <c r="BM37" s="56" t="s">
        <v>107</v>
      </c>
      <c r="BN37" s="56" t="s">
        <v>107</v>
      </c>
      <c r="BO37" s="57" t="s">
        <v>107</v>
      </c>
      <c r="BP37" s="56" t="s">
        <v>107</v>
      </c>
      <c r="BQ37" s="56" t="s">
        <v>107</v>
      </c>
      <c r="BR37" s="57" t="s">
        <v>107</v>
      </c>
      <c r="BS37" s="56" t="s">
        <v>107</v>
      </c>
      <c r="BT37" s="56" t="s">
        <v>107</v>
      </c>
      <c r="BU37" s="57" t="s">
        <v>107</v>
      </c>
      <c r="BV37" s="56" t="s">
        <v>107</v>
      </c>
      <c r="BW37" s="57" t="s">
        <v>107</v>
      </c>
      <c r="BX37" s="56" t="s">
        <v>107</v>
      </c>
      <c r="BY37" s="56" t="s">
        <v>107</v>
      </c>
      <c r="BZ37" s="56" t="s">
        <v>107</v>
      </c>
      <c r="CA37" s="57" t="s">
        <v>107</v>
      </c>
      <c r="CB37" s="56" t="s">
        <v>107</v>
      </c>
      <c r="CC37" s="56" t="s">
        <v>107</v>
      </c>
      <c r="CD37" s="56" t="s">
        <v>107</v>
      </c>
      <c r="CE37" s="57" t="s">
        <v>107</v>
      </c>
      <c r="CF37" s="57" t="s">
        <v>107</v>
      </c>
      <c r="CG37" s="56" t="s">
        <v>107</v>
      </c>
      <c r="CH37" s="56" t="s">
        <v>107</v>
      </c>
      <c r="CI37" s="56" t="s">
        <v>107</v>
      </c>
      <c r="CJ37" s="57" t="s">
        <v>107</v>
      </c>
    </row>
    <row r="38" spans="1:88">
      <c r="A38" s="24" t="s">
        <v>5208</v>
      </c>
      <c r="B38" s="24" t="s">
        <v>15</v>
      </c>
      <c r="C38" s="55" t="s">
        <v>61</v>
      </c>
      <c r="D38" s="18"/>
      <c r="E38" s="57" t="s">
        <v>107</v>
      </c>
      <c r="F38" s="57" t="s">
        <v>107</v>
      </c>
      <c r="G38" s="56" t="s">
        <v>107</v>
      </c>
      <c r="H38" s="56" t="s">
        <v>107</v>
      </c>
      <c r="I38" s="56" t="s">
        <v>107</v>
      </c>
      <c r="J38" s="57" t="s">
        <v>107</v>
      </c>
      <c r="K38" s="56" t="s">
        <v>107</v>
      </c>
      <c r="L38" s="56" t="s">
        <v>107</v>
      </c>
      <c r="M38" s="57" t="s">
        <v>107</v>
      </c>
      <c r="N38" s="56" t="s">
        <v>107</v>
      </c>
      <c r="O38" s="56" t="s">
        <v>107</v>
      </c>
      <c r="P38" s="56" t="s">
        <v>107</v>
      </c>
      <c r="Q38" s="57" t="s">
        <v>107</v>
      </c>
      <c r="R38" s="56" t="s">
        <v>107</v>
      </c>
      <c r="S38" s="56" t="s">
        <v>107</v>
      </c>
      <c r="T38" s="57" t="s">
        <v>107</v>
      </c>
      <c r="U38" s="57" t="s">
        <v>107</v>
      </c>
      <c r="V38" s="56" t="s">
        <v>107</v>
      </c>
      <c r="W38" s="56" t="s">
        <v>107</v>
      </c>
      <c r="X38" s="56" t="s">
        <v>107</v>
      </c>
      <c r="Y38" s="57" t="s">
        <v>107</v>
      </c>
      <c r="Z38" s="56" t="s">
        <v>107</v>
      </c>
      <c r="AA38" s="56" t="s">
        <v>107</v>
      </c>
      <c r="AB38" s="56" t="s">
        <v>107</v>
      </c>
      <c r="AC38" s="57" t="s">
        <v>107</v>
      </c>
      <c r="AD38" s="56" t="s">
        <v>107</v>
      </c>
      <c r="AE38" s="56">
        <v>1</v>
      </c>
      <c r="AF38" s="56" t="s">
        <v>107</v>
      </c>
      <c r="AG38" s="57" t="s">
        <v>107</v>
      </c>
      <c r="AH38" s="56" t="s">
        <v>107</v>
      </c>
      <c r="AI38" s="56" t="s">
        <v>107</v>
      </c>
      <c r="AJ38" s="56" t="s">
        <v>107</v>
      </c>
      <c r="AK38" s="57" t="s">
        <v>107</v>
      </c>
      <c r="AL38" s="56" t="s">
        <v>107</v>
      </c>
      <c r="AM38" s="56" t="s">
        <v>107</v>
      </c>
      <c r="AN38" s="57" t="s">
        <v>107</v>
      </c>
      <c r="AO38" s="56" t="s">
        <v>107</v>
      </c>
      <c r="AP38" s="56" t="s">
        <v>107</v>
      </c>
      <c r="AQ38" s="56" t="s">
        <v>107</v>
      </c>
      <c r="AR38" s="57" t="s">
        <v>107</v>
      </c>
      <c r="AS38" s="56" t="s">
        <v>107</v>
      </c>
      <c r="AT38" s="56" t="s">
        <v>107</v>
      </c>
      <c r="AU38" s="57">
        <v>1</v>
      </c>
      <c r="AV38" s="56" t="s">
        <v>107</v>
      </c>
      <c r="AW38" s="56" t="s">
        <v>107</v>
      </c>
      <c r="AX38" s="56" t="s">
        <v>107</v>
      </c>
      <c r="AY38" s="57" t="s">
        <v>107</v>
      </c>
      <c r="AZ38" s="56" t="s">
        <v>107</v>
      </c>
      <c r="BA38" s="57" t="s">
        <v>107</v>
      </c>
      <c r="BB38" s="56" t="s">
        <v>107</v>
      </c>
      <c r="BC38" s="56">
        <v>1</v>
      </c>
      <c r="BD38" s="56" t="s">
        <v>107</v>
      </c>
      <c r="BE38" s="57" t="s">
        <v>107</v>
      </c>
      <c r="BF38" s="56" t="s">
        <v>107</v>
      </c>
      <c r="BG38" s="56" t="s">
        <v>107</v>
      </c>
      <c r="BH38" s="57" t="s">
        <v>107</v>
      </c>
      <c r="BI38" s="56" t="s">
        <v>107</v>
      </c>
      <c r="BJ38" s="56" t="s">
        <v>107</v>
      </c>
      <c r="BK38" s="56" t="s">
        <v>107</v>
      </c>
      <c r="BL38" s="57" t="s">
        <v>107</v>
      </c>
      <c r="BM38" s="56" t="s">
        <v>107</v>
      </c>
      <c r="BN38" s="56" t="s">
        <v>107</v>
      </c>
      <c r="BO38" s="57" t="s">
        <v>107</v>
      </c>
      <c r="BP38" s="56" t="s">
        <v>107</v>
      </c>
      <c r="BQ38" s="56" t="s">
        <v>107</v>
      </c>
      <c r="BR38" s="57" t="s">
        <v>107</v>
      </c>
      <c r="BS38" s="56" t="s">
        <v>107</v>
      </c>
      <c r="BT38" s="56" t="s">
        <v>107</v>
      </c>
      <c r="BU38" s="57">
        <v>1</v>
      </c>
      <c r="BV38" s="56" t="s">
        <v>107</v>
      </c>
      <c r="BW38" s="57" t="s">
        <v>107</v>
      </c>
      <c r="BX38" s="56">
        <v>2</v>
      </c>
      <c r="BY38" s="56" t="s">
        <v>107</v>
      </c>
      <c r="BZ38" s="56" t="s">
        <v>107</v>
      </c>
      <c r="CA38" s="57" t="s">
        <v>107</v>
      </c>
      <c r="CB38" s="56" t="s">
        <v>107</v>
      </c>
      <c r="CC38" s="56" t="s">
        <v>107</v>
      </c>
      <c r="CD38" s="56" t="s">
        <v>107</v>
      </c>
      <c r="CE38" s="57">
        <v>1</v>
      </c>
      <c r="CF38" s="57" t="s">
        <v>107</v>
      </c>
      <c r="CG38" s="56" t="s">
        <v>107</v>
      </c>
      <c r="CH38" s="56" t="s">
        <v>107</v>
      </c>
      <c r="CI38" s="56" t="s">
        <v>107</v>
      </c>
      <c r="CJ38" s="57" t="s">
        <v>107</v>
      </c>
    </row>
    <row r="39" spans="1:88">
      <c r="A39" s="24" t="s">
        <v>5208</v>
      </c>
      <c r="B39" s="24" t="s">
        <v>15</v>
      </c>
      <c r="C39" s="55" t="s">
        <v>62</v>
      </c>
      <c r="D39" s="18"/>
      <c r="E39" s="57">
        <v>3</v>
      </c>
      <c r="F39" s="57" t="s">
        <v>107</v>
      </c>
      <c r="G39" s="56" t="s">
        <v>107</v>
      </c>
      <c r="H39" s="56" t="s">
        <v>107</v>
      </c>
      <c r="I39" s="56" t="s">
        <v>107</v>
      </c>
      <c r="J39" s="57">
        <v>3</v>
      </c>
      <c r="K39" s="56">
        <v>5</v>
      </c>
      <c r="L39" s="56" t="s">
        <v>107</v>
      </c>
      <c r="M39" s="57">
        <v>3</v>
      </c>
      <c r="N39" s="56" t="s">
        <v>107</v>
      </c>
      <c r="O39" s="56">
        <v>7</v>
      </c>
      <c r="P39" s="56">
        <v>4</v>
      </c>
      <c r="Q39" s="57">
        <v>1</v>
      </c>
      <c r="R39" s="56" t="s">
        <v>107</v>
      </c>
      <c r="S39" s="56" t="s">
        <v>107</v>
      </c>
      <c r="T39" s="57" t="s">
        <v>107</v>
      </c>
      <c r="U39" s="57">
        <v>3</v>
      </c>
      <c r="V39" s="56">
        <v>2</v>
      </c>
      <c r="W39" s="56" t="s">
        <v>107</v>
      </c>
      <c r="X39" s="56">
        <v>2</v>
      </c>
      <c r="Y39" s="57" t="s">
        <v>107</v>
      </c>
      <c r="Z39" s="56">
        <v>4</v>
      </c>
      <c r="AA39" s="56" t="s">
        <v>107</v>
      </c>
      <c r="AB39" s="56">
        <v>1</v>
      </c>
      <c r="AC39" s="57" t="s">
        <v>107</v>
      </c>
      <c r="AD39" s="56" t="s">
        <v>107</v>
      </c>
      <c r="AE39" s="56">
        <v>4</v>
      </c>
      <c r="AF39" s="56" t="s">
        <v>107</v>
      </c>
      <c r="AG39" s="57" t="s">
        <v>107</v>
      </c>
      <c r="AH39" s="56">
        <v>4</v>
      </c>
      <c r="AI39" s="56" t="s">
        <v>107</v>
      </c>
      <c r="AJ39" s="56" t="s">
        <v>107</v>
      </c>
      <c r="AK39" s="57" t="s">
        <v>107</v>
      </c>
      <c r="AL39" s="56" t="s">
        <v>107</v>
      </c>
      <c r="AM39" s="56" t="s">
        <v>107</v>
      </c>
      <c r="AN39" s="57" t="s">
        <v>107</v>
      </c>
      <c r="AO39" s="56" t="s">
        <v>107</v>
      </c>
      <c r="AP39" s="56">
        <v>4</v>
      </c>
      <c r="AQ39" s="56" t="s">
        <v>107</v>
      </c>
      <c r="AR39" s="57">
        <v>3</v>
      </c>
      <c r="AS39" s="56" t="s">
        <v>107</v>
      </c>
      <c r="AT39" s="56" t="s">
        <v>107</v>
      </c>
      <c r="AU39" s="57">
        <v>1</v>
      </c>
      <c r="AV39" s="56" t="s">
        <v>107</v>
      </c>
      <c r="AW39" s="56">
        <v>5</v>
      </c>
      <c r="AX39" s="56" t="s">
        <v>107</v>
      </c>
      <c r="AY39" s="57" t="s">
        <v>107</v>
      </c>
      <c r="AZ39" s="56" t="s">
        <v>107</v>
      </c>
      <c r="BA39" s="57" t="s">
        <v>107</v>
      </c>
      <c r="BB39" s="56">
        <v>4</v>
      </c>
      <c r="BC39" s="56">
        <v>2</v>
      </c>
      <c r="BD39" s="56">
        <v>5</v>
      </c>
      <c r="BE39" s="57" t="s">
        <v>107</v>
      </c>
      <c r="BF39" s="56" t="s">
        <v>107</v>
      </c>
      <c r="BG39" s="56" t="s">
        <v>107</v>
      </c>
      <c r="BH39" s="57" t="s">
        <v>107</v>
      </c>
      <c r="BI39" s="56" t="s">
        <v>107</v>
      </c>
      <c r="BJ39" s="56" t="s">
        <v>107</v>
      </c>
      <c r="BK39" s="56">
        <v>2</v>
      </c>
      <c r="BL39" s="57">
        <v>3</v>
      </c>
      <c r="BM39" s="56" t="s">
        <v>107</v>
      </c>
      <c r="BN39" s="56" t="s">
        <v>107</v>
      </c>
      <c r="BO39" s="57" t="s">
        <v>107</v>
      </c>
      <c r="BP39" s="56" t="s">
        <v>107</v>
      </c>
      <c r="BQ39" s="56">
        <v>4</v>
      </c>
      <c r="BR39" s="57">
        <v>3</v>
      </c>
      <c r="BS39" s="56">
        <v>2</v>
      </c>
      <c r="BT39" s="56" t="s">
        <v>107</v>
      </c>
      <c r="BU39" s="57" t="s">
        <v>107</v>
      </c>
      <c r="BV39" s="56" t="s">
        <v>107</v>
      </c>
      <c r="BW39" s="57" t="s">
        <v>107</v>
      </c>
      <c r="BX39" s="56">
        <v>9</v>
      </c>
      <c r="BY39" s="56">
        <v>3</v>
      </c>
      <c r="BZ39" s="56">
        <v>3</v>
      </c>
      <c r="CA39" s="57">
        <v>3</v>
      </c>
      <c r="CB39" s="56" t="s">
        <v>107</v>
      </c>
      <c r="CC39" s="56" t="s">
        <v>107</v>
      </c>
      <c r="CD39" s="56">
        <v>4</v>
      </c>
      <c r="CE39" s="57" t="s">
        <v>107</v>
      </c>
      <c r="CF39" s="57" t="s">
        <v>107</v>
      </c>
      <c r="CG39" s="56" t="s">
        <v>107</v>
      </c>
      <c r="CH39" s="56" t="s">
        <v>107</v>
      </c>
      <c r="CI39" s="56" t="s">
        <v>107</v>
      </c>
      <c r="CJ39" s="57" t="s">
        <v>107</v>
      </c>
    </row>
    <row r="40" spans="1:88">
      <c r="A40" s="24" t="s">
        <v>5208</v>
      </c>
      <c r="B40" s="24" t="s">
        <v>15</v>
      </c>
      <c r="C40" s="55" t="s">
        <v>68</v>
      </c>
      <c r="D40" s="18"/>
      <c r="E40" s="57">
        <v>2</v>
      </c>
      <c r="F40" s="57" t="s">
        <v>107</v>
      </c>
      <c r="G40" s="56" t="s">
        <v>107</v>
      </c>
      <c r="H40" s="56" t="s">
        <v>107</v>
      </c>
      <c r="I40" s="56">
        <v>4</v>
      </c>
      <c r="J40" s="57">
        <v>6</v>
      </c>
      <c r="K40" s="56">
        <v>5</v>
      </c>
      <c r="L40" s="56" t="s">
        <v>107</v>
      </c>
      <c r="M40" s="57">
        <v>8</v>
      </c>
      <c r="N40" s="56" t="s">
        <v>107</v>
      </c>
      <c r="O40" s="56">
        <v>5</v>
      </c>
      <c r="P40" s="56">
        <v>2</v>
      </c>
      <c r="Q40" s="57">
        <v>6</v>
      </c>
      <c r="R40" s="56" t="s">
        <v>107</v>
      </c>
      <c r="S40" s="56" t="s">
        <v>107</v>
      </c>
      <c r="T40" s="57" t="s">
        <v>107</v>
      </c>
      <c r="U40" s="57" t="s">
        <v>107</v>
      </c>
      <c r="V40" s="56">
        <v>1</v>
      </c>
      <c r="W40" s="56" t="s">
        <v>107</v>
      </c>
      <c r="X40" s="56">
        <v>1</v>
      </c>
      <c r="Y40" s="57" t="s">
        <v>107</v>
      </c>
      <c r="Z40" s="56" t="s">
        <v>107</v>
      </c>
      <c r="AA40" s="56">
        <v>1</v>
      </c>
      <c r="AB40" s="56">
        <v>2</v>
      </c>
      <c r="AC40" s="57" t="s">
        <v>107</v>
      </c>
      <c r="AD40" s="56" t="s">
        <v>107</v>
      </c>
      <c r="AE40" s="56">
        <v>5</v>
      </c>
      <c r="AF40" s="56" t="s">
        <v>107</v>
      </c>
      <c r="AG40" s="57" t="s">
        <v>107</v>
      </c>
      <c r="AH40" s="56">
        <v>2</v>
      </c>
      <c r="AI40" s="56" t="s">
        <v>107</v>
      </c>
      <c r="AJ40" s="56" t="s">
        <v>107</v>
      </c>
      <c r="AK40" s="57" t="s">
        <v>107</v>
      </c>
      <c r="AL40" s="56" t="s">
        <v>107</v>
      </c>
      <c r="AM40" s="56" t="s">
        <v>107</v>
      </c>
      <c r="AN40" s="57" t="s">
        <v>107</v>
      </c>
      <c r="AO40" s="56" t="s">
        <v>107</v>
      </c>
      <c r="AP40" s="56" t="s">
        <v>107</v>
      </c>
      <c r="AQ40" s="56" t="s">
        <v>107</v>
      </c>
      <c r="AR40" s="57">
        <v>1</v>
      </c>
      <c r="AS40" s="56" t="s">
        <v>107</v>
      </c>
      <c r="AT40" s="56" t="s">
        <v>107</v>
      </c>
      <c r="AU40" s="57">
        <v>3</v>
      </c>
      <c r="AV40" s="56" t="s">
        <v>107</v>
      </c>
      <c r="AW40" s="56">
        <v>4</v>
      </c>
      <c r="AX40" s="56" t="s">
        <v>107</v>
      </c>
      <c r="AY40" s="57" t="s">
        <v>107</v>
      </c>
      <c r="AZ40" s="56" t="s">
        <v>107</v>
      </c>
      <c r="BA40" s="57" t="s">
        <v>107</v>
      </c>
      <c r="BB40" s="56">
        <v>3</v>
      </c>
      <c r="BC40" s="56">
        <v>2</v>
      </c>
      <c r="BD40" s="56">
        <v>2</v>
      </c>
      <c r="BE40" s="57" t="s">
        <v>107</v>
      </c>
      <c r="BF40" s="56" t="s">
        <v>107</v>
      </c>
      <c r="BG40" s="56" t="s">
        <v>107</v>
      </c>
      <c r="BH40" s="57" t="s">
        <v>107</v>
      </c>
      <c r="BI40" s="56" t="s">
        <v>107</v>
      </c>
      <c r="BJ40" s="56" t="s">
        <v>107</v>
      </c>
      <c r="BK40" s="56">
        <v>2</v>
      </c>
      <c r="BL40" s="57">
        <v>1</v>
      </c>
      <c r="BM40" s="56" t="s">
        <v>107</v>
      </c>
      <c r="BN40" s="56" t="s">
        <v>107</v>
      </c>
      <c r="BO40" s="57" t="s">
        <v>107</v>
      </c>
      <c r="BP40" s="56" t="s">
        <v>107</v>
      </c>
      <c r="BQ40" s="56">
        <v>1</v>
      </c>
      <c r="BR40" s="57" t="s">
        <v>107</v>
      </c>
      <c r="BS40" s="56" t="s">
        <v>107</v>
      </c>
      <c r="BT40" s="56" t="s">
        <v>107</v>
      </c>
      <c r="BU40" s="57">
        <v>1</v>
      </c>
      <c r="BV40" s="56" t="s">
        <v>107</v>
      </c>
      <c r="BW40" s="57" t="s">
        <v>107</v>
      </c>
      <c r="BX40" s="56" t="s">
        <v>107</v>
      </c>
      <c r="BY40" s="56" t="s">
        <v>107</v>
      </c>
      <c r="BZ40" s="56">
        <v>1</v>
      </c>
      <c r="CA40" s="57" t="s">
        <v>107</v>
      </c>
      <c r="CB40" s="56" t="s">
        <v>107</v>
      </c>
      <c r="CC40" s="56" t="s">
        <v>107</v>
      </c>
      <c r="CD40" s="56">
        <v>1</v>
      </c>
      <c r="CE40" s="57" t="s">
        <v>107</v>
      </c>
      <c r="CF40" s="57" t="s">
        <v>107</v>
      </c>
      <c r="CG40" s="56" t="s">
        <v>107</v>
      </c>
      <c r="CH40" s="56" t="s">
        <v>107</v>
      </c>
      <c r="CI40" s="56" t="s">
        <v>107</v>
      </c>
      <c r="CJ40" s="57" t="s">
        <v>107</v>
      </c>
    </row>
    <row r="41" spans="1:88">
      <c r="A41" s="47" t="s">
        <v>5208</v>
      </c>
      <c r="B41" s="47" t="s">
        <v>16</v>
      </c>
      <c r="C41" s="47" t="s">
        <v>5124</v>
      </c>
      <c r="D41" s="48" t="s">
        <v>5228</v>
      </c>
      <c r="E41" s="50" t="s">
        <v>107</v>
      </c>
      <c r="F41" s="50">
        <v>11</v>
      </c>
      <c r="G41" s="46" t="s">
        <v>107</v>
      </c>
      <c r="H41" s="46">
        <v>15</v>
      </c>
      <c r="I41" s="46" t="s">
        <v>107</v>
      </c>
      <c r="J41" s="50" t="s">
        <v>107</v>
      </c>
      <c r="K41" s="46" t="s">
        <v>107</v>
      </c>
      <c r="L41" s="46">
        <v>18</v>
      </c>
      <c r="M41" s="50" t="s">
        <v>107</v>
      </c>
      <c r="N41" s="46">
        <v>7</v>
      </c>
      <c r="O41" s="46" t="s">
        <v>107</v>
      </c>
      <c r="P41" s="46" t="s">
        <v>107</v>
      </c>
      <c r="Q41" s="50" t="s">
        <v>107</v>
      </c>
      <c r="R41" s="46">
        <v>15</v>
      </c>
      <c r="S41" s="46">
        <v>14</v>
      </c>
      <c r="T41" s="50">
        <v>14</v>
      </c>
      <c r="U41" s="50" t="s">
        <v>107</v>
      </c>
      <c r="V41" s="46" t="s">
        <v>107</v>
      </c>
      <c r="W41" s="46">
        <v>13</v>
      </c>
      <c r="X41" s="46" t="s">
        <v>107</v>
      </c>
      <c r="Y41" s="50">
        <v>16</v>
      </c>
      <c r="Z41" s="46" t="s">
        <v>107</v>
      </c>
      <c r="AA41" s="46" t="s">
        <v>107</v>
      </c>
      <c r="AB41" s="46" t="s">
        <v>107</v>
      </c>
      <c r="AC41" s="50">
        <v>15</v>
      </c>
      <c r="AD41" s="46" t="s">
        <v>107</v>
      </c>
      <c r="AE41" s="46" t="s">
        <v>107</v>
      </c>
      <c r="AF41" s="46">
        <v>21</v>
      </c>
      <c r="AG41" s="50">
        <v>14</v>
      </c>
      <c r="AH41" s="46" t="s">
        <v>107</v>
      </c>
      <c r="AI41" s="46">
        <v>10</v>
      </c>
      <c r="AJ41" s="46">
        <v>1</v>
      </c>
      <c r="AK41" s="50">
        <v>11</v>
      </c>
      <c r="AL41" s="46" t="s">
        <v>107</v>
      </c>
      <c r="AM41" s="46">
        <v>23</v>
      </c>
      <c r="AN41" s="50" t="s">
        <v>107</v>
      </c>
      <c r="AO41" s="46">
        <v>16</v>
      </c>
      <c r="AP41" s="46" t="s">
        <v>107</v>
      </c>
      <c r="AQ41" s="46">
        <v>16</v>
      </c>
      <c r="AR41" s="50" t="s">
        <v>107</v>
      </c>
      <c r="AS41" s="46">
        <v>18</v>
      </c>
      <c r="AT41" s="46">
        <v>13</v>
      </c>
      <c r="AU41" s="50" t="s">
        <v>107</v>
      </c>
      <c r="AV41" s="46">
        <v>16</v>
      </c>
      <c r="AW41" s="46" t="s">
        <v>107</v>
      </c>
      <c r="AX41" s="46">
        <v>9</v>
      </c>
      <c r="AY41" s="50">
        <v>14</v>
      </c>
      <c r="AZ41" s="46" t="s">
        <v>107</v>
      </c>
      <c r="BA41" s="50" t="s">
        <v>107</v>
      </c>
      <c r="BB41" s="46" t="s">
        <v>107</v>
      </c>
      <c r="BC41" s="46" t="s">
        <v>107</v>
      </c>
      <c r="BD41" s="46" t="s">
        <v>107</v>
      </c>
      <c r="BE41" s="50">
        <v>14</v>
      </c>
      <c r="BF41" s="46" t="s">
        <v>107</v>
      </c>
      <c r="BG41" s="46">
        <v>16</v>
      </c>
      <c r="BH41" s="50" t="s">
        <v>107</v>
      </c>
      <c r="BI41" s="46">
        <v>14</v>
      </c>
      <c r="BJ41" s="46" t="s">
        <v>107</v>
      </c>
      <c r="BK41" s="46" t="s">
        <v>107</v>
      </c>
      <c r="BL41" s="50" t="s">
        <v>107</v>
      </c>
      <c r="BM41" s="46" t="s">
        <v>107</v>
      </c>
      <c r="BN41" s="46" t="s">
        <v>107</v>
      </c>
      <c r="BO41" s="50" t="s">
        <v>107</v>
      </c>
      <c r="BP41" s="46" t="s">
        <v>107</v>
      </c>
      <c r="BQ41" s="46" t="s">
        <v>107</v>
      </c>
      <c r="BR41" s="50" t="s">
        <v>107</v>
      </c>
      <c r="BS41" s="46" t="s">
        <v>107</v>
      </c>
      <c r="BT41" s="46" t="s">
        <v>107</v>
      </c>
      <c r="BU41" s="50" t="s">
        <v>107</v>
      </c>
      <c r="BV41" s="46">
        <v>7</v>
      </c>
      <c r="BW41" s="50">
        <v>2</v>
      </c>
      <c r="BX41" s="46" t="s">
        <v>107</v>
      </c>
      <c r="BY41" s="46" t="s">
        <v>107</v>
      </c>
      <c r="BZ41" s="46" t="s">
        <v>107</v>
      </c>
      <c r="CA41" s="50" t="s">
        <v>107</v>
      </c>
      <c r="CB41" s="46">
        <v>11</v>
      </c>
      <c r="CC41" s="46" t="s">
        <v>107</v>
      </c>
      <c r="CD41" s="46" t="s">
        <v>107</v>
      </c>
      <c r="CE41" s="50" t="s">
        <v>107</v>
      </c>
      <c r="CF41" s="50">
        <v>7</v>
      </c>
      <c r="CG41" s="46" t="s">
        <v>107</v>
      </c>
      <c r="CH41" s="46" t="s">
        <v>107</v>
      </c>
      <c r="CI41" s="46" t="s">
        <v>107</v>
      </c>
      <c r="CJ41" s="50">
        <v>14</v>
      </c>
    </row>
    <row r="42" spans="1:88">
      <c r="A42" s="24" t="s">
        <v>5208</v>
      </c>
      <c r="B42" s="24" t="s">
        <v>16</v>
      </c>
      <c r="C42" s="55" t="s">
        <v>70</v>
      </c>
      <c r="D42" s="18"/>
      <c r="E42" s="57" t="s">
        <v>107</v>
      </c>
      <c r="F42" s="57" t="s">
        <v>107</v>
      </c>
      <c r="G42" s="56" t="s">
        <v>107</v>
      </c>
      <c r="H42" s="56" t="s">
        <v>107</v>
      </c>
      <c r="I42" s="56" t="s">
        <v>107</v>
      </c>
      <c r="J42" s="57" t="s">
        <v>107</v>
      </c>
      <c r="K42" s="56" t="s">
        <v>107</v>
      </c>
      <c r="L42" s="56" t="s">
        <v>107</v>
      </c>
      <c r="M42" s="57" t="s">
        <v>107</v>
      </c>
      <c r="N42" s="56">
        <v>1</v>
      </c>
      <c r="O42" s="56" t="s">
        <v>107</v>
      </c>
      <c r="P42" s="56" t="s">
        <v>107</v>
      </c>
      <c r="Q42" s="57" t="s">
        <v>107</v>
      </c>
      <c r="R42" s="56" t="s">
        <v>107</v>
      </c>
      <c r="S42" s="56" t="s">
        <v>107</v>
      </c>
      <c r="T42" s="57" t="s">
        <v>107</v>
      </c>
      <c r="U42" s="57" t="s">
        <v>107</v>
      </c>
      <c r="V42" s="56" t="s">
        <v>107</v>
      </c>
      <c r="W42" s="56" t="s">
        <v>107</v>
      </c>
      <c r="X42" s="56" t="s">
        <v>107</v>
      </c>
      <c r="Y42" s="57" t="s">
        <v>107</v>
      </c>
      <c r="Z42" s="56" t="s">
        <v>107</v>
      </c>
      <c r="AA42" s="56" t="s">
        <v>107</v>
      </c>
      <c r="AB42" s="56" t="s">
        <v>107</v>
      </c>
      <c r="AC42" s="57" t="s">
        <v>107</v>
      </c>
      <c r="AD42" s="56" t="s">
        <v>107</v>
      </c>
      <c r="AE42" s="56" t="s">
        <v>107</v>
      </c>
      <c r="AF42" s="56" t="s">
        <v>107</v>
      </c>
      <c r="AG42" s="57" t="s">
        <v>107</v>
      </c>
      <c r="AH42" s="56" t="s">
        <v>107</v>
      </c>
      <c r="AI42" s="56" t="s">
        <v>107</v>
      </c>
      <c r="AJ42" s="56" t="s">
        <v>107</v>
      </c>
      <c r="AK42" s="57" t="s">
        <v>107</v>
      </c>
      <c r="AL42" s="56" t="s">
        <v>107</v>
      </c>
      <c r="AM42" s="56" t="s">
        <v>107</v>
      </c>
      <c r="AN42" s="57" t="s">
        <v>107</v>
      </c>
      <c r="AO42" s="56" t="s">
        <v>107</v>
      </c>
      <c r="AP42" s="56" t="s">
        <v>107</v>
      </c>
      <c r="AQ42" s="56" t="s">
        <v>107</v>
      </c>
      <c r="AR42" s="57" t="s">
        <v>107</v>
      </c>
      <c r="AS42" s="56" t="s">
        <v>107</v>
      </c>
      <c r="AT42" s="56" t="s">
        <v>107</v>
      </c>
      <c r="AU42" s="57" t="s">
        <v>107</v>
      </c>
      <c r="AV42" s="56" t="s">
        <v>107</v>
      </c>
      <c r="AW42" s="56" t="s">
        <v>107</v>
      </c>
      <c r="AX42" s="56" t="s">
        <v>107</v>
      </c>
      <c r="AY42" s="57" t="s">
        <v>107</v>
      </c>
      <c r="AZ42" s="56" t="s">
        <v>107</v>
      </c>
      <c r="BA42" s="57" t="s">
        <v>107</v>
      </c>
      <c r="BB42" s="56" t="s">
        <v>107</v>
      </c>
      <c r="BC42" s="56" t="s">
        <v>107</v>
      </c>
      <c r="BD42" s="56" t="s">
        <v>107</v>
      </c>
      <c r="BE42" s="57" t="s">
        <v>107</v>
      </c>
      <c r="BF42" s="56" t="s">
        <v>107</v>
      </c>
      <c r="BG42" s="56" t="s">
        <v>107</v>
      </c>
      <c r="BH42" s="57" t="s">
        <v>107</v>
      </c>
      <c r="BI42" s="56" t="s">
        <v>107</v>
      </c>
      <c r="BJ42" s="56" t="s">
        <v>107</v>
      </c>
      <c r="BK42" s="56" t="s">
        <v>107</v>
      </c>
      <c r="BL42" s="57" t="s">
        <v>107</v>
      </c>
      <c r="BM42" s="56" t="s">
        <v>107</v>
      </c>
      <c r="BN42" s="56" t="s">
        <v>107</v>
      </c>
      <c r="BO42" s="57" t="s">
        <v>107</v>
      </c>
      <c r="BP42" s="56" t="s">
        <v>107</v>
      </c>
      <c r="BQ42" s="56" t="s">
        <v>107</v>
      </c>
      <c r="BR42" s="57" t="s">
        <v>107</v>
      </c>
      <c r="BS42" s="56" t="s">
        <v>107</v>
      </c>
      <c r="BT42" s="56" t="s">
        <v>107</v>
      </c>
      <c r="BU42" s="57" t="s">
        <v>107</v>
      </c>
      <c r="BV42" s="56" t="s">
        <v>107</v>
      </c>
      <c r="BW42" s="57">
        <v>1</v>
      </c>
      <c r="BX42" s="56" t="s">
        <v>107</v>
      </c>
      <c r="BY42" s="56" t="s">
        <v>107</v>
      </c>
      <c r="BZ42" s="56" t="s">
        <v>107</v>
      </c>
      <c r="CA42" s="57" t="s">
        <v>107</v>
      </c>
      <c r="CB42" s="56" t="s">
        <v>107</v>
      </c>
      <c r="CC42" s="56" t="s">
        <v>107</v>
      </c>
      <c r="CD42" s="56" t="s">
        <v>107</v>
      </c>
      <c r="CE42" s="57" t="s">
        <v>107</v>
      </c>
      <c r="CF42" s="57" t="s">
        <v>107</v>
      </c>
      <c r="CG42" s="56" t="s">
        <v>107</v>
      </c>
      <c r="CH42" s="56" t="s">
        <v>107</v>
      </c>
      <c r="CI42" s="56" t="s">
        <v>107</v>
      </c>
      <c r="CJ42" s="57" t="s">
        <v>107</v>
      </c>
    </row>
    <row r="43" spans="1:88">
      <c r="A43" s="24" t="s">
        <v>5208</v>
      </c>
      <c r="B43" s="24" t="s">
        <v>16</v>
      </c>
      <c r="C43" s="55" t="s">
        <v>71</v>
      </c>
      <c r="D43" s="18"/>
      <c r="E43" s="57" t="s">
        <v>107</v>
      </c>
      <c r="F43" s="57">
        <v>9</v>
      </c>
      <c r="G43" s="56" t="s">
        <v>107</v>
      </c>
      <c r="H43" s="56">
        <v>2</v>
      </c>
      <c r="I43" s="56" t="s">
        <v>107</v>
      </c>
      <c r="J43" s="57" t="s">
        <v>107</v>
      </c>
      <c r="K43" s="56" t="s">
        <v>107</v>
      </c>
      <c r="L43" s="56">
        <v>3</v>
      </c>
      <c r="M43" s="57" t="s">
        <v>107</v>
      </c>
      <c r="N43" s="56">
        <v>2</v>
      </c>
      <c r="O43" s="56" t="s">
        <v>107</v>
      </c>
      <c r="P43" s="56" t="s">
        <v>107</v>
      </c>
      <c r="Q43" s="57" t="s">
        <v>107</v>
      </c>
      <c r="R43" s="56">
        <v>1</v>
      </c>
      <c r="S43" s="56">
        <v>1</v>
      </c>
      <c r="T43" s="57">
        <v>1</v>
      </c>
      <c r="U43" s="57" t="s">
        <v>107</v>
      </c>
      <c r="V43" s="56" t="s">
        <v>107</v>
      </c>
      <c r="W43" s="56" t="s">
        <v>107</v>
      </c>
      <c r="X43" s="56" t="s">
        <v>107</v>
      </c>
      <c r="Y43" s="57" t="s">
        <v>107</v>
      </c>
      <c r="Z43" s="56" t="s">
        <v>107</v>
      </c>
      <c r="AA43" s="56" t="s">
        <v>107</v>
      </c>
      <c r="AB43" s="56" t="s">
        <v>107</v>
      </c>
      <c r="AC43" s="57" t="s">
        <v>107</v>
      </c>
      <c r="AD43" s="56" t="s">
        <v>107</v>
      </c>
      <c r="AE43" s="56" t="s">
        <v>107</v>
      </c>
      <c r="AF43" s="56" t="s">
        <v>107</v>
      </c>
      <c r="AG43" s="57" t="s">
        <v>107</v>
      </c>
      <c r="AH43" s="56" t="s">
        <v>107</v>
      </c>
      <c r="AI43" s="56" t="s">
        <v>107</v>
      </c>
      <c r="AJ43" s="56" t="s">
        <v>107</v>
      </c>
      <c r="AK43" s="57" t="s">
        <v>107</v>
      </c>
      <c r="AL43" s="56" t="s">
        <v>107</v>
      </c>
      <c r="AM43" s="56" t="s">
        <v>107</v>
      </c>
      <c r="AN43" s="57" t="s">
        <v>107</v>
      </c>
      <c r="AO43" s="56" t="s">
        <v>107</v>
      </c>
      <c r="AP43" s="56" t="s">
        <v>107</v>
      </c>
      <c r="AQ43" s="56" t="s">
        <v>107</v>
      </c>
      <c r="AR43" s="57" t="s">
        <v>107</v>
      </c>
      <c r="AS43" s="56">
        <v>13</v>
      </c>
      <c r="AT43" s="56">
        <v>3</v>
      </c>
      <c r="AU43" s="57" t="s">
        <v>107</v>
      </c>
      <c r="AV43" s="56">
        <v>1</v>
      </c>
      <c r="AW43" s="56" t="s">
        <v>107</v>
      </c>
      <c r="AX43" s="56">
        <v>5</v>
      </c>
      <c r="AY43" s="57" t="s">
        <v>107</v>
      </c>
      <c r="AZ43" s="56" t="s">
        <v>107</v>
      </c>
      <c r="BA43" s="57" t="s">
        <v>107</v>
      </c>
      <c r="BB43" s="56" t="s">
        <v>107</v>
      </c>
      <c r="BC43" s="56" t="s">
        <v>107</v>
      </c>
      <c r="BD43" s="56" t="s">
        <v>107</v>
      </c>
      <c r="BE43" s="57" t="s">
        <v>107</v>
      </c>
      <c r="BF43" s="56" t="s">
        <v>107</v>
      </c>
      <c r="BG43" s="56" t="s">
        <v>107</v>
      </c>
      <c r="BH43" s="57" t="s">
        <v>107</v>
      </c>
      <c r="BI43" s="56" t="s">
        <v>107</v>
      </c>
      <c r="BJ43" s="56" t="s">
        <v>107</v>
      </c>
      <c r="BK43" s="56" t="s">
        <v>107</v>
      </c>
      <c r="BL43" s="57" t="s">
        <v>107</v>
      </c>
      <c r="BM43" s="56" t="s">
        <v>107</v>
      </c>
      <c r="BN43" s="56" t="s">
        <v>107</v>
      </c>
      <c r="BO43" s="57" t="s">
        <v>107</v>
      </c>
      <c r="BP43" s="56" t="s">
        <v>107</v>
      </c>
      <c r="BQ43" s="56" t="s">
        <v>107</v>
      </c>
      <c r="BR43" s="57" t="s">
        <v>107</v>
      </c>
      <c r="BS43" s="56" t="s">
        <v>107</v>
      </c>
      <c r="BT43" s="56" t="s">
        <v>107</v>
      </c>
      <c r="BU43" s="57" t="s">
        <v>107</v>
      </c>
      <c r="BV43" s="56">
        <v>2</v>
      </c>
      <c r="BW43" s="57" t="s">
        <v>107</v>
      </c>
      <c r="BX43" s="56" t="s">
        <v>107</v>
      </c>
      <c r="BY43" s="56" t="s">
        <v>107</v>
      </c>
      <c r="BZ43" s="56" t="s">
        <v>107</v>
      </c>
      <c r="CA43" s="57" t="s">
        <v>107</v>
      </c>
      <c r="CB43" s="56" t="s">
        <v>107</v>
      </c>
      <c r="CC43" s="56" t="s">
        <v>107</v>
      </c>
      <c r="CD43" s="56" t="s">
        <v>107</v>
      </c>
      <c r="CE43" s="57" t="s">
        <v>107</v>
      </c>
      <c r="CF43" s="57">
        <v>1</v>
      </c>
      <c r="CG43" s="56" t="s">
        <v>107</v>
      </c>
      <c r="CH43" s="56" t="s">
        <v>107</v>
      </c>
      <c r="CI43" s="56" t="s">
        <v>107</v>
      </c>
      <c r="CJ43" s="57">
        <v>1</v>
      </c>
    </row>
    <row r="44" spans="1:88">
      <c r="A44" s="24" t="s">
        <v>5208</v>
      </c>
      <c r="B44" s="24" t="s">
        <v>16</v>
      </c>
      <c r="C44" s="55" t="s">
        <v>72</v>
      </c>
      <c r="D44" s="18"/>
      <c r="E44" s="57" t="s">
        <v>107</v>
      </c>
      <c r="F44" s="57" t="s">
        <v>107</v>
      </c>
      <c r="G44" s="56" t="s">
        <v>107</v>
      </c>
      <c r="H44" s="56" t="s">
        <v>107</v>
      </c>
      <c r="I44" s="56" t="s">
        <v>107</v>
      </c>
      <c r="J44" s="57" t="s">
        <v>107</v>
      </c>
      <c r="K44" s="56" t="s">
        <v>107</v>
      </c>
      <c r="L44" s="56">
        <v>8</v>
      </c>
      <c r="M44" s="57" t="s">
        <v>107</v>
      </c>
      <c r="N44" s="56" t="s">
        <v>107</v>
      </c>
      <c r="O44" s="56" t="s">
        <v>107</v>
      </c>
      <c r="P44" s="56" t="s">
        <v>107</v>
      </c>
      <c r="Q44" s="57" t="s">
        <v>107</v>
      </c>
      <c r="R44" s="56">
        <v>9</v>
      </c>
      <c r="S44" s="56">
        <v>7</v>
      </c>
      <c r="T44" s="57">
        <v>4</v>
      </c>
      <c r="U44" s="57" t="s">
        <v>107</v>
      </c>
      <c r="V44" s="56" t="s">
        <v>107</v>
      </c>
      <c r="W44" s="56">
        <v>7</v>
      </c>
      <c r="X44" s="56" t="s">
        <v>107</v>
      </c>
      <c r="Y44" s="57" t="s">
        <v>107</v>
      </c>
      <c r="Z44" s="56" t="s">
        <v>107</v>
      </c>
      <c r="AA44" s="56" t="s">
        <v>107</v>
      </c>
      <c r="AB44" s="56" t="s">
        <v>107</v>
      </c>
      <c r="AC44" s="57" t="s">
        <v>107</v>
      </c>
      <c r="AD44" s="56" t="s">
        <v>107</v>
      </c>
      <c r="AE44" s="56" t="s">
        <v>107</v>
      </c>
      <c r="AF44" s="56" t="s">
        <v>107</v>
      </c>
      <c r="AG44" s="57" t="s">
        <v>107</v>
      </c>
      <c r="AH44" s="56" t="s">
        <v>107</v>
      </c>
      <c r="AI44" s="56" t="s">
        <v>107</v>
      </c>
      <c r="AJ44" s="56" t="s">
        <v>107</v>
      </c>
      <c r="AK44" s="57">
        <v>7</v>
      </c>
      <c r="AL44" s="56" t="s">
        <v>107</v>
      </c>
      <c r="AM44" s="56" t="s">
        <v>107</v>
      </c>
      <c r="AN44" s="57" t="s">
        <v>107</v>
      </c>
      <c r="AO44" s="56">
        <v>2</v>
      </c>
      <c r="AP44" s="56" t="s">
        <v>107</v>
      </c>
      <c r="AQ44" s="56" t="s">
        <v>107</v>
      </c>
      <c r="AR44" s="57" t="s">
        <v>107</v>
      </c>
      <c r="AS44" s="56" t="s">
        <v>107</v>
      </c>
      <c r="AT44" s="56" t="s">
        <v>107</v>
      </c>
      <c r="AU44" s="57" t="s">
        <v>107</v>
      </c>
      <c r="AV44" s="56" t="s">
        <v>107</v>
      </c>
      <c r="AW44" s="56" t="s">
        <v>107</v>
      </c>
      <c r="AX44" s="56" t="s">
        <v>107</v>
      </c>
      <c r="AY44" s="57" t="s">
        <v>107</v>
      </c>
      <c r="AZ44" s="56" t="s">
        <v>107</v>
      </c>
      <c r="BA44" s="57" t="s">
        <v>107</v>
      </c>
      <c r="BB44" s="56" t="s">
        <v>107</v>
      </c>
      <c r="BC44" s="56" t="s">
        <v>107</v>
      </c>
      <c r="BD44" s="56" t="s">
        <v>107</v>
      </c>
      <c r="BE44" s="57" t="s">
        <v>107</v>
      </c>
      <c r="BF44" s="56" t="s">
        <v>107</v>
      </c>
      <c r="BG44" s="56" t="s">
        <v>107</v>
      </c>
      <c r="BH44" s="57" t="s">
        <v>107</v>
      </c>
      <c r="BI44" s="56" t="s">
        <v>107</v>
      </c>
      <c r="BJ44" s="56" t="s">
        <v>107</v>
      </c>
      <c r="BK44" s="56" t="s">
        <v>107</v>
      </c>
      <c r="BL44" s="57" t="s">
        <v>107</v>
      </c>
      <c r="BM44" s="56" t="s">
        <v>107</v>
      </c>
      <c r="BN44" s="56" t="s">
        <v>107</v>
      </c>
      <c r="BO44" s="57" t="s">
        <v>107</v>
      </c>
      <c r="BP44" s="56" t="s">
        <v>107</v>
      </c>
      <c r="BQ44" s="56" t="s">
        <v>107</v>
      </c>
      <c r="BR44" s="57" t="s">
        <v>107</v>
      </c>
      <c r="BS44" s="56" t="s">
        <v>107</v>
      </c>
      <c r="BT44" s="56" t="s">
        <v>107</v>
      </c>
      <c r="BU44" s="57" t="s">
        <v>107</v>
      </c>
      <c r="BV44" s="56" t="s">
        <v>107</v>
      </c>
      <c r="BW44" s="57" t="s">
        <v>107</v>
      </c>
      <c r="BX44" s="56" t="s">
        <v>107</v>
      </c>
      <c r="BY44" s="56" t="s">
        <v>107</v>
      </c>
      <c r="BZ44" s="56" t="s">
        <v>107</v>
      </c>
      <c r="CA44" s="57" t="s">
        <v>107</v>
      </c>
      <c r="CB44" s="56">
        <v>10</v>
      </c>
      <c r="CC44" s="56" t="s">
        <v>107</v>
      </c>
      <c r="CD44" s="56" t="s">
        <v>107</v>
      </c>
      <c r="CE44" s="57" t="s">
        <v>107</v>
      </c>
      <c r="CF44" s="57" t="s">
        <v>107</v>
      </c>
      <c r="CG44" s="56" t="s">
        <v>107</v>
      </c>
      <c r="CH44" s="56" t="s">
        <v>107</v>
      </c>
      <c r="CI44" s="56" t="s">
        <v>107</v>
      </c>
      <c r="CJ44" s="57">
        <v>1</v>
      </c>
    </row>
    <row r="45" spans="1:88">
      <c r="A45" s="24" t="s">
        <v>5208</v>
      </c>
      <c r="B45" s="24" t="s">
        <v>16</v>
      </c>
      <c r="C45" s="55" t="s">
        <v>73</v>
      </c>
      <c r="D45" s="18"/>
      <c r="E45" s="57" t="s">
        <v>107</v>
      </c>
      <c r="F45" s="57" t="s">
        <v>107</v>
      </c>
      <c r="G45" s="56" t="s">
        <v>107</v>
      </c>
      <c r="H45" s="56">
        <v>2</v>
      </c>
      <c r="I45" s="56" t="s">
        <v>107</v>
      </c>
      <c r="J45" s="57" t="s">
        <v>107</v>
      </c>
      <c r="K45" s="56" t="s">
        <v>107</v>
      </c>
      <c r="L45" s="56">
        <v>3</v>
      </c>
      <c r="M45" s="57" t="s">
        <v>107</v>
      </c>
      <c r="N45" s="56" t="s">
        <v>107</v>
      </c>
      <c r="O45" s="56" t="s">
        <v>107</v>
      </c>
      <c r="P45" s="56" t="s">
        <v>107</v>
      </c>
      <c r="Q45" s="57" t="s">
        <v>107</v>
      </c>
      <c r="R45" s="56">
        <v>5</v>
      </c>
      <c r="S45" s="56">
        <v>5</v>
      </c>
      <c r="T45" s="57">
        <v>8</v>
      </c>
      <c r="U45" s="57" t="s">
        <v>107</v>
      </c>
      <c r="V45" s="56" t="s">
        <v>107</v>
      </c>
      <c r="W45" s="56">
        <v>5</v>
      </c>
      <c r="X45" s="56" t="s">
        <v>107</v>
      </c>
      <c r="Y45" s="57" t="s">
        <v>107</v>
      </c>
      <c r="Z45" s="56" t="s">
        <v>107</v>
      </c>
      <c r="AA45" s="56" t="s">
        <v>107</v>
      </c>
      <c r="AB45" s="56" t="s">
        <v>107</v>
      </c>
      <c r="AC45" s="57" t="s">
        <v>107</v>
      </c>
      <c r="AD45" s="56" t="s">
        <v>107</v>
      </c>
      <c r="AE45" s="56" t="s">
        <v>107</v>
      </c>
      <c r="AF45" s="56" t="s">
        <v>107</v>
      </c>
      <c r="AG45" s="57" t="s">
        <v>107</v>
      </c>
      <c r="AH45" s="56" t="s">
        <v>107</v>
      </c>
      <c r="AI45" s="56" t="s">
        <v>107</v>
      </c>
      <c r="AJ45" s="56" t="s">
        <v>107</v>
      </c>
      <c r="AK45" s="57">
        <v>4</v>
      </c>
      <c r="AL45" s="56" t="s">
        <v>107</v>
      </c>
      <c r="AM45" s="56" t="s">
        <v>107</v>
      </c>
      <c r="AN45" s="57" t="s">
        <v>107</v>
      </c>
      <c r="AO45" s="56">
        <v>14</v>
      </c>
      <c r="AP45" s="56" t="s">
        <v>107</v>
      </c>
      <c r="AQ45" s="56">
        <v>16</v>
      </c>
      <c r="AR45" s="57" t="s">
        <v>107</v>
      </c>
      <c r="AS45" s="56">
        <v>3</v>
      </c>
      <c r="AT45" s="56" t="s">
        <v>107</v>
      </c>
      <c r="AU45" s="57" t="s">
        <v>107</v>
      </c>
      <c r="AV45" s="56" t="s">
        <v>107</v>
      </c>
      <c r="AW45" s="56" t="s">
        <v>107</v>
      </c>
      <c r="AX45" s="56">
        <v>1</v>
      </c>
      <c r="AY45" s="57" t="s">
        <v>107</v>
      </c>
      <c r="AZ45" s="56" t="s">
        <v>107</v>
      </c>
      <c r="BA45" s="57" t="s">
        <v>107</v>
      </c>
      <c r="BB45" s="56" t="s">
        <v>107</v>
      </c>
      <c r="BC45" s="56" t="s">
        <v>107</v>
      </c>
      <c r="BD45" s="56" t="s">
        <v>107</v>
      </c>
      <c r="BE45" s="57" t="s">
        <v>107</v>
      </c>
      <c r="BF45" s="56" t="s">
        <v>107</v>
      </c>
      <c r="BG45" s="56" t="s">
        <v>107</v>
      </c>
      <c r="BH45" s="57" t="s">
        <v>107</v>
      </c>
      <c r="BI45" s="56" t="s">
        <v>107</v>
      </c>
      <c r="BJ45" s="56" t="s">
        <v>107</v>
      </c>
      <c r="BK45" s="56" t="s">
        <v>107</v>
      </c>
      <c r="BL45" s="57" t="s">
        <v>107</v>
      </c>
      <c r="BM45" s="56" t="s">
        <v>107</v>
      </c>
      <c r="BN45" s="56" t="s">
        <v>107</v>
      </c>
      <c r="BO45" s="57" t="s">
        <v>107</v>
      </c>
      <c r="BP45" s="56" t="s">
        <v>107</v>
      </c>
      <c r="BQ45" s="56" t="s">
        <v>107</v>
      </c>
      <c r="BR45" s="57" t="s">
        <v>107</v>
      </c>
      <c r="BS45" s="56" t="s">
        <v>107</v>
      </c>
      <c r="BT45" s="56" t="s">
        <v>107</v>
      </c>
      <c r="BU45" s="57" t="s">
        <v>107</v>
      </c>
      <c r="BV45" s="56" t="s">
        <v>107</v>
      </c>
      <c r="BW45" s="57" t="s">
        <v>107</v>
      </c>
      <c r="BX45" s="56" t="s">
        <v>107</v>
      </c>
      <c r="BY45" s="56" t="s">
        <v>107</v>
      </c>
      <c r="BZ45" s="56" t="s">
        <v>107</v>
      </c>
      <c r="CA45" s="57" t="s">
        <v>107</v>
      </c>
      <c r="CB45" s="56">
        <v>1</v>
      </c>
      <c r="CC45" s="56" t="s">
        <v>107</v>
      </c>
      <c r="CD45" s="56" t="s">
        <v>107</v>
      </c>
      <c r="CE45" s="57" t="s">
        <v>107</v>
      </c>
      <c r="CF45" s="57">
        <v>4</v>
      </c>
      <c r="CG45" s="56" t="s">
        <v>107</v>
      </c>
      <c r="CH45" s="56" t="s">
        <v>107</v>
      </c>
      <c r="CI45" s="56" t="s">
        <v>107</v>
      </c>
      <c r="CJ45" s="57">
        <v>2</v>
      </c>
    </row>
    <row r="46" spans="1:88">
      <c r="A46" s="24" t="s">
        <v>5208</v>
      </c>
      <c r="B46" s="24" t="s">
        <v>16</v>
      </c>
      <c r="C46" s="55" t="s">
        <v>74</v>
      </c>
      <c r="D46" s="18"/>
      <c r="E46" s="57" t="s">
        <v>107</v>
      </c>
      <c r="F46" s="57">
        <v>1</v>
      </c>
      <c r="G46" s="56" t="s">
        <v>107</v>
      </c>
      <c r="H46" s="56" t="s">
        <v>107</v>
      </c>
      <c r="I46" s="56" t="s">
        <v>107</v>
      </c>
      <c r="J46" s="57" t="s">
        <v>107</v>
      </c>
      <c r="K46" s="56" t="s">
        <v>107</v>
      </c>
      <c r="L46" s="56" t="s">
        <v>107</v>
      </c>
      <c r="M46" s="57" t="s">
        <v>107</v>
      </c>
      <c r="N46" s="56" t="s">
        <v>107</v>
      </c>
      <c r="O46" s="56" t="s">
        <v>107</v>
      </c>
      <c r="P46" s="56" t="s">
        <v>107</v>
      </c>
      <c r="Q46" s="57" t="s">
        <v>107</v>
      </c>
      <c r="R46" s="56" t="s">
        <v>107</v>
      </c>
      <c r="S46" s="56" t="s">
        <v>107</v>
      </c>
      <c r="T46" s="57" t="s">
        <v>107</v>
      </c>
      <c r="U46" s="57" t="s">
        <v>107</v>
      </c>
      <c r="V46" s="56" t="s">
        <v>107</v>
      </c>
      <c r="W46" s="56" t="s">
        <v>107</v>
      </c>
      <c r="X46" s="56" t="s">
        <v>107</v>
      </c>
      <c r="Y46" s="57" t="s">
        <v>107</v>
      </c>
      <c r="Z46" s="56" t="s">
        <v>107</v>
      </c>
      <c r="AA46" s="56" t="s">
        <v>107</v>
      </c>
      <c r="AB46" s="56" t="s">
        <v>107</v>
      </c>
      <c r="AC46" s="57" t="s">
        <v>107</v>
      </c>
      <c r="AD46" s="56" t="s">
        <v>107</v>
      </c>
      <c r="AE46" s="56" t="s">
        <v>107</v>
      </c>
      <c r="AF46" s="56" t="s">
        <v>107</v>
      </c>
      <c r="AG46" s="57" t="s">
        <v>107</v>
      </c>
      <c r="AH46" s="56" t="s">
        <v>107</v>
      </c>
      <c r="AI46" s="56" t="s">
        <v>107</v>
      </c>
      <c r="AJ46" s="56" t="s">
        <v>107</v>
      </c>
      <c r="AK46" s="57" t="s">
        <v>107</v>
      </c>
      <c r="AL46" s="56" t="s">
        <v>107</v>
      </c>
      <c r="AM46" s="56" t="s">
        <v>107</v>
      </c>
      <c r="AN46" s="57" t="s">
        <v>107</v>
      </c>
      <c r="AO46" s="56" t="s">
        <v>107</v>
      </c>
      <c r="AP46" s="56" t="s">
        <v>107</v>
      </c>
      <c r="AQ46" s="56" t="s">
        <v>107</v>
      </c>
      <c r="AR46" s="57" t="s">
        <v>107</v>
      </c>
      <c r="AS46" s="56" t="s">
        <v>107</v>
      </c>
      <c r="AT46" s="56" t="s">
        <v>107</v>
      </c>
      <c r="AU46" s="57" t="s">
        <v>107</v>
      </c>
      <c r="AV46" s="56" t="s">
        <v>107</v>
      </c>
      <c r="AW46" s="56" t="s">
        <v>107</v>
      </c>
      <c r="AX46" s="56" t="s">
        <v>107</v>
      </c>
      <c r="AY46" s="57" t="s">
        <v>107</v>
      </c>
      <c r="AZ46" s="56" t="s">
        <v>107</v>
      </c>
      <c r="BA46" s="57" t="s">
        <v>107</v>
      </c>
      <c r="BB46" s="56" t="s">
        <v>107</v>
      </c>
      <c r="BC46" s="56" t="s">
        <v>107</v>
      </c>
      <c r="BD46" s="56" t="s">
        <v>107</v>
      </c>
      <c r="BE46" s="57" t="s">
        <v>107</v>
      </c>
      <c r="BF46" s="56" t="s">
        <v>107</v>
      </c>
      <c r="BG46" s="56" t="s">
        <v>107</v>
      </c>
      <c r="BH46" s="57" t="s">
        <v>107</v>
      </c>
      <c r="BI46" s="56" t="s">
        <v>107</v>
      </c>
      <c r="BJ46" s="56" t="s">
        <v>107</v>
      </c>
      <c r="BK46" s="56" t="s">
        <v>107</v>
      </c>
      <c r="BL46" s="57" t="s">
        <v>107</v>
      </c>
      <c r="BM46" s="56" t="s">
        <v>107</v>
      </c>
      <c r="BN46" s="56" t="s">
        <v>107</v>
      </c>
      <c r="BO46" s="57" t="s">
        <v>107</v>
      </c>
      <c r="BP46" s="56" t="s">
        <v>107</v>
      </c>
      <c r="BQ46" s="56" t="s">
        <v>107</v>
      </c>
      <c r="BR46" s="57" t="s">
        <v>107</v>
      </c>
      <c r="BS46" s="56" t="s">
        <v>107</v>
      </c>
      <c r="BT46" s="56" t="s">
        <v>107</v>
      </c>
      <c r="BU46" s="57" t="s">
        <v>107</v>
      </c>
      <c r="BV46" s="56" t="s">
        <v>107</v>
      </c>
      <c r="BW46" s="57" t="s">
        <v>107</v>
      </c>
      <c r="BX46" s="56" t="s">
        <v>107</v>
      </c>
      <c r="BY46" s="56" t="s">
        <v>107</v>
      </c>
      <c r="BZ46" s="56" t="s">
        <v>107</v>
      </c>
      <c r="CA46" s="57" t="s">
        <v>107</v>
      </c>
      <c r="CB46" s="56" t="s">
        <v>107</v>
      </c>
      <c r="CC46" s="56" t="s">
        <v>107</v>
      </c>
      <c r="CD46" s="56" t="s">
        <v>107</v>
      </c>
      <c r="CE46" s="57" t="s">
        <v>107</v>
      </c>
      <c r="CF46" s="57" t="s">
        <v>107</v>
      </c>
      <c r="CG46" s="56" t="s">
        <v>107</v>
      </c>
      <c r="CH46" s="56" t="s">
        <v>107</v>
      </c>
      <c r="CI46" s="56" t="s">
        <v>107</v>
      </c>
      <c r="CJ46" s="57" t="s">
        <v>107</v>
      </c>
    </row>
    <row r="47" spans="1:88">
      <c r="A47" s="24" t="s">
        <v>5208</v>
      </c>
      <c r="B47" s="24" t="s">
        <v>16</v>
      </c>
      <c r="C47" s="55" t="s">
        <v>75</v>
      </c>
      <c r="D47" s="18"/>
      <c r="E47" s="57" t="s">
        <v>107</v>
      </c>
      <c r="F47" s="57" t="s">
        <v>107</v>
      </c>
      <c r="G47" s="56" t="s">
        <v>107</v>
      </c>
      <c r="H47" s="56">
        <v>1</v>
      </c>
      <c r="I47" s="56" t="s">
        <v>107</v>
      </c>
      <c r="J47" s="57" t="s">
        <v>107</v>
      </c>
      <c r="K47" s="56" t="s">
        <v>107</v>
      </c>
      <c r="L47" s="56">
        <v>2</v>
      </c>
      <c r="M47" s="57" t="s">
        <v>107</v>
      </c>
      <c r="N47" s="56">
        <v>1</v>
      </c>
      <c r="O47" s="56" t="s">
        <v>107</v>
      </c>
      <c r="P47" s="56" t="s">
        <v>107</v>
      </c>
      <c r="Q47" s="57" t="s">
        <v>107</v>
      </c>
      <c r="R47" s="56" t="s">
        <v>107</v>
      </c>
      <c r="S47" s="56" t="s">
        <v>107</v>
      </c>
      <c r="T47" s="57" t="s">
        <v>107</v>
      </c>
      <c r="U47" s="57" t="s">
        <v>107</v>
      </c>
      <c r="V47" s="56" t="s">
        <v>107</v>
      </c>
      <c r="W47" s="56">
        <v>1</v>
      </c>
      <c r="X47" s="56" t="s">
        <v>107</v>
      </c>
      <c r="Y47" s="57" t="s">
        <v>107</v>
      </c>
      <c r="Z47" s="56" t="s">
        <v>107</v>
      </c>
      <c r="AA47" s="56" t="s">
        <v>107</v>
      </c>
      <c r="AB47" s="56" t="s">
        <v>107</v>
      </c>
      <c r="AC47" s="57">
        <v>4</v>
      </c>
      <c r="AD47" s="56" t="s">
        <v>107</v>
      </c>
      <c r="AE47" s="56" t="s">
        <v>107</v>
      </c>
      <c r="AF47" s="56" t="s">
        <v>107</v>
      </c>
      <c r="AG47" s="57" t="s">
        <v>107</v>
      </c>
      <c r="AH47" s="56" t="s">
        <v>107</v>
      </c>
      <c r="AI47" s="56" t="s">
        <v>107</v>
      </c>
      <c r="AJ47" s="56" t="s">
        <v>107</v>
      </c>
      <c r="AK47" s="57" t="s">
        <v>107</v>
      </c>
      <c r="AL47" s="56" t="s">
        <v>107</v>
      </c>
      <c r="AM47" s="56" t="s">
        <v>107</v>
      </c>
      <c r="AN47" s="57" t="s">
        <v>107</v>
      </c>
      <c r="AO47" s="56" t="s">
        <v>107</v>
      </c>
      <c r="AP47" s="56" t="s">
        <v>107</v>
      </c>
      <c r="AQ47" s="56" t="s">
        <v>107</v>
      </c>
      <c r="AR47" s="57" t="s">
        <v>107</v>
      </c>
      <c r="AS47" s="56" t="s">
        <v>107</v>
      </c>
      <c r="AT47" s="56" t="s">
        <v>107</v>
      </c>
      <c r="AU47" s="57" t="s">
        <v>107</v>
      </c>
      <c r="AV47" s="56" t="s">
        <v>107</v>
      </c>
      <c r="AW47" s="56" t="s">
        <v>107</v>
      </c>
      <c r="AX47" s="56">
        <v>2</v>
      </c>
      <c r="AY47" s="57" t="s">
        <v>107</v>
      </c>
      <c r="AZ47" s="56" t="s">
        <v>107</v>
      </c>
      <c r="BA47" s="57" t="s">
        <v>107</v>
      </c>
      <c r="BB47" s="56" t="s">
        <v>107</v>
      </c>
      <c r="BC47" s="56" t="s">
        <v>107</v>
      </c>
      <c r="BD47" s="56" t="s">
        <v>107</v>
      </c>
      <c r="BE47" s="57" t="s">
        <v>107</v>
      </c>
      <c r="BF47" s="56" t="s">
        <v>107</v>
      </c>
      <c r="BG47" s="56" t="s">
        <v>107</v>
      </c>
      <c r="BH47" s="57" t="s">
        <v>107</v>
      </c>
      <c r="BI47" s="56" t="s">
        <v>107</v>
      </c>
      <c r="BJ47" s="56" t="s">
        <v>107</v>
      </c>
      <c r="BK47" s="56" t="s">
        <v>107</v>
      </c>
      <c r="BL47" s="57" t="s">
        <v>107</v>
      </c>
      <c r="BM47" s="56" t="s">
        <v>107</v>
      </c>
      <c r="BN47" s="56" t="s">
        <v>107</v>
      </c>
      <c r="BO47" s="57" t="s">
        <v>107</v>
      </c>
      <c r="BP47" s="56" t="s">
        <v>107</v>
      </c>
      <c r="BQ47" s="56" t="s">
        <v>107</v>
      </c>
      <c r="BR47" s="57" t="s">
        <v>107</v>
      </c>
      <c r="BS47" s="56" t="s">
        <v>107</v>
      </c>
      <c r="BT47" s="56" t="s">
        <v>107</v>
      </c>
      <c r="BU47" s="57" t="s">
        <v>107</v>
      </c>
      <c r="BV47" s="56">
        <v>5</v>
      </c>
      <c r="BW47" s="57" t="s">
        <v>107</v>
      </c>
      <c r="BX47" s="56" t="s">
        <v>107</v>
      </c>
      <c r="BY47" s="56" t="s">
        <v>107</v>
      </c>
      <c r="BZ47" s="56" t="s">
        <v>107</v>
      </c>
      <c r="CA47" s="57" t="s">
        <v>107</v>
      </c>
      <c r="CB47" s="56" t="s">
        <v>107</v>
      </c>
      <c r="CC47" s="56" t="s">
        <v>107</v>
      </c>
      <c r="CD47" s="56" t="s">
        <v>107</v>
      </c>
      <c r="CE47" s="57" t="s">
        <v>107</v>
      </c>
      <c r="CF47" s="57">
        <v>1</v>
      </c>
      <c r="CG47" s="56" t="s">
        <v>107</v>
      </c>
      <c r="CH47" s="56" t="s">
        <v>107</v>
      </c>
      <c r="CI47" s="56" t="s">
        <v>107</v>
      </c>
      <c r="CJ47" s="57">
        <v>10</v>
      </c>
    </row>
    <row r="48" spans="1:88">
      <c r="A48" s="24" t="s">
        <v>5208</v>
      </c>
      <c r="B48" s="24" t="s">
        <v>16</v>
      </c>
      <c r="C48" s="55" t="s">
        <v>76</v>
      </c>
      <c r="D48" s="18"/>
      <c r="E48" s="57" t="s">
        <v>107</v>
      </c>
      <c r="F48" s="57">
        <v>1</v>
      </c>
      <c r="G48" s="56" t="s">
        <v>107</v>
      </c>
      <c r="H48" s="56">
        <v>10</v>
      </c>
      <c r="I48" s="56" t="s">
        <v>107</v>
      </c>
      <c r="J48" s="57" t="s">
        <v>107</v>
      </c>
      <c r="K48" s="56" t="s">
        <v>107</v>
      </c>
      <c r="L48" s="56">
        <v>2</v>
      </c>
      <c r="M48" s="57" t="s">
        <v>107</v>
      </c>
      <c r="N48" s="56">
        <v>3</v>
      </c>
      <c r="O48" s="56" t="s">
        <v>107</v>
      </c>
      <c r="P48" s="56" t="s">
        <v>107</v>
      </c>
      <c r="Q48" s="57" t="s">
        <v>107</v>
      </c>
      <c r="R48" s="56" t="s">
        <v>107</v>
      </c>
      <c r="S48" s="56">
        <v>1</v>
      </c>
      <c r="T48" s="57">
        <v>1</v>
      </c>
      <c r="U48" s="57" t="s">
        <v>107</v>
      </c>
      <c r="V48" s="56" t="s">
        <v>107</v>
      </c>
      <c r="W48" s="56" t="s">
        <v>107</v>
      </c>
      <c r="X48" s="56" t="s">
        <v>107</v>
      </c>
      <c r="Y48" s="57">
        <v>16</v>
      </c>
      <c r="Z48" s="56" t="s">
        <v>107</v>
      </c>
      <c r="AA48" s="56" t="s">
        <v>107</v>
      </c>
      <c r="AB48" s="56" t="s">
        <v>107</v>
      </c>
      <c r="AC48" s="57">
        <v>11</v>
      </c>
      <c r="AD48" s="56" t="s">
        <v>107</v>
      </c>
      <c r="AE48" s="56" t="s">
        <v>107</v>
      </c>
      <c r="AF48" s="56">
        <v>21</v>
      </c>
      <c r="AG48" s="57">
        <v>14</v>
      </c>
      <c r="AH48" s="56" t="s">
        <v>107</v>
      </c>
      <c r="AI48" s="56">
        <v>10</v>
      </c>
      <c r="AJ48" s="56">
        <v>1</v>
      </c>
      <c r="AK48" s="57" t="s">
        <v>107</v>
      </c>
      <c r="AL48" s="56" t="s">
        <v>107</v>
      </c>
      <c r="AM48" s="56">
        <v>23</v>
      </c>
      <c r="AN48" s="57" t="s">
        <v>107</v>
      </c>
      <c r="AO48" s="56" t="s">
        <v>107</v>
      </c>
      <c r="AP48" s="56" t="s">
        <v>107</v>
      </c>
      <c r="AQ48" s="56" t="s">
        <v>107</v>
      </c>
      <c r="AR48" s="57" t="s">
        <v>107</v>
      </c>
      <c r="AS48" s="56">
        <v>2</v>
      </c>
      <c r="AT48" s="56">
        <v>10</v>
      </c>
      <c r="AU48" s="57" t="s">
        <v>107</v>
      </c>
      <c r="AV48" s="56">
        <v>15</v>
      </c>
      <c r="AW48" s="56" t="s">
        <v>107</v>
      </c>
      <c r="AX48" s="56">
        <v>1</v>
      </c>
      <c r="AY48" s="57">
        <v>14</v>
      </c>
      <c r="AZ48" s="56" t="s">
        <v>107</v>
      </c>
      <c r="BA48" s="57" t="s">
        <v>107</v>
      </c>
      <c r="BB48" s="56" t="s">
        <v>107</v>
      </c>
      <c r="BC48" s="56" t="s">
        <v>107</v>
      </c>
      <c r="BD48" s="56" t="s">
        <v>107</v>
      </c>
      <c r="BE48" s="57">
        <v>14</v>
      </c>
      <c r="BF48" s="56" t="s">
        <v>107</v>
      </c>
      <c r="BG48" s="56">
        <v>16</v>
      </c>
      <c r="BH48" s="57" t="s">
        <v>107</v>
      </c>
      <c r="BI48" s="56">
        <v>14</v>
      </c>
      <c r="BJ48" s="56" t="s">
        <v>107</v>
      </c>
      <c r="BK48" s="56" t="s">
        <v>107</v>
      </c>
      <c r="BL48" s="57" t="s">
        <v>107</v>
      </c>
      <c r="BM48" s="56" t="s">
        <v>107</v>
      </c>
      <c r="BN48" s="56" t="s">
        <v>107</v>
      </c>
      <c r="BO48" s="57" t="s">
        <v>107</v>
      </c>
      <c r="BP48" s="56" t="s">
        <v>107</v>
      </c>
      <c r="BQ48" s="56" t="s">
        <v>107</v>
      </c>
      <c r="BR48" s="57" t="s">
        <v>107</v>
      </c>
      <c r="BS48" s="56" t="s">
        <v>107</v>
      </c>
      <c r="BT48" s="56" t="s">
        <v>107</v>
      </c>
      <c r="BU48" s="57" t="s">
        <v>107</v>
      </c>
      <c r="BV48" s="56" t="s">
        <v>107</v>
      </c>
      <c r="BW48" s="57">
        <v>1</v>
      </c>
      <c r="BX48" s="56" t="s">
        <v>107</v>
      </c>
      <c r="BY48" s="56" t="s">
        <v>107</v>
      </c>
      <c r="BZ48" s="56" t="s">
        <v>107</v>
      </c>
      <c r="CA48" s="57" t="s">
        <v>107</v>
      </c>
      <c r="CB48" s="56" t="s">
        <v>107</v>
      </c>
      <c r="CC48" s="56" t="s">
        <v>107</v>
      </c>
      <c r="CD48" s="56" t="s">
        <v>107</v>
      </c>
      <c r="CE48" s="57" t="s">
        <v>107</v>
      </c>
      <c r="CF48" s="57">
        <v>1</v>
      </c>
      <c r="CG48" s="56" t="s">
        <v>107</v>
      </c>
      <c r="CH48" s="56" t="s">
        <v>107</v>
      </c>
      <c r="CI48" s="56" t="s">
        <v>107</v>
      </c>
      <c r="CJ48" s="57" t="s">
        <v>107</v>
      </c>
    </row>
    <row r="49" spans="1:88">
      <c r="A49" s="47" t="s">
        <v>5208</v>
      </c>
      <c r="B49" s="47" t="s">
        <v>17</v>
      </c>
      <c r="C49" s="47" t="s">
        <v>5125</v>
      </c>
      <c r="D49" s="48" t="s">
        <v>5228</v>
      </c>
      <c r="E49" s="50" t="s">
        <v>107</v>
      </c>
      <c r="F49" s="50" t="s">
        <v>107</v>
      </c>
      <c r="G49" s="46" t="s">
        <v>107</v>
      </c>
      <c r="H49" s="46" t="s">
        <v>107</v>
      </c>
      <c r="I49" s="46" t="s">
        <v>107</v>
      </c>
      <c r="J49" s="50" t="s">
        <v>107</v>
      </c>
      <c r="K49" s="46" t="s">
        <v>107</v>
      </c>
      <c r="L49" s="46" t="s">
        <v>107</v>
      </c>
      <c r="M49" s="50" t="s">
        <v>107</v>
      </c>
      <c r="N49" s="46" t="s">
        <v>107</v>
      </c>
      <c r="O49" s="46" t="s">
        <v>107</v>
      </c>
      <c r="P49" s="46" t="s">
        <v>107</v>
      </c>
      <c r="Q49" s="50" t="s">
        <v>107</v>
      </c>
      <c r="R49" s="46" t="s">
        <v>107</v>
      </c>
      <c r="S49" s="46" t="s">
        <v>107</v>
      </c>
      <c r="T49" s="50" t="s">
        <v>107</v>
      </c>
      <c r="U49" s="50" t="s">
        <v>107</v>
      </c>
      <c r="V49" s="46" t="s">
        <v>107</v>
      </c>
      <c r="W49" s="46" t="s">
        <v>107</v>
      </c>
      <c r="X49" s="46" t="s">
        <v>107</v>
      </c>
      <c r="Y49" s="50" t="s">
        <v>107</v>
      </c>
      <c r="Z49" s="46" t="s">
        <v>107</v>
      </c>
      <c r="AA49" s="46" t="s">
        <v>107</v>
      </c>
      <c r="AB49" s="46" t="s">
        <v>107</v>
      </c>
      <c r="AC49" s="50" t="s">
        <v>107</v>
      </c>
      <c r="AD49" s="46">
        <v>6</v>
      </c>
      <c r="AE49" s="46" t="s">
        <v>107</v>
      </c>
      <c r="AF49" s="46" t="s">
        <v>107</v>
      </c>
      <c r="AG49" s="50" t="s">
        <v>107</v>
      </c>
      <c r="AH49" s="46" t="s">
        <v>107</v>
      </c>
      <c r="AI49" s="46" t="s">
        <v>107</v>
      </c>
      <c r="AJ49" s="46">
        <v>5</v>
      </c>
      <c r="AK49" s="50" t="s">
        <v>107</v>
      </c>
      <c r="AL49" s="46">
        <v>1</v>
      </c>
      <c r="AM49" s="46" t="s">
        <v>107</v>
      </c>
      <c r="AN49" s="50" t="s">
        <v>107</v>
      </c>
      <c r="AO49" s="46" t="s">
        <v>107</v>
      </c>
      <c r="AP49" s="46" t="s">
        <v>107</v>
      </c>
      <c r="AQ49" s="46" t="s">
        <v>107</v>
      </c>
      <c r="AR49" s="50" t="s">
        <v>107</v>
      </c>
      <c r="AS49" s="46" t="s">
        <v>107</v>
      </c>
      <c r="AT49" s="46" t="s">
        <v>107</v>
      </c>
      <c r="AU49" s="50">
        <v>8</v>
      </c>
      <c r="AV49" s="46" t="s">
        <v>107</v>
      </c>
      <c r="AW49" s="46" t="s">
        <v>107</v>
      </c>
      <c r="AX49" s="46" t="s">
        <v>107</v>
      </c>
      <c r="AY49" s="50" t="s">
        <v>107</v>
      </c>
      <c r="AZ49" s="46">
        <v>1</v>
      </c>
      <c r="BA49" s="50" t="s">
        <v>107</v>
      </c>
      <c r="BB49" s="46" t="s">
        <v>107</v>
      </c>
      <c r="BC49" s="46" t="s">
        <v>107</v>
      </c>
      <c r="BD49" s="46" t="s">
        <v>107</v>
      </c>
      <c r="BE49" s="50" t="s">
        <v>107</v>
      </c>
      <c r="BF49" s="46">
        <v>1</v>
      </c>
      <c r="BG49" s="46" t="s">
        <v>107</v>
      </c>
      <c r="BH49" s="50">
        <v>5</v>
      </c>
      <c r="BI49" s="46" t="s">
        <v>107</v>
      </c>
      <c r="BJ49" s="46">
        <v>5</v>
      </c>
      <c r="BK49" s="46" t="s">
        <v>107</v>
      </c>
      <c r="BL49" s="50" t="s">
        <v>107</v>
      </c>
      <c r="BM49" s="46">
        <v>2</v>
      </c>
      <c r="BN49" s="46" t="s">
        <v>107</v>
      </c>
      <c r="BO49" s="50" t="s">
        <v>107</v>
      </c>
      <c r="BP49" s="46">
        <v>23</v>
      </c>
      <c r="BQ49" s="46" t="s">
        <v>107</v>
      </c>
      <c r="BR49" s="50" t="s">
        <v>107</v>
      </c>
      <c r="BS49" s="46" t="s">
        <v>107</v>
      </c>
      <c r="BT49" s="46" t="s">
        <v>107</v>
      </c>
      <c r="BU49" s="50" t="s">
        <v>107</v>
      </c>
      <c r="BV49" s="46" t="s">
        <v>107</v>
      </c>
      <c r="BW49" s="50" t="s">
        <v>107</v>
      </c>
      <c r="BX49" s="46" t="s">
        <v>107</v>
      </c>
      <c r="BY49" s="46" t="s">
        <v>107</v>
      </c>
      <c r="BZ49" s="46" t="s">
        <v>107</v>
      </c>
      <c r="CA49" s="50" t="s">
        <v>107</v>
      </c>
      <c r="CB49" s="46" t="s">
        <v>107</v>
      </c>
      <c r="CC49" s="46">
        <v>16</v>
      </c>
      <c r="CD49" s="46" t="s">
        <v>107</v>
      </c>
      <c r="CE49" s="50" t="s">
        <v>107</v>
      </c>
      <c r="CF49" s="50" t="s">
        <v>107</v>
      </c>
      <c r="CG49" s="46">
        <v>2</v>
      </c>
      <c r="CH49" s="46" t="s">
        <v>107</v>
      </c>
      <c r="CI49" s="46">
        <v>3</v>
      </c>
      <c r="CJ49" s="50" t="s">
        <v>107</v>
      </c>
    </row>
    <row r="50" spans="1:88">
      <c r="A50" s="24" t="s">
        <v>5208</v>
      </c>
      <c r="B50" s="24" t="s">
        <v>17</v>
      </c>
      <c r="C50" s="55" t="s">
        <v>69</v>
      </c>
      <c r="D50" s="18"/>
      <c r="E50" s="57" t="s">
        <v>107</v>
      </c>
      <c r="F50" s="57" t="s">
        <v>107</v>
      </c>
      <c r="G50" s="56" t="s">
        <v>107</v>
      </c>
      <c r="H50" s="56" t="s">
        <v>107</v>
      </c>
      <c r="I50" s="56" t="s">
        <v>107</v>
      </c>
      <c r="J50" s="57" t="s">
        <v>107</v>
      </c>
      <c r="K50" s="56" t="s">
        <v>107</v>
      </c>
      <c r="L50" s="56" t="s">
        <v>107</v>
      </c>
      <c r="M50" s="57" t="s">
        <v>107</v>
      </c>
      <c r="N50" s="56" t="s">
        <v>107</v>
      </c>
      <c r="O50" s="56" t="s">
        <v>107</v>
      </c>
      <c r="P50" s="56" t="s">
        <v>107</v>
      </c>
      <c r="Q50" s="57" t="s">
        <v>107</v>
      </c>
      <c r="R50" s="56" t="s">
        <v>107</v>
      </c>
      <c r="S50" s="56" t="s">
        <v>107</v>
      </c>
      <c r="T50" s="57" t="s">
        <v>107</v>
      </c>
      <c r="U50" s="57" t="s">
        <v>107</v>
      </c>
      <c r="V50" s="56" t="s">
        <v>107</v>
      </c>
      <c r="W50" s="56" t="s">
        <v>107</v>
      </c>
      <c r="X50" s="56" t="s">
        <v>107</v>
      </c>
      <c r="Y50" s="57" t="s">
        <v>107</v>
      </c>
      <c r="Z50" s="56" t="s">
        <v>107</v>
      </c>
      <c r="AA50" s="56" t="s">
        <v>107</v>
      </c>
      <c r="AB50" s="56" t="s">
        <v>107</v>
      </c>
      <c r="AC50" s="57" t="s">
        <v>107</v>
      </c>
      <c r="AD50" s="56">
        <v>6</v>
      </c>
      <c r="AE50" s="56" t="s">
        <v>107</v>
      </c>
      <c r="AF50" s="56" t="s">
        <v>107</v>
      </c>
      <c r="AG50" s="57" t="s">
        <v>107</v>
      </c>
      <c r="AH50" s="56" t="s">
        <v>107</v>
      </c>
      <c r="AI50" s="56" t="s">
        <v>107</v>
      </c>
      <c r="AJ50" s="56">
        <v>5</v>
      </c>
      <c r="AK50" s="57" t="s">
        <v>107</v>
      </c>
      <c r="AL50" s="56">
        <v>1</v>
      </c>
      <c r="AM50" s="56" t="s">
        <v>107</v>
      </c>
      <c r="AN50" s="57" t="s">
        <v>107</v>
      </c>
      <c r="AO50" s="56" t="s">
        <v>107</v>
      </c>
      <c r="AP50" s="56" t="s">
        <v>107</v>
      </c>
      <c r="AQ50" s="56" t="s">
        <v>107</v>
      </c>
      <c r="AR50" s="57" t="s">
        <v>107</v>
      </c>
      <c r="AS50" s="56" t="s">
        <v>107</v>
      </c>
      <c r="AT50" s="56" t="s">
        <v>107</v>
      </c>
      <c r="AU50" s="57">
        <v>8</v>
      </c>
      <c r="AV50" s="56" t="s">
        <v>107</v>
      </c>
      <c r="AW50" s="56" t="s">
        <v>107</v>
      </c>
      <c r="AX50" s="56" t="s">
        <v>107</v>
      </c>
      <c r="AY50" s="57" t="s">
        <v>107</v>
      </c>
      <c r="AZ50" s="56">
        <v>1</v>
      </c>
      <c r="BA50" s="57" t="s">
        <v>107</v>
      </c>
      <c r="BB50" s="56" t="s">
        <v>107</v>
      </c>
      <c r="BC50" s="56" t="s">
        <v>107</v>
      </c>
      <c r="BD50" s="56" t="s">
        <v>107</v>
      </c>
      <c r="BE50" s="57" t="s">
        <v>107</v>
      </c>
      <c r="BF50" s="56">
        <v>1</v>
      </c>
      <c r="BG50" s="56" t="s">
        <v>107</v>
      </c>
      <c r="BH50" s="57">
        <v>5</v>
      </c>
      <c r="BI50" s="56" t="s">
        <v>107</v>
      </c>
      <c r="BJ50" s="56">
        <v>5</v>
      </c>
      <c r="BK50" s="56" t="s">
        <v>107</v>
      </c>
      <c r="BL50" s="57" t="s">
        <v>107</v>
      </c>
      <c r="BM50" s="56">
        <v>2</v>
      </c>
      <c r="BN50" s="56" t="s">
        <v>107</v>
      </c>
      <c r="BO50" s="57" t="s">
        <v>107</v>
      </c>
      <c r="BP50" s="56">
        <v>23</v>
      </c>
      <c r="BQ50" s="56" t="s">
        <v>107</v>
      </c>
      <c r="BR50" s="57" t="s">
        <v>107</v>
      </c>
      <c r="BS50" s="56" t="s">
        <v>107</v>
      </c>
      <c r="BT50" s="56" t="s">
        <v>107</v>
      </c>
      <c r="BU50" s="57" t="s">
        <v>107</v>
      </c>
      <c r="BV50" s="56" t="s">
        <v>107</v>
      </c>
      <c r="BW50" s="57" t="s">
        <v>107</v>
      </c>
      <c r="BX50" s="56" t="s">
        <v>107</v>
      </c>
      <c r="BY50" s="56" t="s">
        <v>107</v>
      </c>
      <c r="BZ50" s="56" t="s">
        <v>107</v>
      </c>
      <c r="CA50" s="57" t="s">
        <v>107</v>
      </c>
      <c r="CB50" s="56" t="s">
        <v>107</v>
      </c>
      <c r="CC50" s="56">
        <v>16</v>
      </c>
      <c r="CD50" s="56" t="s">
        <v>107</v>
      </c>
      <c r="CE50" s="57" t="s">
        <v>107</v>
      </c>
      <c r="CF50" s="57" t="s">
        <v>107</v>
      </c>
      <c r="CG50" s="56">
        <v>2</v>
      </c>
      <c r="CH50" s="56" t="s">
        <v>107</v>
      </c>
      <c r="CI50" s="56">
        <v>3</v>
      </c>
      <c r="CJ50" s="57" t="s">
        <v>107</v>
      </c>
    </row>
    <row r="51" spans="1:88">
      <c r="D51" s="18"/>
      <c r="E51" s="58"/>
      <c r="F51" s="58"/>
      <c r="G51" s="54"/>
      <c r="H51" s="54"/>
      <c r="I51" s="54"/>
      <c r="J51" s="58"/>
      <c r="K51" s="54"/>
      <c r="L51" s="54"/>
      <c r="M51" s="58"/>
      <c r="N51" s="54"/>
      <c r="O51" s="54"/>
      <c r="P51" s="54"/>
      <c r="Q51" s="58"/>
      <c r="R51" s="54"/>
      <c r="S51" s="54"/>
      <c r="T51" s="58"/>
      <c r="U51" s="58"/>
      <c r="V51" s="54"/>
      <c r="W51" s="54"/>
      <c r="X51" s="54"/>
      <c r="Y51" s="58"/>
      <c r="Z51" s="54"/>
      <c r="AA51" s="54"/>
      <c r="AB51" s="54"/>
      <c r="AC51" s="58"/>
      <c r="AD51" s="54"/>
      <c r="AE51" s="54"/>
      <c r="AF51" s="54"/>
      <c r="AG51" s="58"/>
      <c r="AH51" s="54"/>
      <c r="AI51" s="54"/>
      <c r="AJ51" s="54"/>
      <c r="AK51" s="58"/>
      <c r="AL51" s="54"/>
      <c r="AM51" s="54"/>
      <c r="AN51" s="58"/>
      <c r="AO51" s="54"/>
      <c r="AP51" s="54"/>
      <c r="AQ51" s="54"/>
      <c r="AR51" s="58"/>
      <c r="AS51" s="54"/>
      <c r="AT51" s="54"/>
      <c r="AU51" s="58"/>
      <c r="AV51" s="54"/>
      <c r="AW51" s="54"/>
      <c r="AX51" s="54"/>
      <c r="AY51" s="58"/>
      <c r="AZ51" s="54"/>
      <c r="BA51" s="58"/>
      <c r="BB51" s="54"/>
      <c r="BC51" s="54"/>
      <c r="BD51" s="54"/>
      <c r="BE51" s="58"/>
      <c r="BF51" s="54"/>
      <c r="BG51" s="54"/>
      <c r="BH51" s="58"/>
      <c r="BI51" s="54"/>
      <c r="BJ51" s="54"/>
      <c r="BK51" s="54"/>
      <c r="BL51" s="58"/>
      <c r="BM51" s="54"/>
      <c r="BN51" s="54"/>
      <c r="BO51" s="58"/>
      <c r="BP51" s="54"/>
      <c r="BQ51" s="54"/>
      <c r="BR51" s="58"/>
      <c r="BS51" s="54"/>
      <c r="BT51" s="54"/>
      <c r="BU51" s="58"/>
      <c r="BV51" s="54"/>
      <c r="BW51" s="58"/>
      <c r="BX51" s="54"/>
      <c r="BY51" s="54"/>
      <c r="BZ51" s="54"/>
      <c r="CA51" s="58"/>
      <c r="CB51" s="54"/>
      <c r="CC51" s="54"/>
      <c r="CD51" s="54"/>
      <c r="CE51" s="58"/>
      <c r="CF51" s="58"/>
      <c r="CG51" s="54"/>
      <c r="CH51" s="54"/>
      <c r="CI51" s="54"/>
      <c r="CJ51" s="58"/>
    </row>
    <row r="52" spans="1:88" ht="15.75">
      <c r="A52" s="43" t="s">
        <v>5227</v>
      </c>
      <c r="B52" s="43"/>
      <c r="C52" s="43"/>
      <c r="D52" s="44"/>
      <c r="E52" s="49"/>
      <c r="F52" s="49"/>
      <c r="G52" s="45"/>
      <c r="H52" s="45"/>
      <c r="I52" s="45"/>
      <c r="J52" s="49"/>
      <c r="K52" s="45"/>
      <c r="L52" s="45"/>
      <c r="M52" s="49"/>
      <c r="N52" s="45"/>
      <c r="O52" s="45"/>
      <c r="P52" s="45"/>
      <c r="Q52" s="49"/>
      <c r="R52" s="45"/>
      <c r="S52" s="45"/>
      <c r="T52" s="49"/>
      <c r="U52" s="49"/>
      <c r="V52" s="45"/>
      <c r="W52" s="45"/>
      <c r="X52" s="45"/>
      <c r="Y52" s="49"/>
      <c r="Z52" s="45"/>
      <c r="AA52" s="45"/>
      <c r="AB52" s="45"/>
      <c r="AC52" s="49"/>
      <c r="AD52" s="45"/>
      <c r="AE52" s="45"/>
      <c r="AF52" s="45"/>
      <c r="AG52" s="49"/>
      <c r="AH52" s="45"/>
      <c r="AI52" s="45"/>
      <c r="AJ52" s="45"/>
      <c r="AK52" s="49"/>
      <c r="AL52" s="45"/>
      <c r="AM52" s="45"/>
      <c r="AN52" s="49"/>
      <c r="AO52" s="45"/>
      <c r="AP52" s="45"/>
      <c r="AQ52" s="45"/>
      <c r="AR52" s="49"/>
      <c r="AS52" s="45"/>
      <c r="AT52" s="45"/>
      <c r="AU52" s="49"/>
      <c r="AV52" s="45"/>
      <c r="AW52" s="45"/>
      <c r="AX52" s="45"/>
      <c r="AY52" s="49"/>
      <c r="AZ52" s="45"/>
      <c r="BA52" s="49"/>
      <c r="BB52" s="45"/>
      <c r="BC52" s="45"/>
      <c r="BD52" s="45"/>
      <c r="BE52" s="49"/>
      <c r="BF52" s="45"/>
      <c r="BG52" s="45"/>
      <c r="BH52" s="49"/>
      <c r="BI52" s="45"/>
      <c r="BJ52" s="45"/>
      <c r="BK52" s="45"/>
      <c r="BL52" s="49"/>
      <c r="BM52" s="45"/>
      <c r="BN52" s="45"/>
      <c r="BO52" s="49"/>
      <c r="BP52" s="45"/>
      <c r="BQ52" s="45"/>
      <c r="BR52" s="49"/>
      <c r="BS52" s="45"/>
      <c r="BT52" s="45"/>
      <c r="BU52" s="49"/>
      <c r="BV52" s="45"/>
      <c r="BW52" s="49"/>
      <c r="BX52" s="45"/>
      <c r="BY52" s="45"/>
      <c r="BZ52" s="45"/>
      <c r="CA52" s="49"/>
      <c r="CB52" s="45"/>
      <c r="CC52" s="45"/>
      <c r="CD52" s="45"/>
      <c r="CE52" s="49"/>
      <c r="CF52" s="49"/>
      <c r="CG52" s="45"/>
      <c r="CH52" s="45"/>
      <c r="CI52" s="45"/>
      <c r="CJ52" s="49"/>
    </row>
    <row r="53" spans="1:88" ht="15.75">
      <c r="A53" s="19" t="s">
        <v>5121</v>
      </c>
      <c r="B53" s="19"/>
      <c r="C53" s="19"/>
      <c r="D53" s="20"/>
      <c r="E53" s="25"/>
      <c r="F53" s="25"/>
      <c r="G53" s="21"/>
      <c r="H53" s="21"/>
      <c r="I53" s="21"/>
      <c r="J53" s="25"/>
      <c r="K53" s="21"/>
      <c r="L53" s="21"/>
      <c r="M53" s="25"/>
      <c r="N53" s="21"/>
      <c r="O53" s="21"/>
      <c r="P53" s="21"/>
      <c r="Q53" s="25"/>
      <c r="R53" s="21"/>
      <c r="S53" s="21"/>
      <c r="T53" s="25"/>
      <c r="U53" s="25"/>
      <c r="V53" s="21"/>
      <c r="W53" s="21"/>
      <c r="X53" s="21"/>
      <c r="Y53" s="25"/>
      <c r="Z53" s="21"/>
      <c r="AA53" s="21"/>
      <c r="AB53" s="21"/>
      <c r="AC53" s="25"/>
      <c r="AD53" s="21"/>
      <c r="AE53" s="21"/>
      <c r="AF53" s="21"/>
      <c r="AG53" s="25"/>
      <c r="AH53" s="21"/>
      <c r="AI53" s="21"/>
      <c r="AJ53" s="21"/>
      <c r="AK53" s="25"/>
      <c r="AL53" s="21"/>
      <c r="AM53" s="21"/>
      <c r="AN53" s="25"/>
      <c r="AO53" s="21"/>
      <c r="AP53" s="21"/>
      <c r="AQ53" s="21"/>
      <c r="AR53" s="25"/>
      <c r="AS53" s="21"/>
      <c r="AT53" s="21"/>
      <c r="AU53" s="25"/>
      <c r="AV53" s="21"/>
      <c r="AW53" s="21"/>
      <c r="AX53" s="21"/>
      <c r="AY53" s="25"/>
      <c r="AZ53" s="21"/>
      <c r="BA53" s="25"/>
      <c r="BB53" s="21"/>
      <c r="BC53" s="21"/>
      <c r="BD53" s="21"/>
      <c r="BE53" s="25"/>
      <c r="BF53" s="21"/>
      <c r="BG53" s="21"/>
      <c r="BH53" s="25"/>
      <c r="BI53" s="21"/>
      <c r="BJ53" s="21"/>
      <c r="BK53" s="21"/>
      <c r="BL53" s="25"/>
      <c r="BM53" s="21"/>
      <c r="BN53" s="21"/>
      <c r="BO53" s="25"/>
      <c r="BP53" s="21"/>
      <c r="BQ53" s="21"/>
      <c r="BR53" s="25"/>
      <c r="BS53" s="21"/>
      <c r="BT53" s="21"/>
      <c r="BU53" s="25"/>
      <c r="BV53" s="21"/>
      <c r="BW53" s="25"/>
      <c r="BX53" s="21"/>
      <c r="BY53" s="21"/>
      <c r="BZ53" s="21"/>
      <c r="CA53" s="25"/>
      <c r="CB53" s="21"/>
      <c r="CC53" s="21"/>
      <c r="CD53" s="21"/>
      <c r="CE53" s="25"/>
      <c r="CF53" s="25"/>
      <c r="CG53" s="21"/>
      <c r="CH53" s="21"/>
      <c r="CI53" s="21"/>
      <c r="CJ53" s="25"/>
    </row>
    <row r="54" spans="1:88">
      <c r="A54" s="22" t="s">
        <v>5208</v>
      </c>
      <c r="B54" s="22" t="s">
        <v>13</v>
      </c>
      <c r="C54" s="22" t="s">
        <v>5122</v>
      </c>
      <c r="D54" s="23">
        <f>IFERROR(AVERAGEIFS(マスタ_業務・標準!$M:$M,マスタ_業務・標準!$K:$K,$A54,マスタ_業務・標準!$L:$L,$B54),"")</f>
        <v>3.97</v>
      </c>
      <c r="E54" s="33" t="s">
        <v>107</v>
      </c>
      <c r="F54" s="33" t="s">
        <v>107</v>
      </c>
      <c r="G54" s="31">
        <v>5.35</v>
      </c>
      <c r="H54" s="31" t="s">
        <v>107</v>
      </c>
      <c r="I54" s="31" t="s">
        <v>107</v>
      </c>
      <c r="J54" s="33" t="s">
        <v>107</v>
      </c>
      <c r="K54" s="31" t="s">
        <v>107</v>
      </c>
      <c r="L54" s="31" t="s">
        <v>107</v>
      </c>
      <c r="M54" s="33" t="s">
        <v>107</v>
      </c>
      <c r="N54" s="31" t="s">
        <v>107</v>
      </c>
      <c r="O54" s="31" t="s">
        <v>107</v>
      </c>
      <c r="P54" s="31">
        <v>2.4900000000000002</v>
      </c>
      <c r="Q54" s="33" t="s">
        <v>107</v>
      </c>
      <c r="R54" s="31" t="s">
        <v>107</v>
      </c>
      <c r="S54" s="31" t="s">
        <v>107</v>
      </c>
      <c r="T54" s="33" t="s">
        <v>107</v>
      </c>
      <c r="U54" s="33" t="s">
        <v>107</v>
      </c>
      <c r="V54" s="31" t="s">
        <v>107</v>
      </c>
      <c r="W54" s="31" t="s">
        <v>107</v>
      </c>
      <c r="X54" s="31" t="s">
        <v>107</v>
      </c>
      <c r="Y54" s="33" t="s">
        <v>107</v>
      </c>
      <c r="Z54" s="31" t="s">
        <v>107</v>
      </c>
      <c r="AA54" s="31">
        <v>1.46</v>
      </c>
      <c r="AB54" s="31" t="s">
        <v>107</v>
      </c>
      <c r="AC54" s="33" t="s">
        <v>107</v>
      </c>
      <c r="AD54" s="31">
        <v>4.75</v>
      </c>
      <c r="AE54" s="31" t="s">
        <v>107</v>
      </c>
      <c r="AF54" s="31" t="s">
        <v>107</v>
      </c>
      <c r="AG54" s="33" t="s">
        <v>107</v>
      </c>
      <c r="AH54" s="31" t="s">
        <v>107</v>
      </c>
      <c r="AI54" s="31" t="s">
        <v>107</v>
      </c>
      <c r="AJ54" s="31">
        <v>4.37</v>
      </c>
      <c r="AK54" s="33" t="s">
        <v>107</v>
      </c>
      <c r="AL54" s="31">
        <v>5.38</v>
      </c>
      <c r="AM54" s="31" t="s">
        <v>107</v>
      </c>
      <c r="AN54" s="33" t="s">
        <v>107</v>
      </c>
      <c r="AO54" s="31" t="s">
        <v>107</v>
      </c>
      <c r="AP54" s="31" t="s">
        <v>107</v>
      </c>
      <c r="AQ54" s="31" t="s">
        <v>107</v>
      </c>
      <c r="AR54" s="33" t="s">
        <v>107</v>
      </c>
      <c r="AS54" s="31" t="s">
        <v>107</v>
      </c>
      <c r="AT54" s="31" t="s">
        <v>107</v>
      </c>
      <c r="AU54" s="33" t="s">
        <v>107</v>
      </c>
      <c r="AV54" s="31" t="s">
        <v>107</v>
      </c>
      <c r="AW54" s="31" t="s">
        <v>107</v>
      </c>
      <c r="AX54" s="31" t="s">
        <v>107</v>
      </c>
      <c r="AY54" s="33" t="s">
        <v>107</v>
      </c>
      <c r="AZ54" s="31">
        <v>6.51</v>
      </c>
      <c r="BA54" s="33">
        <v>3.81</v>
      </c>
      <c r="BB54" s="31" t="s">
        <v>107</v>
      </c>
      <c r="BC54" s="31" t="s">
        <v>107</v>
      </c>
      <c r="BD54" s="31" t="s">
        <v>107</v>
      </c>
      <c r="BE54" s="33" t="s">
        <v>107</v>
      </c>
      <c r="BF54" s="31">
        <v>6.03</v>
      </c>
      <c r="BG54" s="31" t="s">
        <v>107</v>
      </c>
      <c r="BH54" s="33">
        <v>4.43</v>
      </c>
      <c r="BI54" s="31" t="s">
        <v>107</v>
      </c>
      <c r="BJ54" s="31">
        <v>4.1100000000000003</v>
      </c>
      <c r="BK54" s="31" t="s">
        <v>107</v>
      </c>
      <c r="BL54" s="33" t="s">
        <v>107</v>
      </c>
      <c r="BM54" s="31">
        <v>5.33</v>
      </c>
      <c r="BN54" s="31" t="s">
        <v>107</v>
      </c>
      <c r="BO54" s="33" t="s">
        <v>107</v>
      </c>
      <c r="BP54" s="31">
        <v>3.84</v>
      </c>
      <c r="BQ54" s="31">
        <v>5.86</v>
      </c>
      <c r="BR54" s="33" t="s">
        <v>107</v>
      </c>
      <c r="BS54" s="31" t="s">
        <v>107</v>
      </c>
      <c r="BT54" s="31" t="s">
        <v>107</v>
      </c>
      <c r="BU54" s="33" t="s">
        <v>107</v>
      </c>
      <c r="BV54" s="31" t="s">
        <v>107</v>
      </c>
      <c r="BW54" s="33" t="s">
        <v>107</v>
      </c>
      <c r="BX54" s="31">
        <v>2.2999999999999998</v>
      </c>
      <c r="BY54" s="31">
        <v>1.8</v>
      </c>
      <c r="BZ54" s="31" t="s">
        <v>107</v>
      </c>
      <c r="CA54" s="33" t="s">
        <v>107</v>
      </c>
      <c r="CB54" s="31" t="s">
        <v>107</v>
      </c>
      <c r="CC54" s="31" t="s">
        <v>107</v>
      </c>
      <c r="CD54" s="31" t="s">
        <v>107</v>
      </c>
      <c r="CE54" s="33">
        <v>3.67</v>
      </c>
      <c r="CF54" s="33" t="s">
        <v>107</v>
      </c>
      <c r="CG54" s="31">
        <v>0.85</v>
      </c>
      <c r="CH54" s="31">
        <v>4.7</v>
      </c>
      <c r="CI54" s="31">
        <v>2.33</v>
      </c>
      <c r="CJ54" s="33" t="s">
        <v>107</v>
      </c>
    </row>
    <row r="55" spans="1:88">
      <c r="A55" s="24" t="s">
        <v>5208</v>
      </c>
      <c r="B55" s="24" t="s">
        <v>13</v>
      </c>
      <c r="C55" s="55" t="s">
        <v>63</v>
      </c>
      <c r="D55" s="18">
        <f>IFERROR(AVERAGEIFS(マスタ_業務・標準!$H:$H,マスタ_業務・標準!$D:$D,$A55,マスタ_業務・標準!$C:$C,$C55),"")</f>
        <v>2.0299999999999998</v>
      </c>
      <c r="E55" s="58" t="s">
        <v>107</v>
      </c>
      <c r="F55" s="58" t="s">
        <v>107</v>
      </c>
      <c r="G55" s="54" t="s">
        <v>107</v>
      </c>
      <c r="H55" s="54" t="s">
        <v>107</v>
      </c>
      <c r="I55" s="54" t="s">
        <v>107</v>
      </c>
      <c r="J55" s="58" t="s">
        <v>107</v>
      </c>
      <c r="K55" s="54" t="s">
        <v>107</v>
      </c>
      <c r="L55" s="54" t="s">
        <v>107</v>
      </c>
      <c r="M55" s="58" t="s">
        <v>107</v>
      </c>
      <c r="N55" s="54" t="s">
        <v>107</v>
      </c>
      <c r="O55" s="54" t="s">
        <v>107</v>
      </c>
      <c r="P55" s="54" t="s">
        <v>107</v>
      </c>
      <c r="Q55" s="58" t="s">
        <v>107</v>
      </c>
      <c r="R55" s="54" t="s">
        <v>107</v>
      </c>
      <c r="S55" s="54" t="s">
        <v>107</v>
      </c>
      <c r="T55" s="58" t="s">
        <v>107</v>
      </c>
      <c r="U55" s="58" t="s">
        <v>107</v>
      </c>
      <c r="V55" s="54" t="s">
        <v>107</v>
      </c>
      <c r="W55" s="54" t="s">
        <v>107</v>
      </c>
      <c r="X55" s="54" t="s">
        <v>107</v>
      </c>
      <c r="Y55" s="58" t="s">
        <v>107</v>
      </c>
      <c r="Z55" s="54" t="s">
        <v>107</v>
      </c>
      <c r="AA55" s="54" t="s">
        <v>107</v>
      </c>
      <c r="AB55" s="54" t="s">
        <v>107</v>
      </c>
      <c r="AC55" s="58" t="s">
        <v>107</v>
      </c>
      <c r="AD55" s="54" t="s">
        <v>107</v>
      </c>
      <c r="AE55" s="54" t="s">
        <v>107</v>
      </c>
      <c r="AF55" s="54" t="s">
        <v>107</v>
      </c>
      <c r="AG55" s="58" t="s">
        <v>107</v>
      </c>
      <c r="AH55" s="54" t="s">
        <v>107</v>
      </c>
      <c r="AI55" s="54" t="s">
        <v>107</v>
      </c>
      <c r="AJ55" s="54" t="s">
        <v>107</v>
      </c>
      <c r="AK55" s="58" t="s">
        <v>107</v>
      </c>
      <c r="AL55" s="54" t="s">
        <v>107</v>
      </c>
      <c r="AM55" s="54" t="s">
        <v>107</v>
      </c>
      <c r="AN55" s="58" t="s">
        <v>107</v>
      </c>
      <c r="AO55" s="54" t="s">
        <v>107</v>
      </c>
      <c r="AP55" s="54" t="s">
        <v>107</v>
      </c>
      <c r="AQ55" s="54" t="s">
        <v>107</v>
      </c>
      <c r="AR55" s="58" t="s">
        <v>107</v>
      </c>
      <c r="AS55" s="54" t="s">
        <v>107</v>
      </c>
      <c r="AT55" s="54" t="s">
        <v>107</v>
      </c>
      <c r="AU55" s="58" t="s">
        <v>107</v>
      </c>
      <c r="AV55" s="54" t="s">
        <v>107</v>
      </c>
      <c r="AW55" s="54" t="s">
        <v>107</v>
      </c>
      <c r="AX55" s="54" t="s">
        <v>107</v>
      </c>
      <c r="AY55" s="58" t="s">
        <v>107</v>
      </c>
      <c r="AZ55" s="54" t="s">
        <v>107</v>
      </c>
      <c r="BA55" s="58">
        <v>1.03</v>
      </c>
      <c r="BB55" s="54" t="s">
        <v>107</v>
      </c>
      <c r="BC55" s="54" t="s">
        <v>107</v>
      </c>
      <c r="BD55" s="54" t="s">
        <v>107</v>
      </c>
      <c r="BE55" s="58" t="s">
        <v>107</v>
      </c>
      <c r="BF55" s="54" t="s">
        <v>107</v>
      </c>
      <c r="BG55" s="54" t="s">
        <v>107</v>
      </c>
      <c r="BH55" s="58">
        <v>3.03</v>
      </c>
      <c r="BI55" s="54" t="s">
        <v>107</v>
      </c>
      <c r="BJ55" s="54" t="s">
        <v>107</v>
      </c>
      <c r="BK55" s="54" t="s">
        <v>107</v>
      </c>
      <c r="BL55" s="58" t="s">
        <v>107</v>
      </c>
      <c r="BM55" s="54" t="s">
        <v>107</v>
      </c>
      <c r="BN55" s="54" t="s">
        <v>107</v>
      </c>
      <c r="BO55" s="58" t="s">
        <v>107</v>
      </c>
      <c r="BP55" s="54" t="s">
        <v>107</v>
      </c>
      <c r="BQ55" s="54" t="s">
        <v>107</v>
      </c>
      <c r="BR55" s="58" t="s">
        <v>107</v>
      </c>
      <c r="BS55" s="54" t="s">
        <v>107</v>
      </c>
      <c r="BT55" s="54" t="s">
        <v>107</v>
      </c>
      <c r="BU55" s="58" t="s">
        <v>107</v>
      </c>
      <c r="BV55" s="54" t="s">
        <v>107</v>
      </c>
      <c r="BW55" s="58" t="s">
        <v>107</v>
      </c>
      <c r="BX55" s="54" t="s">
        <v>107</v>
      </c>
      <c r="BY55" s="54" t="s">
        <v>107</v>
      </c>
      <c r="BZ55" s="54" t="s">
        <v>107</v>
      </c>
      <c r="CA55" s="58" t="s">
        <v>107</v>
      </c>
      <c r="CB55" s="54" t="s">
        <v>107</v>
      </c>
      <c r="CC55" s="54" t="s">
        <v>107</v>
      </c>
      <c r="CD55" s="54" t="s">
        <v>107</v>
      </c>
      <c r="CE55" s="58" t="s">
        <v>107</v>
      </c>
      <c r="CF55" s="58" t="s">
        <v>107</v>
      </c>
      <c r="CG55" s="54" t="s">
        <v>107</v>
      </c>
      <c r="CH55" s="54" t="s">
        <v>107</v>
      </c>
      <c r="CI55" s="54" t="s">
        <v>107</v>
      </c>
      <c r="CJ55" s="58" t="s">
        <v>107</v>
      </c>
    </row>
    <row r="56" spans="1:88">
      <c r="A56" s="24" t="s">
        <v>5208</v>
      </c>
      <c r="B56" s="24" t="s">
        <v>13</v>
      </c>
      <c r="C56" s="55" t="s">
        <v>64</v>
      </c>
      <c r="D56" s="18">
        <f>IFERROR(AVERAGEIFS(マスタ_業務・標準!$H:$H,マスタ_業務・標準!$D:$D,$A56,マスタ_業務・標準!$C:$C,$C56),"")</f>
        <v>4.3499999999999996</v>
      </c>
      <c r="E56" s="58" t="s">
        <v>107</v>
      </c>
      <c r="F56" s="58" t="s">
        <v>107</v>
      </c>
      <c r="G56" s="54">
        <v>4.04</v>
      </c>
      <c r="H56" s="54" t="s">
        <v>107</v>
      </c>
      <c r="I56" s="54" t="s">
        <v>107</v>
      </c>
      <c r="J56" s="58" t="s">
        <v>107</v>
      </c>
      <c r="K56" s="54" t="s">
        <v>107</v>
      </c>
      <c r="L56" s="54" t="s">
        <v>107</v>
      </c>
      <c r="M56" s="58" t="s">
        <v>107</v>
      </c>
      <c r="N56" s="54" t="s">
        <v>107</v>
      </c>
      <c r="O56" s="54" t="s">
        <v>107</v>
      </c>
      <c r="P56" s="54" t="s">
        <v>107</v>
      </c>
      <c r="Q56" s="58" t="s">
        <v>107</v>
      </c>
      <c r="R56" s="54" t="s">
        <v>107</v>
      </c>
      <c r="S56" s="54" t="s">
        <v>107</v>
      </c>
      <c r="T56" s="58" t="s">
        <v>107</v>
      </c>
      <c r="U56" s="58" t="s">
        <v>107</v>
      </c>
      <c r="V56" s="54" t="s">
        <v>107</v>
      </c>
      <c r="W56" s="54" t="s">
        <v>107</v>
      </c>
      <c r="X56" s="54" t="s">
        <v>107</v>
      </c>
      <c r="Y56" s="58" t="s">
        <v>107</v>
      </c>
      <c r="Z56" s="54" t="s">
        <v>107</v>
      </c>
      <c r="AA56" s="54" t="s">
        <v>107</v>
      </c>
      <c r="AB56" s="54" t="s">
        <v>107</v>
      </c>
      <c r="AC56" s="58" t="s">
        <v>107</v>
      </c>
      <c r="AD56" s="54" t="s">
        <v>107</v>
      </c>
      <c r="AE56" s="54" t="s">
        <v>107</v>
      </c>
      <c r="AF56" s="54" t="s">
        <v>107</v>
      </c>
      <c r="AG56" s="58" t="s">
        <v>107</v>
      </c>
      <c r="AH56" s="54" t="s">
        <v>107</v>
      </c>
      <c r="AI56" s="54" t="s">
        <v>107</v>
      </c>
      <c r="AJ56" s="54">
        <v>5.32</v>
      </c>
      <c r="AK56" s="58" t="s">
        <v>107</v>
      </c>
      <c r="AL56" s="54">
        <v>4.41</v>
      </c>
      <c r="AM56" s="54" t="s">
        <v>107</v>
      </c>
      <c r="AN56" s="58" t="s">
        <v>107</v>
      </c>
      <c r="AO56" s="54" t="s">
        <v>107</v>
      </c>
      <c r="AP56" s="54" t="s">
        <v>107</v>
      </c>
      <c r="AQ56" s="54" t="s">
        <v>107</v>
      </c>
      <c r="AR56" s="58" t="s">
        <v>107</v>
      </c>
      <c r="AS56" s="54" t="s">
        <v>107</v>
      </c>
      <c r="AT56" s="54" t="s">
        <v>107</v>
      </c>
      <c r="AU56" s="58" t="s">
        <v>107</v>
      </c>
      <c r="AV56" s="54" t="s">
        <v>107</v>
      </c>
      <c r="AW56" s="54" t="s">
        <v>107</v>
      </c>
      <c r="AX56" s="54" t="s">
        <v>107</v>
      </c>
      <c r="AY56" s="58" t="s">
        <v>107</v>
      </c>
      <c r="AZ56" s="54" t="s">
        <v>107</v>
      </c>
      <c r="BA56" s="58">
        <v>4.9800000000000004</v>
      </c>
      <c r="BB56" s="54" t="s">
        <v>107</v>
      </c>
      <c r="BC56" s="54" t="s">
        <v>107</v>
      </c>
      <c r="BD56" s="54" t="s">
        <v>107</v>
      </c>
      <c r="BE56" s="58" t="s">
        <v>107</v>
      </c>
      <c r="BF56" s="54">
        <v>6.18</v>
      </c>
      <c r="BG56" s="54" t="s">
        <v>107</v>
      </c>
      <c r="BH56" s="58">
        <v>5.27</v>
      </c>
      <c r="BI56" s="54" t="s">
        <v>107</v>
      </c>
      <c r="BJ56" s="54">
        <v>2.67</v>
      </c>
      <c r="BK56" s="54" t="s">
        <v>107</v>
      </c>
      <c r="BL56" s="58" t="s">
        <v>107</v>
      </c>
      <c r="BM56" s="54">
        <v>4.8099999999999996</v>
      </c>
      <c r="BN56" s="54" t="s">
        <v>107</v>
      </c>
      <c r="BO56" s="58" t="s">
        <v>107</v>
      </c>
      <c r="BP56" s="54" t="s">
        <v>107</v>
      </c>
      <c r="BQ56" s="54">
        <v>5.87</v>
      </c>
      <c r="BR56" s="58" t="s">
        <v>107</v>
      </c>
      <c r="BS56" s="54" t="s">
        <v>107</v>
      </c>
      <c r="BT56" s="54" t="s">
        <v>107</v>
      </c>
      <c r="BU56" s="58" t="s">
        <v>107</v>
      </c>
      <c r="BV56" s="54" t="s">
        <v>107</v>
      </c>
      <c r="BW56" s="58" t="s">
        <v>107</v>
      </c>
      <c r="BX56" s="54" t="s">
        <v>107</v>
      </c>
      <c r="BY56" s="54">
        <v>4.59</v>
      </c>
      <c r="BZ56" s="54" t="s">
        <v>107</v>
      </c>
      <c r="CA56" s="58" t="s">
        <v>107</v>
      </c>
      <c r="CB56" s="54" t="s">
        <v>107</v>
      </c>
      <c r="CC56" s="54" t="s">
        <v>107</v>
      </c>
      <c r="CD56" s="54" t="s">
        <v>107</v>
      </c>
      <c r="CE56" s="58">
        <v>2.42</v>
      </c>
      <c r="CF56" s="58" t="s">
        <v>107</v>
      </c>
      <c r="CG56" s="54">
        <v>1.62</v>
      </c>
      <c r="CH56" s="54" t="s">
        <v>107</v>
      </c>
      <c r="CI56" s="54" t="s">
        <v>107</v>
      </c>
      <c r="CJ56" s="58" t="s">
        <v>107</v>
      </c>
    </row>
    <row r="57" spans="1:88">
      <c r="A57" s="24" t="s">
        <v>5208</v>
      </c>
      <c r="B57" s="24" t="s">
        <v>13</v>
      </c>
      <c r="C57" s="55" t="s">
        <v>65</v>
      </c>
      <c r="D57" s="18">
        <f>IFERROR(AVERAGEIFS(マスタ_業務・標準!$H:$H,マスタ_業務・標準!$D:$D,$A57,マスタ_業務・標準!$C:$C,$C57),"")</f>
        <v>2.69</v>
      </c>
      <c r="E57" s="58" t="s">
        <v>107</v>
      </c>
      <c r="F57" s="58" t="s">
        <v>107</v>
      </c>
      <c r="G57" s="54">
        <v>2.37</v>
      </c>
      <c r="H57" s="54" t="s">
        <v>107</v>
      </c>
      <c r="I57" s="54" t="s">
        <v>107</v>
      </c>
      <c r="J57" s="58" t="s">
        <v>107</v>
      </c>
      <c r="K57" s="54" t="s">
        <v>107</v>
      </c>
      <c r="L57" s="54" t="s">
        <v>107</v>
      </c>
      <c r="M57" s="58" t="s">
        <v>107</v>
      </c>
      <c r="N57" s="54" t="s">
        <v>107</v>
      </c>
      <c r="O57" s="54" t="s">
        <v>107</v>
      </c>
      <c r="P57" s="54">
        <v>1.61</v>
      </c>
      <c r="Q57" s="58" t="s">
        <v>107</v>
      </c>
      <c r="R57" s="54" t="s">
        <v>107</v>
      </c>
      <c r="S57" s="54" t="s">
        <v>107</v>
      </c>
      <c r="T57" s="58" t="s">
        <v>107</v>
      </c>
      <c r="U57" s="58" t="s">
        <v>107</v>
      </c>
      <c r="V57" s="54" t="s">
        <v>107</v>
      </c>
      <c r="W57" s="54" t="s">
        <v>107</v>
      </c>
      <c r="X57" s="54" t="s">
        <v>107</v>
      </c>
      <c r="Y57" s="58" t="s">
        <v>107</v>
      </c>
      <c r="Z57" s="54" t="s">
        <v>107</v>
      </c>
      <c r="AA57" s="54" t="s">
        <v>107</v>
      </c>
      <c r="AB57" s="54" t="s">
        <v>107</v>
      </c>
      <c r="AC57" s="58" t="s">
        <v>107</v>
      </c>
      <c r="AD57" s="54" t="s">
        <v>107</v>
      </c>
      <c r="AE57" s="54" t="s">
        <v>107</v>
      </c>
      <c r="AF57" s="54" t="s">
        <v>107</v>
      </c>
      <c r="AG57" s="58" t="s">
        <v>107</v>
      </c>
      <c r="AH57" s="54" t="s">
        <v>107</v>
      </c>
      <c r="AI57" s="54" t="s">
        <v>107</v>
      </c>
      <c r="AJ57" s="54" t="s">
        <v>107</v>
      </c>
      <c r="AK57" s="58" t="s">
        <v>107</v>
      </c>
      <c r="AL57" s="54">
        <v>3.88</v>
      </c>
      <c r="AM57" s="54" t="s">
        <v>107</v>
      </c>
      <c r="AN57" s="58" t="s">
        <v>107</v>
      </c>
      <c r="AO57" s="54" t="s">
        <v>107</v>
      </c>
      <c r="AP57" s="54" t="s">
        <v>107</v>
      </c>
      <c r="AQ57" s="54" t="s">
        <v>107</v>
      </c>
      <c r="AR57" s="58" t="s">
        <v>107</v>
      </c>
      <c r="AS57" s="54" t="s">
        <v>107</v>
      </c>
      <c r="AT57" s="54" t="s">
        <v>107</v>
      </c>
      <c r="AU57" s="58" t="s">
        <v>107</v>
      </c>
      <c r="AV57" s="54" t="s">
        <v>107</v>
      </c>
      <c r="AW57" s="54" t="s">
        <v>107</v>
      </c>
      <c r="AX57" s="54" t="s">
        <v>107</v>
      </c>
      <c r="AY57" s="58" t="s">
        <v>107</v>
      </c>
      <c r="AZ57" s="54">
        <v>1.42</v>
      </c>
      <c r="BA57" s="58">
        <v>2.93</v>
      </c>
      <c r="BB57" s="54" t="s">
        <v>107</v>
      </c>
      <c r="BC57" s="54" t="s">
        <v>107</v>
      </c>
      <c r="BD57" s="54" t="s">
        <v>107</v>
      </c>
      <c r="BE57" s="58" t="s">
        <v>107</v>
      </c>
      <c r="BF57" s="54" t="s">
        <v>107</v>
      </c>
      <c r="BG57" s="54" t="s">
        <v>107</v>
      </c>
      <c r="BH57" s="58">
        <v>2.72</v>
      </c>
      <c r="BI57" s="54" t="s">
        <v>107</v>
      </c>
      <c r="BJ57" s="54" t="s">
        <v>107</v>
      </c>
      <c r="BK57" s="54" t="s">
        <v>107</v>
      </c>
      <c r="BL57" s="58" t="s">
        <v>107</v>
      </c>
      <c r="BM57" s="54">
        <v>6.24</v>
      </c>
      <c r="BN57" s="54" t="s">
        <v>107</v>
      </c>
      <c r="BO57" s="58" t="s">
        <v>107</v>
      </c>
      <c r="BP57" s="54">
        <v>3.49</v>
      </c>
      <c r="BQ57" s="54" t="s">
        <v>107</v>
      </c>
      <c r="BR57" s="58" t="s">
        <v>107</v>
      </c>
      <c r="BS57" s="54" t="s">
        <v>107</v>
      </c>
      <c r="BT57" s="54" t="s">
        <v>107</v>
      </c>
      <c r="BU57" s="58" t="s">
        <v>107</v>
      </c>
      <c r="BV57" s="54" t="s">
        <v>107</v>
      </c>
      <c r="BW57" s="58" t="s">
        <v>107</v>
      </c>
      <c r="BX57" s="54">
        <v>1.34</v>
      </c>
      <c r="BY57" s="54">
        <v>1.5</v>
      </c>
      <c r="BZ57" s="54" t="s">
        <v>107</v>
      </c>
      <c r="CA57" s="58" t="s">
        <v>107</v>
      </c>
      <c r="CB57" s="54" t="s">
        <v>107</v>
      </c>
      <c r="CC57" s="54" t="s">
        <v>107</v>
      </c>
      <c r="CD57" s="54" t="s">
        <v>107</v>
      </c>
      <c r="CE57" s="58" t="s">
        <v>107</v>
      </c>
      <c r="CF57" s="58" t="s">
        <v>107</v>
      </c>
      <c r="CG57" s="54" t="s">
        <v>107</v>
      </c>
      <c r="CH57" s="54">
        <v>3.93</v>
      </c>
      <c r="CI57" s="54">
        <v>0.84</v>
      </c>
      <c r="CJ57" s="58" t="s">
        <v>107</v>
      </c>
    </row>
    <row r="58" spans="1:88">
      <c r="A58" s="24" t="s">
        <v>5208</v>
      </c>
      <c r="B58" s="24" t="s">
        <v>13</v>
      </c>
      <c r="C58" s="55" t="s">
        <v>66</v>
      </c>
      <c r="D58" s="18">
        <f>IFERROR(AVERAGEIFS(マスタ_業務・標準!$H:$H,マスタ_業務・標準!$D:$D,$A58,マスタ_業務・標準!$C:$C,$C58),"")</f>
        <v>5.23</v>
      </c>
      <c r="E58" s="58" t="s">
        <v>107</v>
      </c>
      <c r="F58" s="58" t="s">
        <v>107</v>
      </c>
      <c r="G58" s="54">
        <v>6.57</v>
      </c>
      <c r="H58" s="54" t="s">
        <v>107</v>
      </c>
      <c r="I58" s="54" t="s">
        <v>107</v>
      </c>
      <c r="J58" s="58" t="s">
        <v>107</v>
      </c>
      <c r="K58" s="54" t="s">
        <v>107</v>
      </c>
      <c r="L58" s="54" t="s">
        <v>107</v>
      </c>
      <c r="M58" s="58" t="s">
        <v>107</v>
      </c>
      <c r="N58" s="54" t="s">
        <v>107</v>
      </c>
      <c r="O58" s="54" t="s">
        <v>107</v>
      </c>
      <c r="P58" s="54" t="s">
        <v>107</v>
      </c>
      <c r="Q58" s="58" t="s">
        <v>107</v>
      </c>
      <c r="R58" s="54" t="s">
        <v>107</v>
      </c>
      <c r="S58" s="54" t="s">
        <v>107</v>
      </c>
      <c r="T58" s="58" t="s">
        <v>107</v>
      </c>
      <c r="U58" s="58" t="s">
        <v>107</v>
      </c>
      <c r="V58" s="54" t="s">
        <v>107</v>
      </c>
      <c r="W58" s="54" t="s">
        <v>107</v>
      </c>
      <c r="X58" s="54" t="s">
        <v>107</v>
      </c>
      <c r="Y58" s="58" t="s">
        <v>107</v>
      </c>
      <c r="Z58" s="54" t="s">
        <v>107</v>
      </c>
      <c r="AA58" s="54" t="s">
        <v>107</v>
      </c>
      <c r="AB58" s="54" t="s">
        <v>107</v>
      </c>
      <c r="AC58" s="58" t="s">
        <v>107</v>
      </c>
      <c r="AD58" s="54">
        <v>5.45</v>
      </c>
      <c r="AE58" s="54" t="s">
        <v>107</v>
      </c>
      <c r="AF58" s="54" t="s">
        <v>107</v>
      </c>
      <c r="AG58" s="58" t="s">
        <v>107</v>
      </c>
      <c r="AH58" s="54" t="s">
        <v>107</v>
      </c>
      <c r="AI58" s="54" t="s">
        <v>107</v>
      </c>
      <c r="AJ58" s="54">
        <v>5.52</v>
      </c>
      <c r="AK58" s="58" t="s">
        <v>107</v>
      </c>
      <c r="AL58" s="54">
        <v>6.31</v>
      </c>
      <c r="AM58" s="54" t="s">
        <v>107</v>
      </c>
      <c r="AN58" s="58" t="s">
        <v>107</v>
      </c>
      <c r="AO58" s="54" t="s">
        <v>107</v>
      </c>
      <c r="AP58" s="54" t="s">
        <v>107</v>
      </c>
      <c r="AQ58" s="54" t="s">
        <v>107</v>
      </c>
      <c r="AR58" s="58" t="s">
        <v>107</v>
      </c>
      <c r="AS58" s="54" t="s">
        <v>107</v>
      </c>
      <c r="AT58" s="54" t="s">
        <v>107</v>
      </c>
      <c r="AU58" s="58" t="s">
        <v>107</v>
      </c>
      <c r="AV58" s="54" t="s">
        <v>107</v>
      </c>
      <c r="AW58" s="54" t="s">
        <v>107</v>
      </c>
      <c r="AX58" s="54" t="s">
        <v>107</v>
      </c>
      <c r="AY58" s="58" t="s">
        <v>107</v>
      </c>
      <c r="AZ58" s="54">
        <v>7.66</v>
      </c>
      <c r="BA58" s="58">
        <v>4.79</v>
      </c>
      <c r="BB58" s="54" t="s">
        <v>107</v>
      </c>
      <c r="BC58" s="54" t="s">
        <v>107</v>
      </c>
      <c r="BD58" s="54" t="s">
        <v>107</v>
      </c>
      <c r="BE58" s="58" t="s">
        <v>107</v>
      </c>
      <c r="BF58" s="54">
        <v>5.95</v>
      </c>
      <c r="BG58" s="54" t="s">
        <v>107</v>
      </c>
      <c r="BH58" s="58">
        <v>3.16</v>
      </c>
      <c r="BI58" s="54" t="s">
        <v>107</v>
      </c>
      <c r="BJ58" s="54">
        <v>5.94</v>
      </c>
      <c r="BK58" s="54" t="s">
        <v>107</v>
      </c>
      <c r="BL58" s="58" t="s">
        <v>107</v>
      </c>
      <c r="BM58" s="54">
        <v>5.59</v>
      </c>
      <c r="BN58" s="54" t="s">
        <v>107</v>
      </c>
      <c r="BO58" s="58" t="s">
        <v>107</v>
      </c>
      <c r="BP58" s="54">
        <v>4.71</v>
      </c>
      <c r="BQ58" s="54">
        <v>5.83</v>
      </c>
      <c r="BR58" s="58" t="s">
        <v>107</v>
      </c>
      <c r="BS58" s="54" t="s">
        <v>107</v>
      </c>
      <c r="BT58" s="54" t="s">
        <v>107</v>
      </c>
      <c r="BU58" s="58" t="s">
        <v>107</v>
      </c>
      <c r="BV58" s="54" t="s">
        <v>107</v>
      </c>
      <c r="BW58" s="58" t="s">
        <v>107</v>
      </c>
      <c r="BX58" s="54" t="s">
        <v>107</v>
      </c>
      <c r="BY58" s="54" t="s">
        <v>107</v>
      </c>
      <c r="BZ58" s="54" t="s">
        <v>107</v>
      </c>
      <c r="CA58" s="58" t="s">
        <v>107</v>
      </c>
      <c r="CB58" s="54" t="s">
        <v>107</v>
      </c>
      <c r="CC58" s="54" t="s">
        <v>107</v>
      </c>
      <c r="CD58" s="54" t="s">
        <v>107</v>
      </c>
      <c r="CE58" s="58" t="s">
        <v>107</v>
      </c>
      <c r="CF58" s="58" t="s">
        <v>107</v>
      </c>
      <c r="CG58" s="54">
        <v>0.56000000000000005</v>
      </c>
      <c r="CH58" s="54" t="s">
        <v>107</v>
      </c>
      <c r="CI58" s="54" t="s">
        <v>107</v>
      </c>
      <c r="CJ58" s="58" t="s">
        <v>107</v>
      </c>
    </row>
    <row r="59" spans="1:88">
      <c r="A59" s="24" t="s">
        <v>5208</v>
      </c>
      <c r="B59" s="24" t="s">
        <v>13</v>
      </c>
      <c r="C59" s="55" t="s">
        <v>67</v>
      </c>
      <c r="D59" s="18">
        <f>IFERROR(AVERAGEIFS(マスタ_業務・標準!$H:$H,マスタ_業務・標準!$D:$D,$A59,マスタ_業務・標準!$C:$C,$C59),"")</f>
        <v>4.7699999999999996</v>
      </c>
      <c r="E59" s="58" t="s">
        <v>107</v>
      </c>
      <c r="F59" s="58" t="s">
        <v>107</v>
      </c>
      <c r="G59" s="54">
        <v>6.45</v>
      </c>
      <c r="H59" s="54" t="s">
        <v>107</v>
      </c>
      <c r="I59" s="54" t="s">
        <v>107</v>
      </c>
      <c r="J59" s="58" t="s">
        <v>107</v>
      </c>
      <c r="K59" s="54" t="s">
        <v>107</v>
      </c>
      <c r="L59" s="54" t="s">
        <v>107</v>
      </c>
      <c r="M59" s="58" t="s">
        <v>107</v>
      </c>
      <c r="N59" s="54" t="s">
        <v>107</v>
      </c>
      <c r="O59" s="54" t="s">
        <v>107</v>
      </c>
      <c r="P59" s="54">
        <v>5.58</v>
      </c>
      <c r="Q59" s="58" t="s">
        <v>107</v>
      </c>
      <c r="R59" s="54" t="s">
        <v>107</v>
      </c>
      <c r="S59" s="54" t="s">
        <v>107</v>
      </c>
      <c r="T59" s="58" t="s">
        <v>107</v>
      </c>
      <c r="U59" s="58" t="s">
        <v>107</v>
      </c>
      <c r="V59" s="54" t="s">
        <v>107</v>
      </c>
      <c r="W59" s="54" t="s">
        <v>107</v>
      </c>
      <c r="X59" s="54" t="s">
        <v>107</v>
      </c>
      <c r="Y59" s="58" t="s">
        <v>107</v>
      </c>
      <c r="Z59" s="54" t="s">
        <v>107</v>
      </c>
      <c r="AA59" s="54">
        <v>1.46</v>
      </c>
      <c r="AB59" s="54" t="s">
        <v>107</v>
      </c>
      <c r="AC59" s="58" t="s">
        <v>107</v>
      </c>
      <c r="AD59" s="54">
        <v>4.71</v>
      </c>
      <c r="AE59" s="54" t="s">
        <v>107</v>
      </c>
      <c r="AF59" s="54" t="s">
        <v>107</v>
      </c>
      <c r="AG59" s="58" t="s">
        <v>107</v>
      </c>
      <c r="AH59" s="54" t="s">
        <v>107</v>
      </c>
      <c r="AI59" s="54" t="s">
        <v>107</v>
      </c>
      <c r="AJ59" s="54">
        <v>3.21</v>
      </c>
      <c r="AK59" s="58" t="s">
        <v>107</v>
      </c>
      <c r="AL59" s="54" t="s">
        <v>107</v>
      </c>
      <c r="AM59" s="54" t="s">
        <v>107</v>
      </c>
      <c r="AN59" s="58" t="s">
        <v>107</v>
      </c>
      <c r="AO59" s="54" t="s">
        <v>107</v>
      </c>
      <c r="AP59" s="54" t="s">
        <v>107</v>
      </c>
      <c r="AQ59" s="54" t="s">
        <v>107</v>
      </c>
      <c r="AR59" s="58" t="s">
        <v>107</v>
      </c>
      <c r="AS59" s="54" t="s">
        <v>107</v>
      </c>
      <c r="AT59" s="54" t="s">
        <v>107</v>
      </c>
      <c r="AU59" s="58" t="s">
        <v>107</v>
      </c>
      <c r="AV59" s="54" t="s">
        <v>107</v>
      </c>
      <c r="AW59" s="54" t="s">
        <v>107</v>
      </c>
      <c r="AX59" s="54" t="s">
        <v>107</v>
      </c>
      <c r="AY59" s="58" t="s">
        <v>107</v>
      </c>
      <c r="AZ59" s="54" t="s">
        <v>107</v>
      </c>
      <c r="BA59" s="58">
        <v>4.5</v>
      </c>
      <c r="BB59" s="54" t="s">
        <v>107</v>
      </c>
      <c r="BC59" s="54" t="s">
        <v>107</v>
      </c>
      <c r="BD59" s="54" t="s">
        <v>107</v>
      </c>
      <c r="BE59" s="58" t="s">
        <v>107</v>
      </c>
      <c r="BF59" s="54">
        <v>6.62</v>
      </c>
      <c r="BG59" s="54" t="s">
        <v>107</v>
      </c>
      <c r="BH59" s="58">
        <v>4.75</v>
      </c>
      <c r="BI59" s="54" t="s">
        <v>107</v>
      </c>
      <c r="BJ59" s="54" t="s">
        <v>107</v>
      </c>
      <c r="BK59" s="54" t="s">
        <v>107</v>
      </c>
      <c r="BL59" s="58" t="s">
        <v>107</v>
      </c>
      <c r="BM59" s="54">
        <v>5.1100000000000003</v>
      </c>
      <c r="BN59" s="54" t="s">
        <v>107</v>
      </c>
      <c r="BO59" s="58" t="s">
        <v>107</v>
      </c>
      <c r="BP59" s="54">
        <v>3.53</v>
      </c>
      <c r="BQ59" s="54" t="s">
        <v>107</v>
      </c>
      <c r="BR59" s="58" t="s">
        <v>107</v>
      </c>
      <c r="BS59" s="54" t="s">
        <v>107</v>
      </c>
      <c r="BT59" s="54" t="s">
        <v>107</v>
      </c>
      <c r="BU59" s="58" t="s">
        <v>107</v>
      </c>
      <c r="BV59" s="54" t="s">
        <v>107</v>
      </c>
      <c r="BW59" s="58" t="s">
        <v>107</v>
      </c>
      <c r="BX59" s="54">
        <v>8.16</v>
      </c>
      <c r="BY59" s="54" t="s">
        <v>107</v>
      </c>
      <c r="BZ59" s="54" t="s">
        <v>107</v>
      </c>
      <c r="CA59" s="58" t="s">
        <v>107</v>
      </c>
      <c r="CB59" s="54" t="s">
        <v>107</v>
      </c>
      <c r="CC59" s="54" t="s">
        <v>107</v>
      </c>
      <c r="CD59" s="54" t="s">
        <v>107</v>
      </c>
      <c r="CE59" s="58">
        <v>3.92</v>
      </c>
      <c r="CF59" s="58" t="s">
        <v>107</v>
      </c>
      <c r="CG59" s="54">
        <v>2</v>
      </c>
      <c r="CH59" s="54">
        <v>5.85</v>
      </c>
      <c r="CI59" s="54">
        <v>5.74</v>
      </c>
      <c r="CJ59" s="58" t="s">
        <v>107</v>
      </c>
    </row>
    <row r="60" spans="1:88">
      <c r="A60" s="22" t="s">
        <v>5208</v>
      </c>
      <c r="B60" s="22" t="s">
        <v>15</v>
      </c>
      <c r="C60" s="22" t="s">
        <v>5123</v>
      </c>
      <c r="D60" s="23">
        <f>IFERROR(AVERAGEIFS(マスタ_業務・標準!$M:$M,マスタ_業務・標準!$K:$K,$A60,マスタ_業務・標準!$L:$L,$B60),"")</f>
        <v>2.92</v>
      </c>
      <c r="E60" s="33">
        <v>2.56</v>
      </c>
      <c r="F60" s="33" t="s">
        <v>107</v>
      </c>
      <c r="G60" s="31" t="s">
        <v>107</v>
      </c>
      <c r="H60" s="31" t="s">
        <v>107</v>
      </c>
      <c r="I60" s="31">
        <v>3.3</v>
      </c>
      <c r="J60" s="33">
        <v>2.4700000000000002</v>
      </c>
      <c r="K60" s="31">
        <v>3.23</v>
      </c>
      <c r="L60" s="31" t="s">
        <v>107</v>
      </c>
      <c r="M60" s="33">
        <v>3.38</v>
      </c>
      <c r="N60" s="31" t="s">
        <v>107</v>
      </c>
      <c r="O60" s="31">
        <v>3.73</v>
      </c>
      <c r="P60" s="31">
        <v>3.46</v>
      </c>
      <c r="Q60" s="33">
        <v>2.2999999999999998</v>
      </c>
      <c r="R60" s="31" t="s">
        <v>107</v>
      </c>
      <c r="S60" s="31" t="s">
        <v>107</v>
      </c>
      <c r="T60" s="33" t="s">
        <v>107</v>
      </c>
      <c r="U60" s="33">
        <v>3.38</v>
      </c>
      <c r="V60" s="31">
        <v>2.59</v>
      </c>
      <c r="W60" s="31" t="s">
        <v>107</v>
      </c>
      <c r="X60" s="31">
        <v>2.2599999999999998</v>
      </c>
      <c r="Y60" s="33" t="s">
        <v>107</v>
      </c>
      <c r="Z60" s="31">
        <v>2.15</v>
      </c>
      <c r="AA60" s="31">
        <v>3.57</v>
      </c>
      <c r="AB60" s="31">
        <v>3.24</v>
      </c>
      <c r="AC60" s="33" t="s">
        <v>107</v>
      </c>
      <c r="AD60" s="31">
        <v>2.4900000000000002</v>
      </c>
      <c r="AE60" s="31">
        <v>3.56</v>
      </c>
      <c r="AF60" s="31" t="s">
        <v>107</v>
      </c>
      <c r="AG60" s="33" t="s">
        <v>107</v>
      </c>
      <c r="AH60" s="31">
        <v>3.42</v>
      </c>
      <c r="AI60" s="31" t="s">
        <v>107</v>
      </c>
      <c r="AJ60" s="31">
        <v>2.23</v>
      </c>
      <c r="AK60" s="33" t="s">
        <v>107</v>
      </c>
      <c r="AL60" s="31" t="s">
        <v>107</v>
      </c>
      <c r="AM60" s="31" t="s">
        <v>107</v>
      </c>
      <c r="AN60" s="33">
        <v>3.33</v>
      </c>
      <c r="AO60" s="31" t="s">
        <v>107</v>
      </c>
      <c r="AP60" s="31">
        <v>3.48</v>
      </c>
      <c r="AQ60" s="31" t="s">
        <v>107</v>
      </c>
      <c r="AR60" s="33">
        <v>3.58</v>
      </c>
      <c r="AS60" s="31" t="s">
        <v>107</v>
      </c>
      <c r="AT60" s="31" t="s">
        <v>107</v>
      </c>
      <c r="AU60" s="33">
        <v>4.2</v>
      </c>
      <c r="AV60" s="31" t="s">
        <v>107</v>
      </c>
      <c r="AW60" s="31">
        <v>4.33</v>
      </c>
      <c r="AX60" s="31" t="s">
        <v>107</v>
      </c>
      <c r="AY60" s="33" t="s">
        <v>107</v>
      </c>
      <c r="AZ60" s="31">
        <v>2.52</v>
      </c>
      <c r="BA60" s="33" t="s">
        <v>107</v>
      </c>
      <c r="BB60" s="31">
        <v>3.53</v>
      </c>
      <c r="BC60" s="31">
        <v>3.72</v>
      </c>
      <c r="BD60" s="31">
        <v>3.92</v>
      </c>
      <c r="BE60" s="33" t="s">
        <v>107</v>
      </c>
      <c r="BF60" s="31" t="s">
        <v>107</v>
      </c>
      <c r="BG60" s="31" t="s">
        <v>107</v>
      </c>
      <c r="BH60" s="33" t="s">
        <v>107</v>
      </c>
      <c r="BI60" s="31" t="s">
        <v>107</v>
      </c>
      <c r="BJ60" s="31" t="s">
        <v>107</v>
      </c>
      <c r="BK60" s="31">
        <v>2.0499999999999998</v>
      </c>
      <c r="BL60" s="33">
        <v>2.83</v>
      </c>
      <c r="BM60" s="31">
        <v>5.45</v>
      </c>
      <c r="BN60" s="31">
        <v>2.57</v>
      </c>
      <c r="BO60" s="33">
        <v>1.66</v>
      </c>
      <c r="BP60" s="31">
        <v>1.21</v>
      </c>
      <c r="BQ60" s="31">
        <v>3.96</v>
      </c>
      <c r="BR60" s="33">
        <v>2.97</v>
      </c>
      <c r="BS60" s="31">
        <v>1.55</v>
      </c>
      <c r="BT60" s="31">
        <v>2.4500000000000002</v>
      </c>
      <c r="BU60" s="33">
        <v>4.08</v>
      </c>
      <c r="BV60" s="31" t="s">
        <v>107</v>
      </c>
      <c r="BW60" s="33" t="s">
        <v>107</v>
      </c>
      <c r="BX60" s="31">
        <v>3.45</v>
      </c>
      <c r="BY60" s="31">
        <v>2.52</v>
      </c>
      <c r="BZ60" s="31">
        <v>2.81</v>
      </c>
      <c r="CA60" s="33">
        <v>1.97</v>
      </c>
      <c r="CB60" s="31" t="s">
        <v>107</v>
      </c>
      <c r="CC60" s="31" t="s">
        <v>107</v>
      </c>
      <c r="CD60" s="31">
        <v>2.23</v>
      </c>
      <c r="CE60" s="33">
        <v>2.23</v>
      </c>
      <c r="CF60" s="33" t="s">
        <v>107</v>
      </c>
      <c r="CG60" s="31">
        <v>1.25</v>
      </c>
      <c r="CH60" s="31">
        <v>3.32</v>
      </c>
      <c r="CI60" s="31">
        <v>0.79</v>
      </c>
      <c r="CJ60" s="33" t="s">
        <v>107</v>
      </c>
    </row>
    <row r="61" spans="1:88">
      <c r="A61" s="24" t="s">
        <v>5208</v>
      </c>
      <c r="B61" s="24" t="s">
        <v>15</v>
      </c>
      <c r="C61" s="55" t="s">
        <v>36</v>
      </c>
      <c r="D61" s="18">
        <f>IFERROR(AVERAGEIFS(マスタ_業務・標準!$H:$H,マスタ_業務・標準!$D:$D,$A61,マスタ_業務・標準!$C:$C,$C61),"")</f>
        <v>2.5299999999999998</v>
      </c>
      <c r="E61" s="58" t="s">
        <v>107</v>
      </c>
      <c r="F61" s="58" t="s">
        <v>107</v>
      </c>
      <c r="G61" s="54" t="s">
        <v>107</v>
      </c>
      <c r="H61" s="54" t="s">
        <v>107</v>
      </c>
      <c r="I61" s="54" t="s">
        <v>107</v>
      </c>
      <c r="J61" s="58" t="s">
        <v>107</v>
      </c>
      <c r="K61" s="54">
        <v>3.01</v>
      </c>
      <c r="L61" s="54" t="s">
        <v>107</v>
      </c>
      <c r="M61" s="58" t="s">
        <v>107</v>
      </c>
      <c r="N61" s="54" t="s">
        <v>107</v>
      </c>
      <c r="O61" s="54" t="s">
        <v>107</v>
      </c>
      <c r="P61" s="54" t="s">
        <v>107</v>
      </c>
      <c r="Q61" s="58">
        <v>2.0499999999999998</v>
      </c>
      <c r="R61" s="54" t="s">
        <v>107</v>
      </c>
      <c r="S61" s="54" t="s">
        <v>107</v>
      </c>
      <c r="T61" s="58" t="s">
        <v>107</v>
      </c>
      <c r="U61" s="58" t="s">
        <v>107</v>
      </c>
      <c r="V61" s="54" t="s">
        <v>107</v>
      </c>
      <c r="W61" s="54" t="s">
        <v>107</v>
      </c>
      <c r="X61" s="54" t="s">
        <v>107</v>
      </c>
      <c r="Y61" s="58" t="s">
        <v>107</v>
      </c>
      <c r="Z61" s="54" t="s">
        <v>107</v>
      </c>
      <c r="AA61" s="54" t="s">
        <v>107</v>
      </c>
      <c r="AB61" s="54" t="s">
        <v>107</v>
      </c>
      <c r="AC61" s="58" t="s">
        <v>107</v>
      </c>
      <c r="AD61" s="54" t="s">
        <v>107</v>
      </c>
      <c r="AE61" s="54" t="s">
        <v>107</v>
      </c>
      <c r="AF61" s="54" t="s">
        <v>107</v>
      </c>
      <c r="AG61" s="58" t="s">
        <v>107</v>
      </c>
      <c r="AH61" s="54" t="s">
        <v>107</v>
      </c>
      <c r="AI61" s="54" t="s">
        <v>107</v>
      </c>
      <c r="AJ61" s="54" t="s">
        <v>107</v>
      </c>
      <c r="AK61" s="58" t="s">
        <v>107</v>
      </c>
      <c r="AL61" s="54" t="s">
        <v>107</v>
      </c>
      <c r="AM61" s="54" t="s">
        <v>107</v>
      </c>
      <c r="AN61" s="58" t="s">
        <v>107</v>
      </c>
      <c r="AO61" s="54" t="s">
        <v>107</v>
      </c>
      <c r="AP61" s="54" t="s">
        <v>107</v>
      </c>
      <c r="AQ61" s="54" t="s">
        <v>107</v>
      </c>
      <c r="AR61" s="58" t="s">
        <v>107</v>
      </c>
      <c r="AS61" s="54" t="s">
        <v>107</v>
      </c>
      <c r="AT61" s="54" t="s">
        <v>107</v>
      </c>
      <c r="AU61" s="58" t="s">
        <v>107</v>
      </c>
      <c r="AV61" s="54" t="s">
        <v>107</v>
      </c>
      <c r="AW61" s="54" t="s">
        <v>107</v>
      </c>
      <c r="AX61" s="54" t="s">
        <v>107</v>
      </c>
      <c r="AY61" s="58" t="s">
        <v>107</v>
      </c>
      <c r="AZ61" s="54" t="s">
        <v>107</v>
      </c>
      <c r="BA61" s="58" t="s">
        <v>107</v>
      </c>
      <c r="BB61" s="54" t="s">
        <v>107</v>
      </c>
      <c r="BC61" s="54" t="s">
        <v>107</v>
      </c>
      <c r="BD61" s="54" t="s">
        <v>107</v>
      </c>
      <c r="BE61" s="58" t="s">
        <v>107</v>
      </c>
      <c r="BF61" s="54" t="s">
        <v>107</v>
      </c>
      <c r="BG61" s="54" t="s">
        <v>107</v>
      </c>
      <c r="BH61" s="58" t="s">
        <v>107</v>
      </c>
      <c r="BI61" s="54" t="s">
        <v>107</v>
      </c>
      <c r="BJ61" s="54" t="s">
        <v>107</v>
      </c>
      <c r="BK61" s="54" t="s">
        <v>107</v>
      </c>
      <c r="BL61" s="58" t="s">
        <v>107</v>
      </c>
      <c r="BM61" s="54" t="s">
        <v>107</v>
      </c>
      <c r="BN61" s="54" t="s">
        <v>107</v>
      </c>
      <c r="BO61" s="58" t="s">
        <v>107</v>
      </c>
      <c r="BP61" s="54" t="s">
        <v>107</v>
      </c>
      <c r="BQ61" s="54" t="s">
        <v>107</v>
      </c>
      <c r="BR61" s="58" t="s">
        <v>107</v>
      </c>
      <c r="BS61" s="54" t="s">
        <v>107</v>
      </c>
      <c r="BT61" s="54" t="s">
        <v>107</v>
      </c>
      <c r="BU61" s="58" t="s">
        <v>107</v>
      </c>
      <c r="BV61" s="54" t="s">
        <v>107</v>
      </c>
      <c r="BW61" s="58" t="s">
        <v>107</v>
      </c>
      <c r="BX61" s="54" t="s">
        <v>107</v>
      </c>
      <c r="BY61" s="54" t="s">
        <v>107</v>
      </c>
      <c r="BZ61" s="54" t="s">
        <v>107</v>
      </c>
      <c r="CA61" s="58" t="s">
        <v>107</v>
      </c>
      <c r="CB61" s="54" t="s">
        <v>107</v>
      </c>
      <c r="CC61" s="54" t="s">
        <v>107</v>
      </c>
      <c r="CD61" s="54" t="s">
        <v>107</v>
      </c>
      <c r="CE61" s="58" t="s">
        <v>107</v>
      </c>
      <c r="CF61" s="58" t="s">
        <v>107</v>
      </c>
      <c r="CG61" s="54" t="s">
        <v>107</v>
      </c>
      <c r="CH61" s="54" t="s">
        <v>107</v>
      </c>
      <c r="CI61" s="54" t="s">
        <v>107</v>
      </c>
      <c r="CJ61" s="58" t="s">
        <v>107</v>
      </c>
    </row>
    <row r="62" spans="1:88">
      <c r="A62" s="24" t="s">
        <v>5208</v>
      </c>
      <c r="B62" s="24" t="s">
        <v>15</v>
      </c>
      <c r="C62" s="55" t="s">
        <v>39</v>
      </c>
      <c r="D62" s="18">
        <f>IFERROR(AVERAGEIFS(マスタ_業務・標準!$H:$H,マスタ_業務・標準!$D:$D,$A62,マスタ_業務・標準!$C:$C,$C62),"")</f>
        <v>4.3600000000000003</v>
      </c>
      <c r="E62" s="58">
        <v>2.4</v>
      </c>
      <c r="F62" s="58" t="s">
        <v>107</v>
      </c>
      <c r="G62" s="54" t="s">
        <v>107</v>
      </c>
      <c r="H62" s="54" t="s">
        <v>107</v>
      </c>
      <c r="I62" s="54" t="s">
        <v>107</v>
      </c>
      <c r="J62" s="58" t="s">
        <v>107</v>
      </c>
      <c r="K62" s="54" t="s">
        <v>107</v>
      </c>
      <c r="L62" s="54" t="s">
        <v>107</v>
      </c>
      <c r="M62" s="58" t="s">
        <v>107</v>
      </c>
      <c r="N62" s="54" t="s">
        <v>107</v>
      </c>
      <c r="O62" s="54" t="s">
        <v>107</v>
      </c>
      <c r="P62" s="54" t="s">
        <v>107</v>
      </c>
      <c r="Q62" s="58" t="s">
        <v>107</v>
      </c>
      <c r="R62" s="54" t="s">
        <v>107</v>
      </c>
      <c r="S62" s="54" t="s">
        <v>107</v>
      </c>
      <c r="T62" s="58" t="s">
        <v>107</v>
      </c>
      <c r="U62" s="58" t="s">
        <v>107</v>
      </c>
      <c r="V62" s="54" t="s">
        <v>107</v>
      </c>
      <c r="W62" s="54" t="s">
        <v>107</v>
      </c>
      <c r="X62" s="54" t="s">
        <v>107</v>
      </c>
      <c r="Y62" s="58" t="s">
        <v>107</v>
      </c>
      <c r="Z62" s="54" t="s">
        <v>107</v>
      </c>
      <c r="AA62" s="54" t="s">
        <v>107</v>
      </c>
      <c r="AB62" s="54" t="s">
        <v>107</v>
      </c>
      <c r="AC62" s="58" t="s">
        <v>107</v>
      </c>
      <c r="AD62" s="54" t="s">
        <v>107</v>
      </c>
      <c r="AE62" s="54" t="s">
        <v>107</v>
      </c>
      <c r="AF62" s="54" t="s">
        <v>107</v>
      </c>
      <c r="AG62" s="58" t="s">
        <v>107</v>
      </c>
      <c r="AH62" s="54">
        <v>4.38</v>
      </c>
      <c r="AI62" s="54" t="s">
        <v>107</v>
      </c>
      <c r="AJ62" s="54" t="s">
        <v>107</v>
      </c>
      <c r="AK62" s="58" t="s">
        <v>107</v>
      </c>
      <c r="AL62" s="54" t="s">
        <v>107</v>
      </c>
      <c r="AM62" s="54" t="s">
        <v>107</v>
      </c>
      <c r="AN62" s="58" t="s">
        <v>107</v>
      </c>
      <c r="AO62" s="54" t="s">
        <v>107</v>
      </c>
      <c r="AP62" s="54">
        <v>4.26</v>
      </c>
      <c r="AQ62" s="54" t="s">
        <v>107</v>
      </c>
      <c r="AR62" s="58">
        <v>7.6</v>
      </c>
      <c r="AS62" s="54" t="s">
        <v>107</v>
      </c>
      <c r="AT62" s="54" t="s">
        <v>107</v>
      </c>
      <c r="AU62" s="58">
        <v>4.63</v>
      </c>
      <c r="AV62" s="54" t="s">
        <v>107</v>
      </c>
      <c r="AW62" s="54">
        <v>4.4800000000000004</v>
      </c>
      <c r="AX62" s="54" t="s">
        <v>107</v>
      </c>
      <c r="AY62" s="58" t="s">
        <v>107</v>
      </c>
      <c r="AZ62" s="54" t="s">
        <v>107</v>
      </c>
      <c r="BA62" s="58" t="s">
        <v>107</v>
      </c>
      <c r="BB62" s="54">
        <v>3.3</v>
      </c>
      <c r="BC62" s="54">
        <v>3.55</v>
      </c>
      <c r="BD62" s="54">
        <v>5.49</v>
      </c>
      <c r="BE62" s="58" t="s">
        <v>107</v>
      </c>
      <c r="BF62" s="54" t="s">
        <v>107</v>
      </c>
      <c r="BG62" s="54" t="s">
        <v>107</v>
      </c>
      <c r="BH62" s="58" t="s">
        <v>107</v>
      </c>
      <c r="BI62" s="54" t="s">
        <v>107</v>
      </c>
      <c r="BJ62" s="54" t="s">
        <v>107</v>
      </c>
      <c r="BK62" s="54" t="s">
        <v>107</v>
      </c>
      <c r="BL62" s="58">
        <v>3.55</v>
      </c>
      <c r="BM62" s="54" t="s">
        <v>107</v>
      </c>
      <c r="BN62" s="54" t="s">
        <v>107</v>
      </c>
      <c r="BO62" s="58" t="s">
        <v>107</v>
      </c>
      <c r="BP62" s="54" t="s">
        <v>107</v>
      </c>
      <c r="BQ62" s="54" t="s">
        <v>107</v>
      </c>
      <c r="BR62" s="58" t="s">
        <v>107</v>
      </c>
      <c r="BS62" s="54" t="s">
        <v>107</v>
      </c>
      <c r="BT62" s="54" t="s">
        <v>107</v>
      </c>
      <c r="BU62" s="58" t="s">
        <v>107</v>
      </c>
      <c r="BV62" s="54" t="s">
        <v>107</v>
      </c>
      <c r="BW62" s="58" t="s">
        <v>107</v>
      </c>
      <c r="BX62" s="54" t="s">
        <v>107</v>
      </c>
      <c r="BY62" s="54" t="s">
        <v>107</v>
      </c>
      <c r="BZ62" s="54" t="s">
        <v>107</v>
      </c>
      <c r="CA62" s="58" t="s">
        <v>107</v>
      </c>
      <c r="CB62" s="54" t="s">
        <v>107</v>
      </c>
      <c r="CC62" s="54" t="s">
        <v>107</v>
      </c>
      <c r="CD62" s="54" t="s">
        <v>107</v>
      </c>
      <c r="CE62" s="58" t="s">
        <v>107</v>
      </c>
      <c r="CF62" s="58" t="s">
        <v>107</v>
      </c>
      <c r="CG62" s="54" t="s">
        <v>107</v>
      </c>
      <c r="CH62" s="54" t="s">
        <v>107</v>
      </c>
      <c r="CI62" s="54" t="s">
        <v>107</v>
      </c>
      <c r="CJ62" s="58" t="s">
        <v>107</v>
      </c>
    </row>
    <row r="63" spans="1:88">
      <c r="A63" s="24" t="s">
        <v>5208</v>
      </c>
      <c r="B63" s="24" t="s">
        <v>15</v>
      </c>
      <c r="C63" s="55" t="s">
        <v>40</v>
      </c>
      <c r="D63" s="18">
        <f>IFERROR(AVERAGEIFS(マスタ_業務・標準!$H:$H,マスタ_業務・標準!$D:$D,$A63,マスタ_業務・標準!$C:$C,$C63),"")</f>
        <v>2.9</v>
      </c>
      <c r="E63" s="58">
        <v>1.56</v>
      </c>
      <c r="F63" s="58" t="s">
        <v>107</v>
      </c>
      <c r="G63" s="54" t="s">
        <v>107</v>
      </c>
      <c r="H63" s="54" t="s">
        <v>107</v>
      </c>
      <c r="I63" s="54">
        <v>7.02</v>
      </c>
      <c r="J63" s="58" t="s">
        <v>107</v>
      </c>
      <c r="K63" s="54" t="s">
        <v>107</v>
      </c>
      <c r="L63" s="54" t="s">
        <v>107</v>
      </c>
      <c r="M63" s="58" t="s">
        <v>107</v>
      </c>
      <c r="N63" s="54" t="s">
        <v>107</v>
      </c>
      <c r="O63" s="54" t="s">
        <v>107</v>
      </c>
      <c r="P63" s="54" t="s">
        <v>107</v>
      </c>
      <c r="Q63" s="58">
        <v>1.41</v>
      </c>
      <c r="R63" s="54" t="s">
        <v>107</v>
      </c>
      <c r="S63" s="54" t="s">
        <v>107</v>
      </c>
      <c r="T63" s="58" t="s">
        <v>107</v>
      </c>
      <c r="U63" s="58" t="s">
        <v>107</v>
      </c>
      <c r="V63" s="54" t="s">
        <v>107</v>
      </c>
      <c r="W63" s="54" t="s">
        <v>107</v>
      </c>
      <c r="X63" s="54">
        <v>3.18</v>
      </c>
      <c r="Y63" s="58" t="s">
        <v>107</v>
      </c>
      <c r="Z63" s="54">
        <v>3.59</v>
      </c>
      <c r="AA63" s="54" t="s">
        <v>107</v>
      </c>
      <c r="AB63" s="54" t="s">
        <v>107</v>
      </c>
      <c r="AC63" s="58" t="s">
        <v>107</v>
      </c>
      <c r="AD63" s="54" t="s">
        <v>107</v>
      </c>
      <c r="AE63" s="54" t="s">
        <v>107</v>
      </c>
      <c r="AF63" s="54" t="s">
        <v>107</v>
      </c>
      <c r="AG63" s="58" t="s">
        <v>107</v>
      </c>
      <c r="AH63" s="54">
        <v>2.2799999999999998</v>
      </c>
      <c r="AI63" s="54" t="s">
        <v>107</v>
      </c>
      <c r="AJ63" s="54" t="s">
        <v>107</v>
      </c>
      <c r="AK63" s="58" t="s">
        <v>107</v>
      </c>
      <c r="AL63" s="54" t="s">
        <v>107</v>
      </c>
      <c r="AM63" s="54" t="s">
        <v>107</v>
      </c>
      <c r="AN63" s="58" t="s">
        <v>107</v>
      </c>
      <c r="AO63" s="54" t="s">
        <v>107</v>
      </c>
      <c r="AP63" s="54">
        <v>1.36</v>
      </c>
      <c r="AQ63" s="54" t="s">
        <v>107</v>
      </c>
      <c r="AR63" s="58" t="s">
        <v>107</v>
      </c>
      <c r="AS63" s="54" t="s">
        <v>107</v>
      </c>
      <c r="AT63" s="54" t="s">
        <v>107</v>
      </c>
      <c r="AU63" s="58" t="s">
        <v>107</v>
      </c>
      <c r="AV63" s="54" t="s">
        <v>107</v>
      </c>
      <c r="AW63" s="54" t="s">
        <v>107</v>
      </c>
      <c r="AX63" s="54" t="s">
        <v>107</v>
      </c>
      <c r="AY63" s="58" t="s">
        <v>107</v>
      </c>
      <c r="AZ63" s="54" t="s">
        <v>107</v>
      </c>
      <c r="BA63" s="58" t="s">
        <v>107</v>
      </c>
      <c r="BB63" s="54" t="s">
        <v>107</v>
      </c>
      <c r="BC63" s="54">
        <v>3.63</v>
      </c>
      <c r="BD63" s="54" t="s">
        <v>107</v>
      </c>
      <c r="BE63" s="58" t="s">
        <v>107</v>
      </c>
      <c r="BF63" s="54" t="s">
        <v>107</v>
      </c>
      <c r="BG63" s="54" t="s">
        <v>107</v>
      </c>
      <c r="BH63" s="58" t="s">
        <v>107</v>
      </c>
      <c r="BI63" s="54" t="s">
        <v>107</v>
      </c>
      <c r="BJ63" s="54" t="s">
        <v>107</v>
      </c>
      <c r="BK63" s="54" t="s">
        <v>107</v>
      </c>
      <c r="BL63" s="58" t="s">
        <v>107</v>
      </c>
      <c r="BM63" s="54" t="s">
        <v>107</v>
      </c>
      <c r="BN63" s="54" t="s">
        <v>107</v>
      </c>
      <c r="BO63" s="58" t="s">
        <v>107</v>
      </c>
      <c r="BP63" s="54" t="s">
        <v>107</v>
      </c>
      <c r="BQ63" s="54" t="s">
        <v>107</v>
      </c>
      <c r="BR63" s="58" t="s">
        <v>107</v>
      </c>
      <c r="BS63" s="54" t="s">
        <v>107</v>
      </c>
      <c r="BT63" s="54">
        <v>2.75</v>
      </c>
      <c r="BU63" s="58" t="s">
        <v>107</v>
      </c>
      <c r="BV63" s="54" t="s">
        <v>107</v>
      </c>
      <c r="BW63" s="58" t="s">
        <v>107</v>
      </c>
      <c r="BX63" s="54">
        <v>1.83</v>
      </c>
      <c r="BY63" s="54" t="s">
        <v>107</v>
      </c>
      <c r="BZ63" s="54">
        <v>3.29</v>
      </c>
      <c r="CA63" s="58" t="s">
        <v>107</v>
      </c>
      <c r="CB63" s="54" t="s">
        <v>107</v>
      </c>
      <c r="CC63" s="54" t="s">
        <v>107</v>
      </c>
      <c r="CD63" s="54" t="s">
        <v>107</v>
      </c>
      <c r="CE63" s="58" t="s">
        <v>107</v>
      </c>
      <c r="CF63" s="58" t="s">
        <v>107</v>
      </c>
      <c r="CG63" s="54" t="s">
        <v>107</v>
      </c>
      <c r="CH63" s="54" t="s">
        <v>107</v>
      </c>
      <c r="CI63" s="54" t="s">
        <v>107</v>
      </c>
      <c r="CJ63" s="58" t="s">
        <v>107</v>
      </c>
    </row>
    <row r="64" spans="1:88">
      <c r="A64" s="24" t="s">
        <v>5208</v>
      </c>
      <c r="B64" s="24" t="s">
        <v>15</v>
      </c>
      <c r="C64" s="55" t="s">
        <v>41</v>
      </c>
      <c r="D64" s="18">
        <f>IFERROR(AVERAGEIFS(マスタ_業務・標準!$H:$H,マスタ_業務・標準!$D:$D,$A64,マスタ_業務・標準!$C:$C,$C64),"")</f>
        <v>2.86</v>
      </c>
      <c r="E64" s="58" t="s">
        <v>107</v>
      </c>
      <c r="F64" s="58" t="s">
        <v>107</v>
      </c>
      <c r="G64" s="54" t="s">
        <v>107</v>
      </c>
      <c r="H64" s="54" t="s">
        <v>107</v>
      </c>
      <c r="I64" s="54" t="s">
        <v>107</v>
      </c>
      <c r="J64" s="58" t="s">
        <v>107</v>
      </c>
      <c r="K64" s="54" t="s">
        <v>107</v>
      </c>
      <c r="L64" s="54" t="s">
        <v>107</v>
      </c>
      <c r="M64" s="58" t="s">
        <v>107</v>
      </c>
      <c r="N64" s="54" t="s">
        <v>107</v>
      </c>
      <c r="O64" s="54" t="s">
        <v>107</v>
      </c>
      <c r="P64" s="54" t="s">
        <v>107</v>
      </c>
      <c r="Q64" s="58" t="s">
        <v>107</v>
      </c>
      <c r="R64" s="54" t="s">
        <v>107</v>
      </c>
      <c r="S64" s="54" t="s">
        <v>107</v>
      </c>
      <c r="T64" s="58" t="s">
        <v>107</v>
      </c>
      <c r="U64" s="58" t="s">
        <v>107</v>
      </c>
      <c r="V64" s="54" t="s">
        <v>107</v>
      </c>
      <c r="W64" s="54" t="s">
        <v>107</v>
      </c>
      <c r="X64" s="54" t="s">
        <v>107</v>
      </c>
      <c r="Y64" s="58" t="s">
        <v>107</v>
      </c>
      <c r="Z64" s="54" t="s">
        <v>107</v>
      </c>
      <c r="AA64" s="54" t="s">
        <v>107</v>
      </c>
      <c r="AB64" s="54" t="s">
        <v>107</v>
      </c>
      <c r="AC64" s="58" t="s">
        <v>107</v>
      </c>
      <c r="AD64" s="54" t="s">
        <v>107</v>
      </c>
      <c r="AE64" s="54" t="s">
        <v>107</v>
      </c>
      <c r="AF64" s="54" t="s">
        <v>107</v>
      </c>
      <c r="AG64" s="58" t="s">
        <v>107</v>
      </c>
      <c r="AH64" s="54" t="s">
        <v>107</v>
      </c>
      <c r="AI64" s="54" t="s">
        <v>107</v>
      </c>
      <c r="AJ64" s="54" t="s">
        <v>107</v>
      </c>
      <c r="AK64" s="58" t="s">
        <v>107</v>
      </c>
      <c r="AL64" s="54" t="s">
        <v>107</v>
      </c>
      <c r="AM64" s="54" t="s">
        <v>107</v>
      </c>
      <c r="AN64" s="58" t="s">
        <v>107</v>
      </c>
      <c r="AO64" s="54" t="s">
        <v>107</v>
      </c>
      <c r="AP64" s="54" t="s">
        <v>107</v>
      </c>
      <c r="AQ64" s="54" t="s">
        <v>107</v>
      </c>
      <c r="AR64" s="58">
        <v>2.86</v>
      </c>
      <c r="AS64" s="54" t="s">
        <v>107</v>
      </c>
      <c r="AT64" s="54" t="s">
        <v>107</v>
      </c>
      <c r="AU64" s="58" t="s">
        <v>107</v>
      </c>
      <c r="AV64" s="54" t="s">
        <v>107</v>
      </c>
      <c r="AW64" s="54" t="s">
        <v>107</v>
      </c>
      <c r="AX64" s="54" t="s">
        <v>107</v>
      </c>
      <c r="AY64" s="58" t="s">
        <v>107</v>
      </c>
      <c r="AZ64" s="54" t="s">
        <v>107</v>
      </c>
      <c r="BA64" s="58" t="s">
        <v>107</v>
      </c>
      <c r="BB64" s="54" t="s">
        <v>107</v>
      </c>
      <c r="BC64" s="54" t="s">
        <v>107</v>
      </c>
      <c r="BD64" s="54" t="s">
        <v>107</v>
      </c>
      <c r="BE64" s="58" t="s">
        <v>107</v>
      </c>
      <c r="BF64" s="54" t="s">
        <v>107</v>
      </c>
      <c r="BG64" s="54" t="s">
        <v>107</v>
      </c>
      <c r="BH64" s="58" t="s">
        <v>107</v>
      </c>
      <c r="BI64" s="54" t="s">
        <v>107</v>
      </c>
      <c r="BJ64" s="54" t="s">
        <v>107</v>
      </c>
      <c r="BK64" s="54" t="s">
        <v>107</v>
      </c>
      <c r="BL64" s="58" t="s">
        <v>107</v>
      </c>
      <c r="BM64" s="54" t="s">
        <v>107</v>
      </c>
      <c r="BN64" s="54" t="s">
        <v>107</v>
      </c>
      <c r="BO64" s="58" t="s">
        <v>107</v>
      </c>
      <c r="BP64" s="54" t="s">
        <v>107</v>
      </c>
      <c r="BQ64" s="54" t="s">
        <v>107</v>
      </c>
      <c r="BR64" s="58" t="s">
        <v>107</v>
      </c>
      <c r="BS64" s="54" t="s">
        <v>107</v>
      </c>
      <c r="BT64" s="54" t="s">
        <v>107</v>
      </c>
      <c r="BU64" s="58" t="s">
        <v>107</v>
      </c>
      <c r="BV64" s="54" t="s">
        <v>107</v>
      </c>
      <c r="BW64" s="58" t="s">
        <v>107</v>
      </c>
      <c r="BX64" s="54" t="s">
        <v>107</v>
      </c>
      <c r="BY64" s="54" t="s">
        <v>107</v>
      </c>
      <c r="BZ64" s="54" t="s">
        <v>107</v>
      </c>
      <c r="CA64" s="58" t="s">
        <v>107</v>
      </c>
      <c r="CB64" s="54" t="s">
        <v>107</v>
      </c>
      <c r="CC64" s="54" t="s">
        <v>107</v>
      </c>
      <c r="CD64" s="54" t="s">
        <v>107</v>
      </c>
      <c r="CE64" s="58" t="s">
        <v>107</v>
      </c>
      <c r="CF64" s="58" t="s">
        <v>107</v>
      </c>
      <c r="CG64" s="54" t="s">
        <v>107</v>
      </c>
      <c r="CH64" s="54" t="s">
        <v>107</v>
      </c>
      <c r="CI64" s="54" t="s">
        <v>107</v>
      </c>
      <c r="CJ64" s="58" t="s">
        <v>107</v>
      </c>
    </row>
    <row r="65" spans="1:88">
      <c r="A65" s="24" t="s">
        <v>5208</v>
      </c>
      <c r="B65" s="24" t="s">
        <v>15</v>
      </c>
      <c r="C65" s="55" t="s">
        <v>42</v>
      </c>
      <c r="D65" s="18">
        <f>IFERROR(AVERAGEIFS(マスタ_業務・標準!$H:$H,マスタ_業務・標準!$D:$D,$A65,マスタ_業務・標準!$C:$C,$C65),"")</f>
        <v>2.33</v>
      </c>
      <c r="E65" s="58" t="s">
        <v>107</v>
      </c>
      <c r="F65" s="58" t="s">
        <v>107</v>
      </c>
      <c r="G65" s="54" t="s">
        <v>107</v>
      </c>
      <c r="H65" s="54" t="s">
        <v>107</v>
      </c>
      <c r="I65" s="54" t="s">
        <v>107</v>
      </c>
      <c r="J65" s="58" t="s">
        <v>107</v>
      </c>
      <c r="K65" s="54">
        <v>2.86</v>
      </c>
      <c r="L65" s="54" t="s">
        <v>107</v>
      </c>
      <c r="M65" s="58">
        <v>1.4</v>
      </c>
      <c r="N65" s="54" t="s">
        <v>107</v>
      </c>
      <c r="O65" s="54">
        <v>3</v>
      </c>
      <c r="P65" s="54">
        <v>1.46</v>
      </c>
      <c r="Q65" s="58">
        <v>0.8</v>
      </c>
      <c r="R65" s="54" t="s">
        <v>107</v>
      </c>
      <c r="S65" s="54" t="s">
        <v>107</v>
      </c>
      <c r="T65" s="58" t="s">
        <v>107</v>
      </c>
      <c r="U65" s="58" t="s">
        <v>107</v>
      </c>
      <c r="V65" s="54" t="s">
        <v>107</v>
      </c>
      <c r="W65" s="54" t="s">
        <v>107</v>
      </c>
      <c r="X65" s="54">
        <v>1.43</v>
      </c>
      <c r="Y65" s="58" t="s">
        <v>107</v>
      </c>
      <c r="Z65" s="54">
        <v>1.39</v>
      </c>
      <c r="AA65" s="54">
        <v>3.7</v>
      </c>
      <c r="AB65" s="54">
        <v>2.6</v>
      </c>
      <c r="AC65" s="58" t="s">
        <v>107</v>
      </c>
      <c r="AD65" s="54" t="s">
        <v>107</v>
      </c>
      <c r="AE65" s="54" t="s">
        <v>107</v>
      </c>
      <c r="AF65" s="54" t="s">
        <v>107</v>
      </c>
      <c r="AG65" s="58" t="s">
        <v>107</v>
      </c>
      <c r="AH65" s="54" t="s">
        <v>107</v>
      </c>
      <c r="AI65" s="54" t="s">
        <v>107</v>
      </c>
      <c r="AJ65" s="54" t="s">
        <v>107</v>
      </c>
      <c r="AK65" s="58" t="s">
        <v>107</v>
      </c>
      <c r="AL65" s="54" t="s">
        <v>107</v>
      </c>
      <c r="AM65" s="54" t="s">
        <v>107</v>
      </c>
      <c r="AN65" s="58" t="s">
        <v>107</v>
      </c>
      <c r="AO65" s="54" t="s">
        <v>107</v>
      </c>
      <c r="AP65" s="54" t="s">
        <v>107</v>
      </c>
      <c r="AQ65" s="54" t="s">
        <v>107</v>
      </c>
      <c r="AR65" s="58">
        <v>2.79</v>
      </c>
      <c r="AS65" s="54" t="s">
        <v>107</v>
      </c>
      <c r="AT65" s="54" t="s">
        <v>107</v>
      </c>
      <c r="AU65" s="58" t="s">
        <v>107</v>
      </c>
      <c r="AV65" s="54" t="s">
        <v>107</v>
      </c>
      <c r="AW65" s="54" t="s">
        <v>107</v>
      </c>
      <c r="AX65" s="54" t="s">
        <v>107</v>
      </c>
      <c r="AY65" s="58" t="s">
        <v>107</v>
      </c>
      <c r="AZ65" s="54" t="s">
        <v>107</v>
      </c>
      <c r="BA65" s="58" t="s">
        <v>107</v>
      </c>
      <c r="BB65" s="54">
        <v>1.74</v>
      </c>
      <c r="BC65" s="54" t="s">
        <v>107</v>
      </c>
      <c r="BD65" s="54">
        <v>3.51</v>
      </c>
      <c r="BE65" s="58" t="s">
        <v>107</v>
      </c>
      <c r="BF65" s="54" t="s">
        <v>107</v>
      </c>
      <c r="BG65" s="54" t="s">
        <v>107</v>
      </c>
      <c r="BH65" s="58" t="s">
        <v>107</v>
      </c>
      <c r="BI65" s="54" t="s">
        <v>107</v>
      </c>
      <c r="BJ65" s="54" t="s">
        <v>107</v>
      </c>
      <c r="BK65" s="54" t="s">
        <v>107</v>
      </c>
      <c r="BL65" s="58">
        <v>2.6</v>
      </c>
      <c r="BM65" s="54" t="s">
        <v>107</v>
      </c>
      <c r="BN65" s="54">
        <v>2.54</v>
      </c>
      <c r="BO65" s="58" t="s">
        <v>107</v>
      </c>
      <c r="BP65" s="54">
        <v>1.21</v>
      </c>
      <c r="BQ65" s="54" t="s">
        <v>107</v>
      </c>
      <c r="BR65" s="58">
        <v>3.86</v>
      </c>
      <c r="BS65" s="54">
        <v>1.02</v>
      </c>
      <c r="BT65" s="54" t="s">
        <v>107</v>
      </c>
      <c r="BU65" s="58" t="s">
        <v>107</v>
      </c>
      <c r="BV65" s="54" t="s">
        <v>107</v>
      </c>
      <c r="BW65" s="58" t="s">
        <v>107</v>
      </c>
      <c r="BX65" s="54" t="s">
        <v>107</v>
      </c>
      <c r="BY65" s="54" t="s">
        <v>107</v>
      </c>
      <c r="BZ65" s="54">
        <v>5.08</v>
      </c>
      <c r="CA65" s="58" t="s">
        <v>107</v>
      </c>
      <c r="CB65" s="54" t="s">
        <v>107</v>
      </c>
      <c r="CC65" s="54" t="s">
        <v>107</v>
      </c>
      <c r="CD65" s="54">
        <v>1.04</v>
      </c>
      <c r="CE65" s="58" t="s">
        <v>107</v>
      </c>
      <c r="CF65" s="58" t="s">
        <v>107</v>
      </c>
      <c r="CG65" s="54" t="s">
        <v>107</v>
      </c>
      <c r="CH65" s="54">
        <v>2.64</v>
      </c>
      <c r="CI65" s="54" t="s">
        <v>107</v>
      </c>
      <c r="CJ65" s="58" t="s">
        <v>107</v>
      </c>
    </row>
    <row r="66" spans="1:88">
      <c r="A66" s="24" t="s">
        <v>5208</v>
      </c>
      <c r="B66" s="24" t="s">
        <v>15</v>
      </c>
      <c r="C66" s="55" t="s">
        <v>43</v>
      </c>
      <c r="D66" s="18">
        <f>IFERROR(AVERAGEIFS(マスタ_業務・標準!$H:$H,マスタ_業務・標準!$D:$D,$A66,マスタ_業務・標準!$C:$C,$C66),"")</f>
        <v>3.93</v>
      </c>
      <c r="E66" s="58" t="s">
        <v>107</v>
      </c>
      <c r="F66" s="58" t="s">
        <v>107</v>
      </c>
      <c r="G66" s="54" t="s">
        <v>107</v>
      </c>
      <c r="H66" s="54" t="s">
        <v>107</v>
      </c>
      <c r="I66" s="54" t="s">
        <v>107</v>
      </c>
      <c r="J66" s="58" t="s">
        <v>107</v>
      </c>
      <c r="K66" s="54" t="s">
        <v>107</v>
      </c>
      <c r="L66" s="54" t="s">
        <v>107</v>
      </c>
      <c r="M66" s="58" t="s">
        <v>107</v>
      </c>
      <c r="N66" s="54" t="s">
        <v>107</v>
      </c>
      <c r="O66" s="54" t="s">
        <v>107</v>
      </c>
      <c r="P66" s="54" t="s">
        <v>107</v>
      </c>
      <c r="Q66" s="58" t="s">
        <v>107</v>
      </c>
      <c r="R66" s="54" t="s">
        <v>107</v>
      </c>
      <c r="S66" s="54" t="s">
        <v>107</v>
      </c>
      <c r="T66" s="58" t="s">
        <v>107</v>
      </c>
      <c r="U66" s="58" t="s">
        <v>107</v>
      </c>
      <c r="V66" s="54" t="s">
        <v>107</v>
      </c>
      <c r="W66" s="54" t="s">
        <v>107</v>
      </c>
      <c r="X66" s="54" t="s">
        <v>107</v>
      </c>
      <c r="Y66" s="58" t="s">
        <v>107</v>
      </c>
      <c r="Z66" s="54">
        <v>2.5</v>
      </c>
      <c r="AA66" s="54" t="s">
        <v>107</v>
      </c>
      <c r="AB66" s="54">
        <v>4.33</v>
      </c>
      <c r="AC66" s="58" t="s">
        <v>107</v>
      </c>
      <c r="AD66" s="54" t="s">
        <v>107</v>
      </c>
      <c r="AE66" s="54" t="s">
        <v>107</v>
      </c>
      <c r="AF66" s="54" t="s">
        <v>107</v>
      </c>
      <c r="AG66" s="58" t="s">
        <v>107</v>
      </c>
      <c r="AH66" s="54">
        <v>4.97</v>
      </c>
      <c r="AI66" s="54" t="s">
        <v>107</v>
      </c>
      <c r="AJ66" s="54" t="s">
        <v>107</v>
      </c>
      <c r="AK66" s="58" t="s">
        <v>107</v>
      </c>
      <c r="AL66" s="54" t="s">
        <v>107</v>
      </c>
      <c r="AM66" s="54" t="s">
        <v>107</v>
      </c>
      <c r="AN66" s="58">
        <v>3.91</v>
      </c>
      <c r="AO66" s="54" t="s">
        <v>107</v>
      </c>
      <c r="AP66" s="54" t="s">
        <v>107</v>
      </c>
      <c r="AQ66" s="54" t="s">
        <v>107</v>
      </c>
      <c r="AR66" s="58" t="s">
        <v>107</v>
      </c>
      <c r="AS66" s="54" t="s">
        <v>107</v>
      </c>
      <c r="AT66" s="54" t="s">
        <v>107</v>
      </c>
      <c r="AU66" s="58" t="s">
        <v>107</v>
      </c>
      <c r="AV66" s="54" t="s">
        <v>107</v>
      </c>
      <c r="AW66" s="54" t="s">
        <v>107</v>
      </c>
      <c r="AX66" s="54" t="s">
        <v>107</v>
      </c>
      <c r="AY66" s="58" t="s">
        <v>107</v>
      </c>
      <c r="AZ66" s="54" t="s">
        <v>107</v>
      </c>
      <c r="BA66" s="58" t="s">
        <v>107</v>
      </c>
      <c r="BB66" s="54" t="s">
        <v>107</v>
      </c>
      <c r="BC66" s="54" t="s">
        <v>107</v>
      </c>
      <c r="BD66" s="54" t="s">
        <v>107</v>
      </c>
      <c r="BE66" s="58" t="s">
        <v>107</v>
      </c>
      <c r="BF66" s="54" t="s">
        <v>107</v>
      </c>
      <c r="BG66" s="54" t="s">
        <v>107</v>
      </c>
      <c r="BH66" s="58" t="s">
        <v>107</v>
      </c>
      <c r="BI66" s="54" t="s">
        <v>107</v>
      </c>
      <c r="BJ66" s="54" t="s">
        <v>107</v>
      </c>
      <c r="BK66" s="54" t="s">
        <v>107</v>
      </c>
      <c r="BL66" s="58" t="s">
        <v>107</v>
      </c>
      <c r="BM66" s="54" t="s">
        <v>107</v>
      </c>
      <c r="BN66" s="54" t="s">
        <v>107</v>
      </c>
      <c r="BO66" s="58" t="s">
        <v>107</v>
      </c>
      <c r="BP66" s="54" t="s">
        <v>107</v>
      </c>
      <c r="BQ66" s="54" t="s">
        <v>107</v>
      </c>
      <c r="BR66" s="58" t="s">
        <v>107</v>
      </c>
      <c r="BS66" s="54" t="s">
        <v>107</v>
      </c>
      <c r="BT66" s="54" t="s">
        <v>107</v>
      </c>
      <c r="BU66" s="58" t="s">
        <v>107</v>
      </c>
      <c r="BV66" s="54" t="s">
        <v>107</v>
      </c>
      <c r="BW66" s="58" t="s">
        <v>107</v>
      </c>
      <c r="BX66" s="54" t="s">
        <v>107</v>
      </c>
      <c r="BY66" s="54" t="s">
        <v>107</v>
      </c>
      <c r="BZ66" s="54" t="s">
        <v>107</v>
      </c>
      <c r="CA66" s="58" t="s">
        <v>107</v>
      </c>
      <c r="CB66" s="54" t="s">
        <v>107</v>
      </c>
      <c r="CC66" s="54" t="s">
        <v>107</v>
      </c>
      <c r="CD66" s="54" t="s">
        <v>107</v>
      </c>
      <c r="CE66" s="58" t="s">
        <v>107</v>
      </c>
      <c r="CF66" s="58" t="s">
        <v>107</v>
      </c>
      <c r="CG66" s="54" t="s">
        <v>107</v>
      </c>
      <c r="CH66" s="54" t="s">
        <v>107</v>
      </c>
      <c r="CI66" s="54" t="s">
        <v>107</v>
      </c>
      <c r="CJ66" s="58" t="s">
        <v>107</v>
      </c>
    </row>
    <row r="67" spans="1:88">
      <c r="A67" s="24" t="s">
        <v>5208</v>
      </c>
      <c r="B67" s="24" t="s">
        <v>15</v>
      </c>
      <c r="C67" s="55" t="s">
        <v>44</v>
      </c>
      <c r="D67" s="18">
        <f>IFERROR(AVERAGEIFS(マスタ_業務・標準!$H:$H,マスタ_業務・標準!$D:$D,$A67,マスタ_業務・標準!$C:$C,$C67),"")</f>
        <v>2.68</v>
      </c>
      <c r="E67" s="58" t="s">
        <v>107</v>
      </c>
      <c r="F67" s="58" t="s">
        <v>107</v>
      </c>
      <c r="G67" s="54" t="s">
        <v>107</v>
      </c>
      <c r="H67" s="54" t="s">
        <v>107</v>
      </c>
      <c r="I67" s="54">
        <v>1.85</v>
      </c>
      <c r="J67" s="58" t="s">
        <v>107</v>
      </c>
      <c r="K67" s="54">
        <v>3.62</v>
      </c>
      <c r="L67" s="54" t="s">
        <v>107</v>
      </c>
      <c r="M67" s="58" t="s">
        <v>107</v>
      </c>
      <c r="N67" s="54" t="s">
        <v>107</v>
      </c>
      <c r="O67" s="54">
        <v>3.12</v>
      </c>
      <c r="P67" s="54" t="s">
        <v>107</v>
      </c>
      <c r="Q67" s="58">
        <v>3.25</v>
      </c>
      <c r="R67" s="54" t="s">
        <v>107</v>
      </c>
      <c r="S67" s="54" t="s">
        <v>107</v>
      </c>
      <c r="T67" s="58" t="s">
        <v>107</v>
      </c>
      <c r="U67" s="58">
        <v>4.3600000000000003</v>
      </c>
      <c r="V67" s="54">
        <v>2.59</v>
      </c>
      <c r="W67" s="54" t="s">
        <v>107</v>
      </c>
      <c r="X67" s="54" t="s">
        <v>107</v>
      </c>
      <c r="Y67" s="58" t="s">
        <v>107</v>
      </c>
      <c r="Z67" s="54">
        <v>3.15</v>
      </c>
      <c r="AA67" s="54">
        <v>2.93</v>
      </c>
      <c r="AB67" s="54" t="s">
        <v>107</v>
      </c>
      <c r="AC67" s="58" t="s">
        <v>107</v>
      </c>
      <c r="AD67" s="54" t="s">
        <v>107</v>
      </c>
      <c r="AE67" s="54" t="s">
        <v>107</v>
      </c>
      <c r="AF67" s="54" t="s">
        <v>107</v>
      </c>
      <c r="AG67" s="58" t="s">
        <v>107</v>
      </c>
      <c r="AH67" s="54">
        <v>2.29</v>
      </c>
      <c r="AI67" s="54" t="s">
        <v>107</v>
      </c>
      <c r="AJ67" s="54" t="s">
        <v>107</v>
      </c>
      <c r="AK67" s="58" t="s">
        <v>107</v>
      </c>
      <c r="AL67" s="54" t="s">
        <v>107</v>
      </c>
      <c r="AM67" s="54" t="s">
        <v>107</v>
      </c>
      <c r="AN67" s="58">
        <v>3.76</v>
      </c>
      <c r="AO67" s="54" t="s">
        <v>107</v>
      </c>
      <c r="AP67" s="54" t="s">
        <v>107</v>
      </c>
      <c r="AQ67" s="54" t="s">
        <v>107</v>
      </c>
      <c r="AR67" s="58">
        <v>1.6</v>
      </c>
      <c r="AS67" s="54" t="s">
        <v>107</v>
      </c>
      <c r="AT67" s="54" t="s">
        <v>107</v>
      </c>
      <c r="AU67" s="58" t="s">
        <v>107</v>
      </c>
      <c r="AV67" s="54" t="s">
        <v>107</v>
      </c>
      <c r="AW67" s="54" t="s">
        <v>107</v>
      </c>
      <c r="AX67" s="54" t="s">
        <v>107</v>
      </c>
      <c r="AY67" s="58" t="s">
        <v>107</v>
      </c>
      <c r="AZ67" s="54" t="s">
        <v>107</v>
      </c>
      <c r="BA67" s="58" t="s">
        <v>107</v>
      </c>
      <c r="BB67" s="54" t="s">
        <v>107</v>
      </c>
      <c r="BC67" s="54">
        <v>2.0499999999999998</v>
      </c>
      <c r="BD67" s="54">
        <v>1.95</v>
      </c>
      <c r="BE67" s="58" t="s">
        <v>107</v>
      </c>
      <c r="BF67" s="54" t="s">
        <v>107</v>
      </c>
      <c r="BG67" s="54" t="s">
        <v>107</v>
      </c>
      <c r="BH67" s="58" t="s">
        <v>107</v>
      </c>
      <c r="BI67" s="54" t="s">
        <v>107</v>
      </c>
      <c r="BJ67" s="54" t="s">
        <v>107</v>
      </c>
      <c r="BK67" s="54" t="s">
        <v>107</v>
      </c>
      <c r="BL67" s="58">
        <v>2.39</v>
      </c>
      <c r="BM67" s="54" t="s">
        <v>107</v>
      </c>
      <c r="BN67" s="54">
        <v>2.0699999999999998</v>
      </c>
      <c r="BO67" s="58" t="s">
        <v>107</v>
      </c>
      <c r="BP67" s="54" t="s">
        <v>107</v>
      </c>
      <c r="BQ67" s="54">
        <v>3.17</v>
      </c>
      <c r="BR67" s="58">
        <v>3.25</v>
      </c>
      <c r="BS67" s="54" t="s">
        <v>107</v>
      </c>
      <c r="BT67" s="54">
        <v>1.9</v>
      </c>
      <c r="BU67" s="58">
        <v>2.36</v>
      </c>
      <c r="BV67" s="54" t="s">
        <v>107</v>
      </c>
      <c r="BW67" s="58" t="s">
        <v>107</v>
      </c>
      <c r="BX67" s="54" t="s">
        <v>107</v>
      </c>
      <c r="BY67" s="54" t="s">
        <v>107</v>
      </c>
      <c r="BZ67" s="54" t="s">
        <v>107</v>
      </c>
      <c r="CA67" s="58" t="s">
        <v>107</v>
      </c>
      <c r="CB67" s="54" t="s">
        <v>107</v>
      </c>
      <c r="CC67" s="54" t="s">
        <v>107</v>
      </c>
      <c r="CD67" s="54" t="s">
        <v>107</v>
      </c>
      <c r="CE67" s="58" t="s">
        <v>107</v>
      </c>
      <c r="CF67" s="58" t="s">
        <v>107</v>
      </c>
      <c r="CG67" s="54" t="s">
        <v>107</v>
      </c>
      <c r="CH67" s="54">
        <v>3.88</v>
      </c>
      <c r="CI67" s="54">
        <v>0.79</v>
      </c>
      <c r="CJ67" s="58" t="s">
        <v>107</v>
      </c>
    </row>
    <row r="68" spans="1:88">
      <c r="A68" s="24" t="s">
        <v>5208</v>
      </c>
      <c r="B68" s="24" t="s">
        <v>15</v>
      </c>
      <c r="C68" s="55" t="s">
        <v>45</v>
      </c>
      <c r="D68" s="18">
        <f>IFERROR(AVERAGEIFS(マスタ_業務・標準!$H:$H,マスタ_業務・標準!$D:$D,$A68,マスタ_業務・標準!$C:$C,$C68),"")</f>
        <v>14.81</v>
      </c>
      <c r="E68" s="58" t="s">
        <v>107</v>
      </c>
      <c r="F68" s="58" t="s">
        <v>107</v>
      </c>
      <c r="G68" s="54" t="s">
        <v>107</v>
      </c>
      <c r="H68" s="54" t="s">
        <v>107</v>
      </c>
      <c r="I68" s="54" t="s">
        <v>107</v>
      </c>
      <c r="J68" s="58" t="s">
        <v>107</v>
      </c>
      <c r="K68" s="54" t="s">
        <v>107</v>
      </c>
      <c r="L68" s="54" t="s">
        <v>107</v>
      </c>
      <c r="M68" s="58" t="s">
        <v>107</v>
      </c>
      <c r="N68" s="54" t="s">
        <v>107</v>
      </c>
      <c r="O68" s="54" t="s">
        <v>107</v>
      </c>
      <c r="P68" s="54" t="s">
        <v>107</v>
      </c>
      <c r="Q68" s="58" t="s">
        <v>107</v>
      </c>
      <c r="R68" s="54" t="s">
        <v>107</v>
      </c>
      <c r="S68" s="54" t="s">
        <v>107</v>
      </c>
      <c r="T68" s="58" t="s">
        <v>107</v>
      </c>
      <c r="U68" s="58" t="s">
        <v>107</v>
      </c>
      <c r="V68" s="54" t="s">
        <v>107</v>
      </c>
      <c r="W68" s="54" t="s">
        <v>107</v>
      </c>
      <c r="X68" s="54" t="s">
        <v>107</v>
      </c>
      <c r="Y68" s="58" t="s">
        <v>107</v>
      </c>
      <c r="Z68" s="54" t="s">
        <v>107</v>
      </c>
      <c r="AA68" s="54" t="s">
        <v>107</v>
      </c>
      <c r="AB68" s="54" t="s">
        <v>107</v>
      </c>
      <c r="AC68" s="58" t="s">
        <v>107</v>
      </c>
      <c r="AD68" s="54" t="s">
        <v>107</v>
      </c>
      <c r="AE68" s="54" t="s">
        <v>107</v>
      </c>
      <c r="AF68" s="54" t="s">
        <v>107</v>
      </c>
      <c r="AG68" s="58" t="s">
        <v>107</v>
      </c>
      <c r="AH68" s="54" t="s">
        <v>107</v>
      </c>
      <c r="AI68" s="54" t="s">
        <v>107</v>
      </c>
      <c r="AJ68" s="54" t="s">
        <v>107</v>
      </c>
      <c r="AK68" s="58" t="s">
        <v>107</v>
      </c>
      <c r="AL68" s="54" t="s">
        <v>107</v>
      </c>
      <c r="AM68" s="54" t="s">
        <v>107</v>
      </c>
      <c r="AN68" s="58" t="s">
        <v>107</v>
      </c>
      <c r="AO68" s="54" t="s">
        <v>107</v>
      </c>
      <c r="AP68" s="54" t="s">
        <v>107</v>
      </c>
      <c r="AQ68" s="54" t="s">
        <v>107</v>
      </c>
      <c r="AR68" s="58" t="s">
        <v>107</v>
      </c>
      <c r="AS68" s="54" t="s">
        <v>107</v>
      </c>
      <c r="AT68" s="54" t="s">
        <v>107</v>
      </c>
      <c r="AU68" s="58" t="s">
        <v>107</v>
      </c>
      <c r="AV68" s="54" t="s">
        <v>107</v>
      </c>
      <c r="AW68" s="54" t="s">
        <v>107</v>
      </c>
      <c r="AX68" s="54" t="s">
        <v>107</v>
      </c>
      <c r="AY68" s="58" t="s">
        <v>107</v>
      </c>
      <c r="AZ68" s="54" t="s">
        <v>107</v>
      </c>
      <c r="BA68" s="58" t="s">
        <v>107</v>
      </c>
      <c r="BB68" s="54" t="s">
        <v>107</v>
      </c>
      <c r="BC68" s="54" t="s">
        <v>107</v>
      </c>
      <c r="BD68" s="54" t="s">
        <v>107</v>
      </c>
      <c r="BE68" s="58" t="s">
        <v>107</v>
      </c>
      <c r="BF68" s="54" t="s">
        <v>107</v>
      </c>
      <c r="BG68" s="54" t="s">
        <v>107</v>
      </c>
      <c r="BH68" s="58" t="s">
        <v>107</v>
      </c>
      <c r="BI68" s="54" t="s">
        <v>107</v>
      </c>
      <c r="BJ68" s="54" t="s">
        <v>107</v>
      </c>
      <c r="BK68" s="54" t="s">
        <v>107</v>
      </c>
      <c r="BL68" s="58" t="s">
        <v>107</v>
      </c>
      <c r="BM68" s="54" t="s">
        <v>107</v>
      </c>
      <c r="BN68" s="54" t="s">
        <v>107</v>
      </c>
      <c r="BO68" s="58" t="s">
        <v>107</v>
      </c>
      <c r="BP68" s="54" t="s">
        <v>107</v>
      </c>
      <c r="BQ68" s="54" t="s">
        <v>107</v>
      </c>
      <c r="BR68" s="58" t="s">
        <v>107</v>
      </c>
      <c r="BS68" s="54" t="s">
        <v>107</v>
      </c>
      <c r="BT68" s="54" t="s">
        <v>107</v>
      </c>
      <c r="BU68" s="58" t="s">
        <v>107</v>
      </c>
      <c r="BV68" s="54" t="s">
        <v>107</v>
      </c>
      <c r="BW68" s="58" t="s">
        <v>107</v>
      </c>
      <c r="BX68" s="54" t="s">
        <v>107</v>
      </c>
      <c r="BY68" s="54" t="s">
        <v>107</v>
      </c>
      <c r="BZ68" s="54" t="s">
        <v>107</v>
      </c>
      <c r="CA68" s="58" t="s">
        <v>107</v>
      </c>
      <c r="CB68" s="54" t="s">
        <v>107</v>
      </c>
      <c r="CC68" s="54" t="s">
        <v>107</v>
      </c>
      <c r="CD68" s="54" t="s">
        <v>107</v>
      </c>
      <c r="CE68" s="58" t="s">
        <v>107</v>
      </c>
      <c r="CF68" s="58" t="s">
        <v>107</v>
      </c>
      <c r="CG68" s="54" t="s">
        <v>107</v>
      </c>
      <c r="CH68" s="54">
        <v>14.81</v>
      </c>
      <c r="CI68" s="54" t="s">
        <v>107</v>
      </c>
      <c r="CJ68" s="58" t="s">
        <v>107</v>
      </c>
    </row>
    <row r="69" spans="1:88">
      <c r="A69" s="24" t="s">
        <v>5208</v>
      </c>
      <c r="B69" s="24" t="s">
        <v>15</v>
      </c>
      <c r="C69" s="55" t="s">
        <v>46</v>
      </c>
      <c r="D69" s="18">
        <f>IFERROR(AVERAGEIFS(マスタ_業務・標準!$H:$H,マスタ_業務・標準!$D:$D,$A69,マスタ_業務・標準!$C:$C,$C69),"")</f>
        <v>2.2000000000000002</v>
      </c>
      <c r="E69" s="58" t="s">
        <v>107</v>
      </c>
      <c r="F69" s="58" t="s">
        <v>107</v>
      </c>
      <c r="G69" s="54" t="s">
        <v>107</v>
      </c>
      <c r="H69" s="54" t="s">
        <v>107</v>
      </c>
      <c r="I69" s="54" t="s">
        <v>107</v>
      </c>
      <c r="J69" s="58" t="s">
        <v>107</v>
      </c>
      <c r="K69" s="54" t="s">
        <v>107</v>
      </c>
      <c r="L69" s="54" t="s">
        <v>107</v>
      </c>
      <c r="M69" s="58" t="s">
        <v>107</v>
      </c>
      <c r="N69" s="54" t="s">
        <v>107</v>
      </c>
      <c r="O69" s="54" t="s">
        <v>107</v>
      </c>
      <c r="P69" s="54" t="s">
        <v>107</v>
      </c>
      <c r="Q69" s="58" t="s">
        <v>107</v>
      </c>
      <c r="R69" s="54" t="s">
        <v>107</v>
      </c>
      <c r="S69" s="54" t="s">
        <v>107</v>
      </c>
      <c r="T69" s="58" t="s">
        <v>107</v>
      </c>
      <c r="U69" s="58" t="s">
        <v>107</v>
      </c>
      <c r="V69" s="54" t="s">
        <v>107</v>
      </c>
      <c r="W69" s="54" t="s">
        <v>107</v>
      </c>
      <c r="X69" s="54" t="s">
        <v>107</v>
      </c>
      <c r="Y69" s="58" t="s">
        <v>107</v>
      </c>
      <c r="Z69" s="54" t="s">
        <v>107</v>
      </c>
      <c r="AA69" s="54">
        <v>2.2000000000000002</v>
      </c>
      <c r="AB69" s="54" t="s">
        <v>107</v>
      </c>
      <c r="AC69" s="58" t="s">
        <v>107</v>
      </c>
      <c r="AD69" s="54" t="s">
        <v>107</v>
      </c>
      <c r="AE69" s="54" t="s">
        <v>107</v>
      </c>
      <c r="AF69" s="54" t="s">
        <v>107</v>
      </c>
      <c r="AG69" s="58" t="s">
        <v>107</v>
      </c>
      <c r="AH69" s="54" t="s">
        <v>107</v>
      </c>
      <c r="AI69" s="54" t="s">
        <v>107</v>
      </c>
      <c r="AJ69" s="54" t="s">
        <v>107</v>
      </c>
      <c r="AK69" s="58" t="s">
        <v>107</v>
      </c>
      <c r="AL69" s="54" t="s">
        <v>107</v>
      </c>
      <c r="AM69" s="54" t="s">
        <v>107</v>
      </c>
      <c r="AN69" s="58" t="s">
        <v>107</v>
      </c>
      <c r="AO69" s="54" t="s">
        <v>107</v>
      </c>
      <c r="AP69" s="54" t="s">
        <v>107</v>
      </c>
      <c r="AQ69" s="54" t="s">
        <v>107</v>
      </c>
      <c r="AR69" s="58" t="s">
        <v>107</v>
      </c>
      <c r="AS69" s="54" t="s">
        <v>107</v>
      </c>
      <c r="AT69" s="54" t="s">
        <v>107</v>
      </c>
      <c r="AU69" s="58" t="s">
        <v>107</v>
      </c>
      <c r="AV69" s="54" t="s">
        <v>107</v>
      </c>
      <c r="AW69" s="54" t="s">
        <v>107</v>
      </c>
      <c r="AX69" s="54" t="s">
        <v>107</v>
      </c>
      <c r="AY69" s="58" t="s">
        <v>107</v>
      </c>
      <c r="AZ69" s="54" t="s">
        <v>107</v>
      </c>
      <c r="BA69" s="58" t="s">
        <v>107</v>
      </c>
      <c r="BB69" s="54" t="s">
        <v>107</v>
      </c>
      <c r="BC69" s="54" t="s">
        <v>107</v>
      </c>
      <c r="BD69" s="54" t="s">
        <v>107</v>
      </c>
      <c r="BE69" s="58" t="s">
        <v>107</v>
      </c>
      <c r="BF69" s="54" t="s">
        <v>107</v>
      </c>
      <c r="BG69" s="54" t="s">
        <v>107</v>
      </c>
      <c r="BH69" s="58" t="s">
        <v>107</v>
      </c>
      <c r="BI69" s="54" t="s">
        <v>107</v>
      </c>
      <c r="BJ69" s="54" t="s">
        <v>107</v>
      </c>
      <c r="BK69" s="54" t="s">
        <v>107</v>
      </c>
      <c r="BL69" s="58" t="s">
        <v>107</v>
      </c>
      <c r="BM69" s="54" t="s">
        <v>107</v>
      </c>
      <c r="BN69" s="54" t="s">
        <v>107</v>
      </c>
      <c r="BO69" s="58" t="s">
        <v>107</v>
      </c>
      <c r="BP69" s="54" t="s">
        <v>107</v>
      </c>
      <c r="BQ69" s="54" t="s">
        <v>107</v>
      </c>
      <c r="BR69" s="58" t="s">
        <v>107</v>
      </c>
      <c r="BS69" s="54" t="s">
        <v>107</v>
      </c>
      <c r="BT69" s="54" t="s">
        <v>107</v>
      </c>
      <c r="BU69" s="58" t="s">
        <v>107</v>
      </c>
      <c r="BV69" s="54" t="s">
        <v>107</v>
      </c>
      <c r="BW69" s="58" t="s">
        <v>107</v>
      </c>
      <c r="BX69" s="54" t="s">
        <v>107</v>
      </c>
      <c r="BY69" s="54" t="s">
        <v>107</v>
      </c>
      <c r="BZ69" s="54" t="s">
        <v>107</v>
      </c>
      <c r="CA69" s="58" t="s">
        <v>107</v>
      </c>
      <c r="CB69" s="54" t="s">
        <v>107</v>
      </c>
      <c r="CC69" s="54" t="s">
        <v>107</v>
      </c>
      <c r="CD69" s="54" t="s">
        <v>107</v>
      </c>
      <c r="CE69" s="58" t="s">
        <v>107</v>
      </c>
      <c r="CF69" s="58" t="s">
        <v>107</v>
      </c>
      <c r="CG69" s="54" t="s">
        <v>107</v>
      </c>
      <c r="CH69" s="54" t="s">
        <v>107</v>
      </c>
      <c r="CI69" s="54" t="s">
        <v>107</v>
      </c>
      <c r="CJ69" s="58" t="s">
        <v>107</v>
      </c>
    </row>
    <row r="70" spans="1:88">
      <c r="A70" s="24" t="s">
        <v>5208</v>
      </c>
      <c r="B70" s="24" t="s">
        <v>15</v>
      </c>
      <c r="C70" s="55" t="s">
        <v>47</v>
      </c>
      <c r="D70" s="18">
        <f>IFERROR(AVERAGEIFS(マスタ_業務・標準!$H:$H,マスタ_業務・標準!$D:$D,$A70,マスタ_業務・標準!$C:$C,$C70),"")</f>
        <v>2.2599999999999998</v>
      </c>
      <c r="E70" s="58" t="s">
        <v>107</v>
      </c>
      <c r="F70" s="58" t="s">
        <v>107</v>
      </c>
      <c r="G70" s="54" t="s">
        <v>107</v>
      </c>
      <c r="H70" s="54" t="s">
        <v>107</v>
      </c>
      <c r="I70" s="54" t="s">
        <v>107</v>
      </c>
      <c r="J70" s="58" t="s">
        <v>107</v>
      </c>
      <c r="K70" s="54" t="s">
        <v>107</v>
      </c>
      <c r="L70" s="54" t="s">
        <v>107</v>
      </c>
      <c r="M70" s="58" t="s">
        <v>107</v>
      </c>
      <c r="N70" s="54" t="s">
        <v>107</v>
      </c>
      <c r="O70" s="54" t="s">
        <v>107</v>
      </c>
      <c r="P70" s="54" t="s">
        <v>107</v>
      </c>
      <c r="Q70" s="58" t="s">
        <v>107</v>
      </c>
      <c r="R70" s="54" t="s">
        <v>107</v>
      </c>
      <c r="S70" s="54" t="s">
        <v>107</v>
      </c>
      <c r="T70" s="58" t="s">
        <v>107</v>
      </c>
      <c r="U70" s="58" t="s">
        <v>107</v>
      </c>
      <c r="V70" s="54" t="s">
        <v>107</v>
      </c>
      <c r="W70" s="54" t="s">
        <v>107</v>
      </c>
      <c r="X70" s="54" t="s">
        <v>107</v>
      </c>
      <c r="Y70" s="58" t="s">
        <v>107</v>
      </c>
      <c r="Z70" s="54" t="s">
        <v>107</v>
      </c>
      <c r="AA70" s="54" t="s">
        <v>107</v>
      </c>
      <c r="AB70" s="54">
        <v>1.1499999999999999</v>
      </c>
      <c r="AC70" s="58" t="s">
        <v>107</v>
      </c>
      <c r="AD70" s="54" t="s">
        <v>107</v>
      </c>
      <c r="AE70" s="54" t="s">
        <v>107</v>
      </c>
      <c r="AF70" s="54" t="s">
        <v>107</v>
      </c>
      <c r="AG70" s="58" t="s">
        <v>107</v>
      </c>
      <c r="AH70" s="54" t="s">
        <v>107</v>
      </c>
      <c r="AI70" s="54" t="s">
        <v>107</v>
      </c>
      <c r="AJ70" s="54" t="s">
        <v>107</v>
      </c>
      <c r="AK70" s="58" t="s">
        <v>107</v>
      </c>
      <c r="AL70" s="54" t="s">
        <v>107</v>
      </c>
      <c r="AM70" s="54" t="s">
        <v>107</v>
      </c>
      <c r="AN70" s="58" t="s">
        <v>107</v>
      </c>
      <c r="AO70" s="54" t="s">
        <v>107</v>
      </c>
      <c r="AP70" s="54">
        <v>3.65</v>
      </c>
      <c r="AQ70" s="54" t="s">
        <v>107</v>
      </c>
      <c r="AR70" s="58" t="s">
        <v>107</v>
      </c>
      <c r="AS70" s="54" t="s">
        <v>107</v>
      </c>
      <c r="AT70" s="54" t="s">
        <v>107</v>
      </c>
      <c r="AU70" s="58" t="s">
        <v>107</v>
      </c>
      <c r="AV70" s="54" t="s">
        <v>107</v>
      </c>
      <c r="AW70" s="54" t="s">
        <v>107</v>
      </c>
      <c r="AX70" s="54" t="s">
        <v>107</v>
      </c>
      <c r="AY70" s="58" t="s">
        <v>107</v>
      </c>
      <c r="AZ70" s="54" t="s">
        <v>107</v>
      </c>
      <c r="BA70" s="58" t="s">
        <v>107</v>
      </c>
      <c r="BB70" s="54" t="s">
        <v>107</v>
      </c>
      <c r="BC70" s="54">
        <v>2.2999999999999998</v>
      </c>
      <c r="BD70" s="54" t="s">
        <v>107</v>
      </c>
      <c r="BE70" s="58" t="s">
        <v>107</v>
      </c>
      <c r="BF70" s="54" t="s">
        <v>107</v>
      </c>
      <c r="BG70" s="54" t="s">
        <v>107</v>
      </c>
      <c r="BH70" s="58" t="s">
        <v>107</v>
      </c>
      <c r="BI70" s="54" t="s">
        <v>107</v>
      </c>
      <c r="BJ70" s="54" t="s">
        <v>107</v>
      </c>
      <c r="BK70" s="54" t="s">
        <v>107</v>
      </c>
      <c r="BL70" s="58" t="s">
        <v>107</v>
      </c>
      <c r="BM70" s="54" t="s">
        <v>107</v>
      </c>
      <c r="BN70" s="54">
        <v>2.74</v>
      </c>
      <c r="BO70" s="58" t="s">
        <v>107</v>
      </c>
      <c r="BP70" s="54" t="s">
        <v>107</v>
      </c>
      <c r="BQ70" s="54" t="s">
        <v>107</v>
      </c>
      <c r="BR70" s="58" t="s">
        <v>107</v>
      </c>
      <c r="BS70" s="54">
        <v>0.59</v>
      </c>
      <c r="BT70" s="54" t="s">
        <v>107</v>
      </c>
      <c r="BU70" s="58" t="s">
        <v>107</v>
      </c>
      <c r="BV70" s="54" t="s">
        <v>107</v>
      </c>
      <c r="BW70" s="58" t="s">
        <v>107</v>
      </c>
      <c r="BX70" s="54" t="s">
        <v>107</v>
      </c>
      <c r="BY70" s="54" t="s">
        <v>107</v>
      </c>
      <c r="BZ70" s="54" t="s">
        <v>107</v>
      </c>
      <c r="CA70" s="58">
        <v>3.11</v>
      </c>
      <c r="CB70" s="54" t="s">
        <v>107</v>
      </c>
      <c r="CC70" s="54" t="s">
        <v>107</v>
      </c>
      <c r="CD70" s="54" t="s">
        <v>107</v>
      </c>
      <c r="CE70" s="58" t="s">
        <v>107</v>
      </c>
      <c r="CF70" s="58" t="s">
        <v>107</v>
      </c>
      <c r="CG70" s="54" t="s">
        <v>107</v>
      </c>
      <c r="CH70" s="54" t="s">
        <v>107</v>
      </c>
      <c r="CI70" s="54" t="s">
        <v>107</v>
      </c>
      <c r="CJ70" s="58" t="s">
        <v>107</v>
      </c>
    </row>
    <row r="71" spans="1:88">
      <c r="A71" s="24" t="s">
        <v>5208</v>
      </c>
      <c r="B71" s="24" t="s">
        <v>15</v>
      </c>
      <c r="C71" s="55" t="s">
        <v>48</v>
      </c>
      <c r="D71" s="18">
        <f>IFERROR(AVERAGEIFS(マスタ_業務・標準!$H:$H,マスタ_業務・標準!$D:$D,$A71,マスタ_業務・標準!$C:$C,$C71),"")</f>
        <v>2.78</v>
      </c>
      <c r="E71" s="58" t="s">
        <v>107</v>
      </c>
      <c r="F71" s="58" t="s">
        <v>107</v>
      </c>
      <c r="G71" s="54" t="s">
        <v>107</v>
      </c>
      <c r="H71" s="54" t="s">
        <v>107</v>
      </c>
      <c r="I71" s="54" t="s">
        <v>107</v>
      </c>
      <c r="J71" s="58" t="s">
        <v>107</v>
      </c>
      <c r="K71" s="54" t="s">
        <v>107</v>
      </c>
      <c r="L71" s="54" t="s">
        <v>107</v>
      </c>
      <c r="M71" s="58" t="s">
        <v>107</v>
      </c>
      <c r="N71" s="54" t="s">
        <v>107</v>
      </c>
      <c r="O71" s="54" t="s">
        <v>107</v>
      </c>
      <c r="P71" s="54" t="s">
        <v>107</v>
      </c>
      <c r="Q71" s="58" t="s">
        <v>107</v>
      </c>
      <c r="R71" s="54" t="s">
        <v>107</v>
      </c>
      <c r="S71" s="54" t="s">
        <v>107</v>
      </c>
      <c r="T71" s="58" t="s">
        <v>107</v>
      </c>
      <c r="U71" s="58" t="s">
        <v>107</v>
      </c>
      <c r="V71" s="54" t="s">
        <v>107</v>
      </c>
      <c r="W71" s="54" t="s">
        <v>107</v>
      </c>
      <c r="X71" s="54" t="s">
        <v>107</v>
      </c>
      <c r="Y71" s="58" t="s">
        <v>107</v>
      </c>
      <c r="Z71" s="54">
        <v>2.72</v>
      </c>
      <c r="AA71" s="54" t="s">
        <v>107</v>
      </c>
      <c r="AB71" s="54" t="s">
        <v>107</v>
      </c>
      <c r="AC71" s="58" t="s">
        <v>107</v>
      </c>
      <c r="AD71" s="54" t="s">
        <v>107</v>
      </c>
      <c r="AE71" s="54" t="s">
        <v>107</v>
      </c>
      <c r="AF71" s="54" t="s">
        <v>107</v>
      </c>
      <c r="AG71" s="58" t="s">
        <v>107</v>
      </c>
      <c r="AH71" s="54" t="s">
        <v>107</v>
      </c>
      <c r="AI71" s="54" t="s">
        <v>107</v>
      </c>
      <c r="AJ71" s="54" t="s">
        <v>107</v>
      </c>
      <c r="AK71" s="58" t="s">
        <v>107</v>
      </c>
      <c r="AL71" s="54" t="s">
        <v>107</v>
      </c>
      <c r="AM71" s="54" t="s">
        <v>107</v>
      </c>
      <c r="AN71" s="58" t="s">
        <v>107</v>
      </c>
      <c r="AO71" s="54" t="s">
        <v>107</v>
      </c>
      <c r="AP71" s="54" t="s">
        <v>107</v>
      </c>
      <c r="AQ71" s="54" t="s">
        <v>107</v>
      </c>
      <c r="AR71" s="58" t="s">
        <v>107</v>
      </c>
      <c r="AS71" s="54" t="s">
        <v>107</v>
      </c>
      <c r="AT71" s="54" t="s">
        <v>107</v>
      </c>
      <c r="AU71" s="58" t="s">
        <v>107</v>
      </c>
      <c r="AV71" s="54" t="s">
        <v>107</v>
      </c>
      <c r="AW71" s="54" t="s">
        <v>107</v>
      </c>
      <c r="AX71" s="54" t="s">
        <v>107</v>
      </c>
      <c r="AY71" s="58" t="s">
        <v>107</v>
      </c>
      <c r="AZ71" s="54" t="s">
        <v>107</v>
      </c>
      <c r="BA71" s="58" t="s">
        <v>107</v>
      </c>
      <c r="BB71" s="54" t="s">
        <v>107</v>
      </c>
      <c r="BC71" s="54" t="s">
        <v>107</v>
      </c>
      <c r="BD71" s="54" t="s">
        <v>107</v>
      </c>
      <c r="BE71" s="58" t="s">
        <v>107</v>
      </c>
      <c r="BF71" s="54" t="s">
        <v>107</v>
      </c>
      <c r="BG71" s="54" t="s">
        <v>107</v>
      </c>
      <c r="BH71" s="58" t="s">
        <v>107</v>
      </c>
      <c r="BI71" s="54" t="s">
        <v>107</v>
      </c>
      <c r="BJ71" s="54" t="s">
        <v>107</v>
      </c>
      <c r="BK71" s="54" t="s">
        <v>107</v>
      </c>
      <c r="BL71" s="58" t="s">
        <v>107</v>
      </c>
      <c r="BM71" s="54" t="s">
        <v>107</v>
      </c>
      <c r="BN71" s="54" t="s">
        <v>107</v>
      </c>
      <c r="BO71" s="58" t="s">
        <v>107</v>
      </c>
      <c r="BP71" s="54" t="s">
        <v>107</v>
      </c>
      <c r="BQ71" s="54" t="s">
        <v>107</v>
      </c>
      <c r="BR71" s="58" t="s">
        <v>107</v>
      </c>
      <c r="BS71" s="54" t="s">
        <v>107</v>
      </c>
      <c r="BT71" s="54" t="s">
        <v>107</v>
      </c>
      <c r="BU71" s="58" t="s">
        <v>107</v>
      </c>
      <c r="BV71" s="54" t="s">
        <v>107</v>
      </c>
      <c r="BW71" s="58" t="s">
        <v>107</v>
      </c>
      <c r="BX71" s="54" t="s">
        <v>107</v>
      </c>
      <c r="BY71" s="54" t="s">
        <v>107</v>
      </c>
      <c r="BZ71" s="54" t="s">
        <v>107</v>
      </c>
      <c r="CA71" s="58" t="s">
        <v>107</v>
      </c>
      <c r="CB71" s="54" t="s">
        <v>107</v>
      </c>
      <c r="CC71" s="54" t="s">
        <v>107</v>
      </c>
      <c r="CD71" s="54">
        <v>2.83</v>
      </c>
      <c r="CE71" s="58" t="s">
        <v>107</v>
      </c>
      <c r="CF71" s="58" t="s">
        <v>107</v>
      </c>
      <c r="CG71" s="54" t="s">
        <v>107</v>
      </c>
      <c r="CH71" s="54" t="s">
        <v>107</v>
      </c>
      <c r="CI71" s="54" t="s">
        <v>107</v>
      </c>
      <c r="CJ71" s="58" t="s">
        <v>107</v>
      </c>
    </row>
    <row r="72" spans="1:88">
      <c r="A72" s="24" t="s">
        <v>5208</v>
      </c>
      <c r="B72" s="24" t="s">
        <v>15</v>
      </c>
      <c r="C72" s="55" t="s">
        <v>49</v>
      </c>
      <c r="D72" s="18">
        <f>IFERROR(AVERAGEIFS(マスタ_業務・標準!$H:$H,マスタ_業務・標準!$D:$D,$A72,マスタ_業務・標準!$C:$C,$C72),"")</f>
        <v>2.21</v>
      </c>
      <c r="E72" s="58" t="s">
        <v>107</v>
      </c>
      <c r="F72" s="58" t="s">
        <v>107</v>
      </c>
      <c r="G72" s="54" t="s">
        <v>107</v>
      </c>
      <c r="H72" s="54" t="s">
        <v>107</v>
      </c>
      <c r="I72" s="54" t="s">
        <v>107</v>
      </c>
      <c r="J72" s="58" t="s">
        <v>107</v>
      </c>
      <c r="K72" s="54">
        <v>2.8</v>
      </c>
      <c r="L72" s="54" t="s">
        <v>107</v>
      </c>
      <c r="M72" s="58" t="s">
        <v>107</v>
      </c>
      <c r="N72" s="54" t="s">
        <v>107</v>
      </c>
      <c r="O72" s="54" t="s">
        <v>107</v>
      </c>
      <c r="P72" s="54" t="s">
        <v>107</v>
      </c>
      <c r="Q72" s="58">
        <v>1.73</v>
      </c>
      <c r="R72" s="54" t="s">
        <v>107</v>
      </c>
      <c r="S72" s="54" t="s">
        <v>107</v>
      </c>
      <c r="T72" s="58" t="s">
        <v>107</v>
      </c>
      <c r="U72" s="58" t="s">
        <v>107</v>
      </c>
      <c r="V72" s="54" t="s">
        <v>107</v>
      </c>
      <c r="W72" s="54" t="s">
        <v>107</v>
      </c>
      <c r="X72" s="54" t="s">
        <v>107</v>
      </c>
      <c r="Y72" s="58" t="s">
        <v>107</v>
      </c>
      <c r="Z72" s="54" t="s">
        <v>107</v>
      </c>
      <c r="AA72" s="54" t="s">
        <v>107</v>
      </c>
      <c r="AB72" s="54" t="s">
        <v>107</v>
      </c>
      <c r="AC72" s="58" t="s">
        <v>107</v>
      </c>
      <c r="AD72" s="54" t="s">
        <v>107</v>
      </c>
      <c r="AE72" s="54" t="s">
        <v>107</v>
      </c>
      <c r="AF72" s="54" t="s">
        <v>107</v>
      </c>
      <c r="AG72" s="58" t="s">
        <v>107</v>
      </c>
      <c r="AH72" s="54" t="s">
        <v>107</v>
      </c>
      <c r="AI72" s="54" t="s">
        <v>107</v>
      </c>
      <c r="AJ72" s="54" t="s">
        <v>107</v>
      </c>
      <c r="AK72" s="58" t="s">
        <v>107</v>
      </c>
      <c r="AL72" s="54" t="s">
        <v>107</v>
      </c>
      <c r="AM72" s="54" t="s">
        <v>107</v>
      </c>
      <c r="AN72" s="58" t="s">
        <v>107</v>
      </c>
      <c r="AO72" s="54" t="s">
        <v>107</v>
      </c>
      <c r="AP72" s="54" t="s">
        <v>107</v>
      </c>
      <c r="AQ72" s="54" t="s">
        <v>107</v>
      </c>
      <c r="AR72" s="58" t="s">
        <v>107</v>
      </c>
      <c r="AS72" s="54" t="s">
        <v>107</v>
      </c>
      <c r="AT72" s="54" t="s">
        <v>107</v>
      </c>
      <c r="AU72" s="58" t="s">
        <v>107</v>
      </c>
      <c r="AV72" s="54" t="s">
        <v>107</v>
      </c>
      <c r="AW72" s="54" t="s">
        <v>107</v>
      </c>
      <c r="AX72" s="54" t="s">
        <v>107</v>
      </c>
      <c r="AY72" s="58" t="s">
        <v>107</v>
      </c>
      <c r="AZ72" s="54" t="s">
        <v>107</v>
      </c>
      <c r="BA72" s="58" t="s">
        <v>107</v>
      </c>
      <c r="BB72" s="54" t="s">
        <v>107</v>
      </c>
      <c r="BC72" s="54" t="s">
        <v>107</v>
      </c>
      <c r="BD72" s="54" t="s">
        <v>107</v>
      </c>
      <c r="BE72" s="58" t="s">
        <v>107</v>
      </c>
      <c r="BF72" s="54" t="s">
        <v>107</v>
      </c>
      <c r="BG72" s="54" t="s">
        <v>107</v>
      </c>
      <c r="BH72" s="58" t="s">
        <v>107</v>
      </c>
      <c r="BI72" s="54" t="s">
        <v>107</v>
      </c>
      <c r="BJ72" s="54" t="s">
        <v>107</v>
      </c>
      <c r="BK72" s="54" t="s">
        <v>107</v>
      </c>
      <c r="BL72" s="58" t="s">
        <v>107</v>
      </c>
      <c r="BM72" s="54" t="s">
        <v>107</v>
      </c>
      <c r="BN72" s="54" t="s">
        <v>107</v>
      </c>
      <c r="BO72" s="58" t="s">
        <v>107</v>
      </c>
      <c r="BP72" s="54" t="s">
        <v>107</v>
      </c>
      <c r="BQ72" s="54" t="s">
        <v>107</v>
      </c>
      <c r="BR72" s="58" t="s">
        <v>107</v>
      </c>
      <c r="BS72" s="54" t="s">
        <v>107</v>
      </c>
      <c r="BT72" s="54" t="s">
        <v>107</v>
      </c>
      <c r="BU72" s="58" t="s">
        <v>107</v>
      </c>
      <c r="BV72" s="54" t="s">
        <v>107</v>
      </c>
      <c r="BW72" s="58" t="s">
        <v>107</v>
      </c>
      <c r="BX72" s="54" t="s">
        <v>107</v>
      </c>
      <c r="BY72" s="54" t="s">
        <v>107</v>
      </c>
      <c r="BZ72" s="54" t="s">
        <v>107</v>
      </c>
      <c r="CA72" s="58">
        <v>2.36</v>
      </c>
      <c r="CB72" s="54" t="s">
        <v>107</v>
      </c>
      <c r="CC72" s="54" t="s">
        <v>107</v>
      </c>
      <c r="CD72" s="54">
        <v>1.94</v>
      </c>
      <c r="CE72" s="58" t="s">
        <v>107</v>
      </c>
      <c r="CF72" s="58" t="s">
        <v>107</v>
      </c>
      <c r="CG72" s="54" t="s">
        <v>107</v>
      </c>
      <c r="CH72" s="54" t="s">
        <v>107</v>
      </c>
      <c r="CI72" s="54" t="s">
        <v>107</v>
      </c>
      <c r="CJ72" s="58" t="s">
        <v>107</v>
      </c>
    </row>
    <row r="73" spans="1:88">
      <c r="A73" s="24" t="s">
        <v>5208</v>
      </c>
      <c r="B73" s="24" t="s">
        <v>15</v>
      </c>
      <c r="C73" s="55" t="s">
        <v>50</v>
      </c>
      <c r="D73" s="18">
        <f>IFERROR(AVERAGEIFS(マスタ_業務・標準!$H:$H,マスタ_業務・標準!$D:$D,$A73,マスタ_業務・標準!$C:$C,$C73),"")</f>
        <v>3.07</v>
      </c>
      <c r="E73" s="58" t="s">
        <v>107</v>
      </c>
      <c r="F73" s="58" t="s">
        <v>107</v>
      </c>
      <c r="G73" s="54" t="s">
        <v>107</v>
      </c>
      <c r="H73" s="54" t="s">
        <v>107</v>
      </c>
      <c r="I73" s="54" t="s">
        <v>107</v>
      </c>
      <c r="J73" s="58" t="s">
        <v>107</v>
      </c>
      <c r="K73" s="54" t="s">
        <v>107</v>
      </c>
      <c r="L73" s="54" t="s">
        <v>107</v>
      </c>
      <c r="M73" s="58" t="s">
        <v>107</v>
      </c>
      <c r="N73" s="54" t="s">
        <v>107</v>
      </c>
      <c r="O73" s="54" t="s">
        <v>107</v>
      </c>
      <c r="P73" s="54">
        <v>4.43</v>
      </c>
      <c r="Q73" s="58" t="s">
        <v>107</v>
      </c>
      <c r="R73" s="54" t="s">
        <v>107</v>
      </c>
      <c r="S73" s="54" t="s">
        <v>107</v>
      </c>
      <c r="T73" s="58" t="s">
        <v>107</v>
      </c>
      <c r="U73" s="58" t="s">
        <v>107</v>
      </c>
      <c r="V73" s="54" t="s">
        <v>107</v>
      </c>
      <c r="W73" s="54" t="s">
        <v>107</v>
      </c>
      <c r="X73" s="54" t="s">
        <v>107</v>
      </c>
      <c r="Y73" s="58" t="s">
        <v>107</v>
      </c>
      <c r="Z73" s="54" t="s">
        <v>107</v>
      </c>
      <c r="AA73" s="54">
        <v>4.18</v>
      </c>
      <c r="AB73" s="54" t="s">
        <v>107</v>
      </c>
      <c r="AC73" s="58" t="s">
        <v>107</v>
      </c>
      <c r="AD73" s="54">
        <v>2.4900000000000002</v>
      </c>
      <c r="AE73" s="54" t="s">
        <v>107</v>
      </c>
      <c r="AF73" s="54" t="s">
        <v>107</v>
      </c>
      <c r="AG73" s="58" t="s">
        <v>107</v>
      </c>
      <c r="AH73" s="54" t="s">
        <v>107</v>
      </c>
      <c r="AI73" s="54" t="s">
        <v>107</v>
      </c>
      <c r="AJ73" s="54">
        <v>2.23</v>
      </c>
      <c r="AK73" s="58" t="s">
        <v>107</v>
      </c>
      <c r="AL73" s="54" t="s">
        <v>107</v>
      </c>
      <c r="AM73" s="54" t="s">
        <v>107</v>
      </c>
      <c r="AN73" s="58" t="s">
        <v>107</v>
      </c>
      <c r="AO73" s="54" t="s">
        <v>107</v>
      </c>
      <c r="AP73" s="54" t="s">
        <v>107</v>
      </c>
      <c r="AQ73" s="54" t="s">
        <v>107</v>
      </c>
      <c r="AR73" s="58" t="s">
        <v>107</v>
      </c>
      <c r="AS73" s="54" t="s">
        <v>107</v>
      </c>
      <c r="AT73" s="54" t="s">
        <v>107</v>
      </c>
      <c r="AU73" s="58" t="s">
        <v>107</v>
      </c>
      <c r="AV73" s="54" t="s">
        <v>107</v>
      </c>
      <c r="AW73" s="54" t="s">
        <v>107</v>
      </c>
      <c r="AX73" s="54" t="s">
        <v>107</v>
      </c>
      <c r="AY73" s="58" t="s">
        <v>107</v>
      </c>
      <c r="AZ73" s="54">
        <v>2.52</v>
      </c>
      <c r="BA73" s="58" t="s">
        <v>107</v>
      </c>
      <c r="BB73" s="54" t="s">
        <v>107</v>
      </c>
      <c r="BC73" s="54" t="s">
        <v>107</v>
      </c>
      <c r="BD73" s="54" t="s">
        <v>107</v>
      </c>
      <c r="BE73" s="58" t="s">
        <v>107</v>
      </c>
      <c r="BF73" s="54" t="s">
        <v>107</v>
      </c>
      <c r="BG73" s="54" t="s">
        <v>107</v>
      </c>
      <c r="BH73" s="58" t="s">
        <v>107</v>
      </c>
      <c r="BI73" s="54" t="s">
        <v>107</v>
      </c>
      <c r="BJ73" s="54" t="s">
        <v>107</v>
      </c>
      <c r="BK73" s="54" t="s">
        <v>107</v>
      </c>
      <c r="BL73" s="58" t="s">
        <v>107</v>
      </c>
      <c r="BM73" s="54">
        <v>5.45</v>
      </c>
      <c r="BN73" s="54" t="s">
        <v>107</v>
      </c>
      <c r="BO73" s="58" t="s">
        <v>107</v>
      </c>
      <c r="BP73" s="54" t="s">
        <v>107</v>
      </c>
      <c r="BQ73" s="54" t="s">
        <v>107</v>
      </c>
      <c r="BR73" s="58" t="s">
        <v>107</v>
      </c>
      <c r="BS73" s="54" t="s">
        <v>107</v>
      </c>
      <c r="BT73" s="54" t="s">
        <v>107</v>
      </c>
      <c r="BU73" s="58" t="s">
        <v>107</v>
      </c>
      <c r="BV73" s="54" t="s">
        <v>107</v>
      </c>
      <c r="BW73" s="58" t="s">
        <v>107</v>
      </c>
      <c r="BX73" s="54" t="s">
        <v>107</v>
      </c>
      <c r="BY73" s="54">
        <v>3.26</v>
      </c>
      <c r="BZ73" s="54" t="s">
        <v>107</v>
      </c>
      <c r="CA73" s="58" t="s">
        <v>107</v>
      </c>
      <c r="CB73" s="54" t="s">
        <v>107</v>
      </c>
      <c r="CC73" s="54" t="s">
        <v>107</v>
      </c>
      <c r="CD73" s="54" t="s">
        <v>107</v>
      </c>
      <c r="CE73" s="58">
        <v>1.79</v>
      </c>
      <c r="CF73" s="58" t="s">
        <v>107</v>
      </c>
      <c r="CG73" s="54">
        <v>1.25</v>
      </c>
      <c r="CH73" s="54" t="s">
        <v>107</v>
      </c>
      <c r="CI73" s="54" t="s">
        <v>107</v>
      </c>
      <c r="CJ73" s="58" t="s">
        <v>107</v>
      </c>
    </row>
    <row r="74" spans="1:88">
      <c r="A74" s="24" t="s">
        <v>5208</v>
      </c>
      <c r="B74" s="24" t="s">
        <v>15</v>
      </c>
      <c r="C74" s="55" t="s">
        <v>51</v>
      </c>
      <c r="D74" s="18">
        <f>IFERROR(AVERAGEIFS(マスタ_業務・標準!$H:$H,マスタ_業務・標準!$D:$D,$A74,マスタ_業務・標準!$C:$C,$C74),"")</f>
        <v>2.91</v>
      </c>
      <c r="E74" s="58">
        <v>2.91</v>
      </c>
      <c r="F74" s="58" t="s">
        <v>107</v>
      </c>
      <c r="G74" s="54" t="s">
        <v>107</v>
      </c>
      <c r="H74" s="54" t="s">
        <v>107</v>
      </c>
      <c r="I74" s="54" t="s">
        <v>107</v>
      </c>
      <c r="J74" s="58" t="s">
        <v>107</v>
      </c>
      <c r="K74" s="54" t="s">
        <v>107</v>
      </c>
      <c r="L74" s="54" t="s">
        <v>107</v>
      </c>
      <c r="M74" s="58" t="s">
        <v>107</v>
      </c>
      <c r="N74" s="54" t="s">
        <v>107</v>
      </c>
      <c r="O74" s="54" t="s">
        <v>107</v>
      </c>
      <c r="P74" s="54" t="s">
        <v>107</v>
      </c>
      <c r="Q74" s="58" t="s">
        <v>107</v>
      </c>
      <c r="R74" s="54" t="s">
        <v>107</v>
      </c>
      <c r="S74" s="54" t="s">
        <v>107</v>
      </c>
      <c r="T74" s="58" t="s">
        <v>107</v>
      </c>
      <c r="U74" s="58" t="s">
        <v>107</v>
      </c>
      <c r="V74" s="54" t="s">
        <v>107</v>
      </c>
      <c r="W74" s="54" t="s">
        <v>107</v>
      </c>
      <c r="X74" s="54" t="s">
        <v>107</v>
      </c>
      <c r="Y74" s="58" t="s">
        <v>107</v>
      </c>
      <c r="Z74" s="54" t="s">
        <v>107</v>
      </c>
      <c r="AA74" s="54" t="s">
        <v>107</v>
      </c>
      <c r="AB74" s="54" t="s">
        <v>107</v>
      </c>
      <c r="AC74" s="58" t="s">
        <v>107</v>
      </c>
      <c r="AD74" s="54" t="s">
        <v>107</v>
      </c>
      <c r="AE74" s="54" t="s">
        <v>107</v>
      </c>
      <c r="AF74" s="54" t="s">
        <v>107</v>
      </c>
      <c r="AG74" s="58" t="s">
        <v>107</v>
      </c>
      <c r="AH74" s="54" t="s">
        <v>107</v>
      </c>
      <c r="AI74" s="54" t="s">
        <v>107</v>
      </c>
      <c r="AJ74" s="54" t="s">
        <v>107</v>
      </c>
      <c r="AK74" s="58" t="s">
        <v>107</v>
      </c>
      <c r="AL74" s="54" t="s">
        <v>107</v>
      </c>
      <c r="AM74" s="54" t="s">
        <v>107</v>
      </c>
      <c r="AN74" s="58" t="s">
        <v>107</v>
      </c>
      <c r="AO74" s="54" t="s">
        <v>107</v>
      </c>
      <c r="AP74" s="54" t="s">
        <v>107</v>
      </c>
      <c r="AQ74" s="54" t="s">
        <v>107</v>
      </c>
      <c r="AR74" s="58" t="s">
        <v>107</v>
      </c>
      <c r="AS74" s="54" t="s">
        <v>107</v>
      </c>
      <c r="AT74" s="54" t="s">
        <v>107</v>
      </c>
      <c r="AU74" s="58" t="s">
        <v>107</v>
      </c>
      <c r="AV74" s="54" t="s">
        <v>107</v>
      </c>
      <c r="AW74" s="54" t="s">
        <v>107</v>
      </c>
      <c r="AX74" s="54" t="s">
        <v>107</v>
      </c>
      <c r="AY74" s="58" t="s">
        <v>107</v>
      </c>
      <c r="AZ74" s="54" t="s">
        <v>107</v>
      </c>
      <c r="BA74" s="58" t="s">
        <v>107</v>
      </c>
      <c r="BB74" s="54" t="s">
        <v>107</v>
      </c>
      <c r="BC74" s="54" t="s">
        <v>107</v>
      </c>
      <c r="BD74" s="54" t="s">
        <v>107</v>
      </c>
      <c r="BE74" s="58" t="s">
        <v>107</v>
      </c>
      <c r="BF74" s="54" t="s">
        <v>107</v>
      </c>
      <c r="BG74" s="54" t="s">
        <v>107</v>
      </c>
      <c r="BH74" s="58" t="s">
        <v>107</v>
      </c>
      <c r="BI74" s="54" t="s">
        <v>107</v>
      </c>
      <c r="BJ74" s="54" t="s">
        <v>107</v>
      </c>
      <c r="BK74" s="54" t="s">
        <v>107</v>
      </c>
      <c r="BL74" s="58" t="s">
        <v>107</v>
      </c>
      <c r="BM74" s="54" t="s">
        <v>107</v>
      </c>
      <c r="BN74" s="54" t="s">
        <v>107</v>
      </c>
      <c r="BO74" s="58" t="s">
        <v>107</v>
      </c>
      <c r="BP74" s="54" t="s">
        <v>107</v>
      </c>
      <c r="BQ74" s="54" t="s">
        <v>107</v>
      </c>
      <c r="BR74" s="58" t="s">
        <v>107</v>
      </c>
      <c r="BS74" s="54" t="s">
        <v>107</v>
      </c>
      <c r="BT74" s="54" t="s">
        <v>107</v>
      </c>
      <c r="BU74" s="58" t="s">
        <v>107</v>
      </c>
      <c r="BV74" s="54" t="s">
        <v>107</v>
      </c>
      <c r="BW74" s="58" t="s">
        <v>107</v>
      </c>
      <c r="BX74" s="54" t="s">
        <v>107</v>
      </c>
      <c r="BY74" s="54" t="s">
        <v>107</v>
      </c>
      <c r="BZ74" s="54" t="s">
        <v>107</v>
      </c>
      <c r="CA74" s="58" t="s">
        <v>107</v>
      </c>
      <c r="CB74" s="54" t="s">
        <v>107</v>
      </c>
      <c r="CC74" s="54" t="s">
        <v>107</v>
      </c>
      <c r="CD74" s="54" t="s">
        <v>107</v>
      </c>
      <c r="CE74" s="58" t="s">
        <v>107</v>
      </c>
      <c r="CF74" s="58" t="s">
        <v>107</v>
      </c>
      <c r="CG74" s="54" t="s">
        <v>107</v>
      </c>
      <c r="CH74" s="54" t="s">
        <v>107</v>
      </c>
      <c r="CI74" s="54" t="s">
        <v>107</v>
      </c>
      <c r="CJ74" s="58" t="s">
        <v>107</v>
      </c>
    </row>
    <row r="75" spans="1:88">
      <c r="A75" s="24" t="s">
        <v>5208</v>
      </c>
      <c r="B75" s="24" t="s">
        <v>15</v>
      </c>
      <c r="C75" s="55" t="s">
        <v>52</v>
      </c>
      <c r="D75" s="18">
        <f>IFERROR(AVERAGEIFS(マスタ_業務・標準!$H:$H,マスタ_業務・標準!$D:$D,$A75,マスタ_業務・標準!$C:$C,$C75),"")</f>
        <v>3.36</v>
      </c>
      <c r="E75" s="58">
        <v>3.99</v>
      </c>
      <c r="F75" s="58" t="s">
        <v>107</v>
      </c>
      <c r="G75" s="54" t="s">
        <v>107</v>
      </c>
      <c r="H75" s="54" t="s">
        <v>107</v>
      </c>
      <c r="I75" s="54" t="s">
        <v>107</v>
      </c>
      <c r="J75" s="58" t="s">
        <v>107</v>
      </c>
      <c r="K75" s="54" t="s">
        <v>107</v>
      </c>
      <c r="L75" s="54" t="s">
        <v>107</v>
      </c>
      <c r="M75" s="58" t="s">
        <v>107</v>
      </c>
      <c r="N75" s="54" t="s">
        <v>107</v>
      </c>
      <c r="O75" s="54">
        <v>1.87</v>
      </c>
      <c r="P75" s="54" t="s">
        <v>107</v>
      </c>
      <c r="Q75" s="58" t="s">
        <v>107</v>
      </c>
      <c r="R75" s="54" t="s">
        <v>107</v>
      </c>
      <c r="S75" s="54" t="s">
        <v>107</v>
      </c>
      <c r="T75" s="58" t="s">
        <v>107</v>
      </c>
      <c r="U75" s="58" t="s">
        <v>107</v>
      </c>
      <c r="V75" s="54" t="s">
        <v>107</v>
      </c>
      <c r="W75" s="54" t="s">
        <v>107</v>
      </c>
      <c r="X75" s="54" t="s">
        <v>107</v>
      </c>
      <c r="Y75" s="58" t="s">
        <v>107</v>
      </c>
      <c r="Z75" s="54" t="s">
        <v>107</v>
      </c>
      <c r="AA75" s="54" t="s">
        <v>107</v>
      </c>
      <c r="AB75" s="54">
        <v>3.2</v>
      </c>
      <c r="AC75" s="58" t="s">
        <v>107</v>
      </c>
      <c r="AD75" s="54" t="s">
        <v>107</v>
      </c>
      <c r="AE75" s="54" t="s">
        <v>107</v>
      </c>
      <c r="AF75" s="54" t="s">
        <v>107</v>
      </c>
      <c r="AG75" s="58" t="s">
        <v>107</v>
      </c>
      <c r="AH75" s="54">
        <v>5.09</v>
      </c>
      <c r="AI75" s="54" t="s">
        <v>107</v>
      </c>
      <c r="AJ75" s="54" t="s">
        <v>107</v>
      </c>
      <c r="AK75" s="58" t="s">
        <v>107</v>
      </c>
      <c r="AL75" s="54" t="s">
        <v>107</v>
      </c>
      <c r="AM75" s="54" t="s">
        <v>107</v>
      </c>
      <c r="AN75" s="58" t="s">
        <v>107</v>
      </c>
      <c r="AO75" s="54" t="s">
        <v>107</v>
      </c>
      <c r="AP75" s="54" t="s">
        <v>107</v>
      </c>
      <c r="AQ75" s="54" t="s">
        <v>107</v>
      </c>
      <c r="AR75" s="58" t="s">
        <v>107</v>
      </c>
      <c r="AS75" s="54" t="s">
        <v>107</v>
      </c>
      <c r="AT75" s="54" t="s">
        <v>107</v>
      </c>
      <c r="AU75" s="58" t="s">
        <v>107</v>
      </c>
      <c r="AV75" s="54" t="s">
        <v>107</v>
      </c>
      <c r="AW75" s="54" t="s">
        <v>107</v>
      </c>
      <c r="AX75" s="54" t="s">
        <v>107</v>
      </c>
      <c r="AY75" s="58" t="s">
        <v>107</v>
      </c>
      <c r="AZ75" s="54" t="s">
        <v>107</v>
      </c>
      <c r="BA75" s="58" t="s">
        <v>107</v>
      </c>
      <c r="BB75" s="54" t="s">
        <v>107</v>
      </c>
      <c r="BC75" s="54" t="s">
        <v>107</v>
      </c>
      <c r="BD75" s="54" t="s">
        <v>107</v>
      </c>
      <c r="BE75" s="58" t="s">
        <v>107</v>
      </c>
      <c r="BF75" s="54" t="s">
        <v>107</v>
      </c>
      <c r="BG75" s="54" t="s">
        <v>107</v>
      </c>
      <c r="BH75" s="58" t="s">
        <v>107</v>
      </c>
      <c r="BI75" s="54" t="s">
        <v>107</v>
      </c>
      <c r="BJ75" s="54" t="s">
        <v>107</v>
      </c>
      <c r="BK75" s="54" t="s">
        <v>107</v>
      </c>
      <c r="BL75" s="58" t="s">
        <v>107</v>
      </c>
      <c r="BM75" s="54" t="s">
        <v>107</v>
      </c>
      <c r="BN75" s="54" t="s">
        <v>107</v>
      </c>
      <c r="BO75" s="58" t="s">
        <v>107</v>
      </c>
      <c r="BP75" s="54" t="s">
        <v>107</v>
      </c>
      <c r="BQ75" s="54" t="s">
        <v>107</v>
      </c>
      <c r="BR75" s="58" t="s">
        <v>107</v>
      </c>
      <c r="BS75" s="54">
        <v>2.66</v>
      </c>
      <c r="BT75" s="54" t="s">
        <v>107</v>
      </c>
      <c r="BU75" s="58" t="s">
        <v>107</v>
      </c>
      <c r="BV75" s="54" t="s">
        <v>107</v>
      </c>
      <c r="BW75" s="58" t="s">
        <v>107</v>
      </c>
      <c r="BX75" s="54" t="s">
        <v>107</v>
      </c>
      <c r="BY75" s="54" t="s">
        <v>107</v>
      </c>
      <c r="BZ75" s="54" t="s">
        <v>107</v>
      </c>
      <c r="CA75" s="58" t="s">
        <v>107</v>
      </c>
      <c r="CB75" s="54" t="s">
        <v>107</v>
      </c>
      <c r="CC75" s="54" t="s">
        <v>107</v>
      </c>
      <c r="CD75" s="54" t="s">
        <v>107</v>
      </c>
      <c r="CE75" s="58" t="s">
        <v>107</v>
      </c>
      <c r="CF75" s="58" t="s">
        <v>107</v>
      </c>
      <c r="CG75" s="54" t="s">
        <v>107</v>
      </c>
      <c r="CH75" s="54" t="s">
        <v>107</v>
      </c>
      <c r="CI75" s="54" t="s">
        <v>107</v>
      </c>
      <c r="CJ75" s="58" t="s">
        <v>107</v>
      </c>
    </row>
    <row r="76" spans="1:88">
      <c r="A76" s="24" t="s">
        <v>5208</v>
      </c>
      <c r="B76" s="24" t="s">
        <v>15</v>
      </c>
      <c r="C76" s="55" t="s">
        <v>53</v>
      </c>
      <c r="D76" s="18">
        <f>IFERROR(AVERAGEIFS(マスタ_業務・標準!$H:$H,マスタ_業務・標準!$D:$D,$A76,マスタ_業務・標準!$C:$C,$C76),"")</f>
        <v>3.2</v>
      </c>
      <c r="E76" s="58" t="s">
        <v>107</v>
      </c>
      <c r="F76" s="58" t="s">
        <v>107</v>
      </c>
      <c r="G76" s="54" t="s">
        <v>107</v>
      </c>
      <c r="H76" s="54" t="s">
        <v>107</v>
      </c>
      <c r="I76" s="54">
        <v>4.6500000000000004</v>
      </c>
      <c r="J76" s="58" t="s">
        <v>107</v>
      </c>
      <c r="K76" s="54">
        <v>4.07</v>
      </c>
      <c r="L76" s="54" t="s">
        <v>107</v>
      </c>
      <c r="M76" s="58">
        <v>1.61</v>
      </c>
      <c r="N76" s="54" t="s">
        <v>107</v>
      </c>
      <c r="O76" s="54" t="s">
        <v>107</v>
      </c>
      <c r="P76" s="54" t="s">
        <v>107</v>
      </c>
      <c r="Q76" s="58" t="s">
        <v>107</v>
      </c>
      <c r="R76" s="54" t="s">
        <v>107</v>
      </c>
      <c r="S76" s="54" t="s">
        <v>107</v>
      </c>
      <c r="T76" s="58" t="s">
        <v>107</v>
      </c>
      <c r="U76" s="58">
        <v>3.11</v>
      </c>
      <c r="V76" s="54" t="s">
        <v>107</v>
      </c>
      <c r="W76" s="54" t="s">
        <v>107</v>
      </c>
      <c r="X76" s="54">
        <v>1.39</v>
      </c>
      <c r="Y76" s="58" t="s">
        <v>107</v>
      </c>
      <c r="Z76" s="54">
        <v>1.31</v>
      </c>
      <c r="AA76" s="54">
        <v>3.13</v>
      </c>
      <c r="AB76" s="54">
        <v>2.86</v>
      </c>
      <c r="AC76" s="58" t="s">
        <v>107</v>
      </c>
      <c r="AD76" s="54" t="s">
        <v>107</v>
      </c>
      <c r="AE76" s="54" t="s">
        <v>107</v>
      </c>
      <c r="AF76" s="54" t="s">
        <v>107</v>
      </c>
      <c r="AG76" s="58" t="s">
        <v>107</v>
      </c>
      <c r="AH76" s="54">
        <v>2.96</v>
      </c>
      <c r="AI76" s="54" t="s">
        <v>107</v>
      </c>
      <c r="AJ76" s="54" t="s">
        <v>107</v>
      </c>
      <c r="AK76" s="58" t="s">
        <v>107</v>
      </c>
      <c r="AL76" s="54" t="s">
        <v>107</v>
      </c>
      <c r="AM76" s="54" t="s">
        <v>107</v>
      </c>
      <c r="AN76" s="58">
        <v>2.5299999999999998</v>
      </c>
      <c r="AO76" s="54" t="s">
        <v>107</v>
      </c>
      <c r="AP76" s="54" t="s">
        <v>107</v>
      </c>
      <c r="AQ76" s="54" t="s">
        <v>107</v>
      </c>
      <c r="AR76" s="58" t="s">
        <v>107</v>
      </c>
      <c r="AS76" s="54" t="s">
        <v>107</v>
      </c>
      <c r="AT76" s="54" t="s">
        <v>107</v>
      </c>
      <c r="AU76" s="58">
        <v>1.93</v>
      </c>
      <c r="AV76" s="54" t="s">
        <v>107</v>
      </c>
      <c r="AW76" s="54">
        <v>1.66</v>
      </c>
      <c r="AX76" s="54" t="s">
        <v>107</v>
      </c>
      <c r="AY76" s="58" t="s">
        <v>107</v>
      </c>
      <c r="AZ76" s="54" t="s">
        <v>107</v>
      </c>
      <c r="BA76" s="58" t="s">
        <v>107</v>
      </c>
      <c r="BB76" s="54">
        <v>4.1500000000000004</v>
      </c>
      <c r="BC76" s="54">
        <v>6.11</v>
      </c>
      <c r="BD76" s="54">
        <v>4.04</v>
      </c>
      <c r="BE76" s="58" t="s">
        <v>107</v>
      </c>
      <c r="BF76" s="54" t="s">
        <v>107</v>
      </c>
      <c r="BG76" s="54" t="s">
        <v>107</v>
      </c>
      <c r="BH76" s="58" t="s">
        <v>107</v>
      </c>
      <c r="BI76" s="54" t="s">
        <v>107</v>
      </c>
      <c r="BJ76" s="54" t="s">
        <v>107</v>
      </c>
      <c r="BK76" s="54" t="s">
        <v>107</v>
      </c>
      <c r="BL76" s="58">
        <v>1.65</v>
      </c>
      <c r="BM76" s="54" t="s">
        <v>107</v>
      </c>
      <c r="BN76" s="54" t="s">
        <v>107</v>
      </c>
      <c r="BO76" s="58" t="s">
        <v>107</v>
      </c>
      <c r="BP76" s="54" t="s">
        <v>107</v>
      </c>
      <c r="BQ76" s="54" t="s">
        <v>107</v>
      </c>
      <c r="BR76" s="58">
        <v>2.61</v>
      </c>
      <c r="BS76" s="54">
        <v>3.77</v>
      </c>
      <c r="BT76" s="54">
        <v>1.73</v>
      </c>
      <c r="BU76" s="58" t="s">
        <v>107</v>
      </c>
      <c r="BV76" s="54" t="s">
        <v>107</v>
      </c>
      <c r="BW76" s="58" t="s">
        <v>107</v>
      </c>
      <c r="BX76" s="54" t="s">
        <v>107</v>
      </c>
      <c r="BY76" s="54" t="s">
        <v>107</v>
      </c>
      <c r="BZ76" s="54">
        <v>2.5</v>
      </c>
      <c r="CA76" s="58" t="s">
        <v>107</v>
      </c>
      <c r="CB76" s="54" t="s">
        <v>107</v>
      </c>
      <c r="CC76" s="54" t="s">
        <v>107</v>
      </c>
      <c r="CD76" s="54">
        <v>10.94</v>
      </c>
      <c r="CE76" s="58" t="s">
        <v>107</v>
      </c>
      <c r="CF76" s="58" t="s">
        <v>107</v>
      </c>
      <c r="CG76" s="54" t="s">
        <v>107</v>
      </c>
      <c r="CH76" s="54">
        <v>1.78</v>
      </c>
      <c r="CI76" s="54" t="s">
        <v>107</v>
      </c>
      <c r="CJ76" s="58" t="s">
        <v>107</v>
      </c>
    </row>
    <row r="77" spans="1:88">
      <c r="A77" s="24" t="s">
        <v>5208</v>
      </c>
      <c r="B77" s="24" t="s">
        <v>15</v>
      </c>
      <c r="C77" s="55" t="s">
        <v>54</v>
      </c>
      <c r="D77" s="18">
        <f>IFERROR(AVERAGEIFS(マスタ_業務・標準!$H:$H,マスタ_業務・標準!$D:$D,$A77,マスタ_業務・標準!$C:$C,$C77),"")</f>
        <v>1.65</v>
      </c>
      <c r="E77" s="58" t="s">
        <v>107</v>
      </c>
      <c r="F77" s="58" t="s">
        <v>107</v>
      </c>
      <c r="G77" s="54" t="s">
        <v>107</v>
      </c>
      <c r="H77" s="54" t="s">
        <v>107</v>
      </c>
      <c r="I77" s="54" t="s">
        <v>107</v>
      </c>
      <c r="J77" s="58" t="s">
        <v>107</v>
      </c>
      <c r="K77" s="54" t="s">
        <v>107</v>
      </c>
      <c r="L77" s="54" t="s">
        <v>107</v>
      </c>
      <c r="M77" s="58" t="s">
        <v>107</v>
      </c>
      <c r="N77" s="54" t="s">
        <v>107</v>
      </c>
      <c r="O77" s="54" t="s">
        <v>107</v>
      </c>
      <c r="P77" s="54" t="s">
        <v>107</v>
      </c>
      <c r="Q77" s="58" t="s">
        <v>107</v>
      </c>
      <c r="R77" s="54" t="s">
        <v>107</v>
      </c>
      <c r="S77" s="54" t="s">
        <v>107</v>
      </c>
      <c r="T77" s="58" t="s">
        <v>107</v>
      </c>
      <c r="U77" s="58" t="s">
        <v>107</v>
      </c>
      <c r="V77" s="54" t="s">
        <v>107</v>
      </c>
      <c r="W77" s="54" t="s">
        <v>107</v>
      </c>
      <c r="X77" s="54" t="s">
        <v>107</v>
      </c>
      <c r="Y77" s="58" t="s">
        <v>107</v>
      </c>
      <c r="Z77" s="54" t="s">
        <v>107</v>
      </c>
      <c r="AA77" s="54" t="s">
        <v>107</v>
      </c>
      <c r="AB77" s="54" t="s">
        <v>107</v>
      </c>
      <c r="AC77" s="58" t="s">
        <v>107</v>
      </c>
      <c r="AD77" s="54" t="s">
        <v>107</v>
      </c>
      <c r="AE77" s="54" t="s">
        <v>107</v>
      </c>
      <c r="AF77" s="54" t="s">
        <v>107</v>
      </c>
      <c r="AG77" s="58" t="s">
        <v>107</v>
      </c>
      <c r="AH77" s="54" t="s">
        <v>107</v>
      </c>
      <c r="AI77" s="54" t="s">
        <v>107</v>
      </c>
      <c r="AJ77" s="54" t="s">
        <v>107</v>
      </c>
      <c r="AK77" s="58" t="s">
        <v>107</v>
      </c>
      <c r="AL77" s="54" t="s">
        <v>107</v>
      </c>
      <c r="AM77" s="54" t="s">
        <v>107</v>
      </c>
      <c r="AN77" s="58" t="s">
        <v>107</v>
      </c>
      <c r="AO77" s="54" t="s">
        <v>107</v>
      </c>
      <c r="AP77" s="54" t="s">
        <v>107</v>
      </c>
      <c r="AQ77" s="54" t="s">
        <v>107</v>
      </c>
      <c r="AR77" s="58" t="s">
        <v>107</v>
      </c>
      <c r="AS77" s="54" t="s">
        <v>107</v>
      </c>
      <c r="AT77" s="54" t="s">
        <v>107</v>
      </c>
      <c r="AU77" s="58" t="s">
        <v>107</v>
      </c>
      <c r="AV77" s="54" t="s">
        <v>107</v>
      </c>
      <c r="AW77" s="54" t="s">
        <v>107</v>
      </c>
      <c r="AX77" s="54" t="s">
        <v>107</v>
      </c>
      <c r="AY77" s="58" t="s">
        <v>107</v>
      </c>
      <c r="AZ77" s="54" t="s">
        <v>107</v>
      </c>
      <c r="BA77" s="58" t="s">
        <v>107</v>
      </c>
      <c r="BB77" s="54" t="s">
        <v>107</v>
      </c>
      <c r="BC77" s="54" t="s">
        <v>107</v>
      </c>
      <c r="BD77" s="54" t="s">
        <v>107</v>
      </c>
      <c r="BE77" s="58" t="s">
        <v>107</v>
      </c>
      <c r="BF77" s="54" t="s">
        <v>107</v>
      </c>
      <c r="BG77" s="54" t="s">
        <v>107</v>
      </c>
      <c r="BH77" s="58" t="s">
        <v>107</v>
      </c>
      <c r="BI77" s="54" t="s">
        <v>107</v>
      </c>
      <c r="BJ77" s="54" t="s">
        <v>107</v>
      </c>
      <c r="BK77" s="54">
        <v>1.65</v>
      </c>
      <c r="BL77" s="58" t="s">
        <v>107</v>
      </c>
      <c r="BM77" s="54" t="s">
        <v>107</v>
      </c>
      <c r="BN77" s="54" t="s">
        <v>107</v>
      </c>
      <c r="BO77" s="58" t="s">
        <v>107</v>
      </c>
      <c r="BP77" s="54" t="s">
        <v>107</v>
      </c>
      <c r="BQ77" s="54" t="s">
        <v>107</v>
      </c>
      <c r="BR77" s="58" t="s">
        <v>107</v>
      </c>
      <c r="BS77" s="54" t="s">
        <v>107</v>
      </c>
      <c r="BT77" s="54" t="s">
        <v>107</v>
      </c>
      <c r="BU77" s="58" t="s">
        <v>107</v>
      </c>
      <c r="BV77" s="54" t="s">
        <v>107</v>
      </c>
      <c r="BW77" s="58" t="s">
        <v>107</v>
      </c>
      <c r="BX77" s="54" t="s">
        <v>107</v>
      </c>
      <c r="BY77" s="54" t="s">
        <v>107</v>
      </c>
      <c r="BZ77" s="54" t="s">
        <v>107</v>
      </c>
      <c r="CA77" s="58" t="s">
        <v>107</v>
      </c>
      <c r="CB77" s="54" t="s">
        <v>107</v>
      </c>
      <c r="CC77" s="54" t="s">
        <v>107</v>
      </c>
      <c r="CD77" s="54" t="s">
        <v>107</v>
      </c>
      <c r="CE77" s="58" t="s">
        <v>107</v>
      </c>
      <c r="CF77" s="58" t="s">
        <v>107</v>
      </c>
      <c r="CG77" s="54" t="s">
        <v>107</v>
      </c>
      <c r="CH77" s="54" t="s">
        <v>107</v>
      </c>
      <c r="CI77" s="54" t="s">
        <v>107</v>
      </c>
      <c r="CJ77" s="58" t="s">
        <v>107</v>
      </c>
    </row>
    <row r="78" spans="1:88">
      <c r="A78" s="24" t="s">
        <v>5208</v>
      </c>
      <c r="B78" s="24" t="s">
        <v>15</v>
      </c>
      <c r="C78" s="55" t="s">
        <v>55</v>
      </c>
      <c r="D78" s="18">
        <f>IFERROR(AVERAGEIFS(マスタ_業務・標準!$H:$H,マスタ_業務・標準!$D:$D,$A78,マスタ_業務・標準!$C:$C,$C78),"")</f>
        <v>6.16</v>
      </c>
      <c r="E78" s="58" t="s">
        <v>107</v>
      </c>
      <c r="F78" s="58" t="s">
        <v>107</v>
      </c>
      <c r="G78" s="54" t="s">
        <v>107</v>
      </c>
      <c r="H78" s="54" t="s">
        <v>107</v>
      </c>
      <c r="I78" s="54">
        <v>4.5999999999999996</v>
      </c>
      <c r="J78" s="58" t="s">
        <v>107</v>
      </c>
      <c r="K78" s="54" t="s">
        <v>107</v>
      </c>
      <c r="L78" s="54" t="s">
        <v>107</v>
      </c>
      <c r="M78" s="58" t="s">
        <v>107</v>
      </c>
      <c r="N78" s="54" t="s">
        <v>107</v>
      </c>
      <c r="O78" s="54" t="s">
        <v>107</v>
      </c>
      <c r="P78" s="54" t="s">
        <v>107</v>
      </c>
      <c r="Q78" s="58" t="s">
        <v>107</v>
      </c>
      <c r="R78" s="54" t="s">
        <v>107</v>
      </c>
      <c r="S78" s="54" t="s">
        <v>107</v>
      </c>
      <c r="T78" s="58" t="s">
        <v>107</v>
      </c>
      <c r="U78" s="58" t="s">
        <v>107</v>
      </c>
      <c r="V78" s="54" t="s">
        <v>107</v>
      </c>
      <c r="W78" s="54" t="s">
        <v>107</v>
      </c>
      <c r="X78" s="54" t="s">
        <v>107</v>
      </c>
      <c r="Y78" s="58" t="s">
        <v>107</v>
      </c>
      <c r="Z78" s="54" t="s">
        <v>107</v>
      </c>
      <c r="AA78" s="54">
        <v>4.2</v>
      </c>
      <c r="AB78" s="54">
        <v>12.16</v>
      </c>
      <c r="AC78" s="58" t="s">
        <v>107</v>
      </c>
      <c r="AD78" s="54" t="s">
        <v>107</v>
      </c>
      <c r="AE78" s="54" t="s">
        <v>107</v>
      </c>
      <c r="AF78" s="54" t="s">
        <v>107</v>
      </c>
      <c r="AG78" s="58" t="s">
        <v>107</v>
      </c>
      <c r="AH78" s="54" t="s">
        <v>107</v>
      </c>
      <c r="AI78" s="54" t="s">
        <v>107</v>
      </c>
      <c r="AJ78" s="54" t="s">
        <v>107</v>
      </c>
      <c r="AK78" s="58" t="s">
        <v>107</v>
      </c>
      <c r="AL78" s="54" t="s">
        <v>107</v>
      </c>
      <c r="AM78" s="54" t="s">
        <v>107</v>
      </c>
      <c r="AN78" s="58" t="s">
        <v>107</v>
      </c>
      <c r="AO78" s="54" t="s">
        <v>107</v>
      </c>
      <c r="AP78" s="54" t="s">
        <v>107</v>
      </c>
      <c r="AQ78" s="54" t="s">
        <v>107</v>
      </c>
      <c r="AR78" s="58" t="s">
        <v>107</v>
      </c>
      <c r="AS78" s="54" t="s">
        <v>107</v>
      </c>
      <c r="AT78" s="54" t="s">
        <v>107</v>
      </c>
      <c r="AU78" s="58" t="s">
        <v>107</v>
      </c>
      <c r="AV78" s="54" t="s">
        <v>107</v>
      </c>
      <c r="AW78" s="54" t="s">
        <v>107</v>
      </c>
      <c r="AX78" s="54" t="s">
        <v>107</v>
      </c>
      <c r="AY78" s="58" t="s">
        <v>107</v>
      </c>
      <c r="AZ78" s="54" t="s">
        <v>107</v>
      </c>
      <c r="BA78" s="58" t="s">
        <v>107</v>
      </c>
      <c r="BB78" s="54" t="s">
        <v>107</v>
      </c>
      <c r="BC78" s="54" t="s">
        <v>107</v>
      </c>
      <c r="BD78" s="54" t="s">
        <v>107</v>
      </c>
      <c r="BE78" s="58" t="s">
        <v>107</v>
      </c>
      <c r="BF78" s="54" t="s">
        <v>107</v>
      </c>
      <c r="BG78" s="54" t="s">
        <v>107</v>
      </c>
      <c r="BH78" s="58" t="s">
        <v>107</v>
      </c>
      <c r="BI78" s="54" t="s">
        <v>107</v>
      </c>
      <c r="BJ78" s="54" t="s">
        <v>107</v>
      </c>
      <c r="BK78" s="54" t="s">
        <v>107</v>
      </c>
      <c r="BL78" s="58" t="s">
        <v>107</v>
      </c>
      <c r="BM78" s="54" t="s">
        <v>107</v>
      </c>
      <c r="BN78" s="54" t="s">
        <v>107</v>
      </c>
      <c r="BO78" s="58" t="s">
        <v>107</v>
      </c>
      <c r="BP78" s="54" t="s">
        <v>107</v>
      </c>
      <c r="BQ78" s="54" t="s">
        <v>107</v>
      </c>
      <c r="BR78" s="58" t="s">
        <v>107</v>
      </c>
      <c r="BS78" s="54" t="s">
        <v>107</v>
      </c>
      <c r="BT78" s="54">
        <v>2.2200000000000002</v>
      </c>
      <c r="BU78" s="58">
        <v>5.08</v>
      </c>
      <c r="BV78" s="54" t="s">
        <v>107</v>
      </c>
      <c r="BW78" s="58" t="s">
        <v>107</v>
      </c>
      <c r="BX78" s="54">
        <v>8.6999999999999993</v>
      </c>
      <c r="BY78" s="54" t="s">
        <v>107</v>
      </c>
      <c r="BZ78" s="54" t="s">
        <v>107</v>
      </c>
      <c r="CA78" s="58" t="s">
        <v>107</v>
      </c>
      <c r="CB78" s="54" t="s">
        <v>107</v>
      </c>
      <c r="CC78" s="54" t="s">
        <v>107</v>
      </c>
      <c r="CD78" s="54" t="s">
        <v>107</v>
      </c>
      <c r="CE78" s="58" t="s">
        <v>107</v>
      </c>
      <c r="CF78" s="58" t="s">
        <v>107</v>
      </c>
      <c r="CG78" s="54" t="s">
        <v>107</v>
      </c>
      <c r="CH78" s="54" t="s">
        <v>107</v>
      </c>
      <c r="CI78" s="54" t="s">
        <v>107</v>
      </c>
      <c r="CJ78" s="58" t="s">
        <v>107</v>
      </c>
    </row>
    <row r="79" spans="1:88">
      <c r="A79" s="24" t="s">
        <v>5208</v>
      </c>
      <c r="B79" s="24" t="s">
        <v>15</v>
      </c>
      <c r="C79" s="55" t="s">
        <v>56</v>
      </c>
      <c r="D79" s="18">
        <f>IFERROR(AVERAGEIFS(マスタ_業務・標準!$H:$H,マスタ_業務・標準!$D:$D,$A79,マスタ_業務・標準!$C:$C,$C79),"")</f>
        <v>4.7</v>
      </c>
      <c r="E79" s="58" t="s">
        <v>107</v>
      </c>
      <c r="F79" s="58" t="s">
        <v>107</v>
      </c>
      <c r="G79" s="54" t="s">
        <v>107</v>
      </c>
      <c r="H79" s="54" t="s">
        <v>107</v>
      </c>
      <c r="I79" s="54" t="s">
        <v>107</v>
      </c>
      <c r="J79" s="58" t="s">
        <v>107</v>
      </c>
      <c r="K79" s="54" t="s">
        <v>107</v>
      </c>
      <c r="L79" s="54" t="s">
        <v>107</v>
      </c>
      <c r="M79" s="58" t="s">
        <v>107</v>
      </c>
      <c r="N79" s="54" t="s">
        <v>107</v>
      </c>
      <c r="O79" s="54" t="s">
        <v>107</v>
      </c>
      <c r="P79" s="54" t="s">
        <v>107</v>
      </c>
      <c r="Q79" s="58" t="s">
        <v>107</v>
      </c>
      <c r="R79" s="54" t="s">
        <v>107</v>
      </c>
      <c r="S79" s="54" t="s">
        <v>107</v>
      </c>
      <c r="T79" s="58" t="s">
        <v>107</v>
      </c>
      <c r="U79" s="58" t="s">
        <v>107</v>
      </c>
      <c r="V79" s="54" t="s">
        <v>107</v>
      </c>
      <c r="W79" s="54" t="s">
        <v>107</v>
      </c>
      <c r="X79" s="54" t="s">
        <v>107</v>
      </c>
      <c r="Y79" s="58" t="s">
        <v>107</v>
      </c>
      <c r="Z79" s="54" t="s">
        <v>107</v>
      </c>
      <c r="AA79" s="54" t="s">
        <v>107</v>
      </c>
      <c r="AB79" s="54" t="s">
        <v>107</v>
      </c>
      <c r="AC79" s="58" t="s">
        <v>107</v>
      </c>
      <c r="AD79" s="54" t="s">
        <v>107</v>
      </c>
      <c r="AE79" s="54">
        <v>7.27</v>
      </c>
      <c r="AF79" s="54" t="s">
        <v>107</v>
      </c>
      <c r="AG79" s="58" t="s">
        <v>107</v>
      </c>
      <c r="AH79" s="54">
        <v>7.07</v>
      </c>
      <c r="AI79" s="54" t="s">
        <v>107</v>
      </c>
      <c r="AJ79" s="54" t="s">
        <v>107</v>
      </c>
      <c r="AK79" s="58" t="s">
        <v>107</v>
      </c>
      <c r="AL79" s="54" t="s">
        <v>107</v>
      </c>
      <c r="AM79" s="54" t="s">
        <v>107</v>
      </c>
      <c r="AN79" s="58">
        <v>5.92</v>
      </c>
      <c r="AO79" s="54" t="s">
        <v>107</v>
      </c>
      <c r="AP79" s="54" t="s">
        <v>107</v>
      </c>
      <c r="AQ79" s="54" t="s">
        <v>107</v>
      </c>
      <c r="AR79" s="58">
        <v>4.6900000000000004</v>
      </c>
      <c r="AS79" s="54" t="s">
        <v>107</v>
      </c>
      <c r="AT79" s="54" t="s">
        <v>107</v>
      </c>
      <c r="AU79" s="58" t="s">
        <v>107</v>
      </c>
      <c r="AV79" s="54" t="s">
        <v>107</v>
      </c>
      <c r="AW79" s="54">
        <v>6.98</v>
      </c>
      <c r="AX79" s="54" t="s">
        <v>107</v>
      </c>
      <c r="AY79" s="58" t="s">
        <v>107</v>
      </c>
      <c r="AZ79" s="54" t="s">
        <v>107</v>
      </c>
      <c r="BA79" s="58" t="s">
        <v>107</v>
      </c>
      <c r="BB79" s="54" t="s">
        <v>107</v>
      </c>
      <c r="BC79" s="54" t="s">
        <v>107</v>
      </c>
      <c r="BD79" s="54">
        <v>4.03</v>
      </c>
      <c r="BE79" s="58" t="s">
        <v>107</v>
      </c>
      <c r="BF79" s="54" t="s">
        <v>107</v>
      </c>
      <c r="BG79" s="54" t="s">
        <v>107</v>
      </c>
      <c r="BH79" s="58" t="s">
        <v>107</v>
      </c>
      <c r="BI79" s="54" t="s">
        <v>107</v>
      </c>
      <c r="BJ79" s="54" t="s">
        <v>107</v>
      </c>
      <c r="BK79" s="54">
        <v>4.1900000000000004</v>
      </c>
      <c r="BL79" s="58" t="s">
        <v>107</v>
      </c>
      <c r="BM79" s="54" t="s">
        <v>107</v>
      </c>
      <c r="BN79" s="54">
        <v>2.4500000000000002</v>
      </c>
      <c r="BO79" s="58">
        <v>1.66</v>
      </c>
      <c r="BP79" s="54" t="s">
        <v>107</v>
      </c>
      <c r="BQ79" s="54">
        <v>5.31</v>
      </c>
      <c r="BR79" s="58">
        <v>4.74</v>
      </c>
      <c r="BS79" s="54" t="s">
        <v>107</v>
      </c>
      <c r="BT79" s="54">
        <v>3.26</v>
      </c>
      <c r="BU79" s="58">
        <v>4.45</v>
      </c>
      <c r="BV79" s="54" t="s">
        <v>107</v>
      </c>
      <c r="BW79" s="58" t="s">
        <v>107</v>
      </c>
      <c r="BX79" s="54">
        <v>4.0999999999999996</v>
      </c>
      <c r="BY79" s="54" t="s">
        <v>107</v>
      </c>
      <c r="BZ79" s="54">
        <v>1.53</v>
      </c>
      <c r="CA79" s="58">
        <v>4.54</v>
      </c>
      <c r="CB79" s="54" t="s">
        <v>107</v>
      </c>
      <c r="CC79" s="54" t="s">
        <v>107</v>
      </c>
      <c r="CD79" s="54">
        <v>2.39</v>
      </c>
      <c r="CE79" s="58" t="s">
        <v>107</v>
      </c>
      <c r="CF79" s="58" t="s">
        <v>107</v>
      </c>
      <c r="CG79" s="54" t="s">
        <v>107</v>
      </c>
      <c r="CH79" s="54">
        <v>10</v>
      </c>
      <c r="CI79" s="54" t="s">
        <v>107</v>
      </c>
      <c r="CJ79" s="58" t="s">
        <v>107</v>
      </c>
    </row>
    <row r="80" spans="1:88">
      <c r="A80" s="24" t="s">
        <v>5208</v>
      </c>
      <c r="B80" s="24" t="s">
        <v>15</v>
      </c>
      <c r="C80" s="55" t="s">
        <v>57</v>
      </c>
      <c r="D80" s="18">
        <f>IFERROR(AVERAGEIFS(マスタ_業務・標準!$H:$H,マスタ_業務・標準!$D:$D,$A80,マスタ_業務・標準!$C:$C,$C80),"")</f>
        <v>2.2200000000000002</v>
      </c>
      <c r="E80" s="58" t="s">
        <v>107</v>
      </c>
      <c r="F80" s="58" t="s">
        <v>107</v>
      </c>
      <c r="G80" s="54" t="s">
        <v>107</v>
      </c>
      <c r="H80" s="54" t="s">
        <v>107</v>
      </c>
      <c r="I80" s="54" t="s">
        <v>107</v>
      </c>
      <c r="J80" s="58" t="s">
        <v>107</v>
      </c>
      <c r="K80" s="54" t="s">
        <v>107</v>
      </c>
      <c r="L80" s="54" t="s">
        <v>107</v>
      </c>
      <c r="M80" s="58" t="s">
        <v>107</v>
      </c>
      <c r="N80" s="54" t="s">
        <v>107</v>
      </c>
      <c r="O80" s="54" t="s">
        <v>107</v>
      </c>
      <c r="P80" s="54" t="s">
        <v>107</v>
      </c>
      <c r="Q80" s="58" t="s">
        <v>107</v>
      </c>
      <c r="R80" s="54" t="s">
        <v>107</v>
      </c>
      <c r="S80" s="54" t="s">
        <v>107</v>
      </c>
      <c r="T80" s="58" t="s">
        <v>107</v>
      </c>
      <c r="U80" s="58" t="s">
        <v>107</v>
      </c>
      <c r="V80" s="54" t="s">
        <v>107</v>
      </c>
      <c r="W80" s="54" t="s">
        <v>107</v>
      </c>
      <c r="X80" s="54" t="s">
        <v>107</v>
      </c>
      <c r="Y80" s="58" t="s">
        <v>107</v>
      </c>
      <c r="Z80" s="54" t="s">
        <v>107</v>
      </c>
      <c r="AA80" s="54" t="s">
        <v>107</v>
      </c>
      <c r="AB80" s="54" t="s">
        <v>107</v>
      </c>
      <c r="AC80" s="58" t="s">
        <v>107</v>
      </c>
      <c r="AD80" s="54" t="s">
        <v>107</v>
      </c>
      <c r="AE80" s="54" t="s">
        <v>107</v>
      </c>
      <c r="AF80" s="54" t="s">
        <v>107</v>
      </c>
      <c r="AG80" s="58" t="s">
        <v>107</v>
      </c>
      <c r="AH80" s="54" t="s">
        <v>107</v>
      </c>
      <c r="AI80" s="54" t="s">
        <v>107</v>
      </c>
      <c r="AJ80" s="54" t="s">
        <v>107</v>
      </c>
      <c r="AK80" s="58" t="s">
        <v>107</v>
      </c>
      <c r="AL80" s="54" t="s">
        <v>107</v>
      </c>
      <c r="AM80" s="54" t="s">
        <v>107</v>
      </c>
      <c r="AN80" s="58" t="s">
        <v>107</v>
      </c>
      <c r="AO80" s="54" t="s">
        <v>107</v>
      </c>
      <c r="AP80" s="54" t="s">
        <v>107</v>
      </c>
      <c r="AQ80" s="54" t="s">
        <v>107</v>
      </c>
      <c r="AR80" s="58" t="s">
        <v>107</v>
      </c>
      <c r="AS80" s="54" t="s">
        <v>107</v>
      </c>
      <c r="AT80" s="54" t="s">
        <v>107</v>
      </c>
      <c r="AU80" s="58" t="s">
        <v>107</v>
      </c>
      <c r="AV80" s="54" t="s">
        <v>107</v>
      </c>
      <c r="AW80" s="54">
        <v>2.2200000000000002</v>
      </c>
      <c r="AX80" s="54" t="s">
        <v>107</v>
      </c>
      <c r="AY80" s="58" t="s">
        <v>107</v>
      </c>
      <c r="AZ80" s="54" t="s">
        <v>107</v>
      </c>
      <c r="BA80" s="58" t="s">
        <v>107</v>
      </c>
      <c r="BB80" s="54" t="s">
        <v>107</v>
      </c>
      <c r="BC80" s="54" t="s">
        <v>107</v>
      </c>
      <c r="BD80" s="54" t="s">
        <v>107</v>
      </c>
      <c r="BE80" s="58" t="s">
        <v>107</v>
      </c>
      <c r="BF80" s="54" t="s">
        <v>107</v>
      </c>
      <c r="BG80" s="54" t="s">
        <v>107</v>
      </c>
      <c r="BH80" s="58" t="s">
        <v>107</v>
      </c>
      <c r="BI80" s="54" t="s">
        <v>107</v>
      </c>
      <c r="BJ80" s="54" t="s">
        <v>107</v>
      </c>
      <c r="BK80" s="54" t="s">
        <v>107</v>
      </c>
      <c r="BL80" s="58" t="s">
        <v>107</v>
      </c>
      <c r="BM80" s="54" t="s">
        <v>107</v>
      </c>
      <c r="BN80" s="54" t="s">
        <v>107</v>
      </c>
      <c r="BO80" s="58" t="s">
        <v>107</v>
      </c>
      <c r="BP80" s="54" t="s">
        <v>107</v>
      </c>
      <c r="BQ80" s="54" t="s">
        <v>107</v>
      </c>
      <c r="BR80" s="58" t="s">
        <v>107</v>
      </c>
      <c r="BS80" s="54" t="s">
        <v>107</v>
      </c>
      <c r="BT80" s="54" t="s">
        <v>107</v>
      </c>
      <c r="BU80" s="58" t="s">
        <v>107</v>
      </c>
      <c r="BV80" s="54" t="s">
        <v>107</v>
      </c>
      <c r="BW80" s="58" t="s">
        <v>107</v>
      </c>
      <c r="BX80" s="54" t="s">
        <v>107</v>
      </c>
      <c r="BY80" s="54" t="s">
        <v>107</v>
      </c>
      <c r="BZ80" s="54" t="s">
        <v>107</v>
      </c>
      <c r="CA80" s="58" t="s">
        <v>107</v>
      </c>
      <c r="CB80" s="54" t="s">
        <v>107</v>
      </c>
      <c r="CC80" s="54" t="s">
        <v>107</v>
      </c>
      <c r="CD80" s="54" t="s">
        <v>107</v>
      </c>
      <c r="CE80" s="58" t="s">
        <v>107</v>
      </c>
      <c r="CF80" s="58" t="s">
        <v>107</v>
      </c>
      <c r="CG80" s="54" t="s">
        <v>107</v>
      </c>
      <c r="CH80" s="54" t="s">
        <v>107</v>
      </c>
      <c r="CI80" s="54" t="s">
        <v>107</v>
      </c>
      <c r="CJ80" s="58" t="s">
        <v>107</v>
      </c>
    </row>
    <row r="81" spans="1:88">
      <c r="A81" s="24" t="s">
        <v>5208</v>
      </c>
      <c r="B81" s="24" t="s">
        <v>15</v>
      </c>
      <c r="C81" s="55" t="s">
        <v>58</v>
      </c>
      <c r="D81" s="18">
        <f>IFERROR(AVERAGEIFS(マスタ_業務・標準!$H:$H,マスタ_業務・標準!$D:$D,$A81,マスタ_業務・標準!$C:$C,$C81),"")</f>
        <v>4.05</v>
      </c>
      <c r="E81" s="58" t="s">
        <v>107</v>
      </c>
      <c r="F81" s="58" t="s">
        <v>107</v>
      </c>
      <c r="G81" s="54" t="s">
        <v>107</v>
      </c>
      <c r="H81" s="54" t="s">
        <v>107</v>
      </c>
      <c r="I81" s="54" t="s">
        <v>107</v>
      </c>
      <c r="J81" s="58" t="s">
        <v>107</v>
      </c>
      <c r="K81" s="54" t="s">
        <v>107</v>
      </c>
      <c r="L81" s="54" t="s">
        <v>107</v>
      </c>
      <c r="M81" s="58" t="s">
        <v>107</v>
      </c>
      <c r="N81" s="54" t="s">
        <v>107</v>
      </c>
      <c r="O81" s="54" t="s">
        <v>107</v>
      </c>
      <c r="P81" s="54" t="s">
        <v>107</v>
      </c>
      <c r="Q81" s="58" t="s">
        <v>107</v>
      </c>
      <c r="R81" s="54" t="s">
        <v>107</v>
      </c>
      <c r="S81" s="54" t="s">
        <v>107</v>
      </c>
      <c r="T81" s="58" t="s">
        <v>107</v>
      </c>
      <c r="U81" s="58" t="s">
        <v>107</v>
      </c>
      <c r="V81" s="54" t="s">
        <v>107</v>
      </c>
      <c r="W81" s="54" t="s">
        <v>107</v>
      </c>
      <c r="X81" s="54">
        <v>2.54</v>
      </c>
      <c r="Y81" s="58" t="s">
        <v>107</v>
      </c>
      <c r="Z81" s="54" t="s">
        <v>107</v>
      </c>
      <c r="AA81" s="54">
        <v>3.75</v>
      </c>
      <c r="AB81" s="54" t="s">
        <v>107</v>
      </c>
      <c r="AC81" s="58" t="s">
        <v>107</v>
      </c>
      <c r="AD81" s="54" t="s">
        <v>107</v>
      </c>
      <c r="AE81" s="54" t="s">
        <v>107</v>
      </c>
      <c r="AF81" s="54" t="s">
        <v>107</v>
      </c>
      <c r="AG81" s="58" t="s">
        <v>107</v>
      </c>
      <c r="AH81" s="54" t="s">
        <v>107</v>
      </c>
      <c r="AI81" s="54" t="s">
        <v>107</v>
      </c>
      <c r="AJ81" s="54" t="s">
        <v>107</v>
      </c>
      <c r="AK81" s="58" t="s">
        <v>107</v>
      </c>
      <c r="AL81" s="54" t="s">
        <v>107</v>
      </c>
      <c r="AM81" s="54" t="s">
        <v>107</v>
      </c>
      <c r="AN81" s="58">
        <v>2.23</v>
      </c>
      <c r="AO81" s="54" t="s">
        <v>107</v>
      </c>
      <c r="AP81" s="54" t="s">
        <v>107</v>
      </c>
      <c r="AQ81" s="54" t="s">
        <v>107</v>
      </c>
      <c r="AR81" s="58" t="s">
        <v>107</v>
      </c>
      <c r="AS81" s="54" t="s">
        <v>107</v>
      </c>
      <c r="AT81" s="54" t="s">
        <v>107</v>
      </c>
      <c r="AU81" s="58" t="s">
        <v>107</v>
      </c>
      <c r="AV81" s="54" t="s">
        <v>107</v>
      </c>
      <c r="AW81" s="54" t="s">
        <v>107</v>
      </c>
      <c r="AX81" s="54" t="s">
        <v>107</v>
      </c>
      <c r="AY81" s="58" t="s">
        <v>107</v>
      </c>
      <c r="AZ81" s="54" t="s">
        <v>107</v>
      </c>
      <c r="BA81" s="58" t="s">
        <v>107</v>
      </c>
      <c r="BB81" s="54">
        <v>4.68</v>
      </c>
      <c r="BC81" s="54">
        <v>2.5099999999999998</v>
      </c>
      <c r="BD81" s="54" t="s">
        <v>107</v>
      </c>
      <c r="BE81" s="58" t="s">
        <v>107</v>
      </c>
      <c r="BF81" s="54" t="s">
        <v>107</v>
      </c>
      <c r="BG81" s="54" t="s">
        <v>107</v>
      </c>
      <c r="BH81" s="58" t="s">
        <v>107</v>
      </c>
      <c r="BI81" s="54" t="s">
        <v>107</v>
      </c>
      <c r="BJ81" s="54" t="s">
        <v>107</v>
      </c>
      <c r="BK81" s="54" t="s">
        <v>107</v>
      </c>
      <c r="BL81" s="58">
        <v>2.46</v>
      </c>
      <c r="BM81" s="54" t="s">
        <v>107</v>
      </c>
      <c r="BN81" s="54" t="s">
        <v>107</v>
      </c>
      <c r="BO81" s="58" t="s">
        <v>107</v>
      </c>
      <c r="BP81" s="54" t="s">
        <v>107</v>
      </c>
      <c r="BQ81" s="54" t="s">
        <v>107</v>
      </c>
      <c r="BR81" s="58" t="s">
        <v>107</v>
      </c>
      <c r="BS81" s="54" t="s">
        <v>107</v>
      </c>
      <c r="BT81" s="54" t="s">
        <v>107</v>
      </c>
      <c r="BU81" s="58">
        <v>7.63</v>
      </c>
      <c r="BV81" s="54" t="s">
        <v>107</v>
      </c>
      <c r="BW81" s="58" t="s">
        <v>107</v>
      </c>
      <c r="BX81" s="54">
        <v>6.59</v>
      </c>
      <c r="BY81" s="54" t="s">
        <v>107</v>
      </c>
      <c r="BZ81" s="54" t="s">
        <v>107</v>
      </c>
      <c r="CA81" s="58" t="s">
        <v>107</v>
      </c>
      <c r="CB81" s="54" t="s">
        <v>107</v>
      </c>
      <c r="CC81" s="54" t="s">
        <v>107</v>
      </c>
      <c r="CD81" s="54" t="s">
        <v>107</v>
      </c>
      <c r="CE81" s="58" t="s">
        <v>107</v>
      </c>
      <c r="CF81" s="58" t="s">
        <v>107</v>
      </c>
      <c r="CG81" s="54" t="s">
        <v>107</v>
      </c>
      <c r="CH81" s="54" t="s">
        <v>107</v>
      </c>
      <c r="CI81" s="54" t="s">
        <v>107</v>
      </c>
      <c r="CJ81" s="58" t="s">
        <v>107</v>
      </c>
    </row>
    <row r="82" spans="1:88">
      <c r="A82" s="24" t="s">
        <v>5208</v>
      </c>
      <c r="B82" s="24" t="s">
        <v>15</v>
      </c>
      <c r="C82" s="55" t="s">
        <v>59</v>
      </c>
      <c r="D82" s="18">
        <f>IFERROR(AVERAGEIFS(マスタ_業務・標準!$H:$H,マスタ_業務・標準!$D:$D,$A82,マスタ_業務・標準!$C:$C,$C82),"")</f>
        <v>4.3600000000000003</v>
      </c>
      <c r="E82" s="58" t="s">
        <v>107</v>
      </c>
      <c r="F82" s="58" t="s">
        <v>107</v>
      </c>
      <c r="G82" s="54" t="s">
        <v>107</v>
      </c>
      <c r="H82" s="54" t="s">
        <v>107</v>
      </c>
      <c r="I82" s="54" t="s">
        <v>107</v>
      </c>
      <c r="J82" s="58" t="s">
        <v>107</v>
      </c>
      <c r="K82" s="54" t="s">
        <v>107</v>
      </c>
      <c r="L82" s="54" t="s">
        <v>107</v>
      </c>
      <c r="M82" s="58" t="s">
        <v>107</v>
      </c>
      <c r="N82" s="54" t="s">
        <v>107</v>
      </c>
      <c r="O82" s="54" t="s">
        <v>107</v>
      </c>
      <c r="P82" s="54" t="s">
        <v>107</v>
      </c>
      <c r="Q82" s="58" t="s">
        <v>107</v>
      </c>
      <c r="R82" s="54" t="s">
        <v>107</v>
      </c>
      <c r="S82" s="54" t="s">
        <v>107</v>
      </c>
      <c r="T82" s="58" t="s">
        <v>107</v>
      </c>
      <c r="U82" s="58" t="s">
        <v>107</v>
      </c>
      <c r="V82" s="54" t="s">
        <v>107</v>
      </c>
      <c r="W82" s="54" t="s">
        <v>107</v>
      </c>
      <c r="X82" s="54" t="s">
        <v>107</v>
      </c>
      <c r="Y82" s="58" t="s">
        <v>107</v>
      </c>
      <c r="Z82" s="54" t="s">
        <v>107</v>
      </c>
      <c r="AA82" s="54">
        <v>5.21</v>
      </c>
      <c r="AB82" s="54">
        <v>4.63</v>
      </c>
      <c r="AC82" s="58" t="s">
        <v>107</v>
      </c>
      <c r="AD82" s="54" t="s">
        <v>107</v>
      </c>
      <c r="AE82" s="54" t="s">
        <v>107</v>
      </c>
      <c r="AF82" s="54" t="s">
        <v>107</v>
      </c>
      <c r="AG82" s="58" t="s">
        <v>107</v>
      </c>
      <c r="AH82" s="54" t="s">
        <v>107</v>
      </c>
      <c r="AI82" s="54" t="s">
        <v>107</v>
      </c>
      <c r="AJ82" s="54" t="s">
        <v>107</v>
      </c>
      <c r="AK82" s="58" t="s">
        <v>107</v>
      </c>
      <c r="AL82" s="54" t="s">
        <v>107</v>
      </c>
      <c r="AM82" s="54" t="s">
        <v>107</v>
      </c>
      <c r="AN82" s="58" t="s">
        <v>107</v>
      </c>
      <c r="AO82" s="54" t="s">
        <v>107</v>
      </c>
      <c r="AP82" s="54" t="s">
        <v>107</v>
      </c>
      <c r="AQ82" s="54" t="s">
        <v>107</v>
      </c>
      <c r="AR82" s="58" t="s">
        <v>107</v>
      </c>
      <c r="AS82" s="54" t="s">
        <v>107</v>
      </c>
      <c r="AT82" s="54" t="s">
        <v>107</v>
      </c>
      <c r="AU82" s="58" t="s">
        <v>107</v>
      </c>
      <c r="AV82" s="54" t="s">
        <v>107</v>
      </c>
      <c r="AW82" s="54" t="s">
        <v>107</v>
      </c>
      <c r="AX82" s="54" t="s">
        <v>107</v>
      </c>
      <c r="AY82" s="58" t="s">
        <v>107</v>
      </c>
      <c r="AZ82" s="54" t="s">
        <v>107</v>
      </c>
      <c r="BA82" s="58" t="s">
        <v>107</v>
      </c>
      <c r="BB82" s="54" t="s">
        <v>107</v>
      </c>
      <c r="BC82" s="54" t="s">
        <v>107</v>
      </c>
      <c r="BD82" s="54">
        <v>3.63</v>
      </c>
      <c r="BE82" s="58" t="s">
        <v>107</v>
      </c>
      <c r="BF82" s="54" t="s">
        <v>107</v>
      </c>
      <c r="BG82" s="54" t="s">
        <v>107</v>
      </c>
      <c r="BH82" s="58" t="s">
        <v>107</v>
      </c>
      <c r="BI82" s="54" t="s">
        <v>107</v>
      </c>
      <c r="BJ82" s="54" t="s">
        <v>107</v>
      </c>
      <c r="BK82" s="54" t="s">
        <v>107</v>
      </c>
      <c r="BL82" s="58" t="s">
        <v>107</v>
      </c>
      <c r="BM82" s="54" t="s">
        <v>107</v>
      </c>
      <c r="BN82" s="54">
        <v>3.96</v>
      </c>
      <c r="BO82" s="58" t="s">
        <v>107</v>
      </c>
      <c r="BP82" s="54" t="s">
        <v>107</v>
      </c>
      <c r="BQ82" s="54" t="s">
        <v>107</v>
      </c>
      <c r="BR82" s="58" t="s">
        <v>107</v>
      </c>
      <c r="BS82" s="54" t="s">
        <v>107</v>
      </c>
      <c r="BT82" s="54" t="s">
        <v>107</v>
      </c>
      <c r="BU82" s="58" t="s">
        <v>107</v>
      </c>
      <c r="BV82" s="54" t="s">
        <v>107</v>
      </c>
      <c r="BW82" s="58" t="s">
        <v>107</v>
      </c>
      <c r="BX82" s="54" t="s">
        <v>107</v>
      </c>
      <c r="BY82" s="54" t="s">
        <v>107</v>
      </c>
      <c r="BZ82" s="54" t="s">
        <v>107</v>
      </c>
      <c r="CA82" s="58" t="s">
        <v>107</v>
      </c>
      <c r="CB82" s="54" t="s">
        <v>107</v>
      </c>
      <c r="CC82" s="54" t="s">
        <v>107</v>
      </c>
      <c r="CD82" s="54" t="s">
        <v>107</v>
      </c>
      <c r="CE82" s="58" t="s">
        <v>107</v>
      </c>
      <c r="CF82" s="58" t="s">
        <v>107</v>
      </c>
      <c r="CG82" s="54" t="s">
        <v>107</v>
      </c>
      <c r="CH82" s="54" t="s">
        <v>107</v>
      </c>
      <c r="CI82" s="54" t="s">
        <v>107</v>
      </c>
      <c r="CJ82" s="58" t="s">
        <v>107</v>
      </c>
    </row>
    <row r="83" spans="1:88">
      <c r="A83" s="24" t="s">
        <v>5208</v>
      </c>
      <c r="B83" s="24" t="s">
        <v>15</v>
      </c>
      <c r="C83" s="55" t="s">
        <v>60</v>
      </c>
      <c r="D83" s="18">
        <f>IFERROR(AVERAGEIFS(マスタ_業務・標準!$H:$H,マスタ_業務・標準!$D:$D,$A83,マスタ_業務・標準!$C:$C,$C83),"")</f>
        <v>3.11</v>
      </c>
      <c r="E83" s="58" t="s">
        <v>107</v>
      </c>
      <c r="F83" s="58" t="s">
        <v>107</v>
      </c>
      <c r="G83" s="54" t="s">
        <v>107</v>
      </c>
      <c r="H83" s="54" t="s">
        <v>107</v>
      </c>
      <c r="I83" s="54" t="s">
        <v>107</v>
      </c>
      <c r="J83" s="58" t="s">
        <v>107</v>
      </c>
      <c r="K83" s="54" t="s">
        <v>107</v>
      </c>
      <c r="L83" s="54" t="s">
        <v>107</v>
      </c>
      <c r="M83" s="58" t="s">
        <v>107</v>
      </c>
      <c r="N83" s="54" t="s">
        <v>107</v>
      </c>
      <c r="O83" s="54" t="s">
        <v>107</v>
      </c>
      <c r="P83" s="54" t="s">
        <v>107</v>
      </c>
      <c r="Q83" s="58" t="s">
        <v>107</v>
      </c>
      <c r="R83" s="54" t="s">
        <v>107</v>
      </c>
      <c r="S83" s="54" t="s">
        <v>107</v>
      </c>
      <c r="T83" s="58" t="s">
        <v>107</v>
      </c>
      <c r="U83" s="58" t="s">
        <v>107</v>
      </c>
      <c r="V83" s="54" t="s">
        <v>107</v>
      </c>
      <c r="W83" s="54" t="s">
        <v>107</v>
      </c>
      <c r="X83" s="54" t="s">
        <v>107</v>
      </c>
      <c r="Y83" s="58" t="s">
        <v>107</v>
      </c>
      <c r="Z83" s="54" t="s">
        <v>107</v>
      </c>
      <c r="AA83" s="54" t="s">
        <v>107</v>
      </c>
      <c r="AB83" s="54">
        <v>3.68</v>
      </c>
      <c r="AC83" s="58" t="s">
        <v>107</v>
      </c>
      <c r="AD83" s="54" t="s">
        <v>107</v>
      </c>
      <c r="AE83" s="54" t="s">
        <v>107</v>
      </c>
      <c r="AF83" s="54" t="s">
        <v>107</v>
      </c>
      <c r="AG83" s="58" t="s">
        <v>107</v>
      </c>
      <c r="AH83" s="54" t="s">
        <v>107</v>
      </c>
      <c r="AI83" s="54" t="s">
        <v>107</v>
      </c>
      <c r="AJ83" s="54" t="s">
        <v>107</v>
      </c>
      <c r="AK83" s="58" t="s">
        <v>107</v>
      </c>
      <c r="AL83" s="54" t="s">
        <v>107</v>
      </c>
      <c r="AM83" s="54" t="s">
        <v>107</v>
      </c>
      <c r="AN83" s="58" t="s">
        <v>107</v>
      </c>
      <c r="AO83" s="54" t="s">
        <v>107</v>
      </c>
      <c r="AP83" s="54" t="s">
        <v>107</v>
      </c>
      <c r="AQ83" s="54" t="s">
        <v>107</v>
      </c>
      <c r="AR83" s="58" t="s">
        <v>107</v>
      </c>
      <c r="AS83" s="54" t="s">
        <v>107</v>
      </c>
      <c r="AT83" s="54" t="s">
        <v>107</v>
      </c>
      <c r="AU83" s="58" t="s">
        <v>107</v>
      </c>
      <c r="AV83" s="54" t="s">
        <v>107</v>
      </c>
      <c r="AW83" s="54" t="s">
        <v>107</v>
      </c>
      <c r="AX83" s="54" t="s">
        <v>107</v>
      </c>
      <c r="AY83" s="58" t="s">
        <v>107</v>
      </c>
      <c r="AZ83" s="54" t="s">
        <v>107</v>
      </c>
      <c r="BA83" s="58" t="s">
        <v>107</v>
      </c>
      <c r="BB83" s="54">
        <v>2.5299999999999998</v>
      </c>
      <c r="BC83" s="54" t="s">
        <v>107</v>
      </c>
      <c r="BD83" s="54" t="s">
        <v>107</v>
      </c>
      <c r="BE83" s="58" t="s">
        <v>107</v>
      </c>
      <c r="BF83" s="54" t="s">
        <v>107</v>
      </c>
      <c r="BG83" s="54" t="s">
        <v>107</v>
      </c>
      <c r="BH83" s="58" t="s">
        <v>107</v>
      </c>
      <c r="BI83" s="54" t="s">
        <v>107</v>
      </c>
      <c r="BJ83" s="54" t="s">
        <v>107</v>
      </c>
      <c r="BK83" s="54" t="s">
        <v>107</v>
      </c>
      <c r="BL83" s="58" t="s">
        <v>107</v>
      </c>
      <c r="BM83" s="54" t="s">
        <v>107</v>
      </c>
      <c r="BN83" s="54" t="s">
        <v>107</v>
      </c>
      <c r="BO83" s="58" t="s">
        <v>107</v>
      </c>
      <c r="BP83" s="54" t="s">
        <v>107</v>
      </c>
      <c r="BQ83" s="54" t="s">
        <v>107</v>
      </c>
      <c r="BR83" s="58" t="s">
        <v>107</v>
      </c>
      <c r="BS83" s="54" t="s">
        <v>107</v>
      </c>
      <c r="BT83" s="54" t="s">
        <v>107</v>
      </c>
      <c r="BU83" s="58" t="s">
        <v>107</v>
      </c>
      <c r="BV83" s="54" t="s">
        <v>107</v>
      </c>
      <c r="BW83" s="58" t="s">
        <v>107</v>
      </c>
      <c r="BX83" s="54" t="s">
        <v>107</v>
      </c>
      <c r="BY83" s="54" t="s">
        <v>107</v>
      </c>
      <c r="BZ83" s="54" t="s">
        <v>107</v>
      </c>
      <c r="CA83" s="58" t="s">
        <v>107</v>
      </c>
      <c r="CB83" s="54" t="s">
        <v>107</v>
      </c>
      <c r="CC83" s="54" t="s">
        <v>107</v>
      </c>
      <c r="CD83" s="54" t="s">
        <v>107</v>
      </c>
      <c r="CE83" s="58" t="s">
        <v>107</v>
      </c>
      <c r="CF83" s="58" t="s">
        <v>107</v>
      </c>
      <c r="CG83" s="54" t="s">
        <v>107</v>
      </c>
      <c r="CH83" s="54" t="s">
        <v>107</v>
      </c>
      <c r="CI83" s="54" t="s">
        <v>107</v>
      </c>
      <c r="CJ83" s="58" t="s">
        <v>107</v>
      </c>
    </row>
    <row r="84" spans="1:88">
      <c r="A84" s="24" t="s">
        <v>5208</v>
      </c>
      <c r="B84" s="24" t="s">
        <v>15</v>
      </c>
      <c r="C84" s="55" t="s">
        <v>61</v>
      </c>
      <c r="D84" s="18">
        <f>IFERROR(AVERAGEIFS(マスタ_業務・標準!$H:$H,マスタ_業務・標準!$D:$D,$A84,マスタ_業務・標準!$C:$C,$C84),"")</f>
        <v>4.12</v>
      </c>
      <c r="E84" s="58" t="s">
        <v>107</v>
      </c>
      <c r="F84" s="58" t="s">
        <v>107</v>
      </c>
      <c r="G84" s="54" t="s">
        <v>107</v>
      </c>
      <c r="H84" s="54" t="s">
        <v>107</v>
      </c>
      <c r="I84" s="54" t="s">
        <v>107</v>
      </c>
      <c r="J84" s="58" t="s">
        <v>107</v>
      </c>
      <c r="K84" s="54" t="s">
        <v>107</v>
      </c>
      <c r="L84" s="54" t="s">
        <v>107</v>
      </c>
      <c r="M84" s="58" t="s">
        <v>107</v>
      </c>
      <c r="N84" s="54" t="s">
        <v>107</v>
      </c>
      <c r="O84" s="54" t="s">
        <v>107</v>
      </c>
      <c r="P84" s="54" t="s">
        <v>107</v>
      </c>
      <c r="Q84" s="58" t="s">
        <v>107</v>
      </c>
      <c r="R84" s="54" t="s">
        <v>107</v>
      </c>
      <c r="S84" s="54" t="s">
        <v>107</v>
      </c>
      <c r="T84" s="58" t="s">
        <v>107</v>
      </c>
      <c r="U84" s="58" t="s">
        <v>107</v>
      </c>
      <c r="V84" s="54" t="s">
        <v>107</v>
      </c>
      <c r="W84" s="54" t="s">
        <v>107</v>
      </c>
      <c r="X84" s="54" t="s">
        <v>107</v>
      </c>
      <c r="Y84" s="58" t="s">
        <v>107</v>
      </c>
      <c r="Z84" s="54" t="s">
        <v>107</v>
      </c>
      <c r="AA84" s="54" t="s">
        <v>107</v>
      </c>
      <c r="AB84" s="54" t="s">
        <v>107</v>
      </c>
      <c r="AC84" s="58" t="s">
        <v>107</v>
      </c>
      <c r="AD84" s="54" t="s">
        <v>107</v>
      </c>
      <c r="AE84" s="54">
        <v>3.21</v>
      </c>
      <c r="AF84" s="54" t="s">
        <v>107</v>
      </c>
      <c r="AG84" s="58" t="s">
        <v>107</v>
      </c>
      <c r="AH84" s="54" t="s">
        <v>107</v>
      </c>
      <c r="AI84" s="54" t="s">
        <v>107</v>
      </c>
      <c r="AJ84" s="54" t="s">
        <v>107</v>
      </c>
      <c r="AK84" s="58" t="s">
        <v>107</v>
      </c>
      <c r="AL84" s="54" t="s">
        <v>107</v>
      </c>
      <c r="AM84" s="54" t="s">
        <v>107</v>
      </c>
      <c r="AN84" s="58" t="s">
        <v>107</v>
      </c>
      <c r="AO84" s="54" t="s">
        <v>107</v>
      </c>
      <c r="AP84" s="54" t="s">
        <v>107</v>
      </c>
      <c r="AQ84" s="54" t="s">
        <v>107</v>
      </c>
      <c r="AR84" s="58" t="s">
        <v>107</v>
      </c>
      <c r="AS84" s="54" t="s">
        <v>107</v>
      </c>
      <c r="AT84" s="54" t="s">
        <v>107</v>
      </c>
      <c r="AU84" s="58">
        <v>2.5099999999999998</v>
      </c>
      <c r="AV84" s="54" t="s">
        <v>107</v>
      </c>
      <c r="AW84" s="54" t="s">
        <v>107</v>
      </c>
      <c r="AX84" s="54" t="s">
        <v>107</v>
      </c>
      <c r="AY84" s="58" t="s">
        <v>107</v>
      </c>
      <c r="AZ84" s="54" t="s">
        <v>107</v>
      </c>
      <c r="BA84" s="58" t="s">
        <v>107</v>
      </c>
      <c r="BB84" s="54" t="s">
        <v>107</v>
      </c>
      <c r="BC84" s="54">
        <v>5.61</v>
      </c>
      <c r="BD84" s="54" t="s">
        <v>107</v>
      </c>
      <c r="BE84" s="58" t="s">
        <v>107</v>
      </c>
      <c r="BF84" s="54" t="s">
        <v>107</v>
      </c>
      <c r="BG84" s="54" t="s">
        <v>107</v>
      </c>
      <c r="BH84" s="58" t="s">
        <v>107</v>
      </c>
      <c r="BI84" s="54" t="s">
        <v>107</v>
      </c>
      <c r="BJ84" s="54" t="s">
        <v>107</v>
      </c>
      <c r="BK84" s="54" t="s">
        <v>107</v>
      </c>
      <c r="BL84" s="58" t="s">
        <v>107</v>
      </c>
      <c r="BM84" s="54" t="s">
        <v>107</v>
      </c>
      <c r="BN84" s="54" t="s">
        <v>107</v>
      </c>
      <c r="BO84" s="58" t="s">
        <v>107</v>
      </c>
      <c r="BP84" s="54" t="s">
        <v>107</v>
      </c>
      <c r="BQ84" s="54" t="s">
        <v>107</v>
      </c>
      <c r="BR84" s="58" t="s">
        <v>107</v>
      </c>
      <c r="BS84" s="54" t="s">
        <v>107</v>
      </c>
      <c r="BT84" s="54" t="s">
        <v>107</v>
      </c>
      <c r="BU84" s="58">
        <v>6.9</v>
      </c>
      <c r="BV84" s="54" t="s">
        <v>107</v>
      </c>
      <c r="BW84" s="58" t="s">
        <v>107</v>
      </c>
      <c r="BX84" s="54">
        <v>3.56</v>
      </c>
      <c r="BY84" s="54" t="s">
        <v>107</v>
      </c>
      <c r="BZ84" s="54" t="s">
        <v>107</v>
      </c>
      <c r="CA84" s="58" t="s">
        <v>107</v>
      </c>
      <c r="CB84" s="54" t="s">
        <v>107</v>
      </c>
      <c r="CC84" s="54" t="s">
        <v>107</v>
      </c>
      <c r="CD84" s="54" t="s">
        <v>107</v>
      </c>
      <c r="CE84" s="58">
        <v>2.96</v>
      </c>
      <c r="CF84" s="58" t="s">
        <v>107</v>
      </c>
      <c r="CG84" s="54" t="s">
        <v>107</v>
      </c>
      <c r="CH84" s="54" t="s">
        <v>107</v>
      </c>
      <c r="CI84" s="54" t="s">
        <v>107</v>
      </c>
      <c r="CJ84" s="58" t="s">
        <v>107</v>
      </c>
    </row>
    <row r="85" spans="1:88">
      <c r="A85" s="24" t="s">
        <v>5208</v>
      </c>
      <c r="B85" s="24" t="s">
        <v>15</v>
      </c>
      <c r="C85" s="55" t="s">
        <v>62</v>
      </c>
      <c r="D85" s="18">
        <f>IFERROR(AVERAGEIFS(マスタ_業務・標準!$H:$H,マスタ_業務・標準!$D:$D,$A85,マスタ_業務・標準!$C:$C,$C85),"")</f>
        <v>3.11</v>
      </c>
      <c r="E85" s="58">
        <v>1.96</v>
      </c>
      <c r="F85" s="58" t="s">
        <v>107</v>
      </c>
      <c r="G85" s="54" t="s">
        <v>107</v>
      </c>
      <c r="H85" s="54" t="s">
        <v>107</v>
      </c>
      <c r="I85" s="54" t="s">
        <v>107</v>
      </c>
      <c r="J85" s="58">
        <v>1.76</v>
      </c>
      <c r="K85" s="54">
        <v>2.68</v>
      </c>
      <c r="L85" s="54" t="s">
        <v>107</v>
      </c>
      <c r="M85" s="58">
        <v>2.6</v>
      </c>
      <c r="N85" s="54" t="s">
        <v>107</v>
      </c>
      <c r="O85" s="54">
        <v>3.63</v>
      </c>
      <c r="P85" s="54">
        <v>3.41</v>
      </c>
      <c r="Q85" s="58">
        <v>1.67</v>
      </c>
      <c r="R85" s="54" t="s">
        <v>107</v>
      </c>
      <c r="S85" s="54" t="s">
        <v>107</v>
      </c>
      <c r="T85" s="58" t="s">
        <v>107</v>
      </c>
      <c r="U85" s="58">
        <v>3.24</v>
      </c>
      <c r="V85" s="54">
        <v>2.74</v>
      </c>
      <c r="W85" s="54" t="s">
        <v>107</v>
      </c>
      <c r="X85" s="54">
        <v>5.08</v>
      </c>
      <c r="Y85" s="58" t="s">
        <v>107</v>
      </c>
      <c r="Z85" s="54">
        <v>2.56</v>
      </c>
      <c r="AA85" s="54" t="s">
        <v>107</v>
      </c>
      <c r="AB85" s="54">
        <v>3.33</v>
      </c>
      <c r="AC85" s="58" t="s">
        <v>107</v>
      </c>
      <c r="AD85" s="54" t="s">
        <v>107</v>
      </c>
      <c r="AE85" s="54">
        <v>2.2999999999999998</v>
      </c>
      <c r="AF85" s="54" t="s">
        <v>107</v>
      </c>
      <c r="AG85" s="58" t="s">
        <v>107</v>
      </c>
      <c r="AH85" s="54">
        <v>3.27</v>
      </c>
      <c r="AI85" s="54" t="s">
        <v>107</v>
      </c>
      <c r="AJ85" s="54" t="s">
        <v>107</v>
      </c>
      <c r="AK85" s="58" t="s">
        <v>107</v>
      </c>
      <c r="AL85" s="54" t="s">
        <v>107</v>
      </c>
      <c r="AM85" s="54" t="s">
        <v>107</v>
      </c>
      <c r="AN85" s="58" t="s">
        <v>107</v>
      </c>
      <c r="AO85" s="54" t="s">
        <v>107</v>
      </c>
      <c r="AP85" s="54">
        <v>4.34</v>
      </c>
      <c r="AQ85" s="54" t="s">
        <v>107</v>
      </c>
      <c r="AR85" s="58">
        <v>5.24</v>
      </c>
      <c r="AS85" s="54" t="s">
        <v>107</v>
      </c>
      <c r="AT85" s="54" t="s">
        <v>107</v>
      </c>
      <c r="AU85" s="58">
        <v>4.71</v>
      </c>
      <c r="AV85" s="54" t="s">
        <v>107</v>
      </c>
      <c r="AW85" s="54">
        <v>3.67</v>
      </c>
      <c r="AX85" s="54" t="s">
        <v>107</v>
      </c>
      <c r="AY85" s="58" t="s">
        <v>107</v>
      </c>
      <c r="AZ85" s="54" t="s">
        <v>107</v>
      </c>
      <c r="BA85" s="58" t="s">
        <v>107</v>
      </c>
      <c r="BB85" s="54">
        <v>3.79</v>
      </c>
      <c r="BC85" s="54">
        <v>6.3</v>
      </c>
      <c r="BD85" s="54">
        <v>4.1399999999999997</v>
      </c>
      <c r="BE85" s="58" t="s">
        <v>107</v>
      </c>
      <c r="BF85" s="54" t="s">
        <v>107</v>
      </c>
      <c r="BG85" s="54" t="s">
        <v>107</v>
      </c>
      <c r="BH85" s="58" t="s">
        <v>107</v>
      </c>
      <c r="BI85" s="54" t="s">
        <v>107</v>
      </c>
      <c r="BJ85" s="54" t="s">
        <v>107</v>
      </c>
      <c r="BK85" s="54">
        <v>1.36</v>
      </c>
      <c r="BL85" s="58">
        <v>2.5299999999999998</v>
      </c>
      <c r="BM85" s="54" t="s">
        <v>107</v>
      </c>
      <c r="BN85" s="54" t="s">
        <v>107</v>
      </c>
      <c r="BO85" s="58" t="s">
        <v>107</v>
      </c>
      <c r="BP85" s="54" t="s">
        <v>107</v>
      </c>
      <c r="BQ85" s="54">
        <v>3.56</v>
      </c>
      <c r="BR85" s="58">
        <v>2.2200000000000002</v>
      </c>
      <c r="BS85" s="54">
        <v>2.4300000000000002</v>
      </c>
      <c r="BT85" s="54" t="s">
        <v>107</v>
      </c>
      <c r="BU85" s="58" t="s">
        <v>107</v>
      </c>
      <c r="BV85" s="54" t="s">
        <v>107</v>
      </c>
      <c r="BW85" s="58" t="s">
        <v>107</v>
      </c>
      <c r="BX85" s="54">
        <v>3.29</v>
      </c>
      <c r="BY85" s="54">
        <v>1.93</v>
      </c>
      <c r="BZ85" s="54">
        <v>3.19</v>
      </c>
      <c r="CA85" s="58">
        <v>1.1299999999999999</v>
      </c>
      <c r="CB85" s="54" t="s">
        <v>107</v>
      </c>
      <c r="CC85" s="54" t="s">
        <v>107</v>
      </c>
      <c r="CD85" s="54">
        <v>2.27</v>
      </c>
      <c r="CE85" s="58" t="s">
        <v>107</v>
      </c>
      <c r="CF85" s="58" t="s">
        <v>107</v>
      </c>
      <c r="CG85" s="54" t="s">
        <v>107</v>
      </c>
      <c r="CH85" s="54" t="s">
        <v>107</v>
      </c>
      <c r="CI85" s="54" t="s">
        <v>107</v>
      </c>
      <c r="CJ85" s="58" t="s">
        <v>107</v>
      </c>
    </row>
    <row r="86" spans="1:88" ht="15" thickBot="1">
      <c r="A86" s="24" t="s">
        <v>5208</v>
      </c>
      <c r="B86" s="24" t="s">
        <v>15</v>
      </c>
      <c r="C86" s="55" t="s">
        <v>68</v>
      </c>
      <c r="D86" s="18">
        <f>IFERROR(AVERAGEIFS(マスタ_業務・標準!$H:$H,マスタ_業務・標準!$D:$D,$A86,マスタ_業務・標準!$C:$C,$C86),"")</f>
        <v>5.2</v>
      </c>
      <c r="E86" s="58">
        <v>6.43</v>
      </c>
      <c r="F86" s="58" t="s">
        <v>107</v>
      </c>
      <c r="G86" s="54" t="s">
        <v>107</v>
      </c>
      <c r="H86" s="54" t="s">
        <v>107</v>
      </c>
      <c r="I86" s="54">
        <v>3.74</v>
      </c>
      <c r="J86" s="58">
        <v>3.09</v>
      </c>
      <c r="K86" s="54">
        <v>3.6</v>
      </c>
      <c r="L86" s="54" t="s">
        <v>107</v>
      </c>
      <c r="M86" s="58">
        <v>5.89</v>
      </c>
      <c r="N86" s="54" t="s">
        <v>107</v>
      </c>
      <c r="O86" s="54">
        <v>6.85</v>
      </c>
      <c r="P86" s="54">
        <v>5.68</v>
      </c>
      <c r="Q86" s="58">
        <v>4.6500000000000004</v>
      </c>
      <c r="R86" s="54" t="s">
        <v>107</v>
      </c>
      <c r="S86" s="54" t="s">
        <v>107</v>
      </c>
      <c r="T86" s="58" t="s">
        <v>107</v>
      </c>
      <c r="U86" s="58" t="s">
        <v>107</v>
      </c>
      <c r="V86" s="54">
        <v>2.33</v>
      </c>
      <c r="W86" s="54" t="s">
        <v>107</v>
      </c>
      <c r="X86" s="54">
        <v>6.42</v>
      </c>
      <c r="Y86" s="58" t="s">
        <v>107</v>
      </c>
      <c r="Z86" s="54" t="s">
        <v>107</v>
      </c>
      <c r="AA86" s="54">
        <v>5.98</v>
      </c>
      <c r="AB86" s="54">
        <v>5.12</v>
      </c>
      <c r="AC86" s="58" t="s">
        <v>107</v>
      </c>
      <c r="AD86" s="54" t="s">
        <v>107</v>
      </c>
      <c r="AE86" s="54">
        <v>5.56</v>
      </c>
      <c r="AF86" s="54" t="s">
        <v>107</v>
      </c>
      <c r="AG86" s="58" t="s">
        <v>107</v>
      </c>
      <c r="AH86" s="54">
        <v>3.46</v>
      </c>
      <c r="AI86" s="54" t="s">
        <v>107</v>
      </c>
      <c r="AJ86" s="54" t="s">
        <v>107</v>
      </c>
      <c r="AK86" s="58" t="s">
        <v>107</v>
      </c>
      <c r="AL86" s="54" t="s">
        <v>107</v>
      </c>
      <c r="AM86" s="54" t="s">
        <v>107</v>
      </c>
      <c r="AN86" s="58" t="s">
        <v>107</v>
      </c>
      <c r="AO86" s="54" t="s">
        <v>107</v>
      </c>
      <c r="AP86" s="54" t="s">
        <v>107</v>
      </c>
      <c r="AQ86" s="54" t="s">
        <v>107</v>
      </c>
      <c r="AR86" s="58">
        <v>5.12</v>
      </c>
      <c r="AS86" s="54" t="s">
        <v>107</v>
      </c>
      <c r="AT86" s="54" t="s">
        <v>107</v>
      </c>
      <c r="AU86" s="58">
        <v>6.65</v>
      </c>
      <c r="AV86" s="54" t="s">
        <v>107</v>
      </c>
      <c r="AW86" s="54">
        <v>9.1300000000000008</v>
      </c>
      <c r="AX86" s="54" t="s">
        <v>107</v>
      </c>
      <c r="AY86" s="58" t="s">
        <v>107</v>
      </c>
      <c r="AZ86" s="54" t="s">
        <v>107</v>
      </c>
      <c r="BA86" s="58" t="s">
        <v>107</v>
      </c>
      <c r="BB86" s="54">
        <v>5.3</v>
      </c>
      <c r="BC86" s="54">
        <v>8.42</v>
      </c>
      <c r="BD86" s="54">
        <v>6.16</v>
      </c>
      <c r="BE86" s="58" t="s">
        <v>107</v>
      </c>
      <c r="BF86" s="54" t="s">
        <v>107</v>
      </c>
      <c r="BG86" s="54" t="s">
        <v>107</v>
      </c>
      <c r="BH86" s="58" t="s">
        <v>107</v>
      </c>
      <c r="BI86" s="54" t="s">
        <v>107</v>
      </c>
      <c r="BJ86" s="54" t="s">
        <v>107</v>
      </c>
      <c r="BK86" s="54">
        <v>3.21</v>
      </c>
      <c r="BL86" s="58">
        <v>8.49</v>
      </c>
      <c r="BM86" s="54" t="s">
        <v>107</v>
      </c>
      <c r="BN86" s="54" t="s">
        <v>107</v>
      </c>
      <c r="BO86" s="58" t="s">
        <v>107</v>
      </c>
      <c r="BP86" s="54" t="s">
        <v>107</v>
      </c>
      <c r="BQ86" s="54">
        <v>4.95</v>
      </c>
      <c r="BR86" s="58" t="s">
        <v>107</v>
      </c>
      <c r="BS86" s="54" t="s">
        <v>107</v>
      </c>
      <c r="BT86" s="54" t="s">
        <v>107</v>
      </c>
      <c r="BU86" s="58">
        <v>3.48</v>
      </c>
      <c r="BV86" s="54" t="s">
        <v>107</v>
      </c>
      <c r="BW86" s="58" t="s">
        <v>107</v>
      </c>
      <c r="BX86" s="54" t="s">
        <v>107</v>
      </c>
      <c r="BY86" s="54" t="s">
        <v>107</v>
      </c>
      <c r="BZ86" s="54">
        <v>3.2</v>
      </c>
      <c r="CA86" s="58" t="s">
        <v>107</v>
      </c>
      <c r="CB86" s="54" t="s">
        <v>107</v>
      </c>
      <c r="CC86" s="54" t="s">
        <v>107</v>
      </c>
      <c r="CD86" s="54">
        <v>2.39</v>
      </c>
      <c r="CE86" s="58" t="s">
        <v>107</v>
      </c>
      <c r="CF86" s="58" t="s">
        <v>107</v>
      </c>
      <c r="CG86" s="54" t="s">
        <v>107</v>
      </c>
      <c r="CH86" s="54" t="s">
        <v>107</v>
      </c>
      <c r="CI86" s="54" t="s">
        <v>107</v>
      </c>
      <c r="CJ86" s="58" t="s">
        <v>107</v>
      </c>
    </row>
    <row r="87" spans="1:88" ht="15.75" thickTop="1" thickBot="1">
      <c r="A87" s="22" t="s">
        <v>5208</v>
      </c>
      <c r="B87" s="22" t="s">
        <v>16</v>
      </c>
      <c r="C87" s="22" t="s">
        <v>5124</v>
      </c>
      <c r="D87" s="23">
        <f>IFERROR(AVERAGEIFS(マスタ_業務・標準!$M:$M,マスタ_業務・標準!$K:$K,$A87,マスタ_業務・標準!$L:$L,$B87),"")</f>
        <v>2.86</v>
      </c>
      <c r="E87" s="33" t="s">
        <v>107</v>
      </c>
      <c r="F87" s="33">
        <v>2.2799999999999998</v>
      </c>
      <c r="G87" s="31" t="s">
        <v>107</v>
      </c>
      <c r="H87" s="31">
        <v>3.01</v>
      </c>
      <c r="I87" s="31" t="s">
        <v>107</v>
      </c>
      <c r="J87" s="33" t="s">
        <v>107</v>
      </c>
      <c r="K87" s="31" t="s">
        <v>107</v>
      </c>
      <c r="L87" s="31">
        <v>2.89</v>
      </c>
      <c r="M87" s="33" t="s">
        <v>107</v>
      </c>
      <c r="N87" s="31">
        <v>2.0499999999999998</v>
      </c>
      <c r="O87" s="31" t="s">
        <v>107</v>
      </c>
      <c r="P87" s="31" t="s">
        <v>107</v>
      </c>
      <c r="Q87" s="33" t="s">
        <v>107</v>
      </c>
      <c r="R87" s="31">
        <v>2.77</v>
      </c>
      <c r="S87" s="31">
        <v>2.88</v>
      </c>
      <c r="T87" s="33">
        <v>2.65</v>
      </c>
      <c r="U87" s="33" t="s">
        <v>107</v>
      </c>
      <c r="V87" s="31" t="s">
        <v>107</v>
      </c>
      <c r="W87" s="31">
        <v>2.88</v>
      </c>
      <c r="X87" s="31" t="s">
        <v>107</v>
      </c>
      <c r="Y87" s="33">
        <v>2.52</v>
      </c>
      <c r="Z87" s="31" t="s">
        <v>107</v>
      </c>
      <c r="AA87" s="31" t="s">
        <v>107</v>
      </c>
      <c r="AB87" s="31" t="s">
        <v>107</v>
      </c>
      <c r="AC87" s="33">
        <v>3.14</v>
      </c>
      <c r="AD87" s="31" t="s">
        <v>107</v>
      </c>
      <c r="AE87" s="31" t="s">
        <v>107</v>
      </c>
      <c r="AF87" s="31">
        <v>3.51</v>
      </c>
      <c r="AG87" s="33">
        <v>3.38</v>
      </c>
      <c r="AH87" s="31" t="s">
        <v>107</v>
      </c>
      <c r="AI87" s="31">
        <v>4.3600000000000003</v>
      </c>
      <c r="AJ87" s="31">
        <v>4.37</v>
      </c>
      <c r="AK87" s="33">
        <v>2.13</v>
      </c>
      <c r="AL87" s="31" t="s">
        <v>107</v>
      </c>
      <c r="AM87" s="31">
        <v>3.88</v>
      </c>
      <c r="AN87" s="33" t="s">
        <v>107</v>
      </c>
      <c r="AO87" s="31">
        <v>2.65</v>
      </c>
      <c r="AP87" s="31" t="s">
        <v>107</v>
      </c>
      <c r="AQ87" s="31">
        <v>2.74</v>
      </c>
      <c r="AR87" s="33" t="s">
        <v>107</v>
      </c>
      <c r="AS87" s="31">
        <v>2.59</v>
      </c>
      <c r="AT87" s="31">
        <v>3.1</v>
      </c>
      <c r="AU87" s="33" t="s">
        <v>107</v>
      </c>
      <c r="AV87" s="31">
        <v>4.03</v>
      </c>
      <c r="AW87" s="31" t="s">
        <v>107</v>
      </c>
      <c r="AX87" s="31">
        <v>2.34</v>
      </c>
      <c r="AY87" s="33">
        <v>2.86</v>
      </c>
      <c r="AZ87" s="31" t="s">
        <v>107</v>
      </c>
      <c r="BA87" s="33" t="s">
        <v>107</v>
      </c>
      <c r="BB87" s="31" t="s">
        <v>107</v>
      </c>
      <c r="BC87" s="31" t="s">
        <v>107</v>
      </c>
      <c r="BD87" s="31" t="s">
        <v>107</v>
      </c>
      <c r="BE87" s="33">
        <v>2.88</v>
      </c>
      <c r="BF87" s="31" t="s">
        <v>107</v>
      </c>
      <c r="BG87" s="31">
        <v>2.66</v>
      </c>
      <c r="BH87" s="33" t="s">
        <v>107</v>
      </c>
      <c r="BI87" s="31">
        <v>2.7</v>
      </c>
      <c r="BJ87" s="31" t="s">
        <v>107</v>
      </c>
      <c r="BK87" s="31" t="s">
        <v>107</v>
      </c>
      <c r="BL87" s="33" t="s">
        <v>107</v>
      </c>
      <c r="BM87" s="31" t="s">
        <v>107</v>
      </c>
      <c r="BN87" s="31" t="s">
        <v>107</v>
      </c>
      <c r="BO87" s="33" t="s">
        <v>107</v>
      </c>
      <c r="BP87" s="31" t="s">
        <v>107</v>
      </c>
      <c r="BQ87" s="31" t="s">
        <v>107</v>
      </c>
      <c r="BR87" s="33" t="s">
        <v>107</v>
      </c>
      <c r="BS87" s="31" t="s">
        <v>107</v>
      </c>
      <c r="BT87" s="31" t="s">
        <v>107</v>
      </c>
      <c r="BU87" s="33" t="s">
        <v>107</v>
      </c>
      <c r="BV87" s="31">
        <v>2.25</v>
      </c>
      <c r="BW87" s="33">
        <v>2.0499999999999998</v>
      </c>
      <c r="BX87" s="31" t="s">
        <v>107</v>
      </c>
      <c r="BY87" s="31" t="s">
        <v>107</v>
      </c>
      <c r="BZ87" s="31" t="s">
        <v>107</v>
      </c>
      <c r="CA87" s="33" t="s">
        <v>107</v>
      </c>
      <c r="CB87" s="31">
        <v>2</v>
      </c>
      <c r="CC87" s="31" t="s">
        <v>107</v>
      </c>
      <c r="CD87" s="31" t="s">
        <v>107</v>
      </c>
      <c r="CE87" s="33" t="s">
        <v>107</v>
      </c>
      <c r="CF87" s="33">
        <v>2.0699999999999998</v>
      </c>
      <c r="CG87" s="31" t="s">
        <v>107</v>
      </c>
      <c r="CH87" s="31" t="s">
        <v>107</v>
      </c>
      <c r="CI87" s="31" t="s">
        <v>107</v>
      </c>
      <c r="CJ87" s="59">
        <v>2.93</v>
      </c>
    </row>
    <row r="88" spans="1:88" ht="15" thickTop="1">
      <c r="A88" s="24" t="s">
        <v>5208</v>
      </c>
      <c r="B88" s="24" t="s">
        <v>16</v>
      </c>
      <c r="C88" s="55" t="s">
        <v>70</v>
      </c>
      <c r="D88" s="18">
        <f>IFERROR(AVERAGEIFS(マスタ_業務・標準!$H:$H,マスタ_業務・標準!$D:$D,$A88,マスタ_業務・標準!$C:$C,$C88),"")</f>
        <v>2.3199999999999998</v>
      </c>
      <c r="E88" s="58" t="s">
        <v>107</v>
      </c>
      <c r="F88" s="58" t="s">
        <v>107</v>
      </c>
      <c r="G88" s="54" t="s">
        <v>107</v>
      </c>
      <c r="H88" s="54" t="s">
        <v>107</v>
      </c>
      <c r="I88" s="54" t="s">
        <v>107</v>
      </c>
      <c r="J88" s="58" t="s">
        <v>107</v>
      </c>
      <c r="K88" s="54" t="s">
        <v>107</v>
      </c>
      <c r="L88" s="54" t="s">
        <v>107</v>
      </c>
      <c r="M88" s="58" t="s">
        <v>107</v>
      </c>
      <c r="N88" s="54">
        <v>2.95</v>
      </c>
      <c r="O88" s="54" t="s">
        <v>107</v>
      </c>
      <c r="P88" s="54" t="s">
        <v>107</v>
      </c>
      <c r="Q88" s="58" t="s">
        <v>107</v>
      </c>
      <c r="R88" s="54" t="s">
        <v>107</v>
      </c>
      <c r="S88" s="54" t="s">
        <v>107</v>
      </c>
      <c r="T88" s="58" t="s">
        <v>107</v>
      </c>
      <c r="U88" s="58" t="s">
        <v>107</v>
      </c>
      <c r="V88" s="54" t="s">
        <v>107</v>
      </c>
      <c r="W88" s="54" t="s">
        <v>107</v>
      </c>
      <c r="X88" s="54" t="s">
        <v>107</v>
      </c>
      <c r="Y88" s="58" t="s">
        <v>107</v>
      </c>
      <c r="Z88" s="54" t="s">
        <v>107</v>
      </c>
      <c r="AA88" s="54" t="s">
        <v>107</v>
      </c>
      <c r="AB88" s="54" t="s">
        <v>107</v>
      </c>
      <c r="AC88" s="58" t="s">
        <v>107</v>
      </c>
      <c r="AD88" s="54" t="s">
        <v>107</v>
      </c>
      <c r="AE88" s="54" t="s">
        <v>107</v>
      </c>
      <c r="AF88" s="54" t="s">
        <v>107</v>
      </c>
      <c r="AG88" s="58" t="s">
        <v>107</v>
      </c>
      <c r="AH88" s="54" t="s">
        <v>107</v>
      </c>
      <c r="AI88" s="54" t="s">
        <v>107</v>
      </c>
      <c r="AJ88" s="54" t="s">
        <v>107</v>
      </c>
      <c r="AK88" s="58" t="s">
        <v>107</v>
      </c>
      <c r="AL88" s="54" t="s">
        <v>107</v>
      </c>
      <c r="AM88" s="54" t="s">
        <v>107</v>
      </c>
      <c r="AN88" s="58" t="s">
        <v>107</v>
      </c>
      <c r="AO88" s="54" t="s">
        <v>107</v>
      </c>
      <c r="AP88" s="54" t="s">
        <v>107</v>
      </c>
      <c r="AQ88" s="54" t="s">
        <v>107</v>
      </c>
      <c r="AR88" s="58" t="s">
        <v>107</v>
      </c>
      <c r="AS88" s="54" t="s">
        <v>107</v>
      </c>
      <c r="AT88" s="54" t="s">
        <v>107</v>
      </c>
      <c r="AU88" s="58" t="s">
        <v>107</v>
      </c>
      <c r="AV88" s="54" t="s">
        <v>107</v>
      </c>
      <c r="AW88" s="54" t="s">
        <v>107</v>
      </c>
      <c r="AX88" s="54" t="s">
        <v>107</v>
      </c>
      <c r="AY88" s="58" t="s">
        <v>107</v>
      </c>
      <c r="AZ88" s="54" t="s">
        <v>107</v>
      </c>
      <c r="BA88" s="58" t="s">
        <v>107</v>
      </c>
      <c r="BB88" s="54" t="s">
        <v>107</v>
      </c>
      <c r="BC88" s="54" t="s">
        <v>107</v>
      </c>
      <c r="BD88" s="54" t="s">
        <v>107</v>
      </c>
      <c r="BE88" s="58" t="s">
        <v>107</v>
      </c>
      <c r="BF88" s="54" t="s">
        <v>107</v>
      </c>
      <c r="BG88" s="54" t="s">
        <v>107</v>
      </c>
      <c r="BH88" s="58" t="s">
        <v>107</v>
      </c>
      <c r="BI88" s="54" t="s">
        <v>107</v>
      </c>
      <c r="BJ88" s="54" t="s">
        <v>107</v>
      </c>
      <c r="BK88" s="54" t="s">
        <v>107</v>
      </c>
      <c r="BL88" s="58" t="s">
        <v>107</v>
      </c>
      <c r="BM88" s="54" t="s">
        <v>107</v>
      </c>
      <c r="BN88" s="54" t="s">
        <v>107</v>
      </c>
      <c r="BO88" s="58" t="s">
        <v>107</v>
      </c>
      <c r="BP88" s="54" t="s">
        <v>107</v>
      </c>
      <c r="BQ88" s="54" t="s">
        <v>107</v>
      </c>
      <c r="BR88" s="58" t="s">
        <v>107</v>
      </c>
      <c r="BS88" s="54" t="s">
        <v>107</v>
      </c>
      <c r="BT88" s="54" t="s">
        <v>107</v>
      </c>
      <c r="BU88" s="58" t="s">
        <v>107</v>
      </c>
      <c r="BV88" s="54" t="s">
        <v>107</v>
      </c>
      <c r="BW88" s="58">
        <v>1.69</v>
      </c>
      <c r="BX88" s="54" t="s">
        <v>107</v>
      </c>
      <c r="BY88" s="54" t="s">
        <v>107</v>
      </c>
      <c r="BZ88" s="54" t="s">
        <v>107</v>
      </c>
      <c r="CA88" s="58" t="s">
        <v>107</v>
      </c>
      <c r="CB88" s="54" t="s">
        <v>107</v>
      </c>
      <c r="CC88" s="54" t="s">
        <v>107</v>
      </c>
      <c r="CD88" s="54" t="s">
        <v>107</v>
      </c>
      <c r="CE88" s="58" t="s">
        <v>107</v>
      </c>
      <c r="CF88" s="58" t="s">
        <v>107</v>
      </c>
      <c r="CG88" s="54" t="s">
        <v>107</v>
      </c>
      <c r="CH88" s="54" t="s">
        <v>107</v>
      </c>
      <c r="CI88" s="54" t="s">
        <v>107</v>
      </c>
      <c r="CJ88" s="58" t="s">
        <v>107</v>
      </c>
    </row>
    <row r="89" spans="1:88">
      <c r="A89" s="24" t="s">
        <v>5208</v>
      </c>
      <c r="B89" s="24" t="s">
        <v>16</v>
      </c>
      <c r="C89" s="55" t="s">
        <v>71</v>
      </c>
      <c r="D89" s="18">
        <f>IFERROR(AVERAGEIFS(マスタ_業務・標準!$H:$H,マスタ_業務・標準!$D:$D,$A89,マスタ_業務・標準!$C:$C,$C89),"")</f>
        <v>2.56</v>
      </c>
      <c r="E89" s="58" t="s">
        <v>107</v>
      </c>
      <c r="F89" s="58">
        <v>2.08</v>
      </c>
      <c r="G89" s="54" t="s">
        <v>107</v>
      </c>
      <c r="H89" s="54">
        <v>2.66</v>
      </c>
      <c r="I89" s="54" t="s">
        <v>107</v>
      </c>
      <c r="J89" s="58" t="s">
        <v>107</v>
      </c>
      <c r="K89" s="54" t="s">
        <v>107</v>
      </c>
      <c r="L89" s="54">
        <v>3.41</v>
      </c>
      <c r="M89" s="58" t="s">
        <v>107</v>
      </c>
      <c r="N89" s="54">
        <v>1.1599999999999999</v>
      </c>
      <c r="O89" s="54" t="s">
        <v>107</v>
      </c>
      <c r="P89" s="54" t="s">
        <v>107</v>
      </c>
      <c r="Q89" s="58" t="s">
        <v>107</v>
      </c>
      <c r="R89" s="54">
        <v>2.61</v>
      </c>
      <c r="S89" s="54">
        <v>1.1200000000000001</v>
      </c>
      <c r="T89" s="58">
        <v>2.41</v>
      </c>
      <c r="U89" s="58" t="s">
        <v>107</v>
      </c>
      <c r="V89" s="54" t="s">
        <v>107</v>
      </c>
      <c r="W89" s="54" t="s">
        <v>107</v>
      </c>
      <c r="X89" s="54" t="s">
        <v>107</v>
      </c>
      <c r="Y89" s="58" t="s">
        <v>107</v>
      </c>
      <c r="Z89" s="54" t="s">
        <v>107</v>
      </c>
      <c r="AA89" s="54" t="s">
        <v>107</v>
      </c>
      <c r="AB89" s="54" t="s">
        <v>107</v>
      </c>
      <c r="AC89" s="58" t="s">
        <v>107</v>
      </c>
      <c r="AD89" s="54" t="s">
        <v>107</v>
      </c>
      <c r="AE89" s="54" t="s">
        <v>107</v>
      </c>
      <c r="AF89" s="54" t="s">
        <v>107</v>
      </c>
      <c r="AG89" s="58" t="s">
        <v>107</v>
      </c>
      <c r="AH89" s="54" t="s">
        <v>107</v>
      </c>
      <c r="AI89" s="54" t="s">
        <v>107</v>
      </c>
      <c r="AJ89" s="54" t="s">
        <v>107</v>
      </c>
      <c r="AK89" s="58" t="s">
        <v>107</v>
      </c>
      <c r="AL89" s="54" t="s">
        <v>107</v>
      </c>
      <c r="AM89" s="54" t="s">
        <v>107</v>
      </c>
      <c r="AN89" s="58" t="s">
        <v>107</v>
      </c>
      <c r="AO89" s="54" t="s">
        <v>107</v>
      </c>
      <c r="AP89" s="54" t="s">
        <v>107</v>
      </c>
      <c r="AQ89" s="54" t="s">
        <v>107</v>
      </c>
      <c r="AR89" s="58" t="s">
        <v>107</v>
      </c>
      <c r="AS89" s="54">
        <v>2.83</v>
      </c>
      <c r="AT89" s="54">
        <v>1.63</v>
      </c>
      <c r="AU89" s="58" t="s">
        <v>107</v>
      </c>
      <c r="AV89" s="54">
        <v>4.54</v>
      </c>
      <c r="AW89" s="54" t="s">
        <v>107</v>
      </c>
      <c r="AX89" s="54">
        <v>2.04</v>
      </c>
      <c r="AY89" s="58" t="s">
        <v>107</v>
      </c>
      <c r="AZ89" s="54" t="s">
        <v>107</v>
      </c>
      <c r="BA89" s="58" t="s">
        <v>107</v>
      </c>
      <c r="BB89" s="54" t="s">
        <v>107</v>
      </c>
      <c r="BC89" s="54" t="s">
        <v>107</v>
      </c>
      <c r="BD89" s="54" t="s">
        <v>107</v>
      </c>
      <c r="BE89" s="58" t="s">
        <v>107</v>
      </c>
      <c r="BF89" s="54" t="s">
        <v>107</v>
      </c>
      <c r="BG89" s="54" t="s">
        <v>107</v>
      </c>
      <c r="BH89" s="58" t="s">
        <v>107</v>
      </c>
      <c r="BI89" s="54" t="s">
        <v>107</v>
      </c>
      <c r="BJ89" s="54" t="s">
        <v>107</v>
      </c>
      <c r="BK89" s="54" t="s">
        <v>107</v>
      </c>
      <c r="BL89" s="58" t="s">
        <v>107</v>
      </c>
      <c r="BM89" s="54" t="s">
        <v>107</v>
      </c>
      <c r="BN89" s="54" t="s">
        <v>107</v>
      </c>
      <c r="BO89" s="58" t="s">
        <v>107</v>
      </c>
      <c r="BP89" s="54" t="s">
        <v>107</v>
      </c>
      <c r="BQ89" s="54" t="s">
        <v>107</v>
      </c>
      <c r="BR89" s="58" t="s">
        <v>107</v>
      </c>
      <c r="BS89" s="54" t="s">
        <v>107</v>
      </c>
      <c r="BT89" s="54" t="s">
        <v>107</v>
      </c>
      <c r="BU89" s="58" t="s">
        <v>107</v>
      </c>
      <c r="BV89" s="54">
        <v>1.8</v>
      </c>
      <c r="BW89" s="58" t="s">
        <v>107</v>
      </c>
      <c r="BX89" s="54" t="s">
        <v>107</v>
      </c>
      <c r="BY89" s="54" t="s">
        <v>107</v>
      </c>
      <c r="BZ89" s="54" t="s">
        <v>107</v>
      </c>
      <c r="CA89" s="58" t="s">
        <v>107</v>
      </c>
      <c r="CB89" s="54" t="s">
        <v>107</v>
      </c>
      <c r="CC89" s="54" t="s">
        <v>107</v>
      </c>
      <c r="CD89" s="54" t="s">
        <v>107</v>
      </c>
      <c r="CE89" s="58" t="s">
        <v>107</v>
      </c>
      <c r="CF89" s="58">
        <v>2.61</v>
      </c>
      <c r="CG89" s="54" t="s">
        <v>107</v>
      </c>
      <c r="CH89" s="54" t="s">
        <v>107</v>
      </c>
      <c r="CI89" s="54" t="s">
        <v>107</v>
      </c>
      <c r="CJ89" s="58">
        <v>5.01</v>
      </c>
    </row>
    <row r="90" spans="1:88">
      <c r="A90" s="24" t="s">
        <v>5208</v>
      </c>
      <c r="B90" s="24" t="s">
        <v>16</v>
      </c>
      <c r="C90" s="55" t="s">
        <v>72</v>
      </c>
      <c r="D90" s="18">
        <f>IFERROR(AVERAGEIFS(マスタ_業務・標準!$H:$H,マスタ_業務・標準!$D:$D,$A90,マスタ_業務・標準!$C:$C,$C90),"")</f>
        <v>3.26</v>
      </c>
      <c r="E90" s="58" t="s">
        <v>107</v>
      </c>
      <c r="F90" s="58" t="s">
        <v>107</v>
      </c>
      <c r="G90" s="54" t="s">
        <v>107</v>
      </c>
      <c r="H90" s="54" t="s">
        <v>107</v>
      </c>
      <c r="I90" s="54" t="s">
        <v>107</v>
      </c>
      <c r="J90" s="58" t="s">
        <v>107</v>
      </c>
      <c r="K90" s="54" t="s">
        <v>107</v>
      </c>
      <c r="L90" s="54">
        <v>3.35</v>
      </c>
      <c r="M90" s="58" t="s">
        <v>107</v>
      </c>
      <c r="N90" s="54" t="s">
        <v>107</v>
      </c>
      <c r="O90" s="54" t="s">
        <v>107</v>
      </c>
      <c r="P90" s="54" t="s">
        <v>107</v>
      </c>
      <c r="Q90" s="58" t="s">
        <v>107</v>
      </c>
      <c r="R90" s="54">
        <v>3.5</v>
      </c>
      <c r="S90" s="54">
        <v>4.0199999999999996</v>
      </c>
      <c r="T90" s="58">
        <v>4.62</v>
      </c>
      <c r="U90" s="58" t="s">
        <v>107</v>
      </c>
      <c r="V90" s="54" t="s">
        <v>107</v>
      </c>
      <c r="W90" s="54">
        <v>4.04</v>
      </c>
      <c r="X90" s="54" t="s">
        <v>107</v>
      </c>
      <c r="Y90" s="58" t="s">
        <v>107</v>
      </c>
      <c r="Z90" s="54" t="s">
        <v>107</v>
      </c>
      <c r="AA90" s="54" t="s">
        <v>107</v>
      </c>
      <c r="AB90" s="54" t="s">
        <v>107</v>
      </c>
      <c r="AC90" s="58" t="s">
        <v>107</v>
      </c>
      <c r="AD90" s="54" t="s">
        <v>107</v>
      </c>
      <c r="AE90" s="54" t="s">
        <v>107</v>
      </c>
      <c r="AF90" s="54" t="s">
        <v>107</v>
      </c>
      <c r="AG90" s="58" t="s">
        <v>107</v>
      </c>
      <c r="AH90" s="54" t="s">
        <v>107</v>
      </c>
      <c r="AI90" s="54" t="s">
        <v>107</v>
      </c>
      <c r="AJ90" s="54" t="s">
        <v>107</v>
      </c>
      <c r="AK90" s="58">
        <v>2.58</v>
      </c>
      <c r="AL90" s="54" t="s">
        <v>107</v>
      </c>
      <c r="AM90" s="54" t="s">
        <v>107</v>
      </c>
      <c r="AN90" s="58" t="s">
        <v>107</v>
      </c>
      <c r="AO90" s="54">
        <v>3.55</v>
      </c>
      <c r="AP90" s="54" t="s">
        <v>107</v>
      </c>
      <c r="AQ90" s="54" t="s">
        <v>107</v>
      </c>
      <c r="AR90" s="58" t="s">
        <v>107</v>
      </c>
      <c r="AS90" s="54" t="s">
        <v>107</v>
      </c>
      <c r="AT90" s="54" t="s">
        <v>107</v>
      </c>
      <c r="AU90" s="58" t="s">
        <v>107</v>
      </c>
      <c r="AV90" s="54" t="s">
        <v>107</v>
      </c>
      <c r="AW90" s="54" t="s">
        <v>107</v>
      </c>
      <c r="AX90" s="54" t="s">
        <v>107</v>
      </c>
      <c r="AY90" s="58" t="s">
        <v>107</v>
      </c>
      <c r="AZ90" s="54" t="s">
        <v>107</v>
      </c>
      <c r="BA90" s="58" t="s">
        <v>107</v>
      </c>
      <c r="BB90" s="54" t="s">
        <v>107</v>
      </c>
      <c r="BC90" s="54" t="s">
        <v>107</v>
      </c>
      <c r="BD90" s="54" t="s">
        <v>107</v>
      </c>
      <c r="BE90" s="58" t="s">
        <v>107</v>
      </c>
      <c r="BF90" s="54" t="s">
        <v>107</v>
      </c>
      <c r="BG90" s="54" t="s">
        <v>107</v>
      </c>
      <c r="BH90" s="58" t="s">
        <v>107</v>
      </c>
      <c r="BI90" s="54" t="s">
        <v>107</v>
      </c>
      <c r="BJ90" s="54" t="s">
        <v>107</v>
      </c>
      <c r="BK90" s="54" t="s">
        <v>107</v>
      </c>
      <c r="BL90" s="58" t="s">
        <v>107</v>
      </c>
      <c r="BM90" s="54" t="s">
        <v>107</v>
      </c>
      <c r="BN90" s="54" t="s">
        <v>107</v>
      </c>
      <c r="BO90" s="58" t="s">
        <v>107</v>
      </c>
      <c r="BP90" s="54" t="s">
        <v>107</v>
      </c>
      <c r="BQ90" s="54" t="s">
        <v>107</v>
      </c>
      <c r="BR90" s="58" t="s">
        <v>107</v>
      </c>
      <c r="BS90" s="54" t="s">
        <v>107</v>
      </c>
      <c r="BT90" s="54" t="s">
        <v>107</v>
      </c>
      <c r="BU90" s="58" t="s">
        <v>107</v>
      </c>
      <c r="BV90" s="54" t="s">
        <v>107</v>
      </c>
      <c r="BW90" s="58" t="s">
        <v>107</v>
      </c>
      <c r="BX90" s="54" t="s">
        <v>107</v>
      </c>
      <c r="BY90" s="54" t="s">
        <v>107</v>
      </c>
      <c r="BZ90" s="54" t="s">
        <v>107</v>
      </c>
      <c r="CA90" s="58" t="s">
        <v>107</v>
      </c>
      <c r="CB90" s="54">
        <v>2.0099999999999998</v>
      </c>
      <c r="CC90" s="54" t="s">
        <v>107</v>
      </c>
      <c r="CD90" s="54" t="s">
        <v>107</v>
      </c>
      <c r="CE90" s="58" t="s">
        <v>107</v>
      </c>
      <c r="CF90" s="58" t="s">
        <v>107</v>
      </c>
      <c r="CG90" s="54" t="s">
        <v>107</v>
      </c>
      <c r="CH90" s="54" t="s">
        <v>107</v>
      </c>
      <c r="CI90" s="54" t="s">
        <v>107</v>
      </c>
      <c r="CJ90" s="58">
        <v>1.66</v>
      </c>
    </row>
    <row r="91" spans="1:88">
      <c r="A91" s="24" t="s">
        <v>5208</v>
      </c>
      <c r="B91" s="24" t="s">
        <v>16</v>
      </c>
      <c r="C91" s="55" t="s">
        <v>73</v>
      </c>
      <c r="D91" s="18">
        <f>IFERROR(AVERAGEIFS(マスタ_業務・標準!$H:$H,マスタ_業務・標準!$D:$D,$A91,マスタ_業務・標準!$C:$C,$C91),"")</f>
        <v>2.5</v>
      </c>
      <c r="E91" s="58" t="s">
        <v>107</v>
      </c>
      <c r="F91" s="58" t="s">
        <v>107</v>
      </c>
      <c r="G91" s="54" t="s">
        <v>107</v>
      </c>
      <c r="H91" s="54">
        <v>2.06</v>
      </c>
      <c r="I91" s="54" t="s">
        <v>107</v>
      </c>
      <c r="J91" s="58" t="s">
        <v>107</v>
      </c>
      <c r="K91" s="54" t="s">
        <v>107</v>
      </c>
      <c r="L91" s="54">
        <v>2.17</v>
      </c>
      <c r="M91" s="58" t="s">
        <v>107</v>
      </c>
      <c r="N91" s="54" t="s">
        <v>107</v>
      </c>
      <c r="O91" s="54" t="s">
        <v>107</v>
      </c>
      <c r="P91" s="54" t="s">
        <v>107</v>
      </c>
      <c r="Q91" s="58" t="s">
        <v>107</v>
      </c>
      <c r="R91" s="54">
        <v>2.0299999999999998</v>
      </c>
      <c r="S91" s="54">
        <v>2.54</v>
      </c>
      <c r="T91" s="58">
        <v>2.1800000000000002</v>
      </c>
      <c r="U91" s="58" t="s">
        <v>107</v>
      </c>
      <c r="V91" s="54" t="s">
        <v>107</v>
      </c>
      <c r="W91" s="54">
        <v>2.09</v>
      </c>
      <c r="X91" s="54" t="s">
        <v>107</v>
      </c>
      <c r="Y91" s="58" t="s">
        <v>107</v>
      </c>
      <c r="Z91" s="54" t="s">
        <v>107</v>
      </c>
      <c r="AA91" s="54" t="s">
        <v>107</v>
      </c>
      <c r="AB91" s="54" t="s">
        <v>107</v>
      </c>
      <c r="AC91" s="58" t="s">
        <v>107</v>
      </c>
      <c r="AD91" s="54" t="s">
        <v>107</v>
      </c>
      <c r="AE91" s="54" t="s">
        <v>107</v>
      </c>
      <c r="AF91" s="54" t="s">
        <v>107</v>
      </c>
      <c r="AG91" s="58" t="s">
        <v>107</v>
      </c>
      <c r="AH91" s="54" t="s">
        <v>107</v>
      </c>
      <c r="AI91" s="54" t="s">
        <v>107</v>
      </c>
      <c r="AJ91" s="54" t="s">
        <v>107</v>
      </c>
      <c r="AK91" s="58">
        <v>1.64</v>
      </c>
      <c r="AL91" s="54" t="s">
        <v>107</v>
      </c>
      <c r="AM91" s="54" t="s">
        <v>107</v>
      </c>
      <c r="AN91" s="58" t="s">
        <v>107</v>
      </c>
      <c r="AO91" s="54">
        <v>2.56</v>
      </c>
      <c r="AP91" s="54" t="s">
        <v>107</v>
      </c>
      <c r="AQ91" s="54">
        <v>2.74</v>
      </c>
      <c r="AR91" s="58" t="s">
        <v>107</v>
      </c>
      <c r="AS91" s="54">
        <v>1.63</v>
      </c>
      <c r="AT91" s="54" t="s">
        <v>107</v>
      </c>
      <c r="AU91" s="58" t="s">
        <v>107</v>
      </c>
      <c r="AV91" s="54" t="s">
        <v>107</v>
      </c>
      <c r="AW91" s="54" t="s">
        <v>107</v>
      </c>
      <c r="AX91" s="54">
        <v>5.88</v>
      </c>
      <c r="AY91" s="58" t="s">
        <v>107</v>
      </c>
      <c r="AZ91" s="54" t="s">
        <v>107</v>
      </c>
      <c r="BA91" s="58" t="s">
        <v>107</v>
      </c>
      <c r="BB91" s="54" t="s">
        <v>107</v>
      </c>
      <c r="BC91" s="54" t="s">
        <v>107</v>
      </c>
      <c r="BD91" s="54" t="s">
        <v>107</v>
      </c>
      <c r="BE91" s="58" t="s">
        <v>107</v>
      </c>
      <c r="BF91" s="54" t="s">
        <v>107</v>
      </c>
      <c r="BG91" s="54" t="s">
        <v>107</v>
      </c>
      <c r="BH91" s="58" t="s">
        <v>107</v>
      </c>
      <c r="BI91" s="54" t="s">
        <v>107</v>
      </c>
      <c r="BJ91" s="54" t="s">
        <v>107</v>
      </c>
      <c r="BK91" s="54" t="s">
        <v>107</v>
      </c>
      <c r="BL91" s="58" t="s">
        <v>107</v>
      </c>
      <c r="BM91" s="54" t="s">
        <v>107</v>
      </c>
      <c r="BN91" s="54" t="s">
        <v>107</v>
      </c>
      <c r="BO91" s="58" t="s">
        <v>107</v>
      </c>
      <c r="BP91" s="54" t="s">
        <v>107</v>
      </c>
      <c r="BQ91" s="54" t="s">
        <v>107</v>
      </c>
      <c r="BR91" s="58" t="s">
        <v>107</v>
      </c>
      <c r="BS91" s="54" t="s">
        <v>107</v>
      </c>
      <c r="BT91" s="54" t="s">
        <v>107</v>
      </c>
      <c r="BU91" s="58" t="s">
        <v>107</v>
      </c>
      <c r="BV91" s="54" t="s">
        <v>107</v>
      </c>
      <c r="BW91" s="58" t="s">
        <v>107</v>
      </c>
      <c r="BX91" s="54" t="s">
        <v>107</v>
      </c>
      <c r="BY91" s="54" t="s">
        <v>107</v>
      </c>
      <c r="BZ91" s="54" t="s">
        <v>107</v>
      </c>
      <c r="CA91" s="58" t="s">
        <v>107</v>
      </c>
      <c r="CB91" s="54">
        <v>1.91</v>
      </c>
      <c r="CC91" s="54" t="s">
        <v>107</v>
      </c>
      <c r="CD91" s="54" t="s">
        <v>107</v>
      </c>
      <c r="CE91" s="58" t="s">
        <v>107</v>
      </c>
      <c r="CF91" s="58">
        <v>2.5499999999999998</v>
      </c>
      <c r="CG91" s="54" t="s">
        <v>107</v>
      </c>
      <c r="CH91" s="54" t="s">
        <v>107</v>
      </c>
      <c r="CI91" s="54" t="s">
        <v>107</v>
      </c>
      <c r="CJ91" s="58">
        <v>3.08</v>
      </c>
    </row>
    <row r="92" spans="1:88">
      <c r="A92" s="24" t="s">
        <v>5208</v>
      </c>
      <c r="B92" s="24" t="s">
        <v>16</v>
      </c>
      <c r="C92" s="55" t="s">
        <v>74</v>
      </c>
      <c r="D92" s="18">
        <f>IFERROR(AVERAGEIFS(マスタ_業務・標準!$H:$H,マスタ_業務・標準!$D:$D,$A92,マスタ_業務・標準!$C:$C,$C92),"")</f>
        <v>3.79</v>
      </c>
      <c r="E92" s="58" t="s">
        <v>107</v>
      </c>
      <c r="F92" s="58">
        <v>3.79</v>
      </c>
      <c r="G92" s="54" t="s">
        <v>107</v>
      </c>
      <c r="H92" s="54" t="s">
        <v>107</v>
      </c>
      <c r="I92" s="54" t="s">
        <v>107</v>
      </c>
      <c r="J92" s="58" t="s">
        <v>107</v>
      </c>
      <c r="K92" s="54" t="s">
        <v>107</v>
      </c>
      <c r="L92" s="54" t="s">
        <v>107</v>
      </c>
      <c r="M92" s="58" t="s">
        <v>107</v>
      </c>
      <c r="N92" s="54" t="s">
        <v>107</v>
      </c>
      <c r="O92" s="54" t="s">
        <v>107</v>
      </c>
      <c r="P92" s="54" t="s">
        <v>107</v>
      </c>
      <c r="Q92" s="58" t="s">
        <v>107</v>
      </c>
      <c r="R92" s="54" t="s">
        <v>107</v>
      </c>
      <c r="S92" s="54" t="s">
        <v>107</v>
      </c>
      <c r="T92" s="58" t="s">
        <v>107</v>
      </c>
      <c r="U92" s="58" t="s">
        <v>107</v>
      </c>
      <c r="V92" s="54" t="s">
        <v>107</v>
      </c>
      <c r="W92" s="54" t="s">
        <v>107</v>
      </c>
      <c r="X92" s="54" t="s">
        <v>107</v>
      </c>
      <c r="Y92" s="58" t="s">
        <v>107</v>
      </c>
      <c r="Z92" s="54" t="s">
        <v>107</v>
      </c>
      <c r="AA92" s="54" t="s">
        <v>107</v>
      </c>
      <c r="AB92" s="54" t="s">
        <v>107</v>
      </c>
      <c r="AC92" s="58" t="s">
        <v>107</v>
      </c>
      <c r="AD92" s="54" t="s">
        <v>107</v>
      </c>
      <c r="AE92" s="54" t="s">
        <v>107</v>
      </c>
      <c r="AF92" s="54" t="s">
        <v>107</v>
      </c>
      <c r="AG92" s="58" t="s">
        <v>107</v>
      </c>
      <c r="AH92" s="54" t="s">
        <v>107</v>
      </c>
      <c r="AI92" s="54" t="s">
        <v>107</v>
      </c>
      <c r="AJ92" s="54" t="s">
        <v>107</v>
      </c>
      <c r="AK92" s="58" t="s">
        <v>107</v>
      </c>
      <c r="AL92" s="54" t="s">
        <v>107</v>
      </c>
      <c r="AM92" s="54" t="s">
        <v>107</v>
      </c>
      <c r="AN92" s="58" t="s">
        <v>107</v>
      </c>
      <c r="AO92" s="54" t="s">
        <v>107</v>
      </c>
      <c r="AP92" s="54" t="s">
        <v>107</v>
      </c>
      <c r="AQ92" s="54" t="s">
        <v>107</v>
      </c>
      <c r="AR92" s="58" t="s">
        <v>107</v>
      </c>
      <c r="AS92" s="54" t="s">
        <v>107</v>
      </c>
      <c r="AT92" s="54" t="s">
        <v>107</v>
      </c>
      <c r="AU92" s="58" t="s">
        <v>107</v>
      </c>
      <c r="AV92" s="54" t="s">
        <v>107</v>
      </c>
      <c r="AW92" s="54" t="s">
        <v>107</v>
      </c>
      <c r="AX92" s="54" t="s">
        <v>107</v>
      </c>
      <c r="AY92" s="58" t="s">
        <v>107</v>
      </c>
      <c r="AZ92" s="54" t="s">
        <v>107</v>
      </c>
      <c r="BA92" s="58" t="s">
        <v>107</v>
      </c>
      <c r="BB92" s="54" t="s">
        <v>107</v>
      </c>
      <c r="BC92" s="54" t="s">
        <v>107</v>
      </c>
      <c r="BD92" s="54" t="s">
        <v>107</v>
      </c>
      <c r="BE92" s="58" t="s">
        <v>107</v>
      </c>
      <c r="BF92" s="54" t="s">
        <v>107</v>
      </c>
      <c r="BG92" s="54" t="s">
        <v>107</v>
      </c>
      <c r="BH92" s="58" t="s">
        <v>107</v>
      </c>
      <c r="BI92" s="54" t="s">
        <v>107</v>
      </c>
      <c r="BJ92" s="54" t="s">
        <v>107</v>
      </c>
      <c r="BK92" s="54" t="s">
        <v>107</v>
      </c>
      <c r="BL92" s="58" t="s">
        <v>107</v>
      </c>
      <c r="BM92" s="54" t="s">
        <v>107</v>
      </c>
      <c r="BN92" s="54" t="s">
        <v>107</v>
      </c>
      <c r="BO92" s="58" t="s">
        <v>107</v>
      </c>
      <c r="BP92" s="54" t="s">
        <v>107</v>
      </c>
      <c r="BQ92" s="54" t="s">
        <v>107</v>
      </c>
      <c r="BR92" s="58" t="s">
        <v>107</v>
      </c>
      <c r="BS92" s="54" t="s">
        <v>107</v>
      </c>
      <c r="BT92" s="54" t="s">
        <v>107</v>
      </c>
      <c r="BU92" s="58" t="s">
        <v>107</v>
      </c>
      <c r="BV92" s="54" t="s">
        <v>107</v>
      </c>
      <c r="BW92" s="58" t="s">
        <v>107</v>
      </c>
      <c r="BX92" s="54" t="s">
        <v>107</v>
      </c>
      <c r="BY92" s="54" t="s">
        <v>107</v>
      </c>
      <c r="BZ92" s="54" t="s">
        <v>107</v>
      </c>
      <c r="CA92" s="58" t="s">
        <v>107</v>
      </c>
      <c r="CB92" s="54" t="s">
        <v>107</v>
      </c>
      <c r="CC92" s="54" t="s">
        <v>107</v>
      </c>
      <c r="CD92" s="54" t="s">
        <v>107</v>
      </c>
      <c r="CE92" s="58" t="s">
        <v>107</v>
      </c>
      <c r="CF92" s="58" t="s">
        <v>107</v>
      </c>
      <c r="CG92" s="54" t="s">
        <v>107</v>
      </c>
      <c r="CH92" s="54" t="s">
        <v>107</v>
      </c>
      <c r="CI92" s="54" t="s">
        <v>107</v>
      </c>
      <c r="CJ92" s="58" t="s">
        <v>107</v>
      </c>
    </row>
    <row r="93" spans="1:88">
      <c r="A93" s="24" t="s">
        <v>5208</v>
      </c>
      <c r="B93" s="24" t="s">
        <v>16</v>
      </c>
      <c r="C93" s="55" t="s">
        <v>75</v>
      </c>
      <c r="D93" s="18">
        <f>IFERROR(AVERAGEIFS(マスタ_業務・標準!$H:$H,マスタ_業務・標準!$D:$D,$A93,マスタ_業務・標準!$C:$C,$C93),"")</f>
        <v>2.48</v>
      </c>
      <c r="E93" s="58" t="s">
        <v>107</v>
      </c>
      <c r="F93" s="58" t="s">
        <v>107</v>
      </c>
      <c r="G93" s="54" t="s">
        <v>107</v>
      </c>
      <c r="H93" s="54">
        <v>2.86</v>
      </c>
      <c r="I93" s="54" t="s">
        <v>107</v>
      </c>
      <c r="J93" s="58" t="s">
        <v>107</v>
      </c>
      <c r="K93" s="54" t="s">
        <v>107</v>
      </c>
      <c r="L93" s="54">
        <v>2.04</v>
      </c>
      <c r="M93" s="58" t="s">
        <v>107</v>
      </c>
      <c r="N93" s="54">
        <v>2.7</v>
      </c>
      <c r="O93" s="54" t="s">
        <v>107</v>
      </c>
      <c r="P93" s="54" t="s">
        <v>107</v>
      </c>
      <c r="Q93" s="58" t="s">
        <v>107</v>
      </c>
      <c r="R93" s="54" t="s">
        <v>107</v>
      </c>
      <c r="S93" s="54" t="s">
        <v>107</v>
      </c>
      <c r="T93" s="58" t="s">
        <v>107</v>
      </c>
      <c r="U93" s="58" t="s">
        <v>107</v>
      </c>
      <c r="V93" s="54" t="s">
        <v>107</v>
      </c>
      <c r="W93" s="54">
        <v>2.64</v>
      </c>
      <c r="X93" s="54" t="s">
        <v>107</v>
      </c>
      <c r="Y93" s="58" t="s">
        <v>107</v>
      </c>
      <c r="Z93" s="54" t="s">
        <v>107</v>
      </c>
      <c r="AA93" s="54" t="s">
        <v>107</v>
      </c>
      <c r="AB93" s="54" t="s">
        <v>107</v>
      </c>
      <c r="AC93" s="58">
        <v>2.94</v>
      </c>
      <c r="AD93" s="54" t="s">
        <v>107</v>
      </c>
      <c r="AE93" s="54" t="s">
        <v>107</v>
      </c>
      <c r="AF93" s="54" t="s">
        <v>107</v>
      </c>
      <c r="AG93" s="58" t="s">
        <v>107</v>
      </c>
      <c r="AH93" s="54" t="s">
        <v>107</v>
      </c>
      <c r="AI93" s="54" t="s">
        <v>107</v>
      </c>
      <c r="AJ93" s="54" t="s">
        <v>107</v>
      </c>
      <c r="AK93" s="58" t="s">
        <v>107</v>
      </c>
      <c r="AL93" s="54" t="s">
        <v>107</v>
      </c>
      <c r="AM93" s="54" t="s">
        <v>107</v>
      </c>
      <c r="AN93" s="58" t="s">
        <v>107</v>
      </c>
      <c r="AO93" s="54" t="s">
        <v>107</v>
      </c>
      <c r="AP93" s="54" t="s">
        <v>107</v>
      </c>
      <c r="AQ93" s="54" t="s">
        <v>107</v>
      </c>
      <c r="AR93" s="58" t="s">
        <v>107</v>
      </c>
      <c r="AS93" s="54" t="s">
        <v>107</v>
      </c>
      <c r="AT93" s="54" t="s">
        <v>107</v>
      </c>
      <c r="AU93" s="58" t="s">
        <v>107</v>
      </c>
      <c r="AV93" s="54" t="s">
        <v>107</v>
      </c>
      <c r="AW93" s="54" t="s">
        <v>107</v>
      </c>
      <c r="AX93" s="54">
        <v>2.12</v>
      </c>
      <c r="AY93" s="58" t="s">
        <v>107</v>
      </c>
      <c r="AZ93" s="54" t="s">
        <v>107</v>
      </c>
      <c r="BA93" s="58" t="s">
        <v>107</v>
      </c>
      <c r="BB93" s="54" t="s">
        <v>107</v>
      </c>
      <c r="BC93" s="54" t="s">
        <v>107</v>
      </c>
      <c r="BD93" s="54" t="s">
        <v>107</v>
      </c>
      <c r="BE93" s="58" t="s">
        <v>107</v>
      </c>
      <c r="BF93" s="54" t="s">
        <v>107</v>
      </c>
      <c r="BG93" s="54" t="s">
        <v>107</v>
      </c>
      <c r="BH93" s="58" t="s">
        <v>107</v>
      </c>
      <c r="BI93" s="54" t="s">
        <v>107</v>
      </c>
      <c r="BJ93" s="54" t="s">
        <v>107</v>
      </c>
      <c r="BK93" s="54" t="s">
        <v>107</v>
      </c>
      <c r="BL93" s="58" t="s">
        <v>107</v>
      </c>
      <c r="BM93" s="54" t="s">
        <v>107</v>
      </c>
      <c r="BN93" s="54" t="s">
        <v>107</v>
      </c>
      <c r="BO93" s="58" t="s">
        <v>107</v>
      </c>
      <c r="BP93" s="54" t="s">
        <v>107</v>
      </c>
      <c r="BQ93" s="54" t="s">
        <v>107</v>
      </c>
      <c r="BR93" s="58" t="s">
        <v>107</v>
      </c>
      <c r="BS93" s="54" t="s">
        <v>107</v>
      </c>
      <c r="BT93" s="54" t="s">
        <v>107</v>
      </c>
      <c r="BU93" s="58" t="s">
        <v>107</v>
      </c>
      <c r="BV93" s="54">
        <v>2.5099999999999998</v>
      </c>
      <c r="BW93" s="58" t="s">
        <v>107</v>
      </c>
      <c r="BX93" s="54" t="s">
        <v>107</v>
      </c>
      <c r="BY93" s="54" t="s">
        <v>107</v>
      </c>
      <c r="BZ93" s="54" t="s">
        <v>107</v>
      </c>
      <c r="CA93" s="58" t="s">
        <v>107</v>
      </c>
      <c r="CB93" s="54" t="s">
        <v>107</v>
      </c>
      <c r="CC93" s="54" t="s">
        <v>107</v>
      </c>
      <c r="CD93" s="54" t="s">
        <v>107</v>
      </c>
      <c r="CE93" s="58" t="s">
        <v>107</v>
      </c>
      <c r="CF93" s="58">
        <v>1.53</v>
      </c>
      <c r="CG93" s="54" t="s">
        <v>107</v>
      </c>
      <c r="CH93" s="54" t="s">
        <v>107</v>
      </c>
      <c r="CI93" s="54" t="s">
        <v>107</v>
      </c>
      <c r="CJ93" s="58">
        <v>3.01</v>
      </c>
    </row>
    <row r="94" spans="1:88">
      <c r="A94" s="24" t="s">
        <v>5208</v>
      </c>
      <c r="B94" s="24" t="s">
        <v>16</v>
      </c>
      <c r="C94" s="55" t="s">
        <v>76</v>
      </c>
      <c r="D94" s="18">
        <f>IFERROR(AVERAGEIFS(マスタ_業務・標準!$H:$H,マスタ_業務・標準!$D:$D,$A94,マスタ_業務・標準!$C:$C,$C94),"")</f>
        <v>3.35</v>
      </c>
      <c r="E94" s="58" t="s">
        <v>107</v>
      </c>
      <c r="F94" s="58">
        <v>4.28</v>
      </c>
      <c r="G94" s="54" t="s">
        <v>107</v>
      </c>
      <c r="H94" s="54">
        <v>3.44</v>
      </c>
      <c r="I94" s="54" t="s">
        <v>107</v>
      </c>
      <c r="J94" s="58" t="s">
        <v>107</v>
      </c>
      <c r="K94" s="54" t="s">
        <v>107</v>
      </c>
      <c r="L94" s="54">
        <v>3.39</v>
      </c>
      <c r="M94" s="58" t="s">
        <v>107</v>
      </c>
      <c r="N94" s="54">
        <v>3.05</v>
      </c>
      <c r="O94" s="54" t="s">
        <v>107</v>
      </c>
      <c r="P94" s="54" t="s">
        <v>107</v>
      </c>
      <c r="Q94" s="58" t="s">
        <v>107</v>
      </c>
      <c r="R94" s="54" t="s">
        <v>107</v>
      </c>
      <c r="S94" s="54">
        <v>3.92</v>
      </c>
      <c r="T94" s="58">
        <v>3.04</v>
      </c>
      <c r="U94" s="58" t="s">
        <v>107</v>
      </c>
      <c r="V94" s="54" t="s">
        <v>107</v>
      </c>
      <c r="W94" s="54" t="s">
        <v>107</v>
      </c>
      <c r="X94" s="54" t="s">
        <v>107</v>
      </c>
      <c r="Y94" s="58">
        <v>2.52</v>
      </c>
      <c r="Z94" s="54" t="s">
        <v>107</v>
      </c>
      <c r="AA94" s="54" t="s">
        <v>107</v>
      </c>
      <c r="AB94" s="54" t="s">
        <v>107</v>
      </c>
      <c r="AC94" s="58">
        <v>3.22</v>
      </c>
      <c r="AD94" s="54" t="s">
        <v>107</v>
      </c>
      <c r="AE94" s="54" t="s">
        <v>107</v>
      </c>
      <c r="AF94" s="54">
        <v>3.51</v>
      </c>
      <c r="AG94" s="58">
        <v>3.38</v>
      </c>
      <c r="AH94" s="54" t="s">
        <v>107</v>
      </c>
      <c r="AI94" s="54">
        <v>4.3600000000000003</v>
      </c>
      <c r="AJ94" s="54">
        <v>4.37</v>
      </c>
      <c r="AK94" s="58" t="s">
        <v>107</v>
      </c>
      <c r="AL94" s="54" t="s">
        <v>107</v>
      </c>
      <c r="AM94" s="54">
        <v>3.88</v>
      </c>
      <c r="AN94" s="58" t="s">
        <v>107</v>
      </c>
      <c r="AO94" s="54" t="s">
        <v>107</v>
      </c>
      <c r="AP94" s="54" t="s">
        <v>107</v>
      </c>
      <c r="AQ94" s="54" t="s">
        <v>107</v>
      </c>
      <c r="AR94" s="58" t="s">
        <v>107</v>
      </c>
      <c r="AS94" s="54">
        <v>3.86</v>
      </c>
      <c r="AT94" s="54">
        <v>4.26</v>
      </c>
      <c r="AU94" s="58" t="s">
        <v>107</v>
      </c>
      <c r="AV94" s="54">
        <v>4</v>
      </c>
      <c r="AW94" s="54" t="s">
        <v>107</v>
      </c>
      <c r="AX94" s="54">
        <v>3.56</v>
      </c>
      <c r="AY94" s="58">
        <v>2.86</v>
      </c>
      <c r="AZ94" s="54" t="s">
        <v>107</v>
      </c>
      <c r="BA94" s="58" t="s">
        <v>107</v>
      </c>
      <c r="BB94" s="54" t="s">
        <v>107</v>
      </c>
      <c r="BC94" s="54" t="s">
        <v>107</v>
      </c>
      <c r="BD94" s="54" t="s">
        <v>107</v>
      </c>
      <c r="BE94" s="58">
        <v>2.88</v>
      </c>
      <c r="BF94" s="54" t="s">
        <v>107</v>
      </c>
      <c r="BG94" s="54">
        <v>2.66</v>
      </c>
      <c r="BH94" s="58" t="s">
        <v>107</v>
      </c>
      <c r="BI94" s="54">
        <v>2.7</v>
      </c>
      <c r="BJ94" s="54" t="s">
        <v>107</v>
      </c>
      <c r="BK94" s="54" t="s">
        <v>107</v>
      </c>
      <c r="BL94" s="58" t="s">
        <v>107</v>
      </c>
      <c r="BM94" s="54" t="s">
        <v>107</v>
      </c>
      <c r="BN94" s="54" t="s">
        <v>107</v>
      </c>
      <c r="BO94" s="58" t="s">
        <v>107</v>
      </c>
      <c r="BP94" s="54" t="s">
        <v>107</v>
      </c>
      <c r="BQ94" s="54" t="s">
        <v>107</v>
      </c>
      <c r="BR94" s="58" t="s">
        <v>107</v>
      </c>
      <c r="BS94" s="54" t="s">
        <v>107</v>
      </c>
      <c r="BT94" s="54" t="s">
        <v>107</v>
      </c>
      <c r="BU94" s="58" t="s">
        <v>107</v>
      </c>
      <c r="BV94" s="54" t="s">
        <v>107</v>
      </c>
      <c r="BW94" s="58">
        <v>2.59</v>
      </c>
      <c r="BX94" s="54" t="s">
        <v>107</v>
      </c>
      <c r="BY94" s="54" t="s">
        <v>107</v>
      </c>
      <c r="BZ94" s="54" t="s">
        <v>107</v>
      </c>
      <c r="CA94" s="58" t="s">
        <v>107</v>
      </c>
      <c r="CB94" s="54" t="s">
        <v>107</v>
      </c>
      <c r="CC94" s="54" t="s">
        <v>107</v>
      </c>
      <c r="CD94" s="54" t="s">
        <v>107</v>
      </c>
      <c r="CE94" s="58" t="s">
        <v>107</v>
      </c>
      <c r="CF94" s="58">
        <v>1.29</v>
      </c>
      <c r="CG94" s="54" t="s">
        <v>107</v>
      </c>
      <c r="CH94" s="54" t="s">
        <v>107</v>
      </c>
      <c r="CI94" s="54" t="s">
        <v>107</v>
      </c>
      <c r="CJ94" s="58" t="s">
        <v>107</v>
      </c>
    </row>
    <row r="95" spans="1:88">
      <c r="A95" s="22" t="s">
        <v>5208</v>
      </c>
      <c r="B95" s="22" t="s">
        <v>17</v>
      </c>
      <c r="C95" s="22" t="s">
        <v>5125</v>
      </c>
      <c r="D95" s="23">
        <f>IFERROR(AVERAGEIFS(マスタ_業務・標準!$M:$M,マスタ_業務・標準!$K:$K,$A95,マスタ_業務・標準!$L:$L,$B95),"")</f>
        <v>9.56</v>
      </c>
      <c r="E95" s="33" t="s">
        <v>107</v>
      </c>
      <c r="F95" s="33" t="s">
        <v>107</v>
      </c>
      <c r="G95" s="31" t="s">
        <v>107</v>
      </c>
      <c r="H95" s="31" t="s">
        <v>107</v>
      </c>
      <c r="I95" s="31" t="s">
        <v>107</v>
      </c>
      <c r="J95" s="33" t="s">
        <v>107</v>
      </c>
      <c r="K95" s="31" t="s">
        <v>107</v>
      </c>
      <c r="L95" s="31" t="s">
        <v>107</v>
      </c>
      <c r="M95" s="33" t="s">
        <v>107</v>
      </c>
      <c r="N95" s="31" t="s">
        <v>107</v>
      </c>
      <c r="O95" s="31" t="s">
        <v>107</v>
      </c>
      <c r="P95" s="31" t="s">
        <v>107</v>
      </c>
      <c r="Q95" s="33" t="s">
        <v>107</v>
      </c>
      <c r="R95" s="31" t="s">
        <v>107</v>
      </c>
      <c r="S95" s="31" t="s">
        <v>107</v>
      </c>
      <c r="T95" s="33" t="s">
        <v>107</v>
      </c>
      <c r="U95" s="33" t="s">
        <v>107</v>
      </c>
      <c r="V95" s="31" t="s">
        <v>107</v>
      </c>
      <c r="W95" s="31" t="s">
        <v>107</v>
      </c>
      <c r="X95" s="31" t="s">
        <v>107</v>
      </c>
      <c r="Y95" s="33" t="s">
        <v>107</v>
      </c>
      <c r="Z95" s="31" t="s">
        <v>107</v>
      </c>
      <c r="AA95" s="31" t="s">
        <v>107</v>
      </c>
      <c r="AB95" s="31" t="s">
        <v>107</v>
      </c>
      <c r="AC95" s="33" t="s">
        <v>107</v>
      </c>
      <c r="AD95" s="31">
        <v>8.73</v>
      </c>
      <c r="AE95" s="31" t="s">
        <v>107</v>
      </c>
      <c r="AF95" s="31" t="s">
        <v>107</v>
      </c>
      <c r="AG95" s="33" t="s">
        <v>107</v>
      </c>
      <c r="AH95" s="31" t="s">
        <v>107</v>
      </c>
      <c r="AI95" s="31" t="s">
        <v>107</v>
      </c>
      <c r="AJ95" s="31">
        <v>9.52</v>
      </c>
      <c r="AK95" s="33" t="s">
        <v>107</v>
      </c>
      <c r="AL95" s="31">
        <v>5.99</v>
      </c>
      <c r="AM95" s="31" t="s">
        <v>107</v>
      </c>
      <c r="AN95" s="33" t="s">
        <v>107</v>
      </c>
      <c r="AO95" s="31" t="s">
        <v>107</v>
      </c>
      <c r="AP95" s="31" t="s">
        <v>107</v>
      </c>
      <c r="AQ95" s="31" t="s">
        <v>107</v>
      </c>
      <c r="AR95" s="33" t="s">
        <v>107</v>
      </c>
      <c r="AS95" s="31" t="s">
        <v>107</v>
      </c>
      <c r="AT95" s="31" t="s">
        <v>107</v>
      </c>
      <c r="AU95" s="33">
        <v>9.5500000000000007</v>
      </c>
      <c r="AV95" s="31" t="s">
        <v>107</v>
      </c>
      <c r="AW95" s="31" t="s">
        <v>107</v>
      </c>
      <c r="AX95" s="31" t="s">
        <v>107</v>
      </c>
      <c r="AY95" s="33" t="s">
        <v>107</v>
      </c>
      <c r="AZ95" s="31">
        <v>9.9700000000000006</v>
      </c>
      <c r="BA95" s="33" t="s">
        <v>107</v>
      </c>
      <c r="BB95" s="31" t="s">
        <v>107</v>
      </c>
      <c r="BC95" s="31" t="s">
        <v>107</v>
      </c>
      <c r="BD95" s="31" t="s">
        <v>107</v>
      </c>
      <c r="BE95" s="33" t="s">
        <v>107</v>
      </c>
      <c r="BF95" s="31">
        <v>5.54</v>
      </c>
      <c r="BG95" s="31" t="s">
        <v>107</v>
      </c>
      <c r="BH95" s="33">
        <v>11.46</v>
      </c>
      <c r="BI95" s="31" t="s">
        <v>107</v>
      </c>
      <c r="BJ95" s="31">
        <v>6.95</v>
      </c>
      <c r="BK95" s="31" t="s">
        <v>107</v>
      </c>
      <c r="BL95" s="33" t="s">
        <v>107</v>
      </c>
      <c r="BM95" s="31">
        <v>17.52</v>
      </c>
      <c r="BN95" s="31" t="s">
        <v>107</v>
      </c>
      <c r="BO95" s="33" t="s">
        <v>107</v>
      </c>
      <c r="BP95" s="31">
        <v>8.99</v>
      </c>
      <c r="BQ95" s="31" t="s">
        <v>107</v>
      </c>
      <c r="BR95" s="33" t="s">
        <v>107</v>
      </c>
      <c r="BS95" s="31" t="s">
        <v>107</v>
      </c>
      <c r="BT95" s="31" t="s">
        <v>107</v>
      </c>
      <c r="BU95" s="33" t="s">
        <v>107</v>
      </c>
      <c r="BV95" s="31" t="s">
        <v>107</v>
      </c>
      <c r="BW95" s="33" t="s">
        <v>107</v>
      </c>
      <c r="BX95" s="31" t="s">
        <v>107</v>
      </c>
      <c r="BY95" s="31" t="s">
        <v>107</v>
      </c>
      <c r="BZ95" s="31" t="s">
        <v>107</v>
      </c>
      <c r="CA95" s="33" t="s">
        <v>107</v>
      </c>
      <c r="CB95" s="31" t="s">
        <v>107</v>
      </c>
      <c r="CC95" s="31">
        <v>3.36</v>
      </c>
      <c r="CD95" s="31" t="s">
        <v>107</v>
      </c>
      <c r="CE95" s="33" t="s">
        <v>107</v>
      </c>
      <c r="CF95" s="33" t="s">
        <v>107</v>
      </c>
      <c r="CG95" s="31">
        <v>21.56</v>
      </c>
      <c r="CH95" s="31" t="s">
        <v>107</v>
      </c>
      <c r="CI95" s="31">
        <v>5.1100000000000003</v>
      </c>
      <c r="CJ95" s="33" t="s">
        <v>107</v>
      </c>
    </row>
    <row r="96" spans="1:88">
      <c r="A96" s="24" t="s">
        <v>5208</v>
      </c>
      <c r="B96" s="24" t="s">
        <v>17</v>
      </c>
      <c r="C96" s="55" t="s">
        <v>69</v>
      </c>
      <c r="D96" s="18">
        <f>IFERROR(AVERAGEIFS(マスタ_業務・標準!$H:$H,マスタ_業務・標準!$D:$D,$A96,マスタ_業務・標準!$C:$C,$C96),"")</f>
        <v>9.56</v>
      </c>
      <c r="E96" s="58" t="s">
        <v>107</v>
      </c>
      <c r="F96" s="58" t="s">
        <v>107</v>
      </c>
      <c r="G96" s="54" t="s">
        <v>107</v>
      </c>
      <c r="H96" s="54" t="s">
        <v>107</v>
      </c>
      <c r="I96" s="54" t="s">
        <v>107</v>
      </c>
      <c r="J96" s="58" t="s">
        <v>107</v>
      </c>
      <c r="K96" s="54" t="s">
        <v>107</v>
      </c>
      <c r="L96" s="54" t="s">
        <v>107</v>
      </c>
      <c r="M96" s="58" t="s">
        <v>107</v>
      </c>
      <c r="N96" s="54" t="s">
        <v>107</v>
      </c>
      <c r="O96" s="54" t="s">
        <v>107</v>
      </c>
      <c r="P96" s="54" t="s">
        <v>107</v>
      </c>
      <c r="Q96" s="58" t="s">
        <v>107</v>
      </c>
      <c r="R96" s="54" t="s">
        <v>107</v>
      </c>
      <c r="S96" s="54" t="s">
        <v>107</v>
      </c>
      <c r="T96" s="58" t="s">
        <v>107</v>
      </c>
      <c r="U96" s="58" t="s">
        <v>107</v>
      </c>
      <c r="V96" s="54" t="s">
        <v>107</v>
      </c>
      <c r="W96" s="54" t="s">
        <v>107</v>
      </c>
      <c r="X96" s="54" t="s">
        <v>107</v>
      </c>
      <c r="Y96" s="58" t="s">
        <v>107</v>
      </c>
      <c r="Z96" s="54" t="s">
        <v>107</v>
      </c>
      <c r="AA96" s="54" t="s">
        <v>107</v>
      </c>
      <c r="AB96" s="54" t="s">
        <v>107</v>
      </c>
      <c r="AC96" s="58" t="s">
        <v>107</v>
      </c>
      <c r="AD96" s="54">
        <v>8.73</v>
      </c>
      <c r="AE96" s="54" t="s">
        <v>107</v>
      </c>
      <c r="AF96" s="54" t="s">
        <v>107</v>
      </c>
      <c r="AG96" s="58" t="s">
        <v>107</v>
      </c>
      <c r="AH96" s="54" t="s">
        <v>107</v>
      </c>
      <c r="AI96" s="54" t="s">
        <v>107</v>
      </c>
      <c r="AJ96" s="54">
        <v>9.52</v>
      </c>
      <c r="AK96" s="58" t="s">
        <v>107</v>
      </c>
      <c r="AL96" s="54">
        <v>5.99</v>
      </c>
      <c r="AM96" s="54" t="s">
        <v>107</v>
      </c>
      <c r="AN96" s="58" t="s">
        <v>107</v>
      </c>
      <c r="AO96" s="54" t="s">
        <v>107</v>
      </c>
      <c r="AP96" s="54" t="s">
        <v>107</v>
      </c>
      <c r="AQ96" s="54" t="s">
        <v>107</v>
      </c>
      <c r="AR96" s="58" t="s">
        <v>107</v>
      </c>
      <c r="AS96" s="54" t="s">
        <v>107</v>
      </c>
      <c r="AT96" s="54" t="s">
        <v>107</v>
      </c>
      <c r="AU96" s="58">
        <v>9.5500000000000007</v>
      </c>
      <c r="AV96" s="54" t="s">
        <v>107</v>
      </c>
      <c r="AW96" s="54" t="s">
        <v>107</v>
      </c>
      <c r="AX96" s="54" t="s">
        <v>107</v>
      </c>
      <c r="AY96" s="58" t="s">
        <v>107</v>
      </c>
      <c r="AZ96" s="54">
        <v>9.9700000000000006</v>
      </c>
      <c r="BA96" s="58" t="s">
        <v>107</v>
      </c>
      <c r="BB96" s="54" t="s">
        <v>107</v>
      </c>
      <c r="BC96" s="54" t="s">
        <v>107</v>
      </c>
      <c r="BD96" s="54" t="s">
        <v>107</v>
      </c>
      <c r="BE96" s="58" t="s">
        <v>107</v>
      </c>
      <c r="BF96" s="54">
        <v>5.54</v>
      </c>
      <c r="BG96" s="54" t="s">
        <v>107</v>
      </c>
      <c r="BH96" s="58">
        <v>11.46</v>
      </c>
      <c r="BI96" s="54" t="s">
        <v>107</v>
      </c>
      <c r="BJ96" s="54">
        <v>6.95</v>
      </c>
      <c r="BK96" s="54" t="s">
        <v>107</v>
      </c>
      <c r="BL96" s="58" t="s">
        <v>107</v>
      </c>
      <c r="BM96" s="54">
        <v>17.52</v>
      </c>
      <c r="BN96" s="54" t="s">
        <v>107</v>
      </c>
      <c r="BO96" s="58" t="s">
        <v>107</v>
      </c>
      <c r="BP96" s="54">
        <v>8.99</v>
      </c>
      <c r="BQ96" s="54" t="s">
        <v>107</v>
      </c>
      <c r="BR96" s="58" t="s">
        <v>107</v>
      </c>
      <c r="BS96" s="54" t="s">
        <v>107</v>
      </c>
      <c r="BT96" s="54" t="s">
        <v>107</v>
      </c>
      <c r="BU96" s="58" t="s">
        <v>107</v>
      </c>
      <c r="BV96" s="54" t="s">
        <v>107</v>
      </c>
      <c r="BW96" s="58" t="s">
        <v>107</v>
      </c>
      <c r="BX96" s="54" t="s">
        <v>107</v>
      </c>
      <c r="BY96" s="54" t="s">
        <v>107</v>
      </c>
      <c r="BZ96" s="54" t="s">
        <v>107</v>
      </c>
      <c r="CA96" s="58" t="s">
        <v>107</v>
      </c>
      <c r="CB96" s="54" t="s">
        <v>107</v>
      </c>
      <c r="CC96" s="54">
        <v>3.36</v>
      </c>
      <c r="CD96" s="54" t="s">
        <v>107</v>
      </c>
      <c r="CE96" s="58" t="s">
        <v>107</v>
      </c>
      <c r="CF96" s="58" t="s">
        <v>107</v>
      </c>
      <c r="CG96" s="54">
        <v>21.56</v>
      </c>
      <c r="CH96" s="54" t="s">
        <v>107</v>
      </c>
      <c r="CI96" s="54">
        <v>5.1100000000000003</v>
      </c>
      <c r="CJ96" s="58" t="s">
        <v>107</v>
      </c>
    </row>
    <row r="97" spans="4:88">
      <c r="D97" s="18"/>
      <c r="E97" s="58"/>
      <c r="F97" s="58"/>
      <c r="G97" s="54"/>
      <c r="H97" s="54"/>
      <c r="I97" s="54"/>
      <c r="J97" s="58"/>
      <c r="K97" s="54"/>
      <c r="L97" s="54"/>
      <c r="M97" s="58"/>
      <c r="N97" s="54"/>
      <c r="O97" s="54"/>
      <c r="P97" s="54"/>
      <c r="Q97" s="58"/>
      <c r="R97" s="54"/>
      <c r="S97" s="54"/>
      <c r="T97" s="58"/>
      <c r="U97" s="58"/>
      <c r="V97" s="54"/>
      <c r="W97" s="54"/>
      <c r="X97" s="54"/>
      <c r="Y97" s="58"/>
      <c r="Z97" s="54"/>
      <c r="AA97" s="54"/>
      <c r="AB97" s="54"/>
      <c r="AC97" s="58"/>
      <c r="AD97" s="54"/>
      <c r="AE97" s="54"/>
      <c r="AF97" s="54"/>
      <c r="AG97" s="58"/>
      <c r="AH97" s="54"/>
      <c r="AI97" s="54"/>
      <c r="AJ97" s="54"/>
      <c r="AK97" s="58"/>
      <c r="AL97" s="54"/>
      <c r="AM97" s="54"/>
      <c r="AN97" s="58"/>
      <c r="AO97" s="54"/>
      <c r="AP97" s="54"/>
      <c r="AQ97" s="54"/>
      <c r="AR97" s="58"/>
      <c r="AS97" s="54"/>
      <c r="AT97" s="54"/>
      <c r="AU97" s="58"/>
      <c r="AV97" s="54"/>
      <c r="AW97" s="54"/>
      <c r="AX97" s="54"/>
      <c r="AY97" s="58"/>
      <c r="AZ97" s="54"/>
      <c r="BA97" s="58"/>
      <c r="BB97" s="54"/>
      <c r="BC97" s="54"/>
      <c r="BD97" s="54"/>
      <c r="BE97" s="58"/>
      <c r="BF97" s="54"/>
      <c r="BG97" s="54"/>
      <c r="BH97" s="58"/>
      <c r="BI97" s="54"/>
      <c r="BJ97" s="54"/>
      <c r="BK97" s="54"/>
      <c r="BL97" s="58"/>
      <c r="BM97" s="54"/>
      <c r="BN97" s="54"/>
      <c r="BO97" s="58"/>
      <c r="BP97" s="54"/>
      <c r="BQ97" s="54"/>
      <c r="BR97" s="58"/>
      <c r="BS97" s="54"/>
      <c r="BT97" s="54"/>
      <c r="BU97" s="58"/>
      <c r="BV97" s="54"/>
      <c r="BW97" s="58"/>
      <c r="BX97" s="54"/>
      <c r="BY97" s="54"/>
      <c r="BZ97" s="54"/>
      <c r="CA97" s="58"/>
      <c r="CB97" s="54"/>
      <c r="CC97" s="54"/>
      <c r="CD97" s="54"/>
      <c r="CE97" s="58"/>
      <c r="CF97" s="58"/>
      <c r="CG97" s="54"/>
      <c r="CH97" s="54"/>
      <c r="CI97" s="54"/>
      <c r="CJ97" s="58"/>
    </row>
  </sheetData>
  <autoFilter ref="A6:CJ97" xr:uid="{784F2B69-3978-434E-AC67-B726D96BEDB3}"/>
  <mergeCells count="10">
    <mergeCell ref="AW5:BK5"/>
    <mergeCell ref="BL5:BT5"/>
    <mergeCell ref="BU5:CH5"/>
    <mergeCell ref="CI5:CJ5"/>
    <mergeCell ref="A2:B5"/>
    <mergeCell ref="D2:D5"/>
    <mergeCell ref="E4:CJ4"/>
    <mergeCell ref="E5:R5"/>
    <mergeCell ref="S5:AF5"/>
    <mergeCell ref="AG5:AV5"/>
  </mergeCells>
  <phoneticPr fontId="1"/>
  <conditionalFormatting sqref="E7:CJ97">
    <cfRule type="expression" dxfId="12" priority="4" stopIfTrue="1">
      <formula>E7="-"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7590F0E5-50D9-49F4-8312-5F52C449664C}">
            <xm:f>AND(ISNUMBER(E7),ISNUMBER($D7),$D7&gt;0,E7&lt;$D7*マスタ_業務・標準!$Q$2)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stopIfTrue="1" id="{20C2EE2C-637F-4830-A080-967297EA0BAC}">
            <xm:f>AND(ISNUMBER(E7),ISNUMBER($D7),$D7&gt;0,E7&gt;=$D7*マスタ_業務・標準!$Q$2,E7&lt;$D7*マスタ_業務・標準!$Q$3)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stopIfTrue="1" id="{A972B334-8FE5-487D-88AA-6E4303E2F6E8}">
            <xm:f>AND(ISNUMBER(E7),ISNUMBER($D7),$D7&gt;0,E7&gt;=$D7*マスタ_業務・標準!$Q$3)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E7:CJ97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2570C-151D-4F34-8E37-2A4E254EC5B2}">
  <sheetPr codeName="Sheet2">
    <tabColor rgb="FF548235"/>
  </sheetPr>
  <dimension ref="A1:AE97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7" sqref="E7"/>
    </sheetView>
  </sheetViews>
  <sheetFormatPr defaultRowHeight="14.25"/>
  <cols>
    <col min="1" max="2" width="9.625" customWidth="1"/>
    <col min="3" max="3" width="40.625" customWidth="1"/>
    <col min="4" max="4" width="7.625" customWidth="1"/>
    <col min="5" max="31" width="7.125" customWidth="1"/>
  </cols>
  <sheetData>
    <row r="1" spans="1:31" ht="19.5">
      <c r="A1" s="3" t="s">
        <v>5229</v>
      </c>
    </row>
    <row r="2" spans="1:31" ht="14.25" customHeight="1">
      <c r="A2" s="74" t="s">
        <v>5224</v>
      </c>
      <c r="B2" s="74"/>
      <c r="C2" s="35" t="str">
        <f>"赤：標準の"&amp;TEXT(マスタ_業務・標準!$Q$2,"0%")&amp;"未満（標準を下回る）"</f>
        <v>赤：標準の90%未満（標準を下回る）</v>
      </c>
      <c r="D2" s="75" t="s">
        <v>5225</v>
      </c>
      <c r="E2" t="s">
        <v>5235</v>
      </c>
    </row>
    <row r="3" spans="1:31">
      <c r="A3" s="74"/>
      <c r="B3" s="74"/>
      <c r="C3" s="36" t="str">
        <f>"黄：標準の"&amp;TEXT(マスタ_業務・標準!$Q$2,"0%")&amp;"以上"&amp;TEXT(マスタ_業務・標準!$Q$3,"0%")&amp;"未満（ほぼ標準どおり）"</f>
        <v>黄：標準の90%以上110%未満（ほぼ標準どおり）</v>
      </c>
      <c r="D3" s="76"/>
      <c r="E3" s="4" t="s">
        <v>5230</v>
      </c>
    </row>
    <row r="4" spans="1:31" ht="15" thickBot="1">
      <c r="A4" s="74"/>
      <c r="B4" s="74"/>
      <c r="C4" s="37" t="str">
        <f>"緑：標準の"&amp;TEXT(マスタ_業務・標準!$Q$3,"0%")&amp;"以上（標準を上回る）"</f>
        <v>緑：標準の110%以上（標準を上回る）</v>
      </c>
      <c r="D4" s="76"/>
      <c r="E4" s="77" t="s">
        <v>5133</v>
      </c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</row>
    <row r="5" spans="1:31" ht="15.75" thickTop="1" thickBot="1">
      <c r="A5" s="74"/>
      <c r="B5" s="74"/>
      <c r="C5" s="53" t="s">
        <v>5168</v>
      </c>
      <c r="D5" s="76"/>
      <c r="E5" s="30" t="s">
        <v>5161</v>
      </c>
      <c r="F5" s="72" t="s">
        <v>5030</v>
      </c>
      <c r="G5" s="73"/>
      <c r="H5" s="73"/>
      <c r="I5" s="73"/>
      <c r="J5" s="72" t="s">
        <v>5031</v>
      </c>
      <c r="K5" s="73"/>
      <c r="L5" s="73"/>
      <c r="M5" s="73"/>
      <c r="N5" s="72" t="s">
        <v>5032</v>
      </c>
      <c r="O5" s="73"/>
      <c r="P5" s="73"/>
      <c r="Q5" s="73"/>
      <c r="R5" s="73"/>
      <c r="S5" s="72" t="s">
        <v>5033</v>
      </c>
      <c r="T5" s="73"/>
      <c r="U5" s="73"/>
      <c r="V5" s="73"/>
      <c r="W5" s="72" t="s">
        <v>5034</v>
      </c>
      <c r="X5" s="73"/>
      <c r="Y5" s="73"/>
      <c r="Z5" s="73"/>
      <c r="AA5" s="72" t="s">
        <v>5035</v>
      </c>
      <c r="AB5" s="73"/>
      <c r="AC5" s="73"/>
      <c r="AD5" s="73"/>
      <c r="AE5" s="30" t="s">
        <v>5036</v>
      </c>
    </row>
    <row r="6" spans="1:31" ht="30" customHeight="1" thickTop="1">
      <c r="A6" s="5" t="s">
        <v>5197</v>
      </c>
      <c r="B6" s="5" t="s">
        <v>9</v>
      </c>
      <c r="C6" s="5" t="s">
        <v>10</v>
      </c>
      <c r="D6" s="5" t="s">
        <v>11</v>
      </c>
      <c r="E6" s="29" t="s">
        <v>5134</v>
      </c>
      <c r="F6" s="29" t="s">
        <v>5135</v>
      </c>
      <c r="G6" s="29" t="s">
        <v>5136</v>
      </c>
      <c r="H6" s="29" t="s">
        <v>5137</v>
      </c>
      <c r="I6" s="29" t="s">
        <v>5138</v>
      </c>
      <c r="J6" s="29" t="s">
        <v>5139</v>
      </c>
      <c r="K6" s="29" t="s">
        <v>5140</v>
      </c>
      <c r="L6" s="29" t="s">
        <v>5141</v>
      </c>
      <c r="M6" s="29" t="s">
        <v>5142</v>
      </c>
      <c r="N6" s="29" t="s">
        <v>5143</v>
      </c>
      <c r="O6" s="29" t="s">
        <v>5144</v>
      </c>
      <c r="P6" s="29" t="s">
        <v>5145</v>
      </c>
      <c r="Q6" s="29" t="s">
        <v>5146</v>
      </c>
      <c r="R6" s="29" t="s">
        <v>5147</v>
      </c>
      <c r="S6" s="29" t="s">
        <v>5148</v>
      </c>
      <c r="T6" s="29" t="s">
        <v>5149</v>
      </c>
      <c r="U6" s="29" t="s">
        <v>5150</v>
      </c>
      <c r="V6" s="29" t="s">
        <v>5151</v>
      </c>
      <c r="W6" s="29" t="s">
        <v>5152</v>
      </c>
      <c r="X6" s="29" t="s">
        <v>5153</v>
      </c>
      <c r="Y6" s="29" t="s">
        <v>5154</v>
      </c>
      <c r="Z6" s="29" t="s">
        <v>5155</v>
      </c>
      <c r="AA6" s="29" t="s">
        <v>5156</v>
      </c>
      <c r="AB6" s="29" t="s">
        <v>5157</v>
      </c>
      <c r="AC6" s="29" t="s">
        <v>5158</v>
      </c>
      <c r="AD6" s="29" t="s">
        <v>5159</v>
      </c>
      <c r="AE6" s="29" t="s">
        <v>5160</v>
      </c>
    </row>
    <row r="7" spans="1:31" ht="15.75">
      <c r="A7" s="43" t="s">
        <v>5226</v>
      </c>
      <c r="B7" s="43"/>
      <c r="C7" s="43"/>
      <c r="D7" s="44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</row>
    <row r="8" spans="1:31">
      <c r="A8" s="47" t="s">
        <v>5208</v>
      </c>
      <c r="B8" s="47" t="s">
        <v>13</v>
      </c>
      <c r="C8" s="47" t="s">
        <v>5122</v>
      </c>
      <c r="D8" s="48" t="s">
        <v>5228</v>
      </c>
      <c r="E8" s="46" t="s">
        <v>107</v>
      </c>
      <c r="F8" s="46">
        <v>25</v>
      </c>
      <c r="G8" s="46" t="s">
        <v>107</v>
      </c>
      <c r="H8" s="46">
        <v>4</v>
      </c>
      <c r="I8" s="46" t="s">
        <v>107</v>
      </c>
      <c r="J8" s="46" t="s">
        <v>107</v>
      </c>
      <c r="K8" s="46" t="s">
        <v>107</v>
      </c>
      <c r="L8" s="46">
        <v>1</v>
      </c>
      <c r="M8" s="46">
        <v>16</v>
      </c>
      <c r="N8" s="46">
        <v>20</v>
      </c>
      <c r="O8" s="46">
        <v>16</v>
      </c>
      <c r="P8" s="46" t="s">
        <v>107</v>
      </c>
      <c r="Q8" s="46" t="s">
        <v>107</v>
      </c>
      <c r="R8" s="46" t="s">
        <v>107</v>
      </c>
      <c r="S8" s="46">
        <v>25</v>
      </c>
      <c r="T8" s="46">
        <v>19</v>
      </c>
      <c r="U8" s="46">
        <v>20</v>
      </c>
      <c r="V8" s="46">
        <v>31</v>
      </c>
      <c r="W8" s="46">
        <v>17</v>
      </c>
      <c r="X8" s="46">
        <v>7</v>
      </c>
      <c r="Y8" s="46" t="s">
        <v>107</v>
      </c>
      <c r="Z8" s="46" t="s">
        <v>107</v>
      </c>
      <c r="AA8" s="46">
        <v>6</v>
      </c>
      <c r="AB8" s="46" t="s">
        <v>107</v>
      </c>
      <c r="AC8" s="46">
        <v>18</v>
      </c>
      <c r="AD8" s="46">
        <v>10</v>
      </c>
      <c r="AE8" s="46" t="s">
        <v>107</v>
      </c>
    </row>
    <row r="9" spans="1:31">
      <c r="A9" s="24" t="s">
        <v>5208</v>
      </c>
      <c r="B9" s="24" t="s">
        <v>13</v>
      </c>
      <c r="C9" s="55" t="s">
        <v>63</v>
      </c>
      <c r="D9" s="18"/>
      <c r="E9" s="56" t="s">
        <v>107</v>
      </c>
      <c r="F9" s="56" t="s">
        <v>107</v>
      </c>
      <c r="G9" s="56" t="s">
        <v>107</v>
      </c>
      <c r="H9" s="56" t="s">
        <v>107</v>
      </c>
      <c r="I9" s="56" t="s">
        <v>107</v>
      </c>
      <c r="J9" s="56" t="s">
        <v>107</v>
      </c>
      <c r="K9" s="56" t="s">
        <v>107</v>
      </c>
      <c r="L9" s="56" t="s">
        <v>107</v>
      </c>
      <c r="M9" s="56" t="s">
        <v>107</v>
      </c>
      <c r="N9" s="56" t="s">
        <v>107</v>
      </c>
      <c r="O9" s="56" t="s">
        <v>107</v>
      </c>
      <c r="P9" s="56" t="s">
        <v>107</v>
      </c>
      <c r="Q9" s="56" t="s">
        <v>107</v>
      </c>
      <c r="R9" s="56" t="s">
        <v>107</v>
      </c>
      <c r="S9" s="56" t="s">
        <v>107</v>
      </c>
      <c r="T9" s="56">
        <v>1</v>
      </c>
      <c r="U9" s="56" t="s">
        <v>107</v>
      </c>
      <c r="V9" s="56">
        <v>1</v>
      </c>
      <c r="W9" s="56" t="s">
        <v>107</v>
      </c>
      <c r="X9" s="56" t="s">
        <v>107</v>
      </c>
      <c r="Y9" s="56" t="s">
        <v>107</v>
      </c>
      <c r="Z9" s="56" t="s">
        <v>107</v>
      </c>
      <c r="AA9" s="56" t="s">
        <v>107</v>
      </c>
      <c r="AB9" s="56" t="s">
        <v>107</v>
      </c>
      <c r="AC9" s="56" t="s">
        <v>107</v>
      </c>
      <c r="AD9" s="56" t="s">
        <v>107</v>
      </c>
      <c r="AE9" s="56" t="s">
        <v>107</v>
      </c>
    </row>
    <row r="10" spans="1:31">
      <c r="A10" s="24" t="s">
        <v>5208</v>
      </c>
      <c r="B10" s="24" t="s">
        <v>13</v>
      </c>
      <c r="C10" s="55" t="s">
        <v>64</v>
      </c>
      <c r="D10" s="18"/>
      <c r="E10" s="56" t="s">
        <v>107</v>
      </c>
      <c r="F10" s="56">
        <v>6</v>
      </c>
      <c r="G10" s="56" t="s">
        <v>107</v>
      </c>
      <c r="H10" s="56" t="s">
        <v>107</v>
      </c>
      <c r="I10" s="56" t="s">
        <v>107</v>
      </c>
      <c r="J10" s="56" t="s">
        <v>107</v>
      </c>
      <c r="K10" s="56" t="s">
        <v>107</v>
      </c>
      <c r="L10" s="56" t="s">
        <v>107</v>
      </c>
      <c r="M10" s="56" t="s">
        <v>107</v>
      </c>
      <c r="N10" s="56">
        <v>6</v>
      </c>
      <c r="O10" s="56">
        <v>5</v>
      </c>
      <c r="P10" s="56" t="s">
        <v>107</v>
      </c>
      <c r="Q10" s="56" t="s">
        <v>107</v>
      </c>
      <c r="R10" s="56" t="s">
        <v>107</v>
      </c>
      <c r="S10" s="56" t="s">
        <v>107</v>
      </c>
      <c r="T10" s="56">
        <v>4</v>
      </c>
      <c r="U10" s="56">
        <v>5</v>
      </c>
      <c r="V10" s="56">
        <v>8</v>
      </c>
      <c r="W10" s="56">
        <v>5</v>
      </c>
      <c r="X10" s="56">
        <v>3</v>
      </c>
      <c r="Y10" s="56" t="s">
        <v>107</v>
      </c>
      <c r="Z10" s="56" t="s">
        <v>107</v>
      </c>
      <c r="AA10" s="56">
        <v>1</v>
      </c>
      <c r="AB10" s="56" t="s">
        <v>107</v>
      </c>
      <c r="AC10" s="56">
        <v>2</v>
      </c>
      <c r="AD10" s="56">
        <v>1</v>
      </c>
      <c r="AE10" s="56" t="s">
        <v>107</v>
      </c>
    </row>
    <row r="11" spans="1:31">
      <c r="A11" s="24" t="s">
        <v>5208</v>
      </c>
      <c r="B11" s="24" t="s">
        <v>13</v>
      </c>
      <c r="C11" s="55" t="s">
        <v>65</v>
      </c>
      <c r="D11" s="18"/>
      <c r="E11" s="56" t="s">
        <v>107</v>
      </c>
      <c r="F11" s="56">
        <v>1</v>
      </c>
      <c r="G11" s="56" t="s">
        <v>107</v>
      </c>
      <c r="H11" s="56">
        <v>2</v>
      </c>
      <c r="I11" s="56" t="s">
        <v>107</v>
      </c>
      <c r="J11" s="56" t="s">
        <v>107</v>
      </c>
      <c r="K11" s="56" t="s">
        <v>107</v>
      </c>
      <c r="L11" s="56" t="s">
        <v>107</v>
      </c>
      <c r="M11" s="56" t="s">
        <v>107</v>
      </c>
      <c r="N11" s="56" t="s">
        <v>107</v>
      </c>
      <c r="O11" s="56">
        <v>1</v>
      </c>
      <c r="P11" s="56" t="s">
        <v>107</v>
      </c>
      <c r="Q11" s="56" t="s">
        <v>107</v>
      </c>
      <c r="R11" s="56" t="s">
        <v>107</v>
      </c>
      <c r="S11" s="56">
        <v>1</v>
      </c>
      <c r="T11" s="56">
        <v>2</v>
      </c>
      <c r="U11" s="56" t="s">
        <v>107</v>
      </c>
      <c r="V11" s="56">
        <v>1</v>
      </c>
      <c r="W11" s="56">
        <v>1</v>
      </c>
      <c r="X11" s="56">
        <v>1</v>
      </c>
      <c r="Y11" s="56" t="s">
        <v>107</v>
      </c>
      <c r="Z11" s="56" t="s">
        <v>107</v>
      </c>
      <c r="AA11" s="56">
        <v>4</v>
      </c>
      <c r="AB11" s="56" t="s">
        <v>107</v>
      </c>
      <c r="AC11" s="56" t="s">
        <v>107</v>
      </c>
      <c r="AD11" s="56">
        <v>2</v>
      </c>
      <c r="AE11" s="56" t="s">
        <v>107</v>
      </c>
    </row>
    <row r="12" spans="1:31">
      <c r="A12" s="24" t="s">
        <v>5208</v>
      </c>
      <c r="B12" s="24" t="s">
        <v>13</v>
      </c>
      <c r="C12" s="55" t="s">
        <v>66</v>
      </c>
      <c r="D12" s="18"/>
      <c r="E12" s="56" t="s">
        <v>107</v>
      </c>
      <c r="F12" s="56">
        <v>8</v>
      </c>
      <c r="G12" s="56" t="s">
        <v>107</v>
      </c>
      <c r="H12" s="56" t="s">
        <v>107</v>
      </c>
      <c r="I12" s="56" t="s">
        <v>107</v>
      </c>
      <c r="J12" s="56" t="s">
        <v>107</v>
      </c>
      <c r="K12" s="56" t="s">
        <v>107</v>
      </c>
      <c r="L12" s="56" t="s">
        <v>107</v>
      </c>
      <c r="M12" s="56">
        <v>1</v>
      </c>
      <c r="N12" s="56">
        <v>7</v>
      </c>
      <c r="O12" s="56">
        <v>10</v>
      </c>
      <c r="P12" s="56" t="s">
        <v>107</v>
      </c>
      <c r="Q12" s="56" t="s">
        <v>107</v>
      </c>
      <c r="R12" s="56" t="s">
        <v>107</v>
      </c>
      <c r="S12" s="56">
        <v>24</v>
      </c>
      <c r="T12" s="56">
        <v>10</v>
      </c>
      <c r="U12" s="56">
        <v>14</v>
      </c>
      <c r="V12" s="56">
        <v>8</v>
      </c>
      <c r="W12" s="56">
        <v>10</v>
      </c>
      <c r="X12" s="56">
        <v>2</v>
      </c>
      <c r="Y12" s="56" t="s">
        <v>107</v>
      </c>
      <c r="Z12" s="56" t="s">
        <v>107</v>
      </c>
      <c r="AA12" s="56" t="s">
        <v>107</v>
      </c>
      <c r="AB12" s="56" t="s">
        <v>107</v>
      </c>
      <c r="AC12" s="56" t="s">
        <v>107</v>
      </c>
      <c r="AD12" s="56">
        <v>2</v>
      </c>
      <c r="AE12" s="56" t="s">
        <v>107</v>
      </c>
    </row>
    <row r="13" spans="1:31">
      <c r="A13" s="24" t="s">
        <v>5208</v>
      </c>
      <c r="B13" s="24" t="s">
        <v>13</v>
      </c>
      <c r="C13" s="55" t="s">
        <v>67</v>
      </c>
      <c r="D13" s="18"/>
      <c r="E13" s="56" t="s">
        <v>107</v>
      </c>
      <c r="F13" s="56">
        <v>10</v>
      </c>
      <c r="G13" s="56" t="s">
        <v>107</v>
      </c>
      <c r="H13" s="56">
        <v>2</v>
      </c>
      <c r="I13" s="56" t="s">
        <v>107</v>
      </c>
      <c r="J13" s="56" t="s">
        <v>107</v>
      </c>
      <c r="K13" s="56" t="s">
        <v>107</v>
      </c>
      <c r="L13" s="56">
        <v>1</v>
      </c>
      <c r="M13" s="56">
        <v>15</v>
      </c>
      <c r="N13" s="56">
        <v>7</v>
      </c>
      <c r="O13" s="56" t="s">
        <v>107</v>
      </c>
      <c r="P13" s="56" t="s">
        <v>107</v>
      </c>
      <c r="Q13" s="56" t="s">
        <v>107</v>
      </c>
      <c r="R13" s="56" t="s">
        <v>107</v>
      </c>
      <c r="S13" s="56" t="s">
        <v>107</v>
      </c>
      <c r="T13" s="56">
        <v>2</v>
      </c>
      <c r="U13" s="56">
        <v>1</v>
      </c>
      <c r="V13" s="56">
        <v>13</v>
      </c>
      <c r="W13" s="56">
        <v>1</v>
      </c>
      <c r="X13" s="56">
        <v>1</v>
      </c>
      <c r="Y13" s="56" t="s">
        <v>107</v>
      </c>
      <c r="Z13" s="56" t="s">
        <v>107</v>
      </c>
      <c r="AA13" s="56">
        <v>1</v>
      </c>
      <c r="AB13" s="56" t="s">
        <v>107</v>
      </c>
      <c r="AC13" s="56">
        <v>16</v>
      </c>
      <c r="AD13" s="56">
        <v>5</v>
      </c>
      <c r="AE13" s="56" t="s">
        <v>107</v>
      </c>
    </row>
    <row r="14" spans="1:31">
      <c r="A14" s="47" t="s">
        <v>5208</v>
      </c>
      <c r="B14" s="47" t="s">
        <v>15</v>
      </c>
      <c r="C14" s="47" t="s">
        <v>5123</v>
      </c>
      <c r="D14" s="48" t="s">
        <v>5228</v>
      </c>
      <c r="E14" s="46">
        <v>10</v>
      </c>
      <c r="F14" s="46">
        <v>9</v>
      </c>
      <c r="G14" s="46">
        <v>29</v>
      </c>
      <c r="H14" s="46">
        <v>41</v>
      </c>
      <c r="I14" s="46">
        <v>12</v>
      </c>
      <c r="J14" s="46" t="s">
        <v>107</v>
      </c>
      <c r="K14" s="46">
        <v>21</v>
      </c>
      <c r="L14" s="46">
        <v>38</v>
      </c>
      <c r="M14" s="46">
        <v>14</v>
      </c>
      <c r="N14" s="46">
        <v>17</v>
      </c>
      <c r="O14" s="46" t="s">
        <v>107</v>
      </c>
      <c r="P14" s="46">
        <v>20</v>
      </c>
      <c r="Q14" s="46">
        <v>13</v>
      </c>
      <c r="R14" s="46">
        <v>34</v>
      </c>
      <c r="S14" s="46">
        <v>1</v>
      </c>
      <c r="T14" s="46">
        <v>55</v>
      </c>
      <c r="U14" s="46" t="s">
        <v>107</v>
      </c>
      <c r="V14" s="46">
        <v>6</v>
      </c>
      <c r="W14" s="46">
        <v>22</v>
      </c>
      <c r="X14" s="46">
        <v>10</v>
      </c>
      <c r="Y14" s="46">
        <v>27</v>
      </c>
      <c r="Z14" s="46">
        <v>18</v>
      </c>
      <c r="AA14" s="46">
        <v>31</v>
      </c>
      <c r="AB14" s="46">
        <v>19</v>
      </c>
      <c r="AC14" s="46">
        <v>2</v>
      </c>
      <c r="AD14" s="46">
        <v>12</v>
      </c>
      <c r="AE14" s="46" t="s">
        <v>107</v>
      </c>
    </row>
    <row r="15" spans="1:31">
      <c r="A15" s="24" t="s">
        <v>5208</v>
      </c>
      <c r="B15" s="24" t="s">
        <v>15</v>
      </c>
      <c r="C15" s="55" t="s">
        <v>36</v>
      </c>
      <c r="D15" s="18"/>
      <c r="E15" s="56" t="s">
        <v>107</v>
      </c>
      <c r="F15" s="56" t="s">
        <v>107</v>
      </c>
      <c r="G15" s="56">
        <v>1</v>
      </c>
      <c r="H15" s="56" t="s">
        <v>107</v>
      </c>
      <c r="I15" s="56">
        <v>1</v>
      </c>
      <c r="J15" s="56" t="s">
        <v>107</v>
      </c>
      <c r="K15" s="56" t="s">
        <v>107</v>
      </c>
      <c r="L15" s="56" t="s">
        <v>107</v>
      </c>
      <c r="M15" s="56" t="s">
        <v>107</v>
      </c>
      <c r="N15" s="56" t="s">
        <v>107</v>
      </c>
      <c r="O15" s="56" t="s">
        <v>107</v>
      </c>
      <c r="P15" s="56" t="s">
        <v>107</v>
      </c>
      <c r="Q15" s="56" t="s">
        <v>107</v>
      </c>
      <c r="R15" s="56" t="s">
        <v>107</v>
      </c>
      <c r="S15" s="56" t="s">
        <v>107</v>
      </c>
      <c r="T15" s="56" t="s">
        <v>107</v>
      </c>
      <c r="U15" s="56" t="s">
        <v>107</v>
      </c>
      <c r="V15" s="56" t="s">
        <v>107</v>
      </c>
      <c r="W15" s="56" t="s">
        <v>107</v>
      </c>
      <c r="X15" s="56" t="s">
        <v>107</v>
      </c>
      <c r="Y15" s="56" t="s">
        <v>107</v>
      </c>
      <c r="Z15" s="56" t="s">
        <v>107</v>
      </c>
      <c r="AA15" s="56" t="s">
        <v>107</v>
      </c>
      <c r="AB15" s="56" t="s">
        <v>107</v>
      </c>
      <c r="AC15" s="56" t="s">
        <v>107</v>
      </c>
      <c r="AD15" s="56" t="s">
        <v>107</v>
      </c>
      <c r="AE15" s="56" t="s">
        <v>107</v>
      </c>
    </row>
    <row r="16" spans="1:31">
      <c r="A16" s="24" t="s">
        <v>5208</v>
      </c>
      <c r="B16" s="24" t="s">
        <v>15</v>
      </c>
      <c r="C16" s="55" t="s">
        <v>39</v>
      </c>
      <c r="D16" s="18"/>
      <c r="E16" s="56">
        <v>2</v>
      </c>
      <c r="F16" s="56" t="s">
        <v>107</v>
      </c>
      <c r="G16" s="56" t="s">
        <v>107</v>
      </c>
      <c r="H16" s="56" t="s">
        <v>107</v>
      </c>
      <c r="I16" s="56" t="s">
        <v>107</v>
      </c>
      <c r="J16" s="56" t="s">
        <v>107</v>
      </c>
      <c r="K16" s="56" t="s">
        <v>107</v>
      </c>
      <c r="L16" s="56" t="s">
        <v>107</v>
      </c>
      <c r="M16" s="56" t="s">
        <v>107</v>
      </c>
      <c r="N16" s="56">
        <v>3</v>
      </c>
      <c r="O16" s="56" t="s">
        <v>107</v>
      </c>
      <c r="P16" s="56">
        <v>4</v>
      </c>
      <c r="Q16" s="56">
        <v>2</v>
      </c>
      <c r="R16" s="56">
        <v>14</v>
      </c>
      <c r="S16" s="56" t="s">
        <v>107</v>
      </c>
      <c r="T16" s="56">
        <v>16</v>
      </c>
      <c r="U16" s="56" t="s">
        <v>107</v>
      </c>
      <c r="V16" s="56" t="s">
        <v>107</v>
      </c>
      <c r="W16" s="56">
        <v>4</v>
      </c>
      <c r="X16" s="56" t="s">
        <v>107</v>
      </c>
      <c r="Y16" s="56" t="s">
        <v>107</v>
      </c>
      <c r="Z16" s="56" t="s">
        <v>107</v>
      </c>
      <c r="AA16" s="56" t="s">
        <v>107</v>
      </c>
      <c r="AB16" s="56" t="s">
        <v>107</v>
      </c>
      <c r="AC16" s="56" t="s">
        <v>107</v>
      </c>
      <c r="AD16" s="56" t="s">
        <v>107</v>
      </c>
      <c r="AE16" s="56" t="s">
        <v>107</v>
      </c>
    </row>
    <row r="17" spans="1:31">
      <c r="A17" s="24" t="s">
        <v>5208</v>
      </c>
      <c r="B17" s="24" t="s">
        <v>15</v>
      </c>
      <c r="C17" s="55" t="s">
        <v>40</v>
      </c>
      <c r="D17" s="18"/>
      <c r="E17" s="56">
        <v>1</v>
      </c>
      <c r="F17" s="56">
        <v>1</v>
      </c>
      <c r="G17" s="56" t="s">
        <v>107</v>
      </c>
      <c r="H17" s="56" t="s">
        <v>107</v>
      </c>
      <c r="I17" s="56">
        <v>1</v>
      </c>
      <c r="J17" s="56" t="s">
        <v>107</v>
      </c>
      <c r="K17" s="56">
        <v>2</v>
      </c>
      <c r="L17" s="56">
        <v>1</v>
      </c>
      <c r="M17" s="56" t="s">
        <v>107</v>
      </c>
      <c r="N17" s="56">
        <v>1</v>
      </c>
      <c r="O17" s="56" t="s">
        <v>107</v>
      </c>
      <c r="P17" s="56">
        <v>1</v>
      </c>
      <c r="Q17" s="56" t="s">
        <v>107</v>
      </c>
      <c r="R17" s="56" t="s">
        <v>107</v>
      </c>
      <c r="S17" s="56" t="s">
        <v>107</v>
      </c>
      <c r="T17" s="56">
        <v>1</v>
      </c>
      <c r="U17" s="56" t="s">
        <v>107</v>
      </c>
      <c r="V17" s="56" t="s">
        <v>107</v>
      </c>
      <c r="W17" s="56" t="s">
        <v>107</v>
      </c>
      <c r="X17" s="56" t="s">
        <v>107</v>
      </c>
      <c r="Y17" s="56">
        <v>1</v>
      </c>
      <c r="Z17" s="56" t="s">
        <v>107</v>
      </c>
      <c r="AA17" s="56">
        <v>2</v>
      </c>
      <c r="AB17" s="56" t="s">
        <v>107</v>
      </c>
      <c r="AC17" s="56" t="s">
        <v>107</v>
      </c>
      <c r="AD17" s="56" t="s">
        <v>107</v>
      </c>
      <c r="AE17" s="56" t="s">
        <v>107</v>
      </c>
    </row>
    <row r="18" spans="1:31">
      <c r="A18" s="24" t="s">
        <v>5208</v>
      </c>
      <c r="B18" s="24" t="s">
        <v>15</v>
      </c>
      <c r="C18" s="55" t="s">
        <v>41</v>
      </c>
      <c r="D18" s="18"/>
      <c r="E18" s="56" t="s">
        <v>107</v>
      </c>
      <c r="F18" s="56" t="s">
        <v>107</v>
      </c>
      <c r="G18" s="56" t="s">
        <v>107</v>
      </c>
      <c r="H18" s="56" t="s">
        <v>107</v>
      </c>
      <c r="I18" s="56" t="s">
        <v>107</v>
      </c>
      <c r="J18" s="56" t="s">
        <v>107</v>
      </c>
      <c r="K18" s="56" t="s">
        <v>107</v>
      </c>
      <c r="L18" s="56" t="s">
        <v>107</v>
      </c>
      <c r="M18" s="56" t="s">
        <v>107</v>
      </c>
      <c r="N18" s="56" t="s">
        <v>107</v>
      </c>
      <c r="O18" s="56" t="s">
        <v>107</v>
      </c>
      <c r="P18" s="56" t="s">
        <v>107</v>
      </c>
      <c r="Q18" s="56">
        <v>1</v>
      </c>
      <c r="R18" s="56" t="s">
        <v>107</v>
      </c>
      <c r="S18" s="56" t="s">
        <v>107</v>
      </c>
      <c r="T18" s="56" t="s">
        <v>107</v>
      </c>
      <c r="U18" s="56" t="s">
        <v>107</v>
      </c>
      <c r="V18" s="56" t="s">
        <v>107</v>
      </c>
      <c r="W18" s="56" t="s">
        <v>107</v>
      </c>
      <c r="X18" s="56" t="s">
        <v>107</v>
      </c>
      <c r="Y18" s="56" t="s">
        <v>107</v>
      </c>
      <c r="Z18" s="56" t="s">
        <v>107</v>
      </c>
      <c r="AA18" s="56" t="s">
        <v>107</v>
      </c>
      <c r="AB18" s="56" t="s">
        <v>107</v>
      </c>
      <c r="AC18" s="56" t="s">
        <v>107</v>
      </c>
      <c r="AD18" s="56" t="s">
        <v>107</v>
      </c>
      <c r="AE18" s="56" t="s">
        <v>107</v>
      </c>
    </row>
    <row r="19" spans="1:31">
      <c r="A19" s="24" t="s">
        <v>5208</v>
      </c>
      <c r="B19" s="24" t="s">
        <v>15</v>
      </c>
      <c r="C19" s="55" t="s">
        <v>42</v>
      </c>
      <c r="D19" s="18"/>
      <c r="E19" s="56" t="s">
        <v>107</v>
      </c>
      <c r="F19" s="56" t="s">
        <v>107</v>
      </c>
      <c r="G19" s="56">
        <v>2</v>
      </c>
      <c r="H19" s="56">
        <v>4</v>
      </c>
      <c r="I19" s="56">
        <v>1</v>
      </c>
      <c r="J19" s="56" t="s">
        <v>107</v>
      </c>
      <c r="K19" s="56">
        <v>1</v>
      </c>
      <c r="L19" s="56">
        <v>6</v>
      </c>
      <c r="M19" s="56" t="s">
        <v>107</v>
      </c>
      <c r="N19" s="56" t="s">
        <v>107</v>
      </c>
      <c r="O19" s="56" t="s">
        <v>107</v>
      </c>
      <c r="P19" s="56" t="s">
        <v>107</v>
      </c>
      <c r="Q19" s="56">
        <v>1</v>
      </c>
      <c r="R19" s="56" t="s">
        <v>107</v>
      </c>
      <c r="S19" s="56" t="s">
        <v>107</v>
      </c>
      <c r="T19" s="56">
        <v>2</v>
      </c>
      <c r="U19" s="56" t="s">
        <v>107</v>
      </c>
      <c r="V19" s="56" t="s">
        <v>107</v>
      </c>
      <c r="W19" s="56">
        <v>4</v>
      </c>
      <c r="X19" s="56">
        <v>1</v>
      </c>
      <c r="Y19" s="56">
        <v>4</v>
      </c>
      <c r="Z19" s="56" t="s">
        <v>107</v>
      </c>
      <c r="AA19" s="56">
        <v>1</v>
      </c>
      <c r="AB19" s="56">
        <v>1</v>
      </c>
      <c r="AC19" s="56" t="s">
        <v>107</v>
      </c>
      <c r="AD19" s="56">
        <v>4</v>
      </c>
      <c r="AE19" s="56" t="s">
        <v>107</v>
      </c>
    </row>
    <row r="20" spans="1:31">
      <c r="A20" s="24" t="s">
        <v>5208</v>
      </c>
      <c r="B20" s="24" t="s">
        <v>15</v>
      </c>
      <c r="C20" s="55" t="s">
        <v>43</v>
      </c>
      <c r="D20" s="18"/>
      <c r="E20" s="56" t="s">
        <v>107</v>
      </c>
      <c r="F20" s="56" t="s">
        <v>107</v>
      </c>
      <c r="G20" s="56" t="s">
        <v>107</v>
      </c>
      <c r="H20" s="56" t="s">
        <v>107</v>
      </c>
      <c r="I20" s="56" t="s">
        <v>107</v>
      </c>
      <c r="J20" s="56" t="s">
        <v>107</v>
      </c>
      <c r="K20" s="56" t="s">
        <v>107</v>
      </c>
      <c r="L20" s="56">
        <v>4</v>
      </c>
      <c r="M20" s="56" t="s">
        <v>107</v>
      </c>
      <c r="N20" s="56">
        <v>1</v>
      </c>
      <c r="O20" s="56" t="s">
        <v>107</v>
      </c>
      <c r="P20" s="56">
        <v>3</v>
      </c>
      <c r="Q20" s="56" t="s">
        <v>107</v>
      </c>
      <c r="R20" s="56" t="s">
        <v>107</v>
      </c>
      <c r="S20" s="56" t="s">
        <v>107</v>
      </c>
      <c r="T20" s="56" t="s">
        <v>107</v>
      </c>
      <c r="U20" s="56" t="s">
        <v>107</v>
      </c>
      <c r="V20" s="56" t="s">
        <v>107</v>
      </c>
      <c r="W20" s="56" t="s">
        <v>107</v>
      </c>
      <c r="X20" s="56" t="s">
        <v>107</v>
      </c>
      <c r="Y20" s="56" t="s">
        <v>107</v>
      </c>
      <c r="Z20" s="56" t="s">
        <v>107</v>
      </c>
      <c r="AA20" s="56" t="s">
        <v>107</v>
      </c>
      <c r="AB20" s="56" t="s">
        <v>107</v>
      </c>
      <c r="AC20" s="56" t="s">
        <v>107</v>
      </c>
      <c r="AD20" s="56" t="s">
        <v>107</v>
      </c>
      <c r="AE20" s="56" t="s">
        <v>107</v>
      </c>
    </row>
    <row r="21" spans="1:31">
      <c r="A21" s="24" t="s">
        <v>5208</v>
      </c>
      <c r="B21" s="24" t="s">
        <v>15</v>
      </c>
      <c r="C21" s="55" t="s">
        <v>44</v>
      </c>
      <c r="D21" s="18"/>
      <c r="E21" s="56" t="s">
        <v>107</v>
      </c>
      <c r="F21" s="56">
        <v>2</v>
      </c>
      <c r="G21" s="56">
        <v>2</v>
      </c>
      <c r="H21" s="56">
        <v>3</v>
      </c>
      <c r="I21" s="56">
        <v>1</v>
      </c>
      <c r="J21" s="56" t="s">
        <v>107</v>
      </c>
      <c r="K21" s="56">
        <v>4</v>
      </c>
      <c r="L21" s="56">
        <v>2</v>
      </c>
      <c r="M21" s="56" t="s">
        <v>107</v>
      </c>
      <c r="N21" s="56">
        <v>2</v>
      </c>
      <c r="O21" s="56" t="s">
        <v>107</v>
      </c>
      <c r="P21" s="56">
        <v>1</v>
      </c>
      <c r="Q21" s="56">
        <v>2</v>
      </c>
      <c r="R21" s="56" t="s">
        <v>107</v>
      </c>
      <c r="S21" s="56" t="s">
        <v>107</v>
      </c>
      <c r="T21" s="56">
        <v>4</v>
      </c>
      <c r="U21" s="56" t="s">
        <v>107</v>
      </c>
      <c r="V21" s="56" t="s">
        <v>107</v>
      </c>
      <c r="W21" s="56">
        <v>2</v>
      </c>
      <c r="X21" s="56">
        <v>1</v>
      </c>
      <c r="Y21" s="56">
        <v>2</v>
      </c>
      <c r="Z21" s="56">
        <v>5</v>
      </c>
      <c r="AA21" s="56" t="s">
        <v>107</v>
      </c>
      <c r="AB21" s="56" t="s">
        <v>107</v>
      </c>
      <c r="AC21" s="56" t="s">
        <v>107</v>
      </c>
      <c r="AD21" s="56">
        <v>4</v>
      </c>
      <c r="AE21" s="56" t="s">
        <v>107</v>
      </c>
    </row>
    <row r="22" spans="1:31">
      <c r="A22" s="24" t="s">
        <v>5208</v>
      </c>
      <c r="B22" s="24" t="s">
        <v>15</v>
      </c>
      <c r="C22" s="55" t="s">
        <v>45</v>
      </c>
      <c r="D22" s="18"/>
      <c r="E22" s="56" t="s">
        <v>107</v>
      </c>
      <c r="F22" s="56" t="s">
        <v>107</v>
      </c>
      <c r="G22" s="56" t="s">
        <v>107</v>
      </c>
      <c r="H22" s="56" t="s">
        <v>107</v>
      </c>
      <c r="I22" s="56" t="s">
        <v>107</v>
      </c>
      <c r="J22" s="56" t="s">
        <v>107</v>
      </c>
      <c r="K22" s="56" t="s">
        <v>107</v>
      </c>
      <c r="L22" s="56" t="s">
        <v>107</v>
      </c>
      <c r="M22" s="56" t="s">
        <v>107</v>
      </c>
      <c r="N22" s="56" t="s">
        <v>107</v>
      </c>
      <c r="O22" s="56" t="s">
        <v>107</v>
      </c>
      <c r="P22" s="56" t="s">
        <v>107</v>
      </c>
      <c r="Q22" s="56" t="s">
        <v>107</v>
      </c>
      <c r="R22" s="56" t="s">
        <v>107</v>
      </c>
      <c r="S22" s="56" t="s">
        <v>107</v>
      </c>
      <c r="T22" s="56" t="s">
        <v>107</v>
      </c>
      <c r="U22" s="56" t="s">
        <v>107</v>
      </c>
      <c r="V22" s="56" t="s">
        <v>107</v>
      </c>
      <c r="W22" s="56" t="s">
        <v>107</v>
      </c>
      <c r="X22" s="56" t="s">
        <v>107</v>
      </c>
      <c r="Y22" s="56" t="s">
        <v>107</v>
      </c>
      <c r="Z22" s="56" t="s">
        <v>107</v>
      </c>
      <c r="AA22" s="56" t="s">
        <v>107</v>
      </c>
      <c r="AB22" s="56" t="s">
        <v>107</v>
      </c>
      <c r="AC22" s="56" t="s">
        <v>107</v>
      </c>
      <c r="AD22" s="56">
        <v>1</v>
      </c>
      <c r="AE22" s="56" t="s">
        <v>107</v>
      </c>
    </row>
    <row r="23" spans="1:31">
      <c r="A23" s="24" t="s">
        <v>5208</v>
      </c>
      <c r="B23" s="24" t="s">
        <v>15</v>
      </c>
      <c r="C23" s="55" t="s">
        <v>46</v>
      </c>
      <c r="D23" s="18"/>
      <c r="E23" s="56" t="s">
        <v>107</v>
      </c>
      <c r="F23" s="56" t="s">
        <v>107</v>
      </c>
      <c r="G23" s="56" t="s">
        <v>107</v>
      </c>
      <c r="H23" s="56" t="s">
        <v>107</v>
      </c>
      <c r="I23" s="56" t="s">
        <v>107</v>
      </c>
      <c r="J23" s="56" t="s">
        <v>107</v>
      </c>
      <c r="K23" s="56" t="s">
        <v>107</v>
      </c>
      <c r="L23" s="56">
        <v>1</v>
      </c>
      <c r="M23" s="56" t="s">
        <v>107</v>
      </c>
      <c r="N23" s="56" t="s">
        <v>107</v>
      </c>
      <c r="O23" s="56" t="s">
        <v>107</v>
      </c>
      <c r="P23" s="56" t="s">
        <v>107</v>
      </c>
      <c r="Q23" s="56" t="s">
        <v>107</v>
      </c>
      <c r="R23" s="56" t="s">
        <v>107</v>
      </c>
      <c r="S23" s="56" t="s">
        <v>107</v>
      </c>
      <c r="T23" s="56" t="s">
        <v>107</v>
      </c>
      <c r="U23" s="56" t="s">
        <v>107</v>
      </c>
      <c r="V23" s="56" t="s">
        <v>107</v>
      </c>
      <c r="W23" s="56" t="s">
        <v>107</v>
      </c>
      <c r="X23" s="56" t="s">
        <v>107</v>
      </c>
      <c r="Y23" s="56" t="s">
        <v>107</v>
      </c>
      <c r="Z23" s="56" t="s">
        <v>107</v>
      </c>
      <c r="AA23" s="56" t="s">
        <v>107</v>
      </c>
      <c r="AB23" s="56" t="s">
        <v>107</v>
      </c>
      <c r="AC23" s="56" t="s">
        <v>107</v>
      </c>
      <c r="AD23" s="56" t="s">
        <v>107</v>
      </c>
      <c r="AE23" s="56" t="s">
        <v>107</v>
      </c>
    </row>
    <row r="24" spans="1:31">
      <c r="A24" s="24" t="s">
        <v>5208</v>
      </c>
      <c r="B24" s="24" t="s">
        <v>15</v>
      </c>
      <c r="C24" s="55" t="s">
        <v>47</v>
      </c>
      <c r="D24" s="18"/>
      <c r="E24" s="56" t="s">
        <v>107</v>
      </c>
      <c r="F24" s="56" t="s">
        <v>107</v>
      </c>
      <c r="G24" s="56" t="s">
        <v>107</v>
      </c>
      <c r="H24" s="56" t="s">
        <v>107</v>
      </c>
      <c r="I24" s="56" t="s">
        <v>107</v>
      </c>
      <c r="J24" s="56" t="s">
        <v>107</v>
      </c>
      <c r="K24" s="56" t="s">
        <v>107</v>
      </c>
      <c r="L24" s="56">
        <v>1</v>
      </c>
      <c r="M24" s="56" t="s">
        <v>107</v>
      </c>
      <c r="N24" s="56" t="s">
        <v>107</v>
      </c>
      <c r="O24" s="56" t="s">
        <v>107</v>
      </c>
      <c r="P24" s="56">
        <v>1</v>
      </c>
      <c r="Q24" s="56" t="s">
        <v>107</v>
      </c>
      <c r="R24" s="56" t="s">
        <v>107</v>
      </c>
      <c r="S24" s="56" t="s">
        <v>107</v>
      </c>
      <c r="T24" s="56">
        <v>1</v>
      </c>
      <c r="U24" s="56" t="s">
        <v>107</v>
      </c>
      <c r="V24" s="56" t="s">
        <v>107</v>
      </c>
      <c r="W24" s="56">
        <v>1</v>
      </c>
      <c r="X24" s="56" t="s">
        <v>107</v>
      </c>
      <c r="Y24" s="56">
        <v>1</v>
      </c>
      <c r="Z24" s="56" t="s">
        <v>107</v>
      </c>
      <c r="AA24" s="56" t="s">
        <v>107</v>
      </c>
      <c r="AB24" s="56">
        <v>1</v>
      </c>
      <c r="AC24" s="56" t="s">
        <v>107</v>
      </c>
      <c r="AD24" s="56" t="s">
        <v>107</v>
      </c>
      <c r="AE24" s="56" t="s">
        <v>107</v>
      </c>
    </row>
    <row r="25" spans="1:31">
      <c r="A25" s="24" t="s">
        <v>5208</v>
      </c>
      <c r="B25" s="24" t="s">
        <v>15</v>
      </c>
      <c r="C25" s="55" t="s">
        <v>48</v>
      </c>
      <c r="D25" s="18"/>
      <c r="E25" s="56" t="s">
        <v>107</v>
      </c>
      <c r="F25" s="56" t="s">
        <v>107</v>
      </c>
      <c r="G25" s="56" t="s">
        <v>107</v>
      </c>
      <c r="H25" s="56" t="s">
        <v>107</v>
      </c>
      <c r="I25" s="56" t="s">
        <v>107</v>
      </c>
      <c r="J25" s="56" t="s">
        <v>107</v>
      </c>
      <c r="K25" s="56" t="s">
        <v>107</v>
      </c>
      <c r="L25" s="56">
        <v>1</v>
      </c>
      <c r="M25" s="56" t="s">
        <v>107</v>
      </c>
      <c r="N25" s="56" t="s">
        <v>107</v>
      </c>
      <c r="O25" s="56" t="s">
        <v>107</v>
      </c>
      <c r="P25" s="56" t="s">
        <v>107</v>
      </c>
      <c r="Q25" s="56" t="s">
        <v>107</v>
      </c>
      <c r="R25" s="56" t="s">
        <v>107</v>
      </c>
      <c r="S25" s="56" t="s">
        <v>107</v>
      </c>
      <c r="T25" s="56" t="s">
        <v>107</v>
      </c>
      <c r="U25" s="56" t="s">
        <v>107</v>
      </c>
      <c r="V25" s="56" t="s">
        <v>107</v>
      </c>
      <c r="W25" s="56" t="s">
        <v>107</v>
      </c>
      <c r="X25" s="56" t="s">
        <v>107</v>
      </c>
      <c r="Y25" s="56" t="s">
        <v>107</v>
      </c>
      <c r="Z25" s="56" t="s">
        <v>107</v>
      </c>
      <c r="AA25" s="56" t="s">
        <v>107</v>
      </c>
      <c r="AB25" s="56">
        <v>1</v>
      </c>
      <c r="AC25" s="56" t="s">
        <v>107</v>
      </c>
      <c r="AD25" s="56" t="s">
        <v>107</v>
      </c>
      <c r="AE25" s="56" t="s">
        <v>107</v>
      </c>
    </row>
    <row r="26" spans="1:31">
      <c r="A26" s="24" t="s">
        <v>5208</v>
      </c>
      <c r="B26" s="24" t="s">
        <v>15</v>
      </c>
      <c r="C26" s="55" t="s">
        <v>49</v>
      </c>
      <c r="D26" s="18"/>
      <c r="E26" s="56" t="s">
        <v>107</v>
      </c>
      <c r="F26" s="56" t="s">
        <v>107</v>
      </c>
      <c r="G26" s="56">
        <v>1</v>
      </c>
      <c r="H26" s="56" t="s">
        <v>107</v>
      </c>
      <c r="I26" s="56">
        <v>1</v>
      </c>
      <c r="J26" s="56" t="s">
        <v>107</v>
      </c>
      <c r="K26" s="56" t="s">
        <v>107</v>
      </c>
      <c r="L26" s="56" t="s">
        <v>107</v>
      </c>
      <c r="M26" s="56" t="s">
        <v>107</v>
      </c>
      <c r="N26" s="56" t="s">
        <v>107</v>
      </c>
      <c r="O26" s="56" t="s">
        <v>107</v>
      </c>
      <c r="P26" s="56" t="s">
        <v>107</v>
      </c>
      <c r="Q26" s="56" t="s">
        <v>107</v>
      </c>
      <c r="R26" s="56" t="s">
        <v>107</v>
      </c>
      <c r="S26" s="56" t="s">
        <v>107</v>
      </c>
      <c r="T26" s="56" t="s">
        <v>107</v>
      </c>
      <c r="U26" s="56" t="s">
        <v>107</v>
      </c>
      <c r="V26" s="56" t="s">
        <v>107</v>
      </c>
      <c r="W26" s="56" t="s">
        <v>107</v>
      </c>
      <c r="X26" s="56" t="s">
        <v>107</v>
      </c>
      <c r="Y26" s="56" t="s">
        <v>107</v>
      </c>
      <c r="Z26" s="56" t="s">
        <v>107</v>
      </c>
      <c r="AA26" s="56" t="s">
        <v>107</v>
      </c>
      <c r="AB26" s="56">
        <v>2</v>
      </c>
      <c r="AC26" s="56" t="s">
        <v>107</v>
      </c>
      <c r="AD26" s="56" t="s">
        <v>107</v>
      </c>
      <c r="AE26" s="56" t="s">
        <v>107</v>
      </c>
    </row>
    <row r="27" spans="1:31">
      <c r="A27" s="24" t="s">
        <v>5208</v>
      </c>
      <c r="B27" s="24" t="s">
        <v>15</v>
      </c>
      <c r="C27" s="55" t="s">
        <v>50</v>
      </c>
      <c r="D27" s="18"/>
      <c r="E27" s="56" t="s">
        <v>107</v>
      </c>
      <c r="F27" s="56" t="s">
        <v>107</v>
      </c>
      <c r="G27" s="56" t="s">
        <v>107</v>
      </c>
      <c r="H27" s="56">
        <v>3</v>
      </c>
      <c r="I27" s="56" t="s">
        <v>107</v>
      </c>
      <c r="J27" s="56" t="s">
        <v>107</v>
      </c>
      <c r="K27" s="56" t="s">
        <v>107</v>
      </c>
      <c r="L27" s="56">
        <v>2</v>
      </c>
      <c r="M27" s="56">
        <v>3</v>
      </c>
      <c r="N27" s="56">
        <v>1</v>
      </c>
      <c r="O27" s="56" t="s">
        <v>107</v>
      </c>
      <c r="P27" s="56" t="s">
        <v>107</v>
      </c>
      <c r="Q27" s="56" t="s">
        <v>107</v>
      </c>
      <c r="R27" s="56" t="s">
        <v>107</v>
      </c>
      <c r="S27" s="56">
        <v>1</v>
      </c>
      <c r="T27" s="56" t="s">
        <v>107</v>
      </c>
      <c r="U27" s="56" t="s">
        <v>107</v>
      </c>
      <c r="V27" s="56" t="s">
        <v>107</v>
      </c>
      <c r="W27" s="56">
        <v>1</v>
      </c>
      <c r="X27" s="56" t="s">
        <v>107</v>
      </c>
      <c r="Y27" s="56" t="s">
        <v>107</v>
      </c>
      <c r="Z27" s="56" t="s">
        <v>107</v>
      </c>
      <c r="AA27" s="56">
        <v>4</v>
      </c>
      <c r="AB27" s="56" t="s">
        <v>107</v>
      </c>
      <c r="AC27" s="56">
        <v>1</v>
      </c>
      <c r="AD27" s="56">
        <v>1</v>
      </c>
      <c r="AE27" s="56" t="s">
        <v>107</v>
      </c>
    </row>
    <row r="28" spans="1:31">
      <c r="A28" s="24" t="s">
        <v>5208</v>
      </c>
      <c r="B28" s="24" t="s">
        <v>15</v>
      </c>
      <c r="C28" s="55" t="s">
        <v>51</v>
      </c>
      <c r="D28" s="18"/>
      <c r="E28" s="56">
        <v>1</v>
      </c>
      <c r="F28" s="56" t="s">
        <v>107</v>
      </c>
      <c r="G28" s="56" t="s">
        <v>107</v>
      </c>
      <c r="H28" s="56" t="s">
        <v>107</v>
      </c>
      <c r="I28" s="56" t="s">
        <v>107</v>
      </c>
      <c r="J28" s="56" t="s">
        <v>107</v>
      </c>
      <c r="K28" s="56" t="s">
        <v>107</v>
      </c>
      <c r="L28" s="56" t="s">
        <v>107</v>
      </c>
      <c r="M28" s="56" t="s">
        <v>107</v>
      </c>
      <c r="N28" s="56" t="s">
        <v>107</v>
      </c>
      <c r="O28" s="56" t="s">
        <v>107</v>
      </c>
      <c r="P28" s="56" t="s">
        <v>107</v>
      </c>
      <c r="Q28" s="56" t="s">
        <v>107</v>
      </c>
      <c r="R28" s="56" t="s">
        <v>107</v>
      </c>
      <c r="S28" s="56" t="s">
        <v>107</v>
      </c>
      <c r="T28" s="56" t="s">
        <v>107</v>
      </c>
      <c r="U28" s="56" t="s">
        <v>107</v>
      </c>
      <c r="V28" s="56" t="s">
        <v>107</v>
      </c>
      <c r="W28" s="56" t="s">
        <v>107</v>
      </c>
      <c r="X28" s="56" t="s">
        <v>107</v>
      </c>
      <c r="Y28" s="56" t="s">
        <v>107</v>
      </c>
      <c r="Z28" s="56" t="s">
        <v>107</v>
      </c>
      <c r="AA28" s="56" t="s">
        <v>107</v>
      </c>
      <c r="AB28" s="56" t="s">
        <v>107</v>
      </c>
      <c r="AC28" s="56" t="s">
        <v>107</v>
      </c>
      <c r="AD28" s="56" t="s">
        <v>107</v>
      </c>
      <c r="AE28" s="56" t="s">
        <v>107</v>
      </c>
    </row>
    <row r="29" spans="1:31">
      <c r="A29" s="24" t="s">
        <v>5208</v>
      </c>
      <c r="B29" s="24" t="s">
        <v>15</v>
      </c>
      <c r="C29" s="55" t="s">
        <v>52</v>
      </c>
      <c r="D29" s="18"/>
      <c r="E29" s="56">
        <v>1</v>
      </c>
      <c r="F29" s="56" t="s">
        <v>107</v>
      </c>
      <c r="G29" s="56" t="s">
        <v>107</v>
      </c>
      <c r="H29" s="56">
        <v>1</v>
      </c>
      <c r="I29" s="56" t="s">
        <v>107</v>
      </c>
      <c r="J29" s="56" t="s">
        <v>107</v>
      </c>
      <c r="K29" s="56" t="s">
        <v>107</v>
      </c>
      <c r="L29" s="56">
        <v>1</v>
      </c>
      <c r="M29" s="56" t="s">
        <v>107</v>
      </c>
      <c r="N29" s="56">
        <v>1</v>
      </c>
      <c r="O29" s="56" t="s">
        <v>107</v>
      </c>
      <c r="P29" s="56" t="s">
        <v>107</v>
      </c>
      <c r="Q29" s="56" t="s">
        <v>107</v>
      </c>
      <c r="R29" s="56" t="s">
        <v>107</v>
      </c>
      <c r="S29" s="56" t="s">
        <v>107</v>
      </c>
      <c r="T29" s="56" t="s">
        <v>107</v>
      </c>
      <c r="U29" s="56" t="s">
        <v>107</v>
      </c>
      <c r="V29" s="56" t="s">
        <v>107</v>
      </c>
      <c r="W29" s="56" t="s">
        <v>107</v>
      </c>
      <c r="X29" s="56" t="s">
        <v>107</v>
      </c>
      <c r="Y29" s="56">
        <v>2</v>
      </c>
      <c r="Z29" s="56" t="s">
        <v>107</v>
      </c>
      <c r="AA29" s="56" t="s">
        <v>107</v>
      </c>
      <c r="AB29" s="56" t="s">
        <v>107</v>
      </c>
      <c r="AC29" s="56" t="s">
        <v>107</v>
      </c>
      <c r="AD29" s="56" t="s">
        <v>107</v>
      </c>
      <c r="AE29" s="56" t="s">
        <v>107</v>
      </c>
    </row>
    <row r="30" spans="1:31">
      <c r="A30" s="24" t="s">
        <v>5208</v>
      </c>
      <c r="B30" s="24" t="s">
        <v>15</v>
      </c>
      <c r="C30" s="55" t="s">
        <v>53</v>
      </c>
      <c r="D30" s="18"/>
      <c r="E30" s="56" t="s">
        <v>107</v>
      </c>
      <c r="F30" s="56">
        <v>1</v>
      </c>
      <c r="G30" s="56">
        <v>4</v>
      </c>
      <c r="H30" s="56">
        <v>1</v>
      </c>
      <c r="I30" s="56" t="s">
        <v>107</v>
      </c>
      <c r="J30" s="56" t="s">
        <v>107</v>
      </c>
      <c r="K30" s="56">
        <v>4</v>
      </c>
      <c r="L30" s="56">
        <v>5</v>
      </c>
      <c r="M30" s="56" t="s">
        <v>107</v>
      </c>
      <c r="N30" s="56">
        <v>1</v>
      </c>
      <c r="O30" s="56" t="s">
        <v>107</v>
      </c>
      <c r="P30" s="56">
        <v>3</v>
      </c>
      <c r="Q30" s="56" t="s">
        <v>107</v>
      </c>
      <c r="R30" s="56">
        <v>2</v>
      </c>
      <c r="S30" s="56" t="s">
        <v>107</v>
      </c>
      <c r="T30" s="56">
        <v>5</v>
      </c>
      <c r="U30" s="56" t="s">
        <v>107</v>
      </c>
      <c r="V30" s="56" t="s">
        <v>107</v>
      </c>
      <c r="W30" s="56">
        <v>1</v>
      </c>
      <c r="X30" s="56" t="s">
        <v>107</v>
      </c>
      <c r="Y30" s="56">
        <v>4</v>
      </c>
      <c r="Z30" s="56" t="s">
        <v>107</v>
      </c>
      <c r="AA30" s="56">
        <v>2</v>
      </c>
      <c r="AB30" s="56">
        <v>1</v>
      </c>
      <c r="AC30" s="56" t="s">
        <v>107</v>
      </c>
      <c r="AD30" s="56">
        <v>1</v>
      </c>
      <c r="AE30" s="56" t="s">
        <v>107</v>
      </c>
    </row>
    <row r="31" spans="1:31">
      <c r="A31" s="24" t="s">
        <v>5208</v>
      </c>
      <c r="B31" s="24" t="s">
        <v>15</v>
      </c>
      <c r="C31" s="55" t="s">
        <v>54</v>
      </c>
      <c r="D31" s="18"/>
      <c r="E31" s="56" t="s">
        <v>107</v>
      </c>
      <c r="F31" s="56" t="s">
        <v>107</v>
      </c>
      <c r="G31" s="56" t="s">
        <v>107</v>
      </c>
      <c r="H31" s="56" t="s">
        <v>107</v>
      </c>
      <c r="I31" s="56" t="s">
        <v>107</v>
      </c>
      <c r="J31" s="56" t="s">
        <v>107</v>
      </c>
      <c r="K31" s="56" t="s">
        <v>107</v>
      </c>
      <c r="L31" s="56" t="s">
        <v>107</v>
      </c>
      <c r="M31" s="56" t="s">
        <v>107</v>
      </c>
      <c r="N31" s="56" t="s">
        <v>107</v>
      </c>
      <c r="O31" s="56" t="s">
        <v>107</v>
      </c>
      <c r="P31" s="56" t="s">
        <v>107</v>
      </c>
      <c r="Q31" s="56" t="s">
        <v>107</v>
      </c>
      <c r="R31" s="56" t="s">
        <v>107</v>
      </c>
      <c r="S31" s="56" t="s">
        <v>107</v>
      </c>
      <c r="T31" s="56" t="s">
        <v>107</v>
      </c>
      <c r="U31" s="56" t="s">
        <v>107</v>
      </c>
      <c r="V31" s="56">
        <v>1</v>
      </c>
      <c r="W31" s="56" t="s">
        <v>107</v>
      </c>
      <c r="X31" s="56" t="s">
        <v>107</v>
      </c>
      <c r="Y31" s="56" t="s">
        <v>107</v>
      </c>
      <c r="Z31" s="56" t="s">
        <v>107</v>
      </c>
      <c r="AA31" s="56" t="s">
        <v>107</v>
      </c>
      <c r="AB31" s="56" t="s">
        <v>107</v>
      </c>
      <c r="AC31" s="56" t="s">
        <v>107</v>
      </c>
      <c r="AD31" s="56" t="s">
        <v>107</v>
      </c>
      <c r="AE31" s="56" t="s">
        <v>107</v>
      </c>
    </row>
    <row r="32" spans="1:31">
      <c r="A32" s="24" t="s">
        <v>5208</v>
      </c>
      <c r="B32" s="24" t="s">
        <v>15</v>
      </c>
      <c r="C32" s="55" t="s">
        <v>55</v>
      </c>
      <c r="D32" s="18"/>
      <c r="E32" s="56" t="s">
        <v>107</v>
      </c>
      <c r="F32" s="56">
        <v>1</v>
      </c>
      <c r="G32" s="56" t="s">
        <v>107</v>
      </c>
      <c r="H32" s="56" t="s">
        <v>107</v>
      </c>
      <c r="I32" s="56" t="s">
        <v>107</v>
      </c>
      <c r="J32" s="56" t="s">
        <v>107</v>
      </c>
      <c r="K32" s="56" t="s">
        <v>107</v>
      </c>
      <c r="L32" s="56">
        <v>2</v>
      </c>
      <c r="M32" s="56" t="s">
        <v>107</v>
      </c>
      <c r="N32" s="56" t="s">
        <v>107</v>
      </c>
      <c r="O32" s="56" t="s">
        <v>107</v>
      </c>
      <c r="P32" s="56" t="s">
        <v>107</v>
      </c>
      <c r="Q32" s="56" t="s">
        <v>107</v>
      </c>
      <c r="R32" s="56" t="s">
        <v>107</v>
      </c>
      <c r="S32" s="56" t="s">
        <v>107</v>
      </c>
      <c r="T32" s="56" t="s">
        <v>107</v>
      </c>
      <c r="U32" s="56" t="s">
        <v>107</v>
      </c>
      <c r="V32" s="56" t="s">
        <v>107</v>
      </c>
      <c r="W32" s="56" t="s">
        <v>107</v>
      </c>
      <c r="X32" s="56" t="s">
        <v>107</v>
      </c>
      <c r="Y32" s="56">
        <v>2</v>
      </c>
      <c r="Z32" s="56">
        <v>2</v>
      </c>
      <c r="AA32" s="56">
        <v>1</v>
      </c>
      <c r="AB32" s="56" t="s">
        <v>107</v>
      </c>
      <c r="AC32" s="56" t="s">
        <v>107</v>
      </c>
      <c r="AD32" s="56" t="s">
        <v>107</v>
      </c>
      <c r="AE32" s="56" t="s">
        <v>107</v>
      </c>
    </row>
    <row r="33" spans="1:31">
      <c r="A33" s="24" t="s">
        <v>5208</v>
      </c>
      <c r="B33" s="24" t="s">
        <v>15</v>
      </c>
      <c r="C33" s="55" t="s">
        <v>56</v>
      </c>
      <c r="D33" s="18"/>
      <c r="E33" s="56" t="s">
        <v>107</v>
      </c>
      <c r="F33" s="56" t="s">
        <v>107</v>
      </c>
      <c r="G33" s="56" t="s">
        <v>107</v>
      </c>
      <c r="H33" s="56" t="s">
        <v>107</v>
      </c>
      <c r="I33" s="56" t="s">
        <v>107</v>
      </c>
      <c r="J33" s="56" t="s">
        <v>107</v>
      </c>
      <c r="K33" s="56" t="s">
        <v>107</v>
      </c>
      <c r="L33" s="56" t="s">
        <v>107</v>
      </c>
      <c r="M33" s="56">
        <v>1</v>
      </c>
      <c r="N33" s="56">
        <v>1</v>
      </c>
      <c r="O33" s="56" t="s">
        <v>107</v>
      </c>
      <c r="P33" s="56">
        <v>2</v>
      </c>
      <c r="Q33" s="56">
        <v>3</v>
      </c>
      <c r="R33" s="56">
        <v>3</v>
      </c>
      <c r="S33" s="56" t="s">
        <v>107</v>
      </c>
      <c r="T33" s="56">
        <v>3</v>
      </c>
      <c r="U33" s="56" t="s">
        <v>107</v>
      </c>
      <c r="V33" s="56">
        <v>1</v>
      </c>
      <c r="W33" s="56">
        <v>3</v>
      </c>
      <c r="X33" s="56">
        <v>3</v>
      </c>
      <c r="Y33" s="56">
        <v>6</v>
      </c>
      <c r="Z33" s="56">
        <v>3</v>
      </c>
      <c r="AA33" s="56">
        <v>2</v>
      </c>
      <c r="AB33" s="56">
        <v>5</v>
      </c>
      <c r="AC33" s="56" t="s">
        <v>107</v>
      </c>
      <c r="AD33" s="56">
        <v>1</v>
      </c>
      <c r="AE33" s="56" t="s">
        <v>107</v>
      </c>
    </row>
    <row r="34" spans="1:31">
      <c r="A34" s="24" t="s">
        <v>5208</v>
      </c>
      <c r="B34" s="24" t="s">
        <v>15</v>
      </c>
      <c r="C34" s="55" t="s">
        <v>57</v>
      </c>
      <c r="D34" s="18"/>
      <c r="E34" s="56" t="s">
        <v>107</v>
      </c>
      <c r="F34" s="56" t="s">
        <v>107</v>
      </c>
      <c r="G34" s="56" t="s">
        <v>107</v>
      </c>
      <c r="H34" s="56" t="s">
        <v>107</v>
      </c>
      <c r="I34" s="56" t="s">
        <v>107</v>
      </c>
      <c r="J34" s="56" t="s">
        <v>107</v>
      </c>
      <c r="K34" s="56" t="s">
        <v>107</v>
      </c>
      <c r="L34" s="56" t="s">
        <v>107</v>
      </c>
      <c r="M34" s="56" t="s">
        <v>107</v>
      </c>
      <c r="N34" s="56" t="s">
        <v>107</v>
      </c>
      <c r="O34" s="56" t="s">
        <v>107</v>
      </c>
      <c r="P34" s="56" t="s">
        <v>107</v>
      </c>
      <c r="Q34" s="56" t="s">
        <v>107</v>
      </c>
      <c r="R34" s="56">
        <v>1</v>
      </c>
      <c r="S34" s="56" t="s">
        <v>107</v>
      </c>
      <c r="T34" s="56" t="s">
        <v>107</v>
      </c>
      <c r="U34" s="56" t="s">
        <v>107</v>
      </c>
      <c r="V34" s="56" t="s">
        <v>107</v>
      </c>
      <c r="W34" s="56" t="s">
        <v>107</v>
      </c>
      <c r="X34" s="56" t="s">
        <v>107</v>
      </c>
      <c r="Y34" s="56" t="s">
        <v>107</v>
      </c>
      <c r="Z34" s="56" t="s">
        <v>107</v>
      </c>
      <c r="AA34" s="56" t="s">
        <v>107</v>
      </c>
      <c r="AB34" s="56" t="s">
        <v>107</v>
      </c>
      <c r="AC34" s="56" t="s">
        <v>107</v>
      </c>
      <c r="AD34" s="56" t="s">
        <v>107</v>
      </c>
      <c r="AE34" s="56" t="s">
        <v>107</v>
      </c>
    </row>
    <row r="35" spans="1:31">
      <c r="A35" s="24" t="s">
        <v>5208</v>
      </c>
      <c r="B35" s="24" t="s">
        <v>15</v>
      </c>
      <c r="C35" s="55" t="s">
        <v>58</v>
      </c>
      <c r="D35" s="18"/>
      <c r="E35" s="56" t="s">
        <v>107</v>
      </c>
      <c r="F35" s="56" t="s">
        <v>107</v>
      </c>
      <c r="G35" s="56" t="s">
        <v>107</v>
      </c>
      <c r="H35" s="56" t="s">
        <v>107</v>
      </c>
      <c r="I35" s="56" t="s">
        <v>107</v>
      </c>
      <c r="J35" s="56" t="s">
        <v>107</v>
      </c>
      <c r="K35" s="56">
        <v>1</v>
      </c>
      <c r="L35" s="56">
        <v>1</v>
      </c>
      <c r="M35" s="56" t="s">
        <v>107</v>
      </c>
      <c r="N35" s="56" t="s">
        <v>107</v>
      </c>
      <c r="O35" s="56" t="s">
        <v>107</v>
      </c>
      <c r="P35" s="56">
        <v>1</v>
      </c>
      <c r="Q35" s="56" t="s">
        <v>107</v>
      </c>
      <c r="R35" s="56" t="s">
        <v>107</v>
      </c>
      <c r="S35" s="56" t="s">
        <v>107</v>
      </c>
      <c r="T35" s="56">
        <v>2</v>
      </c>
      <c r="U35" s="56" t="s">
        <v>107</v>
      </c>
      <c r="V35" s="56" t="s">
        <v>107</v>
      </c>
      <c r="W35" s="56">
        <v>1</v>
      </c>
      <c r="X35" s="56" t="s">
        <v>107</v>
      </c>
      <c r="Y35" s="56" t="s">
        <v>107</v>
      </c>
      <c r="Z35" s="56">
        <v>6</v>
      </c>
      <c r="AA35" s="56">
        <v>1</v>
      </c>
      <c r="AB35" s="56" t="s">
        <v>107</v>
      </c>
      <c r="AC35" s="56" t="s">
        <v>107</v>
      </c>
      <c r="AD35" s="56" t="s">
        <v>107</v>
      </c>
      <c r="AE35" s="56" t="s">
        <v>107</v>
      </c>
    </row>
    <row r="36" spans="1:31">
      <c r="A36" s="24" t="s">
        <v>5208</v>
      </c>
      <c r="B36" s="24" t="s">
        <v>15</v>
      </c>
      <c r="C36" s="55" t="s">
        <v>59</v>
      </c>
      <c r="D36" s="18"/>
      <c r="E36" s="56" t="s">
        <v>107</v>
      </c>
      <c r="F36" s="56" t="s">
        <v>107</v>
      </c>
      <c r="G36" s="56" t="s">
        <v>107</v>
      </c>
      <c r="H36" s="56" t="s">
        <v>107</v>
      </c>
      <c r="I36" s="56" t="s">
        <v>107</v>
      </c>
      <c r="J36" s="56" t="s">
        <v>107</v>
      </c>
      <c r="K36" s="56" t="s">
        <v>107</v>
      </c>
      <c r="L36" s="56">
        <v>2</v>
      </c>
      <c r="M36" s="56" t="s">
        <v>107</v>
      </c>
      <c r="N36" s="56" t="s">
        <v>107</v>
      </c>
      <c r="O36" s="56" t="s">
        <v>107</v>
      </c>
      <c r="P36" s="56" t="s">
        <v>107</v>
      </c>
      <c r="Q36" s="56" t="s">
        <v>107</v>
      </c>
      <c r="R36" s="56" t="s">
        <v>107</v>
      </c>
      <c r="S36" s="56" t="s">
        <v>107</v>
      </c>
      <c r="T36" s="56">
        <v>1</v>
      </c>
      <c r="U36" s="56" t="s">
        <v>107</v>
      </c>
      <c r="V36" s="56" t="s">
        <v>107</v>
      </c>
      <c r="W36" s="56">
        <v>1</v>
      </c>
      <c r="X36" s="56" t="s">
        <v>107</v>
      </c>
      <c r="Y36" s="56" t="s">
        <v>107</v>
      </c>
      <c r="Z36" s="56" t="s">
        <v>107</v>
      </c>
      <c r="AA36" s="56" t="s">
        <v>107</v>
      </c>
      <c r="AB36" s="56" t="s">
        <v>107</v>
      </c>
      <c r="AC36" s="56" t="s">
        <v>107</v>
      </c>
      <c r="AD36" s="56" t="s">
        <v>107</v>
      </c>
      <c r="AE36" s="56" t="s">
        <v>107</v>
      </c>
    </row>
    <row r="37" spans="1:31">
      <c r="A37" s="24" t="s">
        <v>5208</v>
      </c>
      <c r="B37" s="24" t="s">
        <v>15</v>
      </c>
      <c r="C37" s="55" t="s">
        <v>60</v>
      </c>
      <c r="D37" s="18"/>
      <c r="E37" s="56" t="s">
        <v>107</v>
      </c>
      <c r="F37" s="56" t="s">
        <v>107</v>
      </c>
      <c r="G37" s="56" t="s">
        <v>107</v>
      </c>
      <c r="H37" s="56" t="s">
        <v>107</v>
      </c>
      <c r="I37" s="56" t="s">
        <v>107</v>
      </c>
      <c r="J37" s="56" t="s">
        <v>107</v>
      </c>
      <c r="K37" s="56" t="s">
        <v>107</v>
      </c>
      <c r="L37" s="56">
        <v>1</v>
      </c>
      <c r="M37" s="56" t="s">
        <v>107</v>
      </c>
      <c r="N37" s="56" t="s">
        <v>107</v>
      </c>
      <c r="O37" s="56" t="s">
        <v>107</v>
      </c>
      <c r="P37" s="56" t="s">
        <v>107</v>
      </c>
      <c r="Q37" s="56" t="s">
        <v>107</v>
      </c>
      <c r="R37" s="56" t="s">
        <v>107</v>
      </c>
      <c r="S37" s="56" t="s">
        <v>107</v>
      </c>
      <c r="T37" s="56">
        <v>1</v>
      </c>
      <c r="U37" s="56" t="s">
        <v>107</v>
      </c>
      <c r="V37" s="56" t="s">
        <v>107</v>
      </c>
      <c r="W37" s="56" t="s">
        <v>107</v>
      </c>
      <c r="X37" s="56" t="s">
        <v>107</v>
      </c>
      <c r="Y37" s="56" t="s">
        <v>107</v>
      </c>
      <c r="Z37" s="56" t="s">
        <v>107</v>
      </c>
      <c r="AA37" s="56" t="s">
        <v>107</v>
      </c>
      <c r="AB37" s="56" t="s">
        <v>107</v>
      </c>
      <c r="AC37" s="56" t="s">
        <v>107</v>
      </c>
      <c r="AD37" s="56" t="s">
        <v>107</v>
      </c>
      <c r="AE37" s="56" t="s">
        <v>107</v>
      </c>
    </row>
    <row r="38" spans="1:31">
      <c r="A38" s="24" t="s">
        <v>5208</v>
      </c>
      <c r="B38" s="24" t="s">
        <v>15</v>
      </c>
      <c r="C38" s="55" t="s">
        <v>61</v>
      </c>
      <c r="D38" s="18"/>
      <c r="E38" s="56" t="s">
        <v>107</v>
      </c>
      <c r="F38" s="56" t="s">
        <v>107</v>
      </c>
      <c r="G38" s="56" t="s">
        <v>107</v>
      </c>
      <c r="H38" s="56" t="s">
        <v>107</v>
      </c>
      <c r="I38" s="56" t="s">
        <v>107</v>
      </c>
      <c r="J38" s="56" t="s">
        <v>107</v>
      </c>
      <c r="K38" s="56" t="s">
        <v>107</v>
      </c>
      <c r="L38" s="56" t="s">
        <v>107</v>
      </c>
      <c r="M38" s="56">
        <v>1</v>
      </c>
      <c r="N38" s="56" t="s">
        <v>107</v>
      </c>
      <c r="O38" s="56" t="s">
        <v>107</v>
      </c>
      <c r="P38" s="56" t="s">
        <v>107</v>
      </c>
      <c r="Q38" s="56" t="s">
        <v>107</v>
      </c>
      <c r="R38" s="56">
        <v>1</v>
      </c>
      <c r="S38" s="56" t="s">
        <v>107</v>
      </c>
      <c r="T38" s="56">
        <v>1</v>
      </c>
      <c r="U38" s="56" t="s">
        <v>107</v>
      </c>
      <c r="V38" s="56" t="s">
        <v>107</v>
      </c>
      <c r="W38" s="56" t="s">
        <v>107</v>
      </c>
      <c r="X38" s="56" t="s">
        <v>107</v>
      </c>
      <c r="Y38" s="56" t="s">
        <v>107</v>
      </c>
      <c r="Z38" s="56">
        <v>1</v>
      </c>
      <c r="AA38" s="56">
        <v>2</v>
      </c>
      <c r="AB38" s="56" t="s">
        <v>107</v>
      </c>
      <c r="AC38" s="56">
        <v>1</v>
      </c>
      <c r="AD38" s="56" t="s">
        <v>107</v>
      </c>
      <c r="AE38" s="56" t="s">
        <v>107</v>
      </c>
    </row>
    <row r="39" spans="1:31">
      <c r="A39" s="24" t="s">
        <v>5208</v>
      </c>
      <c r="B39" s="24" t="s">
        <v>15</v>
      </c>
      <c r="C39" s="55" t="s">
        <v>62</v>
      </c>
      <c r="D39" s="18"/>
      <c r="E39" s="56">
        <v>3</v>
      </c>
      <c r="F39" s="56" t="s">
        <v>107</v>
      </c>
      <c r="G39" s="56">
        <v>8</v>
      </c>
      <c r="H39" s="56">
        <v>14</v>
      </c>
      <c r="I39" s="56">
        <v>1</v>
      </c>
      <c r="J39" s="56" t="s">
        <v>107</v>
      </c>
      <c r="K39" s="56">
        <v>7</v>
      </c>
      <c r="L39" s="56">
        <v>5</v>
      </c>
      <c r="M39" s="56">
        <v>4</v>
      </c>
      <c r="N39" s="56">
        <v>4</v>
      </c>
      <c r="O39" s="56" t="s">
        <v>107</v>
      </c>
      <c r="P39" s="56">
        <v>4</v>
      </c>
      <c r="Q39" s="56">
        <v>3</v>
      </c>
      <c r="R39" s="56">
        <v>6</v>
      </c>
      <c r="S39" s="56" t="s">
        <v>107</v>
      </c>
      <c r="T39" s="56">
        <v>11</v>
      </c>
      <c r="U39" s="56" t="s">
        <v>107</v>
      </c>
      <c r="V39" s="56">
        <v>2</v>
      </c>
      <c r="W39" s="56">
        <v>3</v>
      </c>
      <c r="X39" s="56">
        <v>4</v>
      </c>
      <c r="Y39" s="56">
        <v>5</v>
      </c>
      <c r="Z39" s="56" t="s">
        <v>107</v>
      </c>
      <c r="AA39" s="56">
        <v>15</v>
      </c>
      <c r="AB39" s="56">
        <v>7</v>
      </c>
      <c r="AC39" s="56" t="s">
        <v>107</v>
      </c>
      <c r="AD39" s="56" t="s">
        <v>107</v>
      </c>
      <c r="AE39" s="56" t="s">
        <v>107</v>
      </c>
    </row>
    <row r="40" spans="1:31">
      <c r="A40" s="24" t="s">
        <v>5208</v>
      </c>
      <c r="B40" s="24" t="s">
        <v>15</v>
      </c>
      <c r="C40" s="55" t="s">
        <v>68</v>
      </c>
      <c r="D40" s="18"/>
      <c r="E40" s="56">
        <v>2</v>
      </c>
      <c r="F40" s="56">
        <v>4</v>
      </c>
      <c r="G40" s="56">
        <v>11</v>
      </c>
      <c r="H40" s="56">
        <v>15</v>
      </c>
      <c r="I40" s="56">
        <v>6</v>
      </c>
      <c r="J40" s="56" t="s">
        <v>107</v>
      </c>
      <c r="K40" s="56">
        <v>2</v>
      </c>
      <c r="L40" s="56">
        <v>3</v>
      </c>
      <c r="M40" s="56">
        <v>5</v>
      </c>
      <c r="N40" s="56">
        <v>2</v>
      </c>
      <c r="O40" s="56" t="s">
        <v>107</v>
      </c>
      <c r="P40" s="56" t="s">
        <v>107</v>
      </c>
      <c r="Q40" s="56">
        <v>1</v>
      </c>
      <c r="R40" s="56">
        <v>7</v>
      </c>
      <c r="S40" s="56" t="s">
        <v>107</v>
      </c>
      <c r="T40" s="56">
        <v>7</v>
      </c>
      <c r="U40" s="56" t="s">
        <v>107</v>
      </c>
      <c r="V40" s="56">
        <v>2</v>
      </c>
      <c r="W40" s="56">
        <v>1</v>
      </c>
      <c r="X40" s="56">
        <v>1</v>
      </c>
      <c r="Y40" s="56" t="s">
        <v>107</v>
      </c>
      <c r="Z40" s="56">
        <v>1</v>
      </c>
      <c r="AA40" s="56">
        <v>1</v>
      </c>
      <c r="AB40" s="56">
        <v>1</v>
      </c>
      <c r="AC40" s="56" t="s">
        <v>107</v>
      </c>
      <c r="AD40" s="56" t="s">
        <v>107</v>
      </c>
      <c r="AE40" s="56" t="s">
        <v>107</v>
      </c>
    </row>
    <row r="41" spans="1:31">
      <c r="A41" s="47" t="s">
        <v>5208</v>
      </c>
      <c r="B41" s="47" t="s">
        <v>16</v>
      </c>
      <c r="C41" s="47" t="s">
        <v>5124</v>
      </c>
      <c r="D41" s="48" t="s">
        <v>5228</v>
      </c>
      <c r="E41" s="46" t="s">
        <v>107</v>
      </c>
      <c r="F41" s="46">
        <v>26</v>
      </c>
      <c r="G41" s="46">
        <v>18</v>
      </c>
      <c r="H41" s="46">
        <v>7</v>
      </c>
      <c r="I41" s="46">
        <v>29</v>
      </c>
      <c r="J41" s="46">
        <v>14</v>
      </c>
      <c r="K41" s="46">
        <v>13</v>
      </c>
      <c r="L41" s="46">
        <v>16</v>
      </c>
      <c r="M41" s="46">
        <v>36</v>
      </c>
      <c r="N41" s="46">
        <v>25</v>
      </c>
      <c r="O41" s="46">
        <v>34</v>
      </c>
      <c r="P41" s="46">
        <v>32</v>
      </c>
      <c r="Q41" s="46">
        <v>31</v>
      </c>
      <c r="R41" s="46">
        <v>25</v>
      </c>
      <c r="S41" s="46">
        <v>14</v>
      </c>
      <c r="T41" s="46" t="s">
        <v>107</v>
      </c>
      <c r="U41" s="46">
        <v>30</v>
      </c>
      <c r="V41" s="46">
        <v>14</v>
      </c>
      <c r="W41" s="46" t="s">
        <v>107</v>
      </c>
      <c r="X41" s="46" t="s">
        <v>107</v>
      </c>
      <c r="Y41" s="46" t="s">
        <v>107</v>
      </c>
      <c r="Z41" s="46">
        <v>7</v>
      </c>
      <c r="AA41" s="46">
        <v>2</v>
      </c>
      <c r="AB41" s="46">
        <v>11</v>
      </c>
      <c r="AC41" s="46" t="s">
        <v>107</v>
      </c>
      <c r="AD41" s="46">
        <v>7</v>
      </c>
      <c r="AE41" s="46">
        <v>14</v>
      </c>
    </row>
    <row r="42" spans="1:31">
      <c r="A42" s="24" t="s">
        <v>5208</v>
      </c>
      <c r="B42" s="24" t="s">
        <v>16</v>
      </c>
      <c r="C42" s="55" t="s">
        <v>70</v>
      </c>
      <c r="D42" s="18"/>
      <c r="E42" s="56" t="s">
        <v>107</v>
      </c>
      <c r="F42" s="56" t="s">
        <v>107</v>
      </c>
      <c r="G42" s="56" t="s">
        <v>107</v>
      </c>
      <c r="H42" s="56">
        <v>1</v>
      </c>
      <c r="I42" s="56" t="s">
        <v>107</v>
      </c>
      <c r="J42" s="56" t="s">
        <v>107</v>
      </c>
      <c r="K42" s="56" t="s">
        <v>107</v>
      </c>
      <c r="L42" s="56" t="s">
        <v>107</v>
      </c>
      <c r="M42" s="56" t="s">
        <v>107</v>
      </c>
      <c r="N42" s="56" t="s">
        <v>107</v>
      </c>
      <c r="O42" s="56" t="s">
        <v>107</v>
      </c>
      <c r="P42" s="56" t="s">
        <v>107</v>
      </c>
      <c r="Q42" s="56" t="s">
        <v>107</v>
      </c>
      <c r="R42" s="56" t="s">
        <v>107</v>
      </c>
      <c r="S42" s="56" t="s">
        <v>107</v>
      </c>
      <c r="T42" s="56" t="s">
        <v>107</v>
      </c>
      <c r="U42" s="56" t="s">
        <v>107</v>
      </c>
      <c r="V42" s="56" t="s">
        <v>107</v>
      </c>
      <c r="W42" s="56" t="s">
        <v>107</v>
      </c>
      <c r="X42" s="56" t="s">
        <v>107</v>
      </c>
      <c r="Y42" s="56" t="s">
        <v>107</v>
      </c>
      <c r="Z42" s="56" t="s">
        <v>107</v>
      </c>
      <c r="AA42" s="56">
        <v>1</v>
      </c>
      <c r="AB42" s="56" t="s">
        <v>107</v>
      </c>
      <c r="AC42" s="56" t="s">
        <v>107</v>
      </c>
      <c r="AD42" s="56" t="s">
        <v>107</v>
      </c>
      <c r="AE42" s="56" t="s">
        <v>107</v>
      </c>
    </row>
    <row r="43" spans="1:31">
      <c r="A43" s="24" t="s">
        <v>5208</v>
      </c>
      <c r="B43" s="24" t="s">
        <v>16</v>
      </c>
      <c r="C43" s="55" t="s">
        <v>71</v>
      </c>
      <c r="D43" s="18"/>
      <c r="E43" s="56" t="s">
        <v>107</v>
      </c>
      <c r="F43" s="56">
        <v>11</v>
      </c>
      <c r="G43" s="56">
        <v>3</v>
      </c>
      <c r="H43" s="56">
        <v>2</v>
      </c>
      <c r="I43" s="56">
        <v>2</v>
      </c>
      <c r="J43" s="56">
        <v>1</v>
      </c>
      <c r="K43" s="56" t="s">
        <v>107</v>
      </c>
      <c r="L43" s="56" t="s">
        <v>107</v>
      </c>
      <c r="M43" s="56" t="s">
        <v>107</v>
      </c>
      <c r="N43" s="56" t="s">
        <v>107</v>
      </c>
      <c r="O43" s="56" t="s">
        <v>107</v>
      </c>
      <c r="P43" s="56" t="s">
        <v>107</v>
      </c>
      <c r="Q43" s="56">
        <v>16</v>
      </c>
      <c r="R43" s="56">
        <v>6</v>
      </c>
      <c r="S43" s="56" t="s">
        <v>107</v>
      </c>
      <c r="T43" s="56" t="s">
        <v>107</v>
      </c>
      <c r="U43" s="56" t="s">
        <v>107</v>
      </c>
      <c r="V43" s="56" t="s">
        <v>107</v>
      </c>
      <c r="W43" s="56" t="s">
        <v>107</v>
      </c>
      <c r="X43" s="56" t="s">
        <v>107</v>
      </c>
      <c r="Y43" s="56" t="s">
        <v>107</v>
      </c>
      <c r="Z43" s="56">
        <v>2</v>
      </c>
      <c r="AA43" s="56" t="s">
        <v>107</v>
      </c>
      <c r="AB43" s="56" t="s">
        <v>107</v>
      </c>
      <c r="AC43" s="56" t="s">
        <v>107</v>
      </c>
      <c r="AD43" s="56">
        <v>1</v>
      </c>
      <c r="AE43" s="56">
        <v>1</v>
      </c>
    </row>
    <row r="44" spans="1:31">
      <c r="A44" s="24" t="s">
        <v>5208</v>
      </c>
      <c r="B44" s="24" t="s">
        <v>16</v>
      </c>
      <c r="C44" s="55" t="s">
        <v>72</v>
      </c>
      <c r="D44" s="18"/>
      <c r="E44" s="56" t="s">
        <v>107</v>
      </c>
      <c r="F44" s="56" t="s">
        <v>107</v>
      </c>
      <c r="G44" s="56">
        <v>8</v>
      </c>
      <c r="H44" s="56" t="s">
        <v>107</v>
      </c>
      <c r="I44" s="56">
        <v>16</v>
      </c>
      <c r="J44" s="56">
        <v>4</v>
      </c>
      <c r="K44" s="56">
        <v>7</v>
      </c>
      <c r="L44" s="56" t="s">
        <v>107</v>
      </c>
      <c r="M44" s="56" t="s">
        <v>107</v>
      </c>
      <c r="N44" s="56" t="s">
        <v>107</v>
      </c>
      <c r="O44" s="56">
        <v>7</v>
      </c>
      <c r="P44" s="56">
        <v>2</v>
      </c>
      <c r="Q44" s="56" t="s">
        <v>107</v>
      </c>
      <c r="R44" s="56" t="s">
        <v>107</v>
      </c>
      <c r="S44" s="56" t="s">
        <v>107</v>
      </c>
      <c r="T44" s="56" t="s">
        <v>107</v>
      </c>
      <c r="U44" s="56" t="s">
        <v>107</v>
      </c>
      <c r="V44" s="56" t="s">
        <v>107</v>
      </c>
      <c r="W44" s="56" t="s">
        <v>107</v>
      </c>
      <c r="X44" s="56" t="s">
        <v>107</v>
      </c>
      <c r="Y44" s="56" t="s">
        <v>107</v>
      </c>
      <c r="Z44" s="56" t="s">
        <v>107</v>
      </c>
      <c r="AA44" s="56" t="s">
        <v>107</v>
      </c>
      <c r="AB44" s="56">
        <v>10</v>
      </c>
      <c r="AC44" s="56" t="s">
        <v>107</v>
      </c>
      <c r="AD44" s="56" t="s">
        <v>107</v>
      </c>
      <c r="AE44" s="56">
        <v>1</v>
      </c>
    </row>
    <row r="45" spans="1:31">
      <c r="A45" s="24" t="s">
        <v>5208</v>
      </c>
      <c r="B45" s="24" t="s">
        <v>16</v>
      </c>
      <c r="C45" s="55" t="s">
        <v>73</v>
      </c>
      <c r="D45" s="18"/>
      <c r="E45" s="56" t="s">
        <v>107</v>
      </c>
      <c r="F45" s="56">
        <v>2</v>
      </c>
      <c r="G45" s="56">
        <v>3</v>
      </c>
      <c r="H45" s="56" t="s">
        <v>107</v>
      </c>
      <c r="I45" s="56">
        <v>10</v>
      </c>
      <c r="J45" s="56">
        <v>8</v>
      </c>
      <c r="K45" s="56">
        <v>5</v>
      </c>
      <c r="L45" s="56" t="s">
        <v>107</v>
      </c>
      <c r="M45" s="56" t="s">
        <v>107</v>
      </c>
      <c r="N45" s="56" t="s">
        <v>107</v>
      </c>
      <c r="O45" s="56">
        <v>4</v>
      </c>
      <c r="P45" s="56">
        <v>30</v>
      </c>
      <c r="Q45" s="56">
        <v>3</v>
      </c>
      <c r="R45" s="56">
        <v>1</v>
      </c>
      <c r="S45" s="56" t="s">
        <v>107</v>
      </c>
      <c r="T45" s="56" t="s">
        <v>107</v>
      </c>
      <c r="U45" s="56" t="s">
        <v>107</v>
      </c>
      <c r="V45" s="56" t="s">
        <v>107</v>
      </c>
      <c r="W45" s="56" t="s">
        <v>107</v>
      </c>
      <c r="X45" s="56" t="s">
        <v>107</v>
      </c>
      <c r="Y45" s="56" t="s">
        <v>107</v>
      </c>
      <c r="Z45" s="56" t="s">
        <v>107</v>
      </c>
      <c r="AA45" s="56" t="s">
        <v>107</v>
      </c>
      <c r="AB45" s="56">
        <v>1</v>
      </c>
      <c r="AC45" s="56" t="s">
        <v>107</v>
      </c>
      <c r="AD45" s="56">
        <v>4</v>
      </c>
      <c r="AE45" s="56">
        <v>2</v>
      </c>
    </row>
    <row r="46" spans="1:31">
      <c r="A46" s="24" t="s">
        <v>5208</v>
      </c>
      <c r="B46" s="24" t="s">
        <v>16</v>
      </c>
      <c r="C46" s="55" t="s">
        <v>74</v>
      </c>
      <c r="D46" s="18"/>
      <c r="E46" s="56" t="s">
        <v>107</v>
      </c>
      <c r="F46" s="56">
        <v>1</v>
      </c>
      <c r="G46" s="56" t="s">
        <v>107</v>
      </c>
      <c r="H46" s="56" t="s">
        <v>107</v>
      </c>
      <c r="I46" s="56" t="s">
        <v>107</v>
      </c>
      <c r="J46" s="56" t="s">
        <v>107</v>
      </c>
      <c r="K46" s="56" t="s">
        <v>107</v>
      </c>
      <c r="L46" s="56" t="s">
        <v>107</v>
      </c>
      <c r="M46" s="56" t="s">
        <v>107</v>
      </c>
      <c r="N46" s="56" t="s">
        <v>107</v>
      </c>
      <c r="O46" s="56" t="s">
        <v>107</v>
      </c>
      <c r="P46" s="56" t="s">
        <v>107</v>
      </c>
      <c r="Q46" s="56" t="s">
        <v>107</v>
      </c>
      <c r="R46" s="56" t="s">
        <v>107</v>
      </c>
      <c r="S46" s="56" t="s">
        <v>107</v>
      </c>
      <c r="T46" s="56" t="s">
        <v>107</v>
      </c>
      <c r="U46" s="56" t="s">
        <v>107</v>
      </c>
      <c r="V46" s="56" t="s">
        <v>107</v>
      </c>
      <c r="W46" s="56" t="s">
        <v>107</v>
      </c>
      <c r="X46" s="56" t="s">
        <v>107</v>
      </c>
      <c r="Y46" s="56" t="s">
        <v>107</v>
      </c>
      <c r="Z46" s="56" t="s">
        <v>107</v>
      </c>
      <c r="AA46" s="56" t="s">
        <v>107</v>
      </c>
      <c r="AB46" s="56" t="s">
        <v>107</v>
      </c>
      <c r="AC46" s="56" t="s">
        <v>107</v>
      </c>
      <c r="AD46" s="56" t="s">
        <v>107</v>
      </c>
      <c r="AE46" s="56" t="s">
        <v>107</v>
      </c>
    </row>
    <row r="47" spans="1:31">
      <c r="A47" s="24" t="s">
        <v>5208</v>
      </c>
      <c r="B47" s="24" t="s">
        <v>16</v>
      </c>
      <c r="C47" s="55" t="s">
        <v>75</v>
      </c>
      <c r="D47" s="18"/>
      <c r="E47" s="56" t="s">
        <v>107</v>
      </c>
      <c r="F47" s="56">
        <v>1</v>
      </c>
      <c r="G47" s="56">
        <v>2</v>
      </c>
      <c r="H47" s="56">
        <v>1</v>
      </c>
      <c r="I47" s="56" t="s">
        <v>107</v>
      </c>
      <c r="J47" s="56" t="s">
        <v>107</v>
      </c>
      <c r="K47" s="56">
        <v>1</v>
      </c>
      <c r="L47" s="56" t="s">
        <v>107</v>
      </c>
      <c r="M47" s="56">
        <v>4</v>
      </c>
      <c r="N47" s="56" t="s">
        <v>107</v>
      </c>
      <c r="O47" s="56" t="s">
        <v>107</v>
      </c>
      <c r="P47" s="56" t="s">
        <v>107</v>
      </c>
      <c r="Q47" s="56" t="s">
        <v>107</v>
      </c>
      <c r="R47" s="56">
        <v>2</v>
      </c>
      <c r="S47" s="56" t="s">
        <v>107</v>
      </c>
      <c r="T47" s="56" t="s">
        <v>107</v>
      </c>
      <c r="U47" s="56" t="s">
        <v>107</v>
      </c>
      <c r="V47" s="56" t="s">
        <v>107</v>
      </c>
      <c r="W47" s="56" t="s">
        <v>107</v>
      </c>
      <c r="X47" s="56" t="s">
        <v>107</v>
      </c>
      <c r="Y47" s="56" t="s">
        <v>107</v>
      </c>
      <c r="Z47" s="56">
        <v>5</v>
      </c>
      <c r="AA47" s="56" t="s">
        <v>107</v>
      </c>
      <c r="AB47" s="56" t="s">
        <v>107</v>
      </c>
      <c r="AC47" s="56" t="s">
        <v>107</v>
      </c>
      <c r="AD47" s="56">
        <v>1</v>
      </c>
      <c r="AE47" s="56">
        <v>10</v>
      </c>
    </row>
    <row r="48" spans="1:31">
      <c r="A48" s="24" t="s">
        <v>5208</v>
      </c>
      <c r="B48" s="24" t="s">
        <v>16</v>
      </c>
      <c r="C48" s="55" t="s">
        <v>76</v>
      </c>
      <c r="D48" s="18"/>
      <c r="E48" s="56" t="s">
        <v>107</v>
      </c>
      <c r="F48" s="56">
        <v>11</v>
      </c>
      <c r="G48" s="56">
        <v>2</v>
      </c>
      <c r="H48" s="56">
        <v>3</v>
      </c>
      <c r="I48" s="56">
        <v>1</v>
      </c>
      <c r="J48" s="56">
        <v>1</v>
      </c>
      <c r="K48" s="56" t="s">
        <v>107</v>
      </c>
      <c r="L48" s="56">
        <v>16</v>
      </c>
      <c r="M48" s="56">
        <v>32</v>
      </c>
      <c r="N48" s="56">
        <v>25</v>
      </c>
      <c r="O48" s="56">
        <v>23</v>
      </c>
      <c r="P48" s="56" t="s">
        <v>107</v>
      </c>
      <c r="Q48" s="56">
        <v>12</v>
      </c>
      <c r="R48" s="56">
        <v>16</v>
      </c>
      <c r="S48" s="56">
        <v>14</v>
      </c>
      <c r="T48" s="56" t="s">
        <v>107</v>
      </c>
      <c r="U48" s="56">
        <v>30</v>
      </c>
      <c r="V48" s="56">
        <v>14</v>
      </c>
      <c r="W48" s="56" t="s">
        <v>107</v>
      </c>
      <c r="X48" s="56" t="s">
        <v>107</v>
      </c>
      <c r="Y48" s="56" t="s">
        <v>107</v>
      </c>
      <c r="Z48" s="56" t="s">
        <v>107</v>
      </c>
      <c r="AA48" s="56">
        <v>1</v>
      </c>
      <c r="AB48" s="56" t="s">
        <v>107</v>
      </c>
      <c r="AC48" s="56" t="s">
        <v>107</v>
      </c>
      <c r="AD48" s="56">
        <v>1</v>
      </c>
      <c r="AE48" s="56" t="s">
        <v>107</v>
      </c>
    </row>
    <row r="49" spans="1:31">
      <c r="A49" s="47" t="s">
        <v>5208</v>
      </c>
      <c r="B49" s="47" t="s">
        <v>17</v>
      </c>
      <c r="C49" s="47" t="s">
        <v>5125</v>
      </c>
      <c r="D49" s="48" t="s">
        <v>5228</v>
      </c>
      <c r="E49" s="46" t="s">
        <v>107</v>
      </c>
      <c r="F49" s="46" t="s">
        <v>107</v>
      </c>
      <c r="G49" s="46" t="s">
        <v>107</v>
      </c>
      <c r="H49" s="46" t="s">
        <v>107</v>
      </c>
      <c r="I49" s="46" t="s">
        <v>107</v>
      </c>
      <c r="J49" s="46" t="s">
        <v>107</v>
      </c>
      <c r="K49" s="46" t="s">
        <v>107</v>
      </c>
      <c r="L49" s="46" t="s">
        <v>107</v>
      </c>
      <c r="M49" s="46">
        <v>6</v>
      </c>
      <c r="N49" s="46">
        <v>5</v>
      </c>
      <c r="O49" s="46">
        <v>1</v>
      </c>
      <c r="P49" s="46" t="s">
        <v>107</v>
      </c>
      <c r="Q49" s="46" t="s">
        <v>107</v>
      </c>
      <c r="R49" s="46">
        <v>8</v>
      </c>
      <c r="S49" s="46">
        <v>1</v>
      </c>
      <c r="T49" s="46" t="s">
        <v>107</v>
      </c>
      <c r="U49" s="46">
        <v>1</v>
      </c>
      <c r="V49" s="46">
        <v>10</v>
      </c>
      <c r="W49" s="46">
        <v>2</v>
      </c>
      <c r="X49" s="46">
        <v>23</v>
      </c>
      <c r="Y49" s="46" t="s">
        <v>107</v>
      </c>
      <c r="Z49" s="46" t="s">
        <v>107</v>
      </c>
      <c r="AA49" s="46" t="s">
        <v>107</v>
      </c>
      <c r="AB49" s="46">
        <v>16</v>
      </c>
      <c r="AC49" s="46" t="s">
        <v>107</v>
      </c>
      <c r="AD49" s="46">
        <v>5</v>
      </c>
      <c r="AE49" s="46" t="s">
        <v>107</v>
      </c>
    </row>
    <row r="50" spans="1:31">
      <c r="A50" s="24" t="s">
        <v>5208</v>
      </c>
      <c r="B50" s="24" t="s">
        <v>17</v>
      </c>
      <c r="C50" s="55" t="s">
        <v>69</v>
      </c>
      <c r="D50" s="18"/>
      <c r="E50" s="56" t="s">
        <v>107</v>
      </c>
      <c r="F50" s="56" t="s">
        <v>107</v>
      </c>
      <c r="G50" s="56" t="s">
        <v>107</v>
      </c>
      <c r="H50" s="56" t="s">
        <v>107</v>
      </c>
      <c r="I50" s="56" t="s">
        <v>107</v>
      </c>
      <c r="J50" s="56" t="s">
        <v>107</v>
      </c>
      <c r="K50" s="56" t="s">
        <v>107</v>
      </c>
      <c r="L50" s="56" t="s">
        <v>107</v>
      </c>
      <c r="M50" s="56">
        <v>6</v>
      </c>
      <c r="N50" s="56">
        <v>5</v>
      </c>
      <c r="O50" s="56">
        <v>1</v>
      </c>
      <c r="P50" s="56" t="s">
        <v>107</v>
      </c>
      <c r="Q50" s="56" t="s">
        <v>107</v>
      </c>
      <c r="R50" s="56">
        <v>8</v>
      </c>
      <c r="S50" s="56">
        <v>1</v>
      </c>
      <c r="T50" s="56" t="s">
        <v>107</v>
      </c>
      <c r="U50" s="56">
        <v>1</v>
      </c>
      <c r="V50" s="56">
        <v>10</v>
      </c>
      <c r="W50" s="56">
        <v>2</v>
      </c>
      <c r="X50" s="56">
        <v>23</v>
      </c>
      <c r="Y50" s="56" t="s">
        <v>107</v>
      </c>
      <c r="Z50" s="56" t="s">
        <v>107</v>
      </c>
      <c r="AA50" s="56" t="s">
        <v>107</v>
      </c>
      <c r="AB50" s="56">
        <v>16</v>
      </c>
      <c r="AC50" s="56" t="s">
        <v>107</v>
      </c>
      <c r="AD50" s="56">
        <v>5</v>
      </c>
      <c r="AE50" s="56" t="s">
        <v>107</v>
      </c>
    </row>
    <row r="51" spans="1:31">
      <c r="D51" s="18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</row>
    <row r="52" spans="1:31" ht="15.75">
      <c r="A52" s="43" t="s">
        <v>5227</v>
      </c>
      <c r="B52" s="43"/>
      <c r="C52" s="43"/>
      <c r="D52" s="44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</row>
    <row r="53" spans="1:31" ht="15.75">
      <c r="A53" s="19" t="s">
        <v>5121</v>
      </c>
      <c r="B53" s="19"/>
      <c r="C53" s="19"/>
      <c r="D53" s="20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</row>
    <row r="54" spans="1:31">
      <c r="A54" s="22" t="s">
        <v>5208</v>
      </c>
      <c r="B54" s="22" t="s">
        <v>13</v>
      </c>
      <c r="C54" s="22" t="s">
        <v>5122</v>
      </c>
      <c r="D54" s="23">
        <f>IFERROR(AVERAGEIFS(マスタ_業務・標準!$M:$M,マスタ_業務・標準!$K:$K,$A54,マスタ_業務・標準!$L:$L,$B54),"")</f>
        <v>3.97</v>
      </c>
      <c r="E54" s="31" t="s">
        <v>107</v>
      </c>
      <c r="F54" s="31">
        <v>5.35</v>
      </c>
      <c r="G54" s="31" t="s">
        <v>107</v>
      </c>
      <c r="H54" s="31">
        <v>2.4900000000000002</v>
      </c>
      <c r="I54" s="31" t="s">
        <v>107</v>
      </c>
      <c r="J54" s="31" t="s">
        <v>107</v>
      </c>
      <c r="K54" s="31" t="s">
        <v>107</v>
      </c>
      <c r="L54" s="31">
        <v>1.46</v>
      </c>
      <c r="M54" s="31">
        <v>4.75</v>
      </c>
      <c r="N54" s="31">
        <v>4.37</v>
      </c>
      <c r="O54" s="31">
        <v>5.38</v>
      </c>
      <c r="P54" s="31" t="s">
        <v>107</v>
      </c>
      <c r="Q54" s="31" t="s">
        <v>107</v>
      </c>
      <c r="R54" s="31" t="s">
        <v>107</v>
      </c>
      <c r="S54" s="31">
        <v>6.51</v>
      </c>
      <c r="T54" s="31">
        <v>3.81</v>
      </c>
      <c r="U54" s="31">
        <v>6.03</v>
      </c>
      <c r="V54" s="31">
        <v>4.2699999999999996</v>
      </c>
      <c r="W54" s="31">
        <v>5.33</v>
      </c>
      <c r="X54" s="31">
        <v>4.8499999999999996</v>
      </c>
      <c r="Y54" s="31" t="s">
        <v>107</v>
      </c>
      <c r="Z54" s="31" t="s">
        <v>107</v>
      </c>
      <c r="AA54" s="31">
        <v>2.0499999999999998</v>
      </c>
      <c r="AB54" s="31" t="s">
        <v>107</v>
      </c>
      <c r="AC54" s="31">
        <v>3.67</v>
      </c>
      <c r="AD54" s="31">
        <v>2.63</v>
      </c>
      <c r="AE54" s="31" t="s">
        <v>107</v>
      </c>
    </row>
    <row r="55" spans="1:31">
      <c r="A55" s="24" t="s">
        <v>5208</v>
      </c>
      <c r="B55" s="24" t="s">
        <v>13</v>
      </c>
      <c r="C55" s="55" t="s">
        <v>63</v>
      </c>
      <c r="D55" s="18">
        <f>IFERROR(AVERAGEIFS(マスタ_業務・標準!$H:$H,マスタ_業務・標準!$D:$D,$A55,マスタ_業務・標準!$C:$C,$C55),"")</f>
        <v>2.0299999999999998</v>
      </c>
      <c r="E55" s="54" t="s">
        <v>107</v>
      </c>
      <c r="F55" s="54" t="s">
        <v>107</v>
      </c>
      <c r="G55" s="54" t="s">
        <v>107</v>
      </c>
      <c r="H55" s="54" t="s">
        <v>107</v>
      </c>
      <c r="I55" s="54" t="s">
        <v>107</v>
      </c>
      <c r="J55" s="54" t="s">
        <v>107</v>
      </c>
      <c r="K55" s="54" t="s">
        <v>107</v>
      </c>
      <c r="L55" s="54" t="s">
        <v>107</v>
      </c>
      <c r="M55" s="54" t="s">
        <v>107</v>
      </c>
      <c r="N55" s="54" t="s">
        <v>107</v>
      </c>
      <c r="O55" s="54" t="s">
        <v>107</v>
      </c>
      <c r="P55" s="54" t="s">
        <v>107</v>
      </c>
      <c r="Q55" s="54" t="s">
        <v>107</v>
      </c>
      <c r="R55" s="54" t="s">
        <v>107</v>
      </c>
      <c r="S55" s="54" t="s">
        <v>107</v>
      </c>
      <c r="T55" s="54">
        <v>1.03</v>
      </c>
      <c r="U55" s="54" t="s">
        <v>107</v>
      </c>
      <c r="V55" s="54">
        <v>3.03</v>
      </c>
      <c r="W55" s="54" t="s">
        <v>107</v>
      </c>
      <c r="X55" s="54" t="s">
        <v>107</v>
      </c>
      <c r="Y55" s="54" t="s">
        <v>107</v>
      </c>
      <c r="Z55" s="54" t="s">
        <v>107</v>
      </c>
      <c r="AA55" s="54" t="s">
        <v>107</v>
      </c>
      <c r="AB55" s="54" t="s">
        <v>107</v>
      </c>
      <c r="AC55" s="54" t="s">
        <v>107</v>
      </c>
      <c r="AD55" s="54" t="s">
        <v>107</v>
      </c>
      <c r="AE55" s="54" t="s">
        <v>107</v>
      </c>
    </row>
    <row r="56" spans="1:31">
      <c r="A56" s="24" t="s">
        <v>5208</v>
      </c>
      <c r="B56" s="24" t="s">
        <v>13</v>
      </c>
      <c r="C56" s="55" t="s">
        <v>64</v>
      </c>
      <c r="D56" s="18">
        <f>IFERROR(AVERAGEIFS(マスタ_業務・標準!$H:$H,マスタ_業務・標準!$D:$D,$A56,マスタ_業務・標準!$C:$C,$C56),"")</f>
        <v>4.3499999999999996</v>
      </c>
      <c r="E56" s="54" t="s">
        <v>107</v>
      </c>
      <c r="F56" s="54">
        <v>4.04</v>
      </c>
      <c r="G56" s="54" t="s">
        <v>107</v>
      </c>
      <c r="H56" s="54" t="s">
        <v>107</v>
      </c>
      <c r="I56" s="54" t="s">
        <v>107</v>
      </c>
      <c r="J56" s="54" t="s">
        <v>107</v>
      </c>
      <c r="K56" s="54" t="s">
        <v>107</v>
      </c>
      <c r="L56" s="54" t="s">
        <v>107</v>
      </c>
      <c r="M56" s="54" t="s">
        <v>107</v>
      </c>
      <c r="N56" s="54">
        <v>5.32</v>
      </c>
      <c r="O56" s="54">
        <v>4.41</v>
      </c>
      <c r="P56" s="54" t="s">
        <v>107</v>
      </c>
      <c r="Q56" s="54" t="s">
        <v>107</v>
      </c>
      <c r="R56" s="54" t="s">
        <v>107</v>
      </c>
      <c r="S56" s="54" t="s">
        <v>107</v>
      </c>
      <c r="T56" s="54">
        <v>4.9800000000000004</v>
      </c>
      <c r="U56" s="54">
        <v>6.18</v>
      </c>
      <c r="V56" s="54">
        <v>3.97</v>
      </c>
      <c r="W56" s="54">
        <v>4.8099999999999996</v>
      </c>
      <c r="X56" s="54">
        <v>5.87</v>
      </c>
      <c r="Y56" s="54" t="s">
        <v>107</v>
      </c>
      <c r="Z56" s="54" t="s">
        <v>107</v>
      </c>
      <c r="AA56" s="54">
        <v>4.59</v>
      </c>
      <c r="AB56" s="54" t="s">
        <v>107</v>
      </c>
      <c r="AC56" s="54">
        <v>2.42</v>
      </c>
      <c r="AD56" s="54">
        <v>1.62</v>
      </c>
      <c r="AE56" s="54" t="s">
        <v>107</v>
      </c>
    </row>
    <row r="57" spans="1:31">
      <c r="A57" s="24" t="s">
        <v>5208</v>
      </c>
      <c r="B57" s="24" t="s">
        <v>13</v>
      </c>
      <c r="C57" s="55" t="s">
        <v>65</v>
      </c>
      <c r="D57" s="18">
        <f>IFERROR(AVERAGEIFS(マスタ_業務・標準!$H:$H,マスタ_業務・標準!$D:$D,$A57,マスタ_業務・標準!$C:$C,$C57),"")</f>
        <v>2.69</v>
      </c>
      <c r="E57" s="54" t="s">
        <v>107</v>
      </c>
      <c r="F57" s="54">
        <v>2.37</v>
      </c>
      <c r="G57" s="54" t="s">
        <v>107</v>
      </c>
      <c r="H57" s="54">
        <v>1.61</v>
      </c>
      <c r="I57" s="54" t="s">
        <v>107</v>
      </c>
      <c r="J57" s="54" t="s">
        <v>107</v>
      </c>
      <c r="K57" s="54" t="s">
        <v>107</v>
      </c>
      <c r="L57" s="54" t="s">
        <v>107</v>
      </c>
      <c r="M57" s="54" t="s">
        <v>107</v>
      </c>
      <c r="N57" s="54" t="s">
        <v>107</v>
      </c>
      <c r="O57" s="54">
        <v>3.88</v>
      </c>
      <c r="P57" s="54" t="s">
        <v>107</v>
      </c>
      <c r="Q57" s="54" t="s">
        <v>107</v>
      </c>
      <c r="R57" s="54" t="s">
        <v>107</v>
      </c>
      <c r="S57" s="54">
        <v>1.42</v>
      </c>
      <c r="T57" s="54">
        <v>2.93</v>
      </c>
      <c r="U57" s="54" t="s">
        <v>107</v>
      </c>
      <c r="V57" s="54">
        <v>2.72</v>
      </c>
      <c r="W57" s="54">
        <v>6.24</v>
      </c>
      <c r="X57" s="54">
        <v>3.49</v>
      </c>
      <c r="Y57" s="54" t="s">
        <v>107</v>
      </c>
      <c r="Z57" s="54" t="s">
        <v>107</v>
      </c>
      <c r="AA57" s="54">
        <v>1.42</v>
      </c>
      <c r="AB57" s="54" t="s">
        <v>107</v>
      </c>
      <c r="AC57" s="54" t="s">
        <v>107</v>
      </c>
      <c r="AD57" s="54">
        <v>2.38</v>
      </c>
      <c r="AE57" s="54" t="s">
        <v>107</v>
      </c>
    </row>
    <row r="58" spans="1:31">
      <c r="A58" s="24" t="s">
        <v>5208</v>
      </c>
      <c r="B58" s="24" t="s">
        <v>13</v>
      </c>
      <c r="C58" s="55" t="s">
        <v>66</v>
      </c>
      <c r="D58" s="18">
        <f>IFERROR(AVERAGEIFS(マスタ_業務・標準!$H:$H,マスタ_業務・標準!$D:$D,$A58,マスタ_業務・標準!$C:$C,$C58),"")</f>
        <v>5.23</v>
      </c>
      <c r="E58" s="54" t="s">
        <v>107</v>
      </c>
      <c r="F58" s="54">
        <v>6.57</v>
      </c>
      <c r="G58" s="54" t="s">
        <v>107</v>
      </c>
      <c r="H58" s="54" t="s">
        <v>107</v>
      </c>
      <c r="I58" s="54" t="s">
        <v>107</v>
      </c>
      <c r="J58" s="54" t="s">
        <v>107</v>
      </c>
      <c r="K58" s="54" t="s">
        <v>107</v>
      </c>
      <c r="L58" s="54" t="s">
        <v>107</v>
      </c>
      <c r="M58" s="54">
        <v>5.45</v>
      </c>
      <c r="N58" s="54">
        <v>5.52</v>
      </c>
      <c r="O58" s="54">
        <v>6.31</v>
      </c>
      <c r="P58" s="54" t="s">
        <v>107</v>
      </c>
      <c r="Q58" s="54" t="s">
        <v>107</v>
      </c>
      <c r="R58" s="54" t="s">
        <v>107</v>
      </c>
      <c r="S58" s="54">
        <v>7.66</v>
      </c>
      <c r="T58" s="54">
        <v>4.79</v>
      </c>
      <c r="U58" s="54">
        <v>5.95</v>
      </c>
      <c r="V58" s="54">
        <v>4.55</v>
      </c>
      <c r="W58" s="54">
        <v>5.59</v>
      </c>
      <c r="X58" s="54">
        <v>5.27</v>
      </c>
      <c r="Y58" s="54" t="s">
        <v>107</v>
      </c>
      <c r="Z58" s="54" t="s">
        <v>107</v>
      </c>
      <c r="AA58" s="54" t="s">
        <v>107</v>
      </c>
      <c r="AB58" s="54" t="s">
        <v>107</v>
      </c>
      <c r="AC58" s="54" t="s">
        <v>107</v>
      </c>
      <c r="AD58" s="54">
        <v>0.56000000000000005</v>
      </c>
      <c r="AE58" s="54" t="s">
        <v>107</v>
      </c>
    </row>
    <row r="59" spans="1:31">
      <c r="A59" s="24" t="s">
        <v>5208</v>
      </c>
      <c r="B59" s="24" t="s">
        <v>13</v>
      </c>
      <c r="C59" s="55" t="s">
        <v>67</v>
      </c>
      <c r="D59" s="18">
        <f>IFERROR(AVERAGEIFS(マスタ_業務・標準!$H:$H,マスタ_業務・標準!$D:$D,$A59,マスタ_業務・標準!$C:$C,$C59),"")</f>
        <v>4.7699999999999996</v>
      </c>
      <c r="E59" s="54" t="s">
        <v>107</v>
      </c>
      <c r="F59" s="54">
        <v>6.45</v>
      </c>
      <c r="G59" s="54" t="s">
        <v>107</v>
      </c>
      <c r="H59" s="54">
        <v>5.58</v>
      </c>
      <c r="I59" s="54" t="s">
        <v>107</v>
      </c>
      <c r="J59" s="54" t="s">
        <v>107</v>
      </c>
      <c r="K59" s="54" t="s">
        <v>107</v>
      </c>
      <c r="L59" s="54">
        <v>1.46</v>
      </c>
      <c r="M59" s="54">
        <v>4.71</v>
      </c>
      <c r="N59" s="54">
        <v>3.21</v>
      </c>
      <c r="O59" s="54" t="s">
        <v>107</v>
      </c>
      <c r="P59" s="54" t="s">
        <v>107</v>
      </c>
      <c r="Q59" s="54" t="s">
        <v>107</v>
      </c>
      <c r="R59" s="54" t="s">
        <v>107</v>
      </c>
      <c r="S59" s="54" t="s">
        <v>107</v>
      </c>
      <c r="T59" s="54">
        <v>4.5</v>
      </c>
      <c r="U59" s="54">
        <v>6.62</v>
      </c>
      <c r="V59" s="54">
        <v>4.75</v>
      </c>
      <c r="W59" s="54">
        <v>5.1100000000000003</v>
      </c>
      <c r="X59" s="54">
        <v>3.53</v>
      </c>
      <c r="Y59" s="54" t="s">
        <v>107</v>
      </c>
      <c r="Z59" s="54" t="s">
        <v>107</v>
      </c>
      <c r="AA59" s="54">
        <v>8.16</v>
      </c>
      <c r="AB59" s="54" t="s">
        <v>107</v>
      </c>
      <c r="AC59" s="54">
        <v>3.92</v>
      </c>
      <c r="AD59" s="54">
        <v>4.53</v>
      </c>
      <c r="AE59" s="54" t="s">
        <v>107</v>
      </c>
    </row>
    <row r="60" spans="1:31">
      <c r="A60" s="22" t="s">
        <v>5208</v>
      </c>
      <c r="B60" s="22" t="s">
        <v>15</v>
      </c>
      <c r="C60" s="22" t="s">
        <v>5123</v>
      </c>
      <c r="D60" s="23">
        <f>IFERROR(AVERAGEIFS(マスタ_業務・標準!$M:$M,マスタ_業務・標準!$K:$K,$A60,マスタ_業務・標準!$L:$L,$B60),"")</f>
        <v>2.92</v>
      </c>
      <c r="E60" s="31">
        <v>2.56</v>
      </c>
      <c r="F60" s="31">
        <v>3.3</v>
      </c>
      <c r="G60" s="31">
        <v>2.85</v>
      </c>
      <c r="H60" s="31">
        <v>3.53</v>
      </c>
      <c r="I60" s="31">
        <v>2.2999999999999998</v>
      </c>
      <c r="J60" s="31" t="s">
        <v>107</v>
      </c>
      <c r="K60" s="31">
        <v>2.74</v>
      </c>
      <c r="L60" s="31">
        <v>2.98</v>
      </c>
      <c r="M60" s="31">
        <v>3.03</v>
      </c>
      <c r="N60" s="31">
        <v>2.83</v>
      </c>
      <c r="O60" s="31" t="s">
        <v>107</v>
      </c>
      <c r="P60" s="31">
        <v>3.4</v>
      </c>
      <c r="Q60" s="31">
        <v>3.58</v>
      </c>
      <c r="R60" s="31">
        <v>4.2699999999999996</v>
      </c>
      <c r="S60" s="31">
        <v>2.52</v>
      </c>
      <c r="T60" s="31">
        <v>3.72</v>
      </c>
      <c r="U60" s="31" t="s">
        <v>107</v>
      </c>
      <c r="V60" s="31">
        <v>2.0499999999999998</v>
      </c>
      <c r="W60" s="31">
        <v>3.61</v>
      </c>
      <c r="X60" s="31">
        <v>2.2799999999999998</v>
      </c>
      <c r="Y60" s="31">
        <v>2.33</v>
      </c>
      <c r="Z60" s="31">
        <v>4.08</v>
      </c>
      <c r="AA60" s="31">
        <v>2.92</v>
      </c>
      <c r="AB60" s="31">
        <v>2.1</v>
      </c>
      <c r="AC60" s="31">
        <v>2.23</v>
      </c>
      <c r="AD60" s="31">
        <v>1.79</v>
      </c>
      <c r="AE60" s="31" t="s">
        <v>107</v>
      </c>
    </row>
    <row r="61" spans="1:31">
      <c r="A61" s="24" t="s">
        <v>5208</v>
      </c>
      <c r="B61" s="24" t="s">
        <v>15</v>
      </c>
      <c r="C61" s="55" t="s">
        <v>36</v>
      </c>
      <c r="D61" s="18">
        <f>IFERROR(AVERAGEIFS(マスタ_業務・標準!$H:$H,マスタ_業務・標準!$D:$D,$A61,マスタ_業務・標準!$C:$C,$C61),"")</f>
        <v>2.5299999999999998</v>
      </c>
      <c r="E61" s="54" t="s">
        <v>107</v>
      </c>
      <c r="F61" s="54" t="s">
        <v>107</v>
      </c>
      <c r="G61" s="54">
        <v>3.01</v>
      </c>
      <c r="H61" s="54" t="s">
        <v>107</v>
      </c>
      <c r="I61" s="54">
        <v>2.0499999999999998</v>
      </c>
      <c r="J61" s="54" t="s">
        <v>107</v>
      </c>
      <c r="K61" s="54" t="s">
        <v>107</v>
      </c>
      <c r="L61" s="54" t="s">
        <v>107</v>
      </c>
      <c r="M61" s="54" t="s">
        <v>107</v>
      </c>
      <c r="N61" s="54" t="s">
        <v>107</v>
      </c>
      <c r="O61" s="54" t="s">
        <v>107</v>
      </c>
      <c r="P61" s="54" t="s">
        <v>107</v>
      </c>
      <c r="Q61" s="54" t="s">
        <v>107</v>
      </c>
      <c r="R61" s="54" t="s">
        <v>107</v>
      </c>
      <c r="S61" s="54" t="s">
        <v>107</v>
      </c>
      <c r="T61" s="54" t="s">
        <v>107</v>
      </c>
      <c r="U61" s="54" t="s">
        <v>107</v>
      </c>
      <c r="V61" s="54" t="s">
        <v>107</v>
      </c>
      <c r="W61" s="54" t="s">
        <v>107</v>
      </c>
      <c r="X61" s="54" t="s">
        <v>107</v>
      </c>
      <c r="Y61" s="54" t="s">
        <v>107</v>
      </c>
      <c r="Z61" s="54" t="s">
        <v>107</v>
      </c>
      <c r="AA61" s="54" t="s">
        <v>107</v>
      </c>
      <c r="AB61" s="54" t="s">
        <v>107</v>
      </c>
      <c r="AC61" s="54" t="s">
        <v>107</v>
      </c>
      <c r="AD61" s="54" t="s">
        <v>107</v>
      </c>
      <c r="AE61" s="54" t="s">
        <v>107</v>
      </c>
    </row>
    <row r="62" spans="1:31">
      <c r="A62" s="24" t="s">
        <v>5208</v>
      </c>
      <c r="B62" s="24" t="s">
        <v>15</v>
      </c>
      <c r="C62" s="55" t="s">
        <v>39</v>
      </c>
      <c r="D62" s="18">
        <f>IFERROR(AVERAGEIFS(マスタ_業務・標準!$H:$H,マスタ_業務・標準!$D:$D,$A62,マスタ_業務・標準!$C:$C,$C62),"")</f>
        <v>4.3600000000000003</v>
      </c>
      <c r="E62" s="54">
        <v>2.4</v>
      </c>
      <c r="F62" s="54" t="s">
        <v>107</v>
      </c>
      <c r="G62" s="54" t="s">
        <v>107</v>
      </c>
      <c r="H62" s="54" t="s">
        <v>107</v>
      </c>
      <c r="I62" s="54" t="s">
        <v>107</v>
      </c>
      <c r="J62" s="54" t="s">
        <v>107</v>
      </c>
      <c r="K62" s="54" t="s">
        <v>107</v>
      </c>
      <c r="L62" s="54" t="s">
        <v>107</v>
      </c>
      <c r="M62" s="54" t="s">
        <v>107</v>
      </c>
      <c r="N62" s="54">
        <v>4.38</v>
      </c>
      <c r="O62" s="54" t="s">
        <v>107</v>
      </c>
      <c r="P62" s="54">
        <v>4.26</v>
      </c>
      <c r="Q62" s="54">
        <v>7.6</v>
      </c>
      <c r="R62" s="54">
        <v>4.5599999999999996</v>
      </c>
      <c r="S62" s="54" t="s">
        <v>107</v>
      </c>
      <c r="T62" s="54">
        <v>4.1100000000000003</v>
      </c>
      <c r="U62" s="54" t="s">
        <v>107</v>
      </c>
      <c r="V62" s="54" t="s">
        <v>107</v>
      </c>
      <c r="W62" s="54">
        <v>3.55</v>
      </c>
      <c r="X62" s="54" t="s">
        <v>107</v>
      </c>
      <c r="Y62" s="54" t="s">
        <v>107</v>
      </c>
      <c r="Z62" s="54" t="s">
        <v>107</v>
      </c>
      <c r="AA62" s="54" t="s">
        <v>107</v>
      </c>
      <c r="AB62" s="54" t="s">
        <v>107</v>
      </c>
      <c r="AC62" s="54" t="s">
        <v>107</v>
      </c>
      <c r="AD62" s="54" t="s">
        <v>107</v>
      </c>
      <c r="AE62" s="54" t="s">
        <v>107</v>
      </c>
    </row>
    <row r="63" spans="1:31">
      <c r="A63" s="24" t="s">
        <v>5208</v>
      </c>
      <c r="B63" s="24" t="s">
        <v>15</v>
      </c>
      <c r="C63" s="55" t="s">
        <v>40</v>
      </c>
      <c r="D63" s="18">
        <f>IFERROR(AVERAGEIFS(マスタ_業務・標準!$H:$H,マスタ_業務・標準!$D:$D,$A63,マスタ_業務・標準!$C:$C,$C63),"")</f>
        <v>2.9</v>
      </c>
      <c r="E63" s="54">
        <v>1.56</v>
      </c>
      <c r="F63" s="54">
        <v>7.02</v>
      </c>
      <c r="G63" s="54" t="s">
        <v>107</v>
      </c>
      <c r="H63" s="54" t="s">
        <v>107</v>
      </c>
      <c r="I63" s="54">
        <v>1.41</v>
      </c>
      <c r="J63" s="54" t="s">
        <v>107</v>
      </c>
      <c r="K63" s="54">
        <v>3.18</v>
      </c>
      <c r="L63" s="54">
        <v>3.59</v>
      </c>
      <c r="M63" s="54" t="s">
        <v>107</v>
      </c>
      <c r="N63" s="54">
        <v>2.2799999999999998</v>
      </c>
      <c r="O63" s="54" t="s">
        <v>107</v>
      </c>
      <c r="P63" s="54">
        <v>1.36</v>
      </c>
      <c r="Q63" s="54" t="s">
        <v>107</v>
      </c>
      <c r="R63" s="54" t="s">
        <v>107</v>
      </c>
      <c r="S63" s="54" t="s">
        <v>107</v>
      </c>
      <c r="T63" s="54">
        <v>3.63</v>
      </c>
      <c r="U63" s="54" t="s">
        <v>107</v>
      </c>
      <c r="V63" s="54" t="s">
        <v>107</v>
      </c>
      <c r="W63" s="54" t="s">
        <v>107</v>
      </c>
      <c r="X63" s="54" t="s">
        <v>107</v>
      </c>
      <c r="Y63" s="54">
        <v>2.75</v>
      </c>
      <c r="Z63" s="54" t="s">
        <v>107</v>
      </c>
      <c r="AA63" s="54">
        <v>2.56</v>
      </c>
      <c r="AB63" s="54" t="s">
        <v>107</v>
      </c>
      <c r="AC63" s="54" t="s">
        <v>107</v>
      </c>
      <c r="AD63" s="54" t="s">
        <v>107</v>
      </c>
      <c r="AE63" s="54" t="s">
        <v>107</v>
      </c>
    </row>
    <row r="64" spans="1:31">
      <c r="A64" s="24" t="s">
        <v>5208</v>
      </c>
      <c r="B64" s="24" t="s">
        <v>15</v>
      </c>
      <c r="C64" s="55" t="s">
        <v>41</v>
      </c>
      <c r="D64" s="18">
        <f>IFERROR(AVERAGEIFS(マスタ_業務・標準!$H:$H,マスタ_業務・標準!$D:$D,$A64,マスタ_業務・標準!$C:$C,$C64),"")</f>
        <v>2.86</v>
      </c>
      <c r="E64" s="54" t="s">
        <v>107</v>
      </c>
      <c r="F64" s="54" t="s">
        <v>107</v>
      </c>
      <c r="G64" s="54" t="s">
        <v>107</v>
      </c>
      <c r="H64" s="54" t="s">
        <v>107</v>
      </c>
      <c r="I64" s="54" t="s">
        <v>107</v>
      </c>
      <c r="J64" s="54" t="s">
        <v>107</v>
      </c>
      <c r="K64" s="54" t="s">
        <v>107</v>
      </c>
      <c r="L64" s="54" t="s">
        <v>107</v>
      </c>
      <c r="M64" s="54" t="s">
        <v>107</v>
      </c>
      <c r="N64" s="54" t="s">
        <v>107</v>
      </c>
      <c r="O64" s="54" t="s">
        <v>107</v>
      </c>
      <c r="P64" s="54" t="s">
        <v>107</v>
      </c>
      <c r="Q64" s="54">
        <v>2.86</v>
      </c>
      <c r="R64" s="54" t="s">
        <v>107</v>
      </c>
      <c r="S64" s="54" t="s">
        <v>107</v>
      </c>
      <c r="T64" s="54" t="s">
        <v>107</v>
      </c>
      <c r="U64" s="54" t="s">
        <v>107</v>
      </c>
      <c r="V64" s="54" t="s">
        <v>107</v>
      </c>
      <c r="W64" s="54" t="s">
        <v>107</v>
      </c>
      <c r="X64" s="54" t="s">
        <v>107</v>
      </c>
      <c r="Y64" s="54" t="s">
        <v>107</v>
      </c>
      <c r="Z64" s="54" t="s">
        <v>107</v>
      </c>
      <c r="AA64" s="54" t="s">
        <v>107</v>
      </c>
      <c r="AB64" s="54" t="s">
        <v>107</v>
      </c>
      <c r="AC64" s="54" t="s">
        <v>107</v>
      </c>
      <c r="AD64" s="54" t="s">
        <v>107</v>
      </c>
      <c r="AE64" s="54" t="s">
        <v>107</v>
      </c>
    </row>
    <row r="65" spans="1:31">
      <c r="A65" s="24" t="s">
        <v>5208</v>
      </c>
      <c r="B65" s="24" t="s">
        <v>15</v>
      </c>
      <c r="C65" s="55" t="s">
        <v>42</v>
      </c>
      <c r="D65" s="18">
        <f>IFERROR(AVERAGEIFS(マスタ_業務・標準!$H:$H,マスタ_業務・標準!$D:$D,$A65,マスタ_業務・標準!$C:$C,$C65),"")</f>
        <v>2.33</v>
      </c>
      <c r="E65" s="54" t="s">
        <v>107</v>
      </c>
      <c r="F65" s="54" t="s">
        <v>107</v>
      </c>
      <c r="G65" s="54">
        <v>2.86</v>
      </c>
      <c r="H65" s="54">
        <v>1.95</v>
      </c>
      <c r="I65" s="54">
        <v>0.8</v>
      </c>
      <c r="J65" s="54" t="s">
        <v>107</v>
      </c>
      <c r="K65" s="54">
        <v>1.43</v>
      </c>
      <c r="L65" s="54">
        <v>2.57</v>
      </c>
      <c r="M65" s="54" t="s">
        <v>107</v>
      </c>
      <c r="N65" s="54" t="s">
        <v>107</v>
      </c>
      <c r="O65" s="54" t="s">
        <v>107</v>
      </c>
      <c r="P65" s="54" t="s">
        <v>107</v>
      </c>
      <c r="Q65" s="54">
        <v>2.79</v>
      </c>
      <c r="R65" s="54" t="s">
        <v>107</v>
      </c>
      <c r="S65" s="54" t="s">
        <v>107</v>
      </c>
      <c r="T65" s="54">
        <v>2.62</v>
      </c>
      <c r="U65" s="54" t="s">
        <v>107</v>
      </c>
      <c r="V65" s="54" t="s">
        <v>107</v>
      </c>
      <c r="W65" s="54">
        <v>2.57</v>
      </c>
      <c r="X65" s="54">
        <v>1.21</v>
      </c>
      <c r="Y65" s="54">
        <v>2.44</v>
      </c>
      <c r="Z65" s="54" t="s">
        <v>107</v>
      </c>
      <c r="AA65" s="54">
        <v>5.08</v>
      </c>
      <c r="AB65" s="54">
        <v>1.04</v>
      </c>
      <c r="AC65" s="54" t="s">
        <v>107</v>
      </c>
      <c r="AD65" s="54">
        <v>2.64</v>
      </c>
      <c r="AE65" s="54" t="s">
        <v>107</v>
      </c>
    </row>
    <row r="66" spans="1:31">
      <c r="A66" s="24" t="s">
        <v>5208</v>
      </c>
      <c r="B66" s="24" t="s">
        <v>15</v>
      </c>
      <c r="C66" s="55" t="s">
        <v>43</v>
      </c>
      <c r="D66" s="18">
        <f>IFERROR(AVERAGEIFS(マスタ_業務・標準!$H:$H,マスタ_業務・標準!$D:$D,$A66,マスタ_業務・標準!$C:$C,$C66),"")</f>
        <v>3.93</v>
      </c>
      <c r="E66" s="54" t="s">
        <v>107</v>
      </c>
      <c r="F66" s="54" t="s">
        <v>107</v>
      </c>
      <c r="G66" s="54" t="s">
        <v>107</v>
      </c>
      <c r="H66" s="54" t="s">
        <v>107</v>
      </c>
      <c r="I66" s="54" t="s">
        <v>107</v>
      </c>
      <c r="J66" s="54" t="s">
        <v>107</v>
      </c>
      <c r="K66" s="54" t="s">
        <v>107</v>
      </c>
      <c r="L66" s="54">
        <v>3.42</v>
      </c>
      <c r="M66" s="54" t="s">
        <v>107</v>
      </c>
      <c r="N66" s="54">
        <v>4.97</v>
      </c>
      <c r="O66" s="54" t="s">
        <v>107</v>
      </c>
      <c r="P66" s="54">
        <v>3.91</v>
      </c>
      <c r="Q66" s="54" t="s">
        <v>107</v>
      </c>
      <c r="R66" s="54" t="s">
        <v>107</v>
      </c>
      <c r="S66" s="54" t="s">
        <v>107</v>
      </c>
      <c r="T66" s="54" t="s">
        <v>107</v>
      </c>
      <c r="U66" s="54" t="s">
        <v>107</v>
      </c>
      <c r="V66" s="54" t="s">
        <v>107</v>
      </c>
      <c r="W66" s="54" t="s">
        <v>107</v>
      </c>
      <c r="X66" s="54" t="s">
        <v>107</v>
      </c>
      <c r="Y66" s="54" t="s">
        <v>107</v>
      </c>
      <c r="Z66" s="54" t="s">
        <v>107</v>
      </c>
      <c r="AA66" s="54" t="s">
        <v>107</v>
      </c>
      <c r="AB66" s="54" t="s">
        <v>107</v>
      </c>
      <c r="AC66" s="54" t="s">
        <v>107</v>
      </c>
      <c r="AD66" s="54" t="s">
        <v>107</v>
      </c>
      <c r="AE66" s="54" t="s">
        <v>107</v>
      </c>
    </row>
    <row r="67" spans="1:31">
      <c r="A67" s="24" t="s">
        <v>5208</v>
      </c>
      <c r="B67" s="24" t="s">
        <v>15</v>
      </c>
      <c r="C67" s="55" t="s">
        <v>44</v>
      </c>
      <c r="D67" s="18">
        <f>IFERROR(AVERAGEIFS(マスタ_業務・標準!$H:$H,マスタ_業務・標準!$D:$D,$A67,マスタ_業務・標準!$C:$C,$C67),"")</f>
        <v>2.68</v>
      </c>
      <c r="E67" s="54" t="s">
        <v>107</v>
      </c>
      <c r="F67" s="54">
        <v>1.85</v>
      </c>
      <c r="G67" s="54">
        <v>3.62</v>
      </c>
      <c r="H67" s="54">
        <v>3.12</v>
      </c>
      <c r="I67" s="54">
        <v>3.25</v>
      </c>
      <c r="J67" s="54" t="s">
        <v>107</v>
      </c>
      <c r="K67" s="54">
        <v>3.47</v>
      </c>
      <c r="L67" s="54">
        <v>3.04</v>
      </c>
      <c r="M67" s="54" t="s">
        <v>107</v>
      </c>
      <c r="N67" s="54">
        <v>2.29</v>
      </c>
      <c r="O67" s="54" t="s">
        <v>107</v>
      </c>
      <c r="P67" s="54">
        <v>3.76</v>
      </c>
      <c r="Q67" s="54">
        <v>1.6</v>
      </c>
      <c r="R67" s="54" t="s">
        <v>107</v>
      </c>
      <c r="S67" s="54" t="s">
        <v>107</v>
      </c>
      <c r="T67" s="54">
        <v>2</v>
      </c>
      <c r="U67" s="54" t="s">
        <v>107</v>
      </c>
      <c r="V67" s="54" t="s">
        <v>107</v>
      </c>
      <c r="W67" s="54">
        <v>2.23</v>
      </c>
      <c r="X67" s="54">
        <v>3.17</v>
      </c>
      <c r="Y67" s="54">
        <v>2.57</v>
      </c>
      <c r="Z67" s="54">
        <v>2.36</v>
      </c>
      <c r="AA67" s="54" t="s">
        <v>107</v>
      </c>
      <c r="AB67" s="54" t="s">
        <v>107</v>
      </c>
      <c r="AC67" s="54" t="s">
        <v>107</v>
      </c>
      <c r="AD67" s="54">
        <v>2.34</v>
      </c>
      <c r="AE67" s="54" t="s">
        <v>107</v>
      </c>
    </row>
    <row r="68" spans="1:31">
      <c r="A68" s="24" t="s">
        <v>5208</v>
      </c>
      <c r="B68" s="24" t="s">
        <v>15</v>
      </c>
      <c r="C68" s="55" t="s">
        <v>45</v>
      </c>
      <c r="D68" s="18">
        <f>IFERROR(AVERAGEIFS(マスタ_業務・標準!$H:$H,マスタ_業務・標準!$D:$D,$A68,マスタ_業務・標準!$C:$C,$C68),"")</f>
        <v>14.81</v>
      </c>
      <c r="E68" s="54" t="s">
        <v>107</v>
      </c>
      <c r="F68" s="54" t="s">
        <v>107</v>
      </c>
      <c r="G68" s="54" t="s">
        <v>107</v>
      </c>
      <c r="H68" s="54" t="s">
        <v>107</v>
      </c>
      <c r="I68" s="54" t="s">
        <v>107</v>
      </c>
      <c r="J68" s="54" t="s">
        <v>107</v>
      </c>
      <c r="K68" s="54" t="s">
        <v>107</v>
      </c>
      <c r="L68" s="54" t="s">
        <v>107</v>
      </c>
      <c r="M68" s="54" t="s">
        <v>107</v>
      </c>
      <c r="N68" s="54" t="s">
        <v>107</v>
      </c>
      <c r="O68" s="54" t="s">
        <v>107</v>
      </c>
      <c r="P68" s="54" t="s">
        <v>107</v>
      </c>
      <c r="Q68" s="54" t="s">
        <v>107</v>
      </c>
      <c r="R68" s="54" t="s">
        <v>107</v>
      </c>
      <c r="S68" s="54" t="s">
        <v>107</v>
      </c>
      <c r="T68" s="54" t="s">
        <v>107</v>
      </c>
      <c r="U68" s="54" t="s">
        <v>107</v>
      </c>
      <c r="V68" s="54" t="s">
        <v>107</v>
      </c>
      <c r="W68" s="54" t="s">
        <v>107</v>
      </c>
      <c r="X68" s="54" t="s">
        <v>107</v>
      </c>
      <c r="Y68" s="54" t="s">
        <v>107</v>
      </c>
      <c r="Z68" s="54" t="s">
        <v>107</v>
      </c>
      <c r="AA68" s="54" t="s">
        <v>107</v>
      </c>
      <c r="AB68" s="54" t="s">
        <v>107</v>
      </c>
      <c r="AC68" s="54" t="s">
        <v>107</v>
      </c>
      <c r="AD68" s="54">
        <v>14.81</v>
      </c>
      <c r="AE68" s="54" t="s">
        <v>107</v>
      </c>
    </row>
    <row r="69" spans="1:31">
      <c r="A69" s="24" t="s">
        <v>5208</v>
      </c>
      <c r="B69" s="24" t="s">
        <v>15</v>
      </c>
      <c r="C69" s="55" t="s">
        <v>46</v>
      </c>
      <c r="D69" s="18">
        <f>IFERROR(AVERAGEIFS(マスタ_業務・標準!$H:$H,マスタ_業務・標準!$D:$D,$A69,マスタ_業務・標準!$C:$C,$C69),"")</f>
        <v>2.2000000000000002</v>
      </c>
      <c r="E69" s="54" t="s">
        <v>107</v>
      </c>
      <c r="F69" s="54" t="s">
        <v>107</v>
      </c>
      <c r="G69" s="54" t="s">
        <v>107</v>
      </c>
      <c r="H69" s="54" t="s">
        <v>107</v>
      </c>
      <c r="I69" s="54" t="s">
        <v>107</v>
      </c>
      <c r="J69" s="54" t="s">
        <v>107</v>
      </c>
      <c r="K69" s="54" t="s">
        <v>107</v>
      </c>
      <c r="L69" s="54">
        <v>2.2000000000000002</v>
      </c>
      <c r="M69" s="54" t="s">
        <v>107</v>
      </c>
      <c r="N69" s="54" t="s">
        <v>107</v>
      </c>
      <c r="O69" s="54" t="s">
        <v>107</v>
      </c>
      <c r="P69" s="54" t="s">
        <v>107</v>
      </c>
      <c r="Q69" s="54" t="s">
        <v>107</v>
      </c>
      <c r="R69" s="54" t="s">
        <v>107</v>
      </c>
      <c r="S69" s="54" t="s">
        <v>107</v>
      </c>
      <c r="T69" s="54" t="s">
        <v>107</v>
      </c>
      <c r="U69" s="54" t="s">
        <v>107</v>
      </c>
      <c r="V69" s="54" t="s">
        <v>107</v>
      </c>
      <c r="W69" s="54" t="s">
        <v>107</v>
      </c>
      <c r="X69" s="54" t="s">
        <v>107</v>
      </c>
      <c r="Y69" s="54" t="s">
        <v>107</v>
      </c>
      <c r="Z69" s="54" t="s">
        <v>107</v>
      </c>
      <c r="AA69" s="54" t="s">
        <v>107</v>
      </c>
      <c r="AB69" s="54" t="s">
        <v>107</v>
      </c>
      <c r="AC69" s="54" t="s">
        <v>107</v>
      </c>
      <c r="AD69" s="54" t="s">
        <v>107</v>
      </c>
      <c r="AE69" s="54" t="s">
        <v>107</v>
      </c>
    </row>
    <row r="70" spans="1:31">
      <c r="A70" s="24" t="s">
        <v>5208</v>
      </c>
      <c r="B70" s="24" t="s">
        <v>15</v>
      </c>
      <c r="C70" s="55" t="s">
        <v>47</v>
      </c>
      <c r="D70" s="18">
        <f>IFERROR(AVERAGEIFS(マスタ_業務・標準!$H:$H,マスタ_業務・標準!$D:$D,$A70,マスタ_業務・標準!$C:$C,$C70),"")</f>
        <v>2.2599999999999998</v>
      </c>
      <c r="E70" s="54" t="s">
        <v>107</v>
      </c>
      <c r="F70" s="54" t="s">
        <v>107</v>
      </c>
      <c r="G70" s="54" t="s">
        <v>107</v>
      </c>
      <c r="H70" s="54" t="s">
        <v>107</v>
      </c>
      <c r="I70" s="54" t="s">
        <v>107</v>
      </c>
      <c r="J70" s="54" t="s">
        <v>107</v>
      </c>
      <c r="K70" s="54" t="s">
        <v>107</v>
      </c>
      <c r="L70" s="54">
        <v>1.1499999999999999</v>
      </c>
      <c r="M70" s="54" t="s">
        <v>107</v>
      </c>
      <c r="N70" s="54" t="s">
        <v>107</v>
      </c>
      <c r="O70" s="54" t="s">
        <v>107</v>
      </c>
      <c r="P70" s="54">
        <v>3.65</v>
      </c>
      <c r="Q70" s="54" t="s">
        <v>107</v>
      </c>
      <c r="R70" s="54" t="s">
        <v>107</v>
      </c>
      <c r="S70" s="54" t="s">
        <v>107</v>
      </c>
      <c r="T70" s="54">
        <v>2.2999999999999998</v>
      </c>
      <c r="U70" s="54" t="s">
        <v>107</v>
      </c>
      <c r="V70" s="54" t="s">
        <v>107</v>
      </c>
      <c r="W70" s="54">
        <v>2.74</v>
      </c>
      <c r="X70" s="54" t="s">
        <v>107</v>
      </c>
      <c r="Y70" s="54">
        <v>0.59</v>
      </c>
      <c r="Z70" s="54" t="s">
        <v>107</v>
      </c>
      <c r="AA70" s="54" t="s">
        <v>107</v>
      </c>
      <c r="AB70" s="54">
        <v>3.11</v>
      </c>
      <c r="AC70" s="54" t="s">
        <v>107</v>
      </c>
      <c r="AD70" s="54" t="s">
        <v>107</v>
      </c>
      <c r="AE70" s="54" t="s">
        <v>107</v>
      </c>
    </row>
    <row r="71" spans="1:31">
      <c r="A71" s="24" t="s">
        <v>5208</v>
      </c>
      <c r="B71" s="24" t="s">
        <v>15</v>
      </c>
      <c r="C71" s="55" t="s">
        <v>48</v>
      </c>
      <c r="D71" s="18">
        <f>IFERROR(AVERAGEIFS(マスタ_業務・標準!$H:$H,マスタ_業務・標準!$D:$D,$A71,マスタ_業務・標準!$C:$C,$C71),"")</f>
        <v>2.78</v>
      </c>
      <c r="E71" s="54" t="s">
        <v>107</v>
      </c>
      <c r="F71" s="54" t="s">
        <v>107</v>
      </c>
      <c r="G71" s="54" t="s">
        <v>107</v>
      </c>
      <c r="H71" s="54" t="s">
        <v>107</v>
      </c>
      <c r="I71" s="54" t="s">
        <v>107</v>
      </c>
      <c r="J71" s="54" t="s">
        <v>107</v>
      </c>
      <c r="K71" s="54" t="s">
        <v>107</v>
      </c>
      <c r="L71" s="54">
        <v>2.72</v>
      </c>
      <c r="M71" s="54" t="s">
        <v>107</v>
      </c>
      <c r="N71" s="54" t="s">
        <v>107</v>
      </c>
      <c r="O71" s="54" t="s">
        <v>107</v>
      </c>
      <c r="P71" s="54" t="s">
        <v>107</v>
      </c>
      <c r="Q71" s="54" t="s">
        <v>107</v>
      </c>
      <c r="R71" s="54" t="s">
        <v>107</v>
      </c>
      <c r="S71" s="54" t="s">
        <v>107</v>
      </c>
      <c r="T71" s="54" t="s">
        <v>107</v>
      </c>
      <c r="U71" s="54" t="s">
        <v>107</v>
      </c>
      <c r="V71" s="54" t="s">
        <v>107</v>
      </c>
      <c r="W71" s="54" t="s">
        <v>107</v>
      </c>
      <c r="X71" s="54" t="s">
        <v>107</v>
      </c>
      <c r="Y71" s="54" t="s">
        <v>107</v>
      </c>
      <c r="Z71" s="54" t="s">
        <v>107</v>
      </c>
      <c r="AA71" s="54" t="s">
        <v>107</v>
      </c>
      <c r="AB71" s="54">
        <v>2.83</v>
      </c>
      <c r="AC71" s="54" t="s">
        <v>107</v>
      </c>
      <c r="AD71" s="54" t="s">
        <v>107</v>
      </c>
      <c r="AE71" s="54" t="s">
        <v>107</v>
      </c>
    </row>
    <row r="72" spans="1:31">
      <c r="A72" s="24" t="s">
        <v>5208</v>
      </c>
      <c r="B72" s="24" t="s">
        <v>15</v>
      </c>
      <c r="C72" s="55" t="s">
        <v>49</v>
      </c>
      <c r="D72" s="18">
        <f>IFERROR(AVERAGEIFS(マスタ_業務・標準!$H:$H,マスタ_業務・標準!$D:$D,$A72,マスタ_業務・標準!$C:$C,$C72),"")</f>
        <v>2.21</v>
      </c>
      <c r="E72" s="54" t="s">
        <v>107</v>
      </c>
      <c r="F72" s="54" t="s">
        <v>107</v>
      </c>
      <c r="G72" s="54">
        <v>2.8</v>
      </c>
      <c r="H72" s="54" t="s">
        <v>107</v>
      </c>
      <c r="I72" s="54">
        <v>1.73</v>
      </c>
      <c r="J72" s="54" t="s">
        <v>107</v>
      </c>
      <c r="K72" s="54" t="s">
        <v>107</v>
      </c>
      <c r="L72" s="54" t="s">
        <v>107</v>
      </c>
      <c r="M72" s="54" t="s">
        <v>107</v>
      </c>
      <c r="N72" s="54" t="s">
        <v>107</v>
      </c>
      <c r="O72" s="54" t="s">
        <v>107</v>
      </c>
      <c r="P72" s="54" t="s">
        <v>107</v>
      </c>
      <c r="Q72" s="54" t="s">
        <v>107</v>
      </c>
      <c r="R72" s="54" t="s">
        <v>107</v>
      </c>
      <c r="S72" s="54" t="s">
        <v>107</v>
      </c>
      <c r="T72" s="54" t="s">
        <v>107</v>
      </c>
      <c r="U72" s="54" t="s">
        <v>107</v>
      </c>
      <c r="V72" s="54" t="s">
        <v>107</v>
      </c>
      <c r="W72" s="54" t="s">
        <v>107</v>
      </c>
      <c r="X72" s="54" t="s">
        <v>107</v>
      </c>
      <c r="Y72" s="54" t="s">
        <v>107</v>
      </c>
      <c r="Z72" s="54" t="s">
        <v>107</v>
      </c>
      <c r="AA72" s="54" t="s">
        <v>107</v>
      </c>
      <c r="AB72" s="54">
        <v>2.15</v>
      </c>
      <c r="AC72" s="54" t="s">
        <v>107</v>
      </c>
      <c r="AD72" s="54" t="s">
        <v>107</v>
      </c>
      <c r="AE72" s="54" t="s">
        <v>107</v>
      </c>
    </row>
    <row r="73" spans="1:31">
      <c r="A73" s="24" t="s">
        <v>5208</v>
      </c>
      <c r="B73" s="24" t="s">
        <v>15</v>
      </c>
      <c r="C73" s="55" t="s">
        <v>50</v>
      </c>
      <c r="D73" s="18">
        <f>IFERROR(AVERAGEIFS(マスタ_業務・標準!$H:$H,マスタ_業務・標準!$D:$D,$A73,マスタ_業務・標準!$C:$C,$C73),"")</f>
        <v>3.07</v>
      </c>
      <c r="E73" s="54" t="s">
        <v>107</v>
      </c>
      <c r="F73" s="54" t="s">
        <v>107</v>
      </c>
      <c r="G73" s="54" t="s">
        <v>107</v>
      </c>
      <c r="H73" s="54">
        <v>4.43</v>
      </c>
      <c r="I73" s="54" t="s">
        <v>107</v>
      </c>
      <c r="J73" s="54" t="s">
        <v>107</v>
      </c>
      <c r="K73" s="54" t="s">
        <v>107</v>
      </c>
      <c r="L73" s="54">
        <v>4.18</v>
      </c>
      <c r="M73" s="54">
        <v>2.4900000000000002</v>
      </c>
      <c r="N73" s="54">
        <v>2.23</v>
      </c>
      <c r="O73" s="54" t="s">
        <v>107</v>
      </c>
      <c r="P73" s="54" t="s">
        <v>107</v>
      </c>
      <c r="Q73" s="54" t="s">
        <v>107</v>
      </c>
      <c r="R73" s="54" t="s">
        <v>107</v>
      </c>
      <c r="S73" s="54">
        <v>2.52</v>
      </c>
      <c r="T73" s="54" t="s">
        <v>107</v>
      </c>
      <c r="U73" s="54" t="s">
        <v>107</v>
      </c>
      <c r="V73" s="54" t="s">
        <v>107</v>
      </c>
      <c r="W73" s="54">
        <v>5.45</v>
      </c>
      <c r="X73" s="54" t="s">
        <v>107</v>
      </c>
      <c r="Y73" s="54" t="s">
        <v>107</v>
      </c>
      <c r="Z73" s="54" t="s">
        <v>107</v>
      </c>
      <c r="AA73" s="54">
        <v>3.26</v>
      </c>
      <c r="AB73" s="54" t="s">
        <v>107</v>
      </c>
      <c r="AC73" s="54">
        <v>1.79</v>
      </c>
      <c r="AD73" s="54">
        <v>1.25</v>
      </c>
      <c r="AE73" s="54" t="s">
        <v>107</v>
      </c>
    </row>
    <row r="74" spans="1:31">
      <c r="A74" s="24" t="s">
        <v>5208</v>
      </c>
      <c r="B74" s="24" t="s">
        <v>15</v>
      </c>
      <c r="C74" s="55" t="s">
        <v>51</v>
      </c>
      <c r="D74" s="18">
        <f>IFERROR(AVERAGEIFS(マスタ_業務・標準!$H:$H,マスタ_業務・標準!$D:$D,$A74,マスタ_業務・標準!$C:$C,$C74),"")</f>
        <v>2.91</v>
      </c>
      <c r="E74" s="54">
        <v>2.91</v>
      </c>
      <c r="F74" s="54" t="s">
        <v>107</v>
      </c>
      <c r="G74" s="54" t="s">
        <v>107</v>
      </c>
      <c r="H74" s="54" t="s">
        <v>107</v>
      </c>
      <c r="I74" s="54" t="s">
        <v>107</v>
      </c>
      <c r="J74" s="54" t="s">
        <v>107</v>
      </c>
      <c r="K74" s="54" t="s">
        <v>107</v>
      </c>
      <c r="L74" s="54" t="s">
        <v>107</v>
      </c>
      <c r="M74" s="54" t="s">
        <v>107</v>
      </c>
      <c r="N74" s="54" t="s">
        <v>107</v>
      </c>
      <c r="O74" s="54" t="s">
        <v>107</v>
      </c>
      <c r="P74" s="54" t="s">
        <v>107</v>
      </c>
      <c r="Q74" s="54" t="s">
        <v>107</v>
      </c>
      <c r="R74" s="54" t="s">
        <v>107</v>
      </c>
      <c r="S74" s="54" t="s">
        <v>107</v>
      </c>
      <c r="T74" s="54" t="s">
        <v>107</v>
      </c>
      <c r="U74" s="54" t="s">
        <v>107</v>
      </c>
      <c r="V74" s="54" t="s">
        <v>107</v>
      </c>
      <c r="W74" s="54" t="s">
        <v>107</v>
      </c>
      <c r="X74" s="54" t="s">
        <v>107</v>
      </c>
      <c r="Y74" s="54" t="s">
        <v>107</v>
      </c>
      <c r="Z74" s="54" t="s">
        <v>107</v>
      </c>
      <c r="AA74" s="54" t="s">
        <v>107</v>
      </c>
      <c r="AB74" s="54" t="s">
        <v>107</v>
      </c>
      <c r="AC74" s="54" t="s">
        <v>107</v>
      </c>
      <c r="AD74" s="54" t="s">
        <v>107</v>
      </c>
      <c r="AE74" s="54" t="s">
        <v>107</v>
      </c>
    </row>
    <row r="75" spans="1:31">
      <c r="A75" s="24" t="s">
        <v>5208</v>
      </c>
      <c r="B75" s="24" t="s">
        <v>15</v>
      </c>
      <c r="C75" s="55" t="s">
        <v>52</v>
      </c>
      <c r="D75" s="18">
        <f>IFERROR(AVERAGEIFS(マスタ_業務・標準!$H:$H,マスタ_業務・標準!$D:$D,$A75,マスタ_業務・標準!$C:$C,$C75),"")</f>
        <v>3.36</v>
      </c>
      <c r="E75" s="54">
        <v>3.99</v>
      </c>
      <c r="F75" s="54" t="s">
        <v>107</v>
      </c>
      <c r="G75" s="54" t="s">
        <v>107</v>
      </c>
      <c r="H75" s="54">
        <v>1.87</v>
      </c>
      <c r="I75" s="54" t="s">
        <v>107</v>
      </c>
      <c r="J75" s="54" t="s">
        <v>107</v>
      </c>
      <c r="K75" s="54" t="s">
        <v>107</v>
      </c>
      <c r="L75" s="54">
        <v>3.2</v>
      </c>
      <c r="M75" s="54" t="s">
        <v>107</v>
      </c>
      <c r="N75" s="54">
        <v>5.09</v>
      </c>
      <c r="O75" s="54" t="s">
        <v>107</v>
      </c>
      <c r="P75" s="54" t="s">
        <v>107</v>
      </c>
      <c r="Q75" s="54" t="s">
        <v>107</v>
      </c>
      <c r="R75" s="54" t="s">
        <v>107</v>
      </c>
      <c r="S75" s="54" t="s">
        <v>107</v>
      </c>
      <c r="T75" s="54" t="s">
        <v>107</v>
      </c>
      <c r="U75" s="54" t="s">
        <v>107</v>
      </c>
      <c r="V75" s="54" t="s">
        <v>107</v>
      </c>
      <c r="W75" s="54" t="s">
        <v>107</v>
      </c>
      <c r="X75" s="54" t="s">
        <v>107</v>
      </c>
      <c r="Y75" s="54">
        <v>2.66</v>
      </c>
      <c r="Z75" s="54" t="s">
        <v>107</v>
      </c>
      <c r="AA75" s="54" t="s">
        <v>107</v>
      </c>
      <c r="AB75" s="54" t="s">
        <v>107</v>
      </c>
      <c r="AC75" s="54" t="s">
        <v>107</v>
      </c>
      <c r="AD75" s="54" t="s">
        <v>107</v>
      </c>
      <c r="AE75" s="54" t="s">
        <v>107</v>
      </c>
    </row>
    <row r="76" spans="1:31">
      <c r="A76" s="24" t="s">
        <v>5208</v>
      </c>
      <c r="B76" s="24" t="s">
        <v>15</v>
      </c>
      <c r="C76" s="55" t="s">
        <v>53</v>
      </c>
      <c r="D76" s="18">
        <f>IFERROR(AVERAGEIFS(マスタ_業務・標準!$H:$H,マスタ_業務・標準!$D:$D,$A76,マスタ_業務・標準!$C:$C,$C76),"")</f>
        <v>3.2</v>
      </c>
      <c r="E76" s="54" t="s">
        <v>107</v>
      </c>
      <c r="F76" s="54">
        <v>4.6500000000000004</v>
      </c>
      <c r="G76" s="54">
        <v>4.07</v>
      </c>
      <c r="H76" s="54">
        <v>1.61</v>
      </c>
      <c r="I76" s="54" t="s">
        <v>107</v>
      </c>
      <c r="J76" s="54" t="s">
        <v>107</v>
      </c>
      <c r="K76" s="54">
        <v>2.25</v>
      </c>
      <c r="L76" s="54">
        <v>2.4300000000000002</v>
      </c>
      <c r="M76" s="54" t="s">
        <v>107</v>
      </c>
      <c r="N76" s="54">
        <v>2.96</v>
      </c>
      <c r="O76" s="54" t="s">
        <v>107</v>
      </c>
      <c r="P76" s="54">
        <v>2.5299999999999998</v>
      </c>
      <c r="Q76" s="54" t="s">
        <v>107</v>
      </c>
      <c r="R76" s="54">
        <v>1.79</v>
      </c>
      <c r="S76" s="54" t="s">
        <v>107</v>
      </c>
      <c r="T76" s="54">
        <v>4.7699999999999996</v>
      </c>
      <c r="U76" s="54" t="s">
        <v>107</v>
      </c>
      <c r="V76" s="54" t="s">
        <v>107</v>
      </c>
      <c r="W76" s="54">
        <v>1.65</v>
      </c>
      <c r="X76" s="54" t="s">
        <v>107</v>
      </c>
      <c r="Y76" s="54">
        <v>2.7</v>
      </c>
      <c r="Z76" s="54" t="s">
        <v>107</v>
      </c>
      <c r="AA76" s="54">
        <v>2.5</v>
      </c>
      <c r="AB76" s="54">
        <v>10.94</v>
      </c>
      <c r="AC76" s="54" t="s">
        <v>107</v>
      </c>
      <c r="AD76" s="54">
        <v>1.78</v>
      </c>
      <c r="AE76" s="54" t="s">
        <v>107</v>
      </c>
    </row>
    <row r="77" spans="1:31">
      <c r="A77" s="24" t="s">
        <v>5208</v>
      </c>
      <c r="B77" s="24" t="s">
        <v>15</v>
      </c>
      <c r="C77" s="55" t="s">
        <v>54</v>
      </c>
      <c r="D77" s="18">
        <f>IFERROR(AVERAGEIFS(マスタ_業務・標準!$H:$H,マスタ_業務・標準!$D:$D,$A77,マスタ_業務・標準!$C:$C,$C77),"")</f>
        <v>1.65</v>
      </c>
      <c r="E77" s="54" t="s">
        <v>107</v>
      </c>
      <c r="F77" s="54" t="s">
        <v>107</v>
      </c>
      <c r="G77" s="54" t="s">
        <v>107</v>
      </c>
      <c r="H77" s="54" t="s">
        <v>107</v>
      </c>
      <c r="I77" s="54" t="s">
        <v>107</v>
      </c>
      <c r="J77" s="54" t="s">
        <v>107</v>
      </c>
      <c r="K77" s="54" t="s">
        <v>107</v>
      </c>
      <c r="L77" s="54" t="s">
        <v>107</v>
      </c>
      <c r="M77" s="54" t="s">
        <v>107</v>
      </c>
      <c r="N77" s="54" t="s">
        <v>107</v>
      </c>
      <c r="O77" s="54" t="s">
        <v>107</v>
      </c>
      <c r="P77" s="54" t="s">
        <v>107</v>
      </c>
      <c r="Q77" s="54" t="s">
        <v>107</v>
      </c>
      <c r="R77" s="54" t="s">
        <v>107</v>
      </c>
      <c r="S77" s="54" t="s">
        <v>107</v>
      </c>
      <c r="T77" s="54" t="s">
        <v>107</v>
      </c>
      <c r="U77" s="54" t="s">
        <v>107</v>
      </c>
      <c r="V77" s="54">
        <v>1.65</v>
      </c>
      <c r="W77" s="54" t="s">
        <v>107</v>
      </c>
      <c r="X77" s="54" t="s">
        <v>107</v>
      </c>
      <c r="Y77" s="54" t="s">
        <v>107</v>
      </c>
      <c r="Z77" s="54" t="s">
        <v>107</v>
      </c>
      <c r="AA77" s="54" t="s">
        <v>107</v>
      </c>
      <c r="AB77" s="54" t="s">
        <v>107</v>
      </c>
      <c r="AC77" s="54" t="s">
        <v>107</v>
      </c>
      <c r="AD77" s="54" t="s">
        <v>107</v>
      </c>
      <c r="AE77" s="54" t="s">
        <v>107</v>
      </c>
    </row>
    <row r="78" spans="1:31">
      <c r="A78" s="24" t="s">
        <v>5208</v>
      </c>
      <c r="B78" s="24" t="s">
        <v>15</v>
      </c>
      <c r="C78" s="55" t="s">
        <v>55</v>
      </c>
      <c r="D78" s="18">
        <f>IFERROR(AVERAGEIFS(マスタ_業務・標準!$H:$H,マスタ_業務・標準!$D:$D,$A78,マスタ_業務・標準!$C:$C,$C78),"")</f>
        <v>6.16</v>
      </c>
      <c r="E78" s="54" t="s">
        <v>107</v>
      </c>
      <c r="F78" s="54">
        <v>4.5999999999999996</v>
      </c>
      <c r="G78" s="54" t="s">
        <v>107</v>
      </c>
      <c r="H78" s="54" t="s">
        <v>107</v>
      </c>
      <c r="I78" s="54" t="s">
        <v>107</v>
      </c>
      <c r="J78" s="54" t="s">
        <v>107</v>
      </c>
      <c r="K78" s="54" t="s">
        <v>107</v>
      </c>
      <c r="L78" s="54">
        <v>8.18</v>
      </c>
      <c r="M78" s="54" t="s">
        <v>107</v>
      </c>
      <c r="N78" s="54" t="s">
        <v>107</v>
      </c>
      <c r="O78" s="54" t="s">
        <v>107</v>
      </c>
      <c r="P78" s="54" t="s">
        <v>107</v>
      </c>
      <c r="Q78" s="54" t="s">
        <v>107</v>
      </c>
      <c r="R78" s="54" t="s">
        <v>107</v>
      </c>
      <c r="S78" s="54" t="s">
        <v>107</v>
      </c>
      <c r="T78" s="54" t="s">
        <v>107</v>
      </c>
      <c r="U78" s="54" t="s">
        <v>107</v>
      </c>
      <c r="V78" s="54" t="s">
        <v>107</v>
      </c>
      <c r="W78" s="54" t="s">
        <v>107</v>
      </c>
      <c r="X78" s="54" t="s">
        <v>107</v>
      </c>
      <c r="Y78" s="54">
        <v>2.2200000000000002</v>
      </c>
      <c r="Z78" s="54">
        <v>5.08</v>
      </c>
      <c r="AA78" s="54">
        <v>8.6999999999999993</v>
      </c>
      <c r="AB78" s="54" t="s">
        <v>107</v>
      </c>
      <c r="AC78" s="54" t="s">
        <v>107</v>
      </c>
      <c r="AD78" s="54" t="s">
        <v>107</v>
      </c>
      <c r="AE78" s="54" t="s">
        <v>107</v>
      </c>
    </row>
    <row r="79" spans="1:31">
      <c r="A79" s="24" t="s">
        <v>5208</v>
      </c>
      <c r="B79" s="24" t="s">
        <v>15</v>
      </c>
      <c r="C79" s="55" t="s">
        <v>56</v>
      </c>
      <c r="D79" s="18">
        <f>IFERROR(AVERAGEIFS(マスタ_業務・標準!$H:$H,マスタ_業務・標準!$D:$D,$A79,マスタ_業務・標準!$C:$C,$C79),"")</f>
        <v>4.7</v>
      </c>
      <c r="E79" s="54" t="s">
        <v>107</v>
      </c>
      <c r="F79" s="54" t="s">
        <v>107</v>
      </c>
      <c r="G79" s="54" t="s">
        <v>107</v>
      </c>
      <c r="H79" s="54" t="s">
        <v>107</v>
      </c>
      <c r="I79" s="54" t="s">
        <v>107</v>
      </c>
      <c r="J79" s="54" t="s">
        <v>107</v>
      </c>
      <c r="K79" s="54" t="s">
        <v>107</v>
      </c>
      <c r="L79" s="54" t="s">
        <v>107</v>
      </c>
      <c r="M79" s="54">
        <v>7.27</v>
      </c>
      <c r="N79" s="54">
        <v>7.07</v>
      </c>
      <c r="O79" s="54" t="s">
        <v>107</v>
      </c>
      <c r="P79" s="54">
        <v>5.92</v>
      </c>
      <c r="Q79" s="54">
        <v>4.6900000000000004</v>
      </c>
      <c r="R79" s="54">
        <v>6.98</v>
      </c>
      <c r="S79" s="54" t="s">
        <v>107</v>
      </c>
      <c r="T79" s="54">
        <v>4.03</v>
      </c>
      <c r="U79" s="54" t="s">
        <v>107</v>
      </c>
      <c r="V79" s="54">
        <v>4.1900000000000004</v>
      </c>
      <c r="W79" s="54">
        <v>2.4500000000000002</v>
      </c>
      <c r="X79" s="54">
        <v>3.49</v>
      </c>
      <c r="Y79" s="54">
        <v>4</v>
      </c>
      <c r="Z79" s="54">
        <v>4.45</v>
      </c>
      <c r="AA79" s="54">
        <v>2.82</v>
      </c>
      <c r="AB79" s="54">
        <v>3.47</v>
      </c>
      <c r="AC79" s="54" t="s">
        <v>107</v>
      </c>
      <c r="AD79" s="54">
        <v>10</v>
      </c>
      <c r="AE79" s="54" t="s">
        <v>107</v>
      </c>
    </row>
    <row r="80" spans="1:31">
      <c r="A80" s="24" t="s">
        <v>5208</v>
      </c>
      <c r="B80" s="24" t="s">
        <v>15</v>
      </c>
      <c r="C80" s="55" t="s">
        <v>57</v>
      </c>
      <c r="D80" s="18">
        <f>IFERROR(AVERAGEIFS(マスタ_業務・標準!$H:$H,マスタ_業務・標準!$D:$D,$A80,マスタ_業務・標準!$C:$C,$C80),"")</f>
        <v>2.2200000000000002</v>
      </c>
      <c r="E80" s="54" t="s">
        <v>107</v>
      </c>
      <c r="F80" s="54" t="s">
        <v>107</v>
      </c>
      <c r="G80" s="54" t="s">
        <v>107</v>
      </c>
      <c r="H80" s="54" t="s">
        <v>107</v>
      </c>
      <c r="I80" s="54" t="s">
        <v>107</v>
      </c>
      <c r="J80" s="54" t="s">
        <v>107</v>
      </c>
      <c r="K80" s="54" t="s">
        <v>107</v>
      </c>
      <c r="L80" s="54" t="s">
        <v>107</v>
      </c>
      <c r="M80" s="54" t="s">
        <v>107</v>
      </c>
      <c r="N80" s="54" t="s">
        <v>107</v>
      </c>
      <c r="O80" s="54" t="s">
        <v>107</v>
      </c>
      <c r="P80" s="54" t="s">
        <v>107</v>
      </c>
      <c r="Q80" s="54" t="s">
        <v>107</v>
      </c>
      <c r="R80" s="54">
        <v>2.2200000000000002</v>
      </c>
      <c r="S80" s="54" t="s">
        <v>107</v>
      </c>
      <c r="T80" s="54" t="s">
        <v>107</v>
      </c>
      <c r="U80" s="54" t="s">
        <v>107</v>
      </c>
      <c r="V80" s="54" t="s">
        <v>107</v>
      </c>
      <c r="W80" s="54" t="s">
        <v>107</v>
      </c>
      <c r="X80" s="54" t="s">
        <v>107</v>
      </c>
      <c r="Y80" s="54" t="s">
        <v>107</v>
      </c>
      <c r="Z80" s="54" t="s">
        <v>107</v>
      </c>
      <c r="AA80" s="54" t="s">
        <v>107</v>
      </c>
      <c r="AB80" s="54" t="s">
        <v>107</v>
      </c>
      <c r="AC80" s="54" t="s">
        <v>107</v>
      </c>
      <c r="AD80" s="54" t="s">
        <v>107</v>
      </c>
      <c r="AE80" s="54" t="s">
        <v>107</v>
      </c>
    </row>
    <row r="81" spans="1:31">
      <c r="A81" s="24" t="s">
        <v>5208</v>
      </c>
      <c r="B81" s="24" t="s">
        <v>15</v>
      </c>
      <c r="C81" s="55" t="s">
        <v>58</v>
      </c>
      <c r="D81" s="18">
        <f>IFERROR(AVERAGEIFS(マスタ_業務・標準!$H:$H,マスタ_業務・標準!$D:$D,$A81,マスタ_業務・標準!$C:$C,$C81),"")</f>
        <v>4.05</v>
      </c>
      <c r="E81" s="54" t="s">
        <v>107</v>
      </c>
      <c r="F81" s="54" t="s">
        <v>107</v>
      </c>
      <c r="G81" s="54" t="s">
        <v>107</v>
      </c>
      <c r="H81" s="54" t="s">
        <v>107</v>
      </c>
      <c r="I81" s="54" t="s">
        <v>107</v>
      </c>
      <c r="J81" s="54" t="s">
        <v>107</v>
      </c>
      <c r="K81" s="54">
        <v>2.54</v>
      </c>
      <c r="L81" s="54">
        <v>3.75</v>
      </c>
      <c r="M81" s="54" t="s">
        <v>107</v>
      </c>
      <c r="N81" s="54" t="s">
        <v>107</v>
      </c>
      <c r="O81" s="54" t="s">
        <v>107</v>
      </c>
      <c r="P81" s="54">
        <v>2.23</v>
      </c>
      <c r="Q81" s="54" t="s">
        <v>107</v>
      </c>
      <c r="R81" s="54" t="s">
        <v>107</v>
      </c>
      <c r="S81" s="54" t="s">
        <v>107</v>
      </c>
      <c r="T81" s="54">
        <v>3.59</v>
      </c>
      <c r="U81" s="54" t="s">
        <v>107</v>
      </c>
      <c r="V81" s="54" t="s">
        <v>107</v>
      </c>
      <c r="W81" s="54">
        <v>2.46</v>
      </c>
      <c r="X81" s="54" t="s">
        <v>107</v>
      </c>
      <c r="Y81" s="54" t="s">
        <v>107</v>
      </c>
      <c r="Z81" s="54">
        <v>7.63</v>
      </c>
      <c r="AA81" s="54">
        <v>6.59</v>
      </c>
      <c r="AB81" s="54" t="s">
        <v>107</v>
      </c>
      <c r="AC81" s="54" t="s">
        <v>107</v>
      </c>
      <c r="AD81" s="54" t="s">
        <v>107</v>
      </c>
      <c r="AE81" s="54" t="s">
        <v>107</v>
      </c>
    </row>
    <row r="82" spans="1:31">
      <c r="A82" s="24" t="s">
        <v>5208</v>
      </c>
      <c r="B82" s="24" t="s">
        <v>15</v>
      </c>
      <c r="C82" s="55" t="s">
        <v>59</v>
      </c>
      <c r="D82" s="18">
        <f>IFERROR(AVERAGEIFS(マスタ_業務・標準!$H:$H,マスタ_業務・標準!$D:$D,$A82,マスタ_業務・標準!$C:$C,$C82),"")</f>
        <v>4.3600000000000003</v>
      </c>
      <c r="E82" s="54" t="s">
        <v>107</v>
      </c>
      <c r="F82" s="54" t="s">
        <v>107</v>
      </c>
      <c r="G82" s="54" t="s">
        <v>107</v>
      </c>
      <c r="H82" s="54" t="s">
        <v>107</v>
      </c>
      <c r="I82" s="54" t="s">
        <v>107</v>
      </c>
      <c r="J82" s="54" t="s">
        <v>107</v>
      </c>
      <c r="K82" s="54" t="s">
        <v>107</v>
      </c>
      <c r="L82" s="54">
        <v>4.92</v>
      </c>
      <c r="M82" s="54" t="s">
        <v>107</v>
      </c>
      <c r="N82" s="54" t="s">
        <v>107</v>
      </c>
      <c r="O82" s="54" t="s">
        <v>107</v>
      </c>
      <c r="P82" s="54" t="s">
        <v>107</v>
      </c>
      <c r="Q82" s="54" t="s">
        <v>107</v>
      </c>
      <c r="R82" s="54" t="s">
        <v>107</v>
      </c>
      <c r="S82" s="54" t="s">
        <v>107</v>
      </c>
      <c r="T82" s="54">
        <v>3.63</v>
      </c>
      <c r="U82" s="54" t="s">
        <v>107</v>
      </c>
      <c r="V82" s="54" t="s">
        <v>107</v>
      </c>
      <c r="W82" s="54">
        <v>3.96</v>
      </c>
      <c r="X82" s="54" t="s">
        <v>107</v>
      </c>
      <c r="Y82" s="54" t="s">
        <v>107</v>
      </c>
      <c r="Z82" s="54" t="s">
        <v>107</v>
      </c>
      <c r="AA82" s="54" t="s">
        <v>107</v>
      </c>
      <c r="AB82" s="54" t="s">
        <v>107</v>
      </c>
      <c r="AC82" s="54" t="s">
        <v>107</v>
      </c>
      <c r="AD82" s="54" t="s">
        <v>107</v>
      </c>
      <c r="AE82" s="54" t="s">
        <v>107</v>
      </c>
    </row>
    <row r="83" spans="1:31">
      <c r="A83" s="24" t="s">
        <v>5208</v>
      </c>
      <c r="B83" s="24" t="s">
        <v>15</v>
      </c>
      <c r="C83" s="55" t="s">
        <v>60</v>
      </c>
      <c r="D83" s="18">
        <f>IFERROR(AVERAGEIFS(マスタ_業務・標準!$H:$H,マスタ_業務・標準!$D:$D,$A83,マスタ_業務・標準!$C:$C,$C83),"")</f>
        <v>3.11</v>
      </c>
      <c r="E83" s="54" t="s">
        <v>107</v>
      </c>
      <c r="F83" s="54" t="s">
        <v>107</v>
      </c>
      <c r="G83" s="54" t="s">
        <v>107</v>
      </c>
      <c r="H83" s="54" t="s">
        <v>107</v>
      </c>
      <c r="I83" s="54" t="s">
        <v>107</v>
      </c>
      <c r="J83" s="54" t="s">
        <v>107</v>
      </c>
      <c r="K83" s="54" t="s">
        <v>107</v>
      </c>
      <c r="L83" s="54">
        <v>3.68</v>
      </c>
      <c r="M83" s="54" t="s">
        <v>107</v>
      </c>
      <c r="N83" s="54" t="s">
        <v>107</v>
      </c>
      <c r="O83" s="54" t="s">
        <v>107</v>
      </c>
      <c r="P83" s="54" t="s">
        <v>107</v>
      </c>
      <c r="Q83" s="54" t="s">
        <v>107</v>
      </c>
      <c r="R83" s="54" t="s">
        <v>107</v>
      </c>
      <c r="S83" s="54" t="s">
        <v>107</v>
      </c>
      <c r="T83" s="54">
        <v>2.5299999999999998</v>
      </c>
      <c r="U83" s="54" t="s">
        <v>107</v>
      </c>
      <c r="V83" s="54" t="s">
        <v>107</v>
      </c>
      <c r="W83" s="54" t="s">
        <v>107</v>
      </c>
      <c r="X83" s="54" t="s">
        <v>107</v>
      </c>
      <c r="Y83" s="54" t="s">
        <v>107</v>
      </c>
      <c r="Z83" s="54" t="s">
        <v>107</v>
      </c>
      <c r="AA83" s="54" t="s">
        <v>107</v>
      </c>
      <c r="AB83" s="54" t="s">
        <v>107</v>
      </c>
      <c r="AC83" s="54" t="s">
        <v>107</v>
      </c>
      <c r="AD83" s="54" t="s">
        <v>107</v>
      </c>
      <c r="AE83" s="54" t="s">
        <v>107</v>
      </c>
    </row>
    <row r="84" spans="1:31">
      <c r="A84" s="24" t="s">
        <v>5208</v>
      </c>
      <c r="B84" s="24" t="s">
        <v>15</v>
      </c>
      <c r="C84" s="55" t="s">
        <v>61</v>
      </c>
      <c r="D84" s="18">
        <f>IFERROR(AVERAGEIFS(マスタ_業務・標準!$H:$H,マスタ_業務・標準!$D:$D,$A84,マスタ_業務・標準!$C:$C,$C84),"")</f>
        <v>4.12</v>
      </c>
      <c r="E84" s="54" t="s">
        <v>107</v>
      </c>
      <c r="F84" s="54" t="s">
        <v>107</v>
      </c>
      <c r="G84" s="54" t="s">
        <v>107</v>
      </c>
      <c r="H84" s="54" t="s">
        <v>107</v>
      </c>
      <c r="I84" s="54" t="s">
        <v>107</v>
      </c>
      <c r="J84" s="54" t="s">
        <v>107</v>
      </c>
      <c r="K84" s="54" t="s">
        <v>107</v>
      </c>
      <c r="L84" s="54" t="s">
        <v>107</v>
      </c>
      <c r="M84" s="54">
        <v>3.21</v>
      </c>
      <c r="N84" s="54" t="s">
        <v>107</v>
      </c>
      <c r="O84" s="54" t="s">
        <v>107</v>
      </c>
      <c r="P84" s="54" t="s">
        <v>107</v>
      </c>
      <c r="Q84" s="54" t="s">
        <v>107</v>
      </c>
      <c r="R84" s="54">
        <v>2.5099999999999998</v>
      </c>
      <c r="S84" s="54" t="s">
        <v>107</v>
      </c>
      <c r="T84" s="54">
        <v>5.61</v>
      </c>
      <c r="U84" s="54" t="s">
        <v>107</v>
      </c>
      <c r="V84" s="54" t="s">
        <v>107</v>
      </c>
      <c r="W84" s="54" t="s">
        <v>107</v>
      </c>
      <c r="X84" s="54" t="s">
        <v>107</v>
      </c>
      <c r="Y84" s="54" t="s">
        <v>107</v>
      </c>
      <c r="Z84" s="54">
        <v>6.9</v>
      </c>
      <c r="AA84" s="54">
        <v>3.56</v>
      </c>
      <c r="AB84" s="54" t="s">
        <v>107</v>
      </c>
      <c r="AC84" s="54">
        <v>2.96</v>
      </c>
      <c r="AD84" s="54" t="s">
        <v>107</v>
      </c>
      <c r="AE84" s="54" t="s">
        <v>107</v>
      </c>
    </row>
    <row r="85" spans="1:31">
      <c r="A85" s="24" t="s">
        <v>5208</v>
      </c>
      <c r="B85" s="24" t="s">
        <v>15</v>
      </c>
      <c r="C85" s="55" t="s">
        <v>62</v>
      </c>
      <c r="D85" s="18">
        <f>IFERROR(AVERAGEIFS(マスタ_業務・標準!$H:$H,マスタ_業務・標準!$D:$D,$A85,マスタ_業務・標準!$C:$C,$C85),"")</f>
        <v>3.11</v>
      </c>
      <c r="E85" s="54">
        <v>1.96</v>
      </c>
      <c r="F85" s="54" t="s">
        <v>107</v>
      </c>
      <c r="G85" s="54">
        <v>2.2200000000000002</v>
      </c>
      <c r="H85" s="54">
        <v>3.21</v>
      </c>
      <c r="I85" s="54">
        <v>1.67</v>
      </c>
      <c r="J85" s="54" t="s">
        <v>107</v>
      </c>
      <c r="K85" s="54">
        <v>3.69</v>
      </c>
      <c r="L85" s="54">
        <v>2.94</v>
      </c>
      <c r="M85" s="54">
        <v>2.2999999999999998</v>
      </c>
      <c r="N85" s="54">
        <v>3.27</v>
      </c>
      <c r="O85" s="54" t="s">
        <v>107</v>
      </c>
      <c r="P85" s="54">
        <v>4.34</v>
      </c>
      <c r="Q85" s="54">
        <v>5.24</v>
      </c>
      <c r="R85" s="54">
        <v>4.1900000000000004</v>
      </c>
      <c r="S85" s="54" t="s">
        <v>107</v>
      </c>
      <c r="T85" s="54">
        <v>4.74</v>
      </c>
      <c r="U85" s="54" t="s">
        <v>107</v>
      </c>
      <c r="V85" s="54">
        <v>1.36</v>
      </c>
      <c r="W85" s="54">
        <v>2.5299999999999998</v>
      </c>
      <c r="X85" s="54">
        <v>3.56</v>
      </c>
      <c r="Y85" s="54">
        <v>2.3199999999999998</v>
      </c>
      <c r="Z85" s="54" t="s">
        <v>107</v>
      </c>
      <c r="AA85" s="54">
        <v>2.8</v>
      </c>
      <c r="AB85" s="54">
        <v>1.7</v>
      </c>
      <c r="AC85" s="54" t="s">
        <v>107</v>
      </c>
      <c r="AD85" s="54" t="s">
        <v>107</v>
      </c>
      <c r="AE85" s="54" t="s">
        <v>107</v>
      </c>
    </row>
    <row r="86" spans="1:31" ht="15" thickBot="1">
      <c r="A86" s="24" t="s">
        <v>5208</v>
      </c>
      <c r="B86" s="24" t="s">
        <v>15</v>
      </c>
      <c r="C86" s="55" t="s">
        <v>68</v>
      </c>
      <c r="D86" s="18">
        <f>IFERROR(AVERAGEIFS(マスタ_業務・標準!$H:$H,マスタ_業務・標準!$D:$D,$A86,マスタ_業務・標準!$C:$C,$C86),"")</f>
        <v>5.2</v>
      </c>
      <c r="E86" s="54">
        <v>6.43</v>
      </c>
      <c r="F86" s="54">
        <v>3.74</v>
      </c>
      <c r="G86" s="54">
        <v>3.34</v>
      </c>
      <c r="H86" s="54">
        <v>6.14</v>
      </c>
      <c r="I86" s="54">
        <v>4.6500000000000004</v>
      </c>
      <c r="J86" s="54" t="s">
        <v>107</v>
      </c>
      <c r="K86" s="54">
        <v>4.38</v>
      </c>
      <c r="L86" s="54">
        <v>5.55</v>
      </c>
      <c r="M86" s="54">
        <v>5.56</v>
      </c>
      <c r="N86" s="54">
        <v>3.46</v>
      </c>
      <c r="O86" s="54" t="s">
        <v>107</v>
      </c>
      <c r="P86" s="54" t="s">
        <v>107</v>
      </c>
      <c r="Q86" s="54">
        <v>5.12</v>
      </c>
      <c r="R86" s="54">
        <v>7.89</v>
      </c>
      <c r="S86" s="54" t="s">
        <v>107</v>
      </c>
      <c r="T86" s="54">
        <v>6.63</v>
      </c>
      <c r="U86" s="54" t="s">
        <v>107</v>
      </c>
      <c r="V86" s="54">
        <v>3.21</v>
      </c>
      <c r="W86" s="54">
        <v>8.49</v>
      </c>
      <c r="X86" s="54">
        <v>4.95</v>
      </c>
      <c r="Y86" s="54" t="s">
        <v>107</v>
      </c>
      <c r="Z86" s="54">
        <v>3.48</v>
      </c>
      <c r="AA86" s="54">
        <v>3.2</v>
      </c>
      <c r="AB86" s="54">
        <v>2.39</v>
      </c>
      <c r="AC86" s="54" t="s">
        <v>107</v>
      </c>
      <c r="AD86" s="54" t="s">
        <v>107</v>
      </c>
      <c r="AE86" s="54" t="s">
        <v>107</v>
      </c>
    </row>
    <row r="87" spans="1:31" ht="15.75" thickTop="1" thickBot="1">
      <c r="A87" s="22" t="s">
        <v>5208</v>
      </c>
      <c r="B87" s="22" t="s">
        <v>16</v>
      </c>
      <c r="C87" s="22" t="s">
        <v>5124</v>
      </c>
      <c r="D87" s="23">
        <f>IFERROR(AVERAGEIFS(マスタ_業務・標準!$M:$M,マスタ_業務・標準!$K:$K,$A87,マスタ_業務・標準!$L:$L,$B87),"")</f>
        <v>2.86</v>
      </c>
      <c r="E87" s="31" t="s">
        <v>107</v>
      </c>
      <c r="F87" s="31">
        <v>2.64</v>
      </c>
      <c r="G87" s="31">
        <v>2.89</v>
      </c>
      <c r="H87" s="31">
        <v>2.0499999999999998</v>
      </c>
      <c r="I87" s="31">
        <v>2.83</v>
      </c>
      <c r="J87" s="31">
        <v>2.65</v>
      </c>
      <c r="K87" s="31">
        <v>2.88</v>
      </c>
      <c r="L87" s="31">
        <v>2.52</v>
      </c>
      <c r="M87" s="31">
        <v>3.32</v>
      </c>
      <c r="N87" s="31">
        <v>4.04</v>
      </c>
      <c r="O87" s="31">
        <v>3.01</v>
      </c>
      <c r="P87" s="31">
        <v>2.7</v>
      </c>
      <c r="Q87" s="31">
        <v>2.85</v>
      </c>
      <c r="R87" s="31">
        <v>3.19</v>
      </c>
      <c r="S87" s="31">
        <v>2.86</v>
      </c>
      <c r="T87" s="31" t="s">
        <v>107</v>
      </c>
      <c r="U87" s="31">
        <v>2.77</v>
      </c>
      <c r="V87" s="31">
        <v>2.7</v>
      </c>
      <c r="W87" s="31" t="s">
        <v>107</v>
      </c>
      <c r="X87" s="31" t="s">
        <v>107</v>
      </c>
      <c r="Y87" s="31" t="s">
        <v>107</v>
      </c>
      <c r="Z87" s="31">
        <v>2.25</v>
      </c>
      <c r="AA87" s="31">
        <v>2.0499999999999998</v>
      </c>
      <c r="AB87" s="31">
        <v>2</v>
      </c>
      <c r="AC87" s="31" t="s">
        <v>107</v>
      </c>
      <c r="AD87" s="31">
        <v>2.0699999999999998</v>
      </c>
      <c r="AE87" s="59">
        <v>2.93</v>
      </c>
    </row>
    <row r="88" spans="1:31" ht="15" thickTop="1">
      <c r="A88" s="24" t="s">
        <v>5208</v>
      </c>
      <c r="B88" s="24" t="s">
        <v>16</v>
      </c>
      <c r="C88" s="55" t="s">
        <v>70</v>
      </c>
      <c r="D88" s="18">
        <f>IFERROR(AVERAGEIFS(マスタ_業務・標準!$H:$H,マスタ_業務・標準!$D:$D,$A88,マスタ_業務・標準!$C:$C,$C88),"")</f>
        <v>2.3199999999999998</v>
      </c>
      <c r="E88" s="54" t="s">
        <v>107</v>
      </c>
      <c r="F88" s="54" t="s">
        <v>107</v>
      </c>
      <c r="G88" s="54" t="s">
        <v>107</v>
      </c>
      <c r="H88" s="54">
        <v>2.95</v>
      </c>
      <c r="I88" s="54" t="s">
        <v>107</v>
      </c>
      <c r="J88" s="54" t="s">
        <v>107</v>
      </c>
      <c r="K88" s="54" t="s">
        <v>107</v>
      </c>
      <c r="L88" s="54" t="s">
        <v>107</v>
      </c>
      <c r="M88" s="54" t="s">
        <v>107</v>
      </c>
      <c r="N88" s="54" t="s">
        <v>107</v>
      </c>
      <c r="O88" s="54" t="s">
        <v>107</v>
      </c>
      <c r="P88" s="54" t="s">
        <v>107</v>
      </c>
      <c r="Q88" s="54" t="s">
        <v>107</v>
      </c>
      <c r="R88" s="54" t="s">
        <v>107</v>
      </c>
      <c r="S88" s="54" t="s">
        <v>107</v>
      </c>
      <c r="T88" s="54" t="s">
        <v>107</v>
      </c>
      <c r="U88" s="54" t="s">
        <v>107</v>
      </c>
      <c r="V88" s="54" t="s">
        <v>107</v>
      </c>
      <c r="W88" s="54" t="s">
        <v>107</v>
      </c>
      <c r="X88" s="54" t="s">
        <v>107</v>
      </c>
      <c r="Y88" s="54" t="s">
        <v>107</v>
      </c>
      <c r="Z88" s="54" t="s">
        <v>107</v>
      </c>
      <c r="AA88" s="54">
        <v>1.69</v>
      </c>
      <c r="AB88" s="54" t="s">
        <v>107</v>
      </c>
      <c r="AC88" s="54" t="s">
        <v>107</v>
      </c>
      <c r="AD88" s="54" t="s">
        <v>107</v>
      </c>
      <c r="AE88" s="54" t="s">
        <v>107</v>
      </c>
    </row>
    <row r="89" spans="1:31">
      <c r="A89" s="24" t="s">
        <v>5208</v>
      </c>
      <c r="B89" s="24" t="s">
        <v>16</v>
      </c>
      <c r="C89" s="55" t="s">
        <v>71</v>
      </c>
      <c r="D89" s="18">
        <f>IFERROR(AVERAGEIFS(マスタ_業務・標準!$H:$H,マスタ_業務・標準!$D:$D,$A89,マスタ_業務・標準!$C:$C,$C89),"")</f>
        <v>2.56</v>
      </c>
      <c r="E89" s="54" t="s">
        <v>107</v>
      </c>
      <c r="F89" s="54">
        <v>2.37</v>
      </c>
      <c r="G89" s="54">
        <v>3.41</v>
      </c>
      <c r="H89" s="54">
        <v>1.1599999999999999</v>
      </c>
      <c r="I89" s="54">
        <v>1.86</v>
      </c>
      <c r="J89" s="54">
        <v>2.41</v>
      </c>
      <c r="K89" s="54" t="s">
        <v>107</v>
      </c>
      <c r="L89" s="54" t="s">
        <v>107</v>
      </c>
      <c r="M89" s="54" t="s">
        <v>107</v>
      </c>
      <c r="N89" s="54" t="s">
        <v>107</v>
      </c>
      <c r="O89" s="54" t="s">
        <v>107</v>
      </c>
      <c r="P89" s="54" t="s">
        <v>107</v>
      </c>
      <c r="Q89" s="54">
        <v>2.23</v>
      </c>
      <c r="R89" s="54">
        <v>3.29</v>
      </c>
      <c r="S89" s="54" t="s">
        <v>107</v>
      </c>
      <c r="T89" s="54" t="s">
        <v>107</v>
      </c>
      <c r="U89" s="54" t="s">
        <v>107</v>
      </c>
      <c r="V89" s="54" t="s">
        <v>107</v>
      </c>
      <c r="W89" s="54" t="s">
        <v>107</v>
      </c>
      <c r="X89" s="54" t="s">
        <v>107</v>
      </c>
      <c r="Y89" s="54" t="s">
        <v>107</v>
      </c>
      <c r="Z89" s="54">
        <v>1.8</v>
      </c>
      <c r="AA89" s="54" t="s">
        <v>107</v>
      </c>
      <c r="AB89" s="54" t="s">
        <v>107</v>
      </c>
      <c r="AC89" s="54" t="s">
        <v>107</v>
      </c>
      <c r="AD89" s="54">
        <v>2.61</v>
      </c>
      <c r="AE89" s="54">
        <v>5.01</v>
      </c>
    </row>
    <row r="90" spans="1:31">
      <c r="A90" s="24" t="s">
        <v>5208</v>
      </c>
      <c r="B90" s="24" t="s">
        <v>16</v>
      </c>
      <c r="C90" s="55" t="s">
        <v>72</v>
      </c>
      <c r="D90" s="18">
        <f>IFERROR(AVERAGEIFS(マスタ_業務・標準!$H:$H,マスタ_業務・標準!$D:$D,$A90,マスタ_業務・標準!$C:$C,$C90),"")</f>
        <v>3.26</v>
      </c>
      <c r="E90" s="54" t="s">
        <v>107</v>
      </c>
      <c r="F90" s="54" t="s">
        <v>107</v>
      </c>
      <c r="G90" s="54">
        <v>3.35</v>
      </c>
      <c r="H90" s="54" t="s">
        <v>107</v>
      </c>
      <c r="I90" s="54">
        <v>3.76</v>
      </c>
      <c r="J90" s="54">
        <v>4.62</v>
      </c>
      <c r="K90" s="54">
        <v>4.04</v>
      </c>
      <c r="L90" s="54" t="s">
        <v>107</v>
      </c>
      <c r="M90" s="54" t="s">
        <v>107</v>
      </c>
      <c r="N90" s="54" t="s">
        <v>107</v>
      </c>
      <c r="O90" s="54">
        <v>2.58</v>
      </c>
      <c r="P90" s="54">
        <v>3.55</v>
      </c>
      <c r="Q90" s="54" t="s">
        <v>107</v>
      </c>
      <c r="R90" s="54" t="s">
        <v>107</v>
      </c>
      <c r="S90" s="54" t="s">
        <v>107</v>
      </c>
      <c r="T90" s="54" t="s">
        <v>107</v>
      </c>
      <c r="U90" s="54" t="s">
        <v>107</v>
      </c>
      <c r="V90" s="54" t="s">
        <v>107</v>
      </c>
      <c r="W90" s="54" t="s">
        <v>107</v>
      </c>
      <c r="X90" s="54" t="s">
        <v>107</v>
      </c>
      <c r="Y90" s="54" t="s">
        <v>107</v>
      </c>
      <c r="Z90" s="54" t="s">
        <v>107</v>
      </c>
      <c r="AA90" s="54" t="s">
        <v>107</v>
      </c>
      <c r="AB90" s="54">
        <v>2.0099999999999998</v>
      </c>
      <c r="AC90" s="54" t="s">
        <v>107</v>
      </c>
      <c r="AD90" s="54" t="s">
        <v>107</v>
      </c>
      <c r="AE90" s="54">
        <v>1.66</v>
      </c>
    </row>
    <row r="91" spans="1:31">
      <c r="A91" s="24" t="s">
        <v>5208</v>
      </c>
      <c r="B91" s="24" t="s">
        <v>16</v>
      </c>
      <c r="C91" s="55" t="s">
        <v>73</v>
      </c>
      <c r="D91" s="18">
        <f>IFERROR(AVERAGEIFS(マスタ_業務・標準!$H:$H,マスタ_業務・標準!$D:$D,$A91,マスタ_業務・標準!$C:$C,$C91),"")</f>
        <v>2.5</v>
      </c>
      <c r="E91" s="54" t="s">
        <v>107</v>
      </c>
      <c r="F91" s="54">
        <v>2.06</v>
      </c>
      <c r="G91" s="54">
        <v>2.17</v>
      </c>
      <c r="H91" s="54" t="s">
        <v>107</v>
      </c>
      <c r="I91" s="54">
        <v>2.2799999999999998</v>
      </c>
      <c r="J91" s="54">
        <v>2.1800000000000002</v>
      </c>
      <c r="K91" s="54">
        <v>2.09</v>
      </c>
      <c r="L91" s="54" t="s">
        <v>107</v>
      </c>
      <c r="M91" s="54" t="s">
        <v>107</v>
      </c>
      <c r="N91" s="54" t="s">
        <v>107</v>
      </c>
      <c r="O91" s="54">
        <v>1.64</v>
      </c>
      <c r="P91" s="54">
        <v>2.65</v>
      </c>
      <c r="Q91" s="54">
        <v>1.63</v>
      </c>
      <c r="R91" s="54">
        <v>5.88</v>
      </c>
      <c r="S91" s="54" t="s">
        <v>107</v>
      </c>
      <c r="T91" s="54" t="s">
        <v>107</v>
      </c>
      <c r="U91" s="54" t="s">
        <v>107</v>
      </c>
      <c r="V91" s="54" t="s">
        <v>107</v>
      </c>
      <c r="W91" s="54" t="s">
        <v>107</v>
      </c>
      <c r="X91" s="54" t="s">
        <v>107</v>
      </c>
      <c r="Y91" s="54" t="s">
        <v>107</v>
      </c>
      <c r="Z91" s="54" t="s">
        <v>107</v>
      </c>
      <c r="AA91" s="54" t="s">
        <v>107</v>
      </c>
      <c r="AB91" s="54">
        <v>1.91</v>
      </c>
      <c r="AC91" s="54" t="s">
        <v>107</v>
      </c>
      <c r="AD91" s="54">
        <v>2.5499999999999998</v>
      </c>
      <c r="AE91" s="54">
        <v>3.08</v>
      </c>
    </row>
    <row r="92" spans="1:31">
      <c r="A92" s="24" t="s">
        <v>5208</v>
      </c>
      <c r="B92" s="24" t="s">
        <v>16</v>
      </c>
      <c r="C92" s="55" t="s">
        <v>74</v>
      </c>
      <c r="D92" s="18">
        <f>IFERROR(AVERAGEIFS(マスタ_業務・標準!$H:$H,マスタ_業務・標準!$D:$D,$A92,マスタ_業務・標準!$C:$C,$C92),"")</f>
        <v>3.79</v>
      </c>
      <c r="E92" s="54" t="s">
        <v>107</v>
      </c>
      <c r="F92" s="54">
        <v>3.79</v>
      </c>
      <c r="G92" s="54" t="s">
        <v>107</v>
      </c>
      <c r="H92" s="54" t="s">
        <v>107</v>
      </c>
      <c r="I92" s="54" t="s">
        <v>107</v>
      </c>
      <c r="J92" s="54" t="s">
        <v>107</v>
      </c>
      <c r="K92" s="54" t="s">
        <v>107</v>
      </c>
      <c r="L92" s="54" t="s">
        <v>107</v>
      </c>
      <c r="M92" s="54" t="s">
        <v>107</v>
      </c>
      <c r="N92" s="54" t="s">
        <v>107</v>
      </c>
      <c r="O92" s="54" t="s">
        <v>107</v>
      </c>
      <c r="P92" s="54" t="s">
        <v>107</v>
      </c>
      <c r="Q92" s="54" t="s">
        <v>107</v>
      </c>
      <c r="R92" s="54" t="s">
        <v>107</v>
      </c>
      <c r="S92" s="54" t="s">
        <v>107</v>
      </c>
      <c r="T92" s="54" t="s">
        <v>107</v>
      </c>
      <c r="U92" s="54" t="s">
        <v>107</v>
      </c>
      <c r="V92" s="54" t="s">
        <v>107</v>
      </c>
      <c r="W92" s="54" t="s">
        <v>107</v>
      </c>
      <c r="X92" s="54" t="s">
        <v>107</v>
      </c>
      <c r="Y92" s="54" t="s">
        <v>107</v>
      </c>
      <c r="Z92" s="54" t="s">
        <v>107</v>
      </c>
      <c r="AA92" s="54" t="s">
        <v>107</v>
      </c>
      <c r="AB92" s="54" t="s">
        <v>107</v>
      </c>
      <c r="AC92" s="54" t="s">
        <v>107</v>
      </c>
      <c r="AD92" s="54" t="s">
        <v>107</v>
      </c>
      <c r="AE92" s="54" t="s">
        <v>107</v>
      </c>
    </row>
    <row r="93" spans="1:31">
      <c r="A93" s="24" t="s">
        <v>5208</v>
      </c>
      <c r="B93" s="24" t="s">
        <v>16</v>
      </c>
      <c r="C93" s="55" t="s">
        <v>75</v>
      </c>
      <c r="D93" s="18">
        <f>IFERROR(AVERAGEIFS(マスタ_業務・標準!$H:$H,マスタ_業務・標準!$D:$D,$A93,マスタ_業務・標準!$C:$C,$C93),"")</f>
        <v>2.48</v>
      </c>
      <c r="E93" s="54" t="s">
        <v>107</v>
      </c>
      <c r="F93" s="54">
        <v>2.86</v>
      </c>
      <c r="G93" s="54">
        <v>2.04</v>
      </c>
      <c r="H93" s="54">
        <v>2.7</v>
      </c>
      <c r="I93" s="54" t="s">
        <v>107</v>
      </c>
      <c r="J93" s="54" t="s">
        <v>107</v>
      </c>
      <c r="K93" s="54">
        <v>2.64</v>
      </c>
      <c r="L93" s="54" t="s">
        <v>107</v>
      </c>
      <c r="M93" s="54">
        <v>2.94</v>
      </c>
      <c r="N93" s="54" t="s">
        <v>107</v>
      </c>
      <c r="O93" s="54" t="s">
        <v>107</v>
      </c>
      <c r="P93" s="54" t="s">
        <v>107</v>
      </c>
      <c r="Q93" s="54" t="s">
        <v>107</v>
      </c>
      <c r="R93" s="54">
        <v>2.12</v>
      </c>
      <c r="S93" s="54" t="s">
        <v>107</v>
      </c>
      <c r="T93" s="54" t="s">
        <v>107</v>
      </c>
      <c r="U93" s="54" t="s">
        <v>107</v>
      </c>
      <c r="V93" s="54" t="s">
        <v>107</v>
      </c>
      <c r="W93" s="54" t="s">
        <v>107</v>
      </c>
      <c r="X93" s="54" t="s">
        <v>107</v>
      </c>
      <c r="Y93" s="54" t="s">
        <v>107</v>
      </c>
      <c r="Z93" s="54">
        <v>2.5099999999999998</v>
      </c>
      <c r="AA93" s="54" t="s">
        <v>107</v>
      </c>
      <c r="AB93" s="54" t="s">
        <v>107</v>
      </c>
      <c r="AC93" s="54" t="s">
        <v>107</v>
      </c>
      <c r="AD93" s="54">
        <v>1.53</v>
      </c>
      <c r="AE93" s="54">
        <v>3.01</v>
      </c>
    </row>
    <row r="94" spans="1:31">
      <c r="A94" s="24" t="s">
        <v>5208</v>
      </c>
      <c r="B94" s="24" t="s">
        <v>16</v>
      </c>
      <c r="C94" s="55" t="s">
        <v>76</v>
      </c>
      <c r="D94" s="18">
        <f>IFERROR(AVERAGEIFS(マスタ_業務・標準!$H:$H,マスタ_業務・標準!$D:$D,$A94,マスタ_業務・標準!$C:$C,$C94),"")</f>
        <v>3.35</v>
      </c>
      <c r="E94" s="54" t="s">
        <v>107</v>
      </c>
      <c r="F94" s="54">
        <v>3.86</v>
      </c>
      <c r="G94" s="54">
        <v>3.39</v>
      </c>
      <c r="H94" s="54">
        <v>3.05</v>
      </c>
      <c r="I94" s="54">
        <v>3.92</v>
      </c>
      <c r="J94" s="54">
        <v>3.04</v>
      </c>
      <c r="K94" s="54" t="s">
        <v>107</v>
      </c>
      <c r="L94" s="54">
        <v>2.52</v>
      </c>
      <c r="M94" s="54">
        <v>3.37</v>
      </c>
      <c r="N94" s="54">
        <v>4.04</v>
      </c>
      <c r="O94" s="54">
        <v>3.88</v>
      </c>
      <c r="P94" s="54" t="s">
        <v>107</v>
      </c>
      <c r="Q94" s="54">
        <v>4.0599999999999996</v>
      </c>
      <c r="R94" s="54">
        <v>3.78</v>
      </c>
      <c r="S94" s="54">
        <v>2.86</v>
      </c>
      <c r="T94" s="54" t="s">
        <v>107</v>
      </c>
      <c r="U94" s="54">
        <v>2.77</v>
      </c>
      <c r="V94" s="54">
        <v>2.7</v>
      </c>
      <c r="W94" s="54" t="s">
        <v>107</v>
      </c>
      <c r="X94" s="54" t="s">
        <v>107</v>
      </c>
      <c r="Y94" s="54" t="s">
        <v>107</v>
      </c>
      <c r="Z94" s="54" t="s">
        <v>107</v>
      </c>
      <c r="AA94" s="54">
        <v>2.59</v>
      </c>
      <c r="AB94" s="54" t="s">
        <v>107</v>
      </c>
      <c r="AC94" s="54" t="s">
        <v>107</v>
      </c>
      <c r="AD94" s="54">
        <v>1.29</v>
      </c>
      <c r="AE94" s="54" t="s">
        <v>107</v>
      </c>
    </row>
    <row r="95" spans="1:31">
      <c r="A95" s="22" t="s">
        <v>5208</v>
      </c>
      <c r="B95" s="22" t="s">
        <v>17</v>
      </c>
      <c r="C95" s="22" t="s">
        <v>5125</v>
      </c>
      <c r="D95" s="23">
        <f>IFERROR(AVERAGEIFS(マスタ_業務・標準!$M:$M,マスタ_業務・標準!$K:$K,$A95,マスタ_業務・標準!$L:$L,$B95),"")</f>
        <v>9.56</v>
      </c>
      <c r="E95" s="31" t="s">
        <v>107</v>
      </c>
      <c r="F95" s="31" t="s">
        <v>107</v>
      </c>
      <c r="G95" s="31" t="s">
        <v>107</v>
      </c>
      <c r="H95" s="31" t="s">
        <v>107</v>
      </c>
      <c r="I95" s="31" t="s">
        <v>107</v>
      </c>
      <c r="J95" s="31" t="s">
        <v>107</v>
      </c>
      <c r="K95" s="31" t="s">
        <v>107</v>
      </c>
      <c r="L95" s="31" t="s">
        <v>107</v>
      </c>
      <c r="M95" s="31">
        <v>8.73</v>
      </c>
      <c r="N95" s="31">
        <v>9.52</v>
      </c>
      <c r="O95" s="31">
        <v>5.99</v>
      </c>
      <c r="P95" s="31" t="s">
        <v>107</v>
      </c>
      <c r="Q95" s="31" t="s">
        <v>107</v>
      </c>
      <c r="R95" s="31">
        <v>9.5500000000000007</v>
      </c>
      <c r="S95" s="31">
        <v>9.9700000000000006</v>
      </c>
      <c r="T95" s="31" t="s">
        <v>107</v>
      </c>
      <c r="U95" s="31">
        <v>5.54</v>
      </c>
      <c r="V95" s="31">
        <v>9.1999999999999993</v>
      </c>
      <c r="W95" s="31">
        <v>17.52</v>
      </c>
      <c r="X95" s="31">
        <v>8.99</v>
      </c>
      <c r="Y95" s="31" t="s">
        <v>107</v>
      </c>
      <c r="Z95" s="31" t="s">
        <v>107</v>
      </c>
      <c r="AA95" s="31" t="s">
        <v>107</v>
      </c>
      <c r="AB95" s="31">
        <v>3.36</v>
      </c>
      <c r="AC95" s="31" t="s">
        <v>107</v>
      </c>
      <c r="AD95" s="31">
        <v>13.33</v>
      </c>
      <c r="AE95" s="31" t="s">
        <v>107</v>
      </c>
    </row>
    <row r="96" spans="1:31">
      <c r="A96" s="24" t="s">
        <v>5208</v>
      </c>
      <c r="B96" s="24" t="s">
        <v>17</v>
      </c>
      <c r="C96" s="55" t="s">
        <v>69</v>
      </c>
      <c r="D96" s="18">
        <f>IFERROR(AVERAGEIFS(マスタ_業務・標準!$H:$H,マスタ_業務・標準!$D:$D,$A96,マスタ_業務・標準!$C:$C,$C96),"")</f>
        <v>9.56</v>
      </c>
      <c r="E96" s="54" t="s">
        <v>107</v>
      </c>
      <c r="F96" s="54" t="s">
        <v>107</v>
      </c>
      <c r="G96" s="54" t="s">
        <v>107</v>
      </c>
      <c r="H96" s="54" t="s">
        <v>107</v>
      </c>
      <c r="I96" s="54" t="s">
        <v>107</v>
      </c>
      <c r="J96" s="54" t="s">
        <v>107</v>
      </c>
      <c r="K96" s="54" t="s">
        <v>107</v>
      </c>
      <c r="L96" s="54" t="s">
        <v>107</v>
      </c>
      <c r="M96" s="54">
        <v>8.73</v>
      </c>
      <c r="N96" s="54">
        <v>9.52</v>
      </c>
      <c r="O96" s="54">
        <v>5.99</v>
      </c>
      <c r="P96" s="54" t="s">
        <v>107</v>
      </c>
      <c r="Q96" s="54" t="s">
        <v>107</v>
      </c>
      <c r="R96" s="54">
        <v>9.5500000000000007</v>
      </c>
      <c r="S96" s="54">
        <v>9.9700000000000006</v>
      </c>
      <c r="T96" s="54" t="s">
        <v>107</v>
      </c>
      <c r="U96" s="54">
        <v>5.54</v>
      </c>
      <c r="V96" s="54">
        <v>9.1999999999999993</v>
      </c>
      <c r="W96" s="54">
        <v>17.52</v>
      </c>
      <c r="X96" s="54">
        <v>8.99</v>
      </c>
      <c r="Y96" s="54" t="s">
        <v>107</v>
      </c>
      <c r="Z96" s="54" t="s">
        <v>107</v>
      </c>
      <c r="AA96" s="54" t="s">
        <v>107</v>
      </c>
      <c r="AB96" s="54">
        <v>3.36</v>
      </c>
      <c r="AC96" s="54" t="s">
        <v>107</v>
      </c>
      <c r="AD96" s="54">
        <v>13.33</v>
      </c>
      <c r="AE96" s="54" t="s">
        <v>107</v>
      </c>
    </row>
    <row r="97" spans="4:31">
      <c r="D97" s="18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</row>
  </sheetData>
  <autoFilter ref="A6:AE97" xr:uid="{B642570C-151D-4F34-8E37-2A4E254EC5B2}"/>
  <mergeCells count="9">
    <mergeCell ref="W5:Z5"/>
    <mergeCell ref="AA5:AD5"/>
    <mergeCell ref="A2:B5"/>
    <mergeCell ref="D2:D5"/>
    <mergeCell ref="E4:AE4"/>
    <mergeCell ref="F5:I5"/>
    <mergeCell ref="J5:M5"/>
    <mergeCell ref="N5:R5"/>
    <mergeCell ref="S5:V5"/>
  </mergeCells>
  <phoneticPr fontId="1"/>
  <conditionalFormatting sqref="E7:AE97">
    <cfRule type="expression" dxfId="8" priority="4" stopIfTrue="1">
      <formula>E7="-"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3AC711E2-9639-44AC-B59C-300556B7FFB6}">
            <xm:f>AND(ISNUMBER(E7),ISNUMBER($D7),$D7&gt;0,E7&lt;$D7*マスタ_業務・標準!$Q$2)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stopIfTrue="1" id="{71937B1D-9C3E-4EFB-BD73-55AECF9D2944}">
            <xm:f>AND(ISNUMBER(E7),ISNUMBER($D7),$D7&gt;0,E7&gt;=$D7*マスタ_業務・標準!$Q$2,E7&lt;$D7*マスタ_業務・標準!$Q$3)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stopIfTrue="1" id="{549B6DD7-3D41-4EAA-9A07-506296BAFCB6}">
            <xm:f>AND(ISNUMBER(E7),ISNUMBER($D7),$D7&gt;0,E7&gt;=$D7*マスタ_業務・標準!$Q$3)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E7:AE97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44A39-1884-4FC5-9F6E-318F3175F809}">
  <sheetPr codeName="Sheet11">
    <tabColor rgb="FF375623"/>
  </sheetPr>
  <dimension ref="A1:K97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7" sqref="E7"/>
    </sheetView>
  </sheetViews>
  <sheetFormatPr defaultRowHeight="14.25"/>
  <cols>
    <col min="1" max="2" width="9.625" customWidth="1"/>
    <col min="3" max="3" width="40.625" customWidth="1"/>
    <col min="4" max="4" width="7.625" customWidth="1"/>
    <col min="5" max="11" width="8.625" customWidth="1"/>
  </cols>
  <sheetData>
    <row r="1" spans="1:11" ht="19.5">
      <c r="A1" s="3" t="s">
        <v>5231</v>
      </c>
    </row>
    <row r="2" spans="1:11" ht="14.25" customHeight="1">
      <c r="A2" s="74" t="s">
        <v>5224</v>
      </c>
      <c r="B2" s="74"/>
      <c r="C2" s="35" t="str">
        <f>"赤：標準の"&amp;TEXT(マスタ_業務・標準!$Q$2,"0%")&amp;"未満（標準を下回る）"</f>
        <v>赤：標準の90%未満（標準を下回る）</v>
      </c>
      <c r="D2" s="75" t="s">
        <v>5225</v>
      </c>
      <c r="E2" t="s">
        <v>5235</v>
      </c>
    </row>
    <row r="3" spans="1:11">
      <c r="A3" s="74"/>
      <c r="B3" s="74"/>
      <c r="C3" s="36" t="str">
        <f>"黄：標準の"&amp;TEXT(マスタ_業務・標準!$Q$2,"0%")&amp;"以上"&amp;TEXT(マスタ_業務・標準!$Q$3,"0%")&amp;"未満（ほぼ標準どおり）"</f>
        <v>黄：標準の90%以上110%未満（ほぼ標準どおり）</v>
      </c>
      <c r="D3" s="76"/>
      <c r="E3" s="4" t="s">
        <v>5232</v>
      </c>
    </row>
    <row r="4" spans="1:11" ht="15" thickBot="1">
      <c r="A4" s="74"/>
      <c r="B4" s="74"/>
      <c r="C4" s="37" t="str">
        <f>"緑：標準の"&amp;TEXT(マスタ_業務・標準!$Q$3,"0%")&amp;"以上（標準を上回る）"</f>
        <v>緑：標準の110%以上（標準を上回る）</v>
      </c>
      <c r="D4" s="76"/>
      <c r="E4" s="77" t="s">
        <v>5133</v>
      </c>
      <c r="F4" s="78"/>
      <c r="G4" s="78"/>
      <c r="H4" s="78"/>
      <c r="I4" s="78"/>
      <c r="J4" s="78"/>
      <c r="K4" s="78"/>
    </row>
    <row r="5" spans="1:11" ht="15.75" thickTop="1" thickBot="1">
      <c r="A5" s="74"/>
      <c r="B5" s="74"/>
      <c r="C5" s="53" t="s">
        <v>5168</v>
      </c>
      <c r="D5" s="76"/>
    </row>
    <row r="6" spans="1:11" ht="30" customHeight="1" thickTop="1">
      <c r="A6" s="5" t="s">
        <v>5197</v>
      </c>
      <c r="B6" s="5" t="s">
        <v>9</v>
      </c>
      <c r="C6" s="5" t="s">
        <v>10</v>
      </c>
      <c r="D6" s="5" t="s">
        <v>11</v>
      </c>
      <c r="E6" s="29" t="s">
        <v>5030</v>
      </c>
      <c r="F6" s="29" t="s">
        <v>5031</v>
      </c>
      <c r="G6" s="29" t="s">
        <v>5032</v>
      </c>
      <c r="H6" s="29" t="s">
        <v>5033</v>
      </c>
      <c r="I6" s="29" t="s">
        <v>5034</v>
      </c>
      <c r="J6" s="29" t="s">
        <v>5035</v>
      </c>
      <c r="K6" s="29" t="s">
        <v>5036</v>
      </c>
    </row>
    <row r="7" spans="1:11" ht="15.75">
      <c r="A7" s="43" t="s">
        <v>5226</v>
      </c>
      <c r="B7" s="43"/>
      <c r="C7" s="43"/>
      <c r="D7" s="44"/>
      <c r="E7" s="45"/>
      <c r="F7" s="45"/>
      <c r="G7" s="45"/>
      <c r="H7" s="45"/>
      <c r="I7" s="45"/>
      <c r="J7" s="45"/>
      <c r="K7" s="45"/>
    </row>
    <row r="8" spans="1:11">
      <c r="A8" s="47" t="s">
        <v>5208</v>
      </c>
      <c r="B8" s="47" t="s">
        <v>13</v>
      </c>
      <c r="C8" s="47" t="s">
        <v>5122</v>
      </c>
      <c r="D8" s="48" t="s">
        <v>5228</v>
      </c>
      <c r="E8" s="46">
        <v>29</v>
      </c>
      <c r="F8" s="46">
        <v>17</v>
      </c>
      <c r="G8" s="46">
        <v>36</v>
      </c>
      <c r="H8" s="46">
        <v>95</v>
      </c>
      <c r="I8" s="46">
        <v>24</v>
      </c>
      <c r="J8" s="46">
        <v>30</v>
      </c>
      <c r="K8" s="46">
        <v>4</v>
      </c>
    </row>
    <row r="9" spans="1:11">
      <c r="A9" s="24" t="s">
        <v>5208</v>
      </c>
      <c r="B9" s="24" t="s">
        <v>13</v>
      </c>
      <c r="C9" s="55" t="s">
        <v>63</v>
      </c>
      <c r="D9" s="18"/>
      <c r="E9" s="56" t="s">
        <v>107</v>
      </c>
      <c r="F9" s="56" t="s">
        <v>107</v>
      </c>
      <c r="G9" s="56" t="s">
        <v>107</v>
      </c>
      <c r="H9" s="56">
        <v>2</v>
      </c>
      <c r="I9" s="56" t="s">
        <v>107</v>
      </c>
      <c r="J9" s="56" t="s">
        <v>107</v>
      </c>
      <c r="K9" s="56" t="s">
        <v>107</v>
      </c>
    </row>
    <row r="10" spans="1:11">
      <c r="A10" s="24" t="s">
        <v>5208</v>
      </c>
      <c r="B10" s="24" t="s">
        <v>13</v>
      </c>
      <c r="C10" s="55" t="s">
        <v>64</v>
      </c>
      <c r="D10" s="18"/>
      <c r="E10" s="56">
        <v>6</v>
      </c>
      <c r="F10" s="56" t="s">
        <v>107</v>
      </c>
      <c r="G10" s="56">
        <v>11</v>
      </c>
      <c r="H10" s="56">
        <v>17</v>
      </c>
      <c r="I10" s="56">
        <v>8</v>
      </c>
      <c r="J10" s="56">
        <v>4</v>
      </c>
      <c r="K10" s="56" t="s">
        <v>107</v>
      </c>
    </row>
    <row r="11" spans="1:11">
      <c r="A11" s="24" t="s">
        <v>5208</v>
      </c>
      <c r="B11" s="24" t="s">
        <v>13</v>
      </c>
      <c r="C11" s="55" t="s">
        <v>65</v>
      </c>
      <c r="D11" s="18"/>
      <c r="E11" s="56">
        <v>3</v>
      </c>
      <c r="F11" s="56" t="s">
        <v>107</v>
      </c>
      <c r="G11" s="56">
        <v>1</v>
      </c>
      <c r="H11" s="56">
        <v>4</v>
      </c>
      <c r="I11" s="56">
        <v>2</v>
      </c>
      <c r="J11" s="56">
        <v>5</v>
      </c>
      <c r="K11" s="56">
        <v>1</v>
      </c>
    </row>
    <row r="12" spans="1:11">
      <c r="A12" s="24" t="s">
        <v>5208</v>
      </c>
      <c r="B12" s="24" t="s">
        <v>13</v>
      </c>
      <c r="C12" s="55" t="s">
        <v>66</v>
      </c>
      <c r="D12" s="18"/>
      <c r="E12" s="56">
        <v>8</v>
      </c>
      <c r="F12" s="56">
        <v>1</v>
      </c>
      <c r="G12" s="56">
        <v>17</v>
      </c>
      <c r="H12" s="56">
        <v>56</v>
      </c>
      <c r="I12" s="56">
        <v>12</v>
      </c>
      <c r="J12" s="56">
        <v>2</v>
      </c>
      <c r="K12" s="56" t="s">
        <v>107</v>
      </c>
    </row>
    <row r="13" spans="1:11">
      <c r="A13" s="24" t="s">
        <v>5208</v>
      </c>
      <c r="B13" s="24" t="s">
        <v>13</v>
      </c>
      <c r="C13" s="55" t="s">
        <v>67</v>
      </c>
      <c r="D13" s="18"/>
      <c r="E13" s="56">
        <v>12</v>
      </c>
      <c r="F13" s="56">
        <v>16</v>
      </c>
      <c r="G13" s="56">
        <v>7</v>
      </c>
      <c r="H13" s="56">
        <v>16</v>
      </c>
      <c r="I13" s="56">
        <v>2</v>
      </c>
      <c r="J13" s="56">
        <v>19</v>
      </c>
      <c r="K13" s="56">
        <v>3</v>
      </c>
    </row>
    <row r="14" spans="1:11">
      <c r="A14" s="47" t="s">
        <v>5208</v>
      </c>
      <c r="B14" s="47" t="s">
        <v>15</v>
      </c>
      <c r="C14" s="47" t="s">
        <v>5123</v>
      </c>
      <c r="D14" s="48" t="s">
        <v>5228</v>
      </c>
      <c r="E14" s="46">
        <v>101</v>
      </c>
      <c r="F14" s="46">
        <v>73</v>
      </c>
      <c r="G14" s="46">
        <v>63</v>
      </c>
      <c r="H14" s="46">
        <v>83</v>
      </c>
      <c r="I14" s="46">
        <v>59</v>
      </c>
      <c r="J14" s="46">
        <v>81</v>
      </c>
      <c r="K14" s="46">
        <v>1</v>
      </c>
    </row>
    <row r="15" spans="1:11">
      <c r="A15" s="24" t="s">
        <v>5208</v>
      </c>
      <c r="B15" s="24" t="s">
        <v>15</v>
      </c>
      <c r="C15" s="55" t="s">
        <v>36</v>
      </c>
      <c r="D15" s="18"/>
      <c r="E15" s="56">
        <v>2</v>
      </c>
      <c r="F15" s="56" t="s">
        <v>107</v>
      </c>
      <c r="G15" s="56" t="s">
        <v>107</v>
      </c>
      <c r="H15" s="56" t="s">
        <v>107</v>
      </c>
      <c r="I15" s="56" t="s">
        <v>107</v>
      </c>
      <c r="J15" s="56" t="s">
        <v>107</v>
      </c>
      <c r="K15" s="56" t="s">
        <v>107</v>
      </c>
    </row>
    <row r="16" spans="1:11">
      <c r="A16" s="24" t="s">
        <v>5208</v>
      </c>
      <c r="B16" s="24" t="s">
        <v>15</v>
      </c>
      <c r="C16" s="55" t="s">
        <v>39</v>
      </c>
      <c r="D16" s="18"/>
      <c r="E16" s="56">
        <v>2</v>
      </c>
      <c r="F16" s="56" t="s">
        <v>107</v>
      </c>
      <c r="G16" s="56">
        <v>16</v>
      </c>
      <c r="H16" s="56">
        <v>23</v>
      </c>
      <c r="I16" s="56">
        <v>4</v>
      </c>
      <c r="J16" s="56" t="s">
        <v>107</v>
      </c>
      <c r="K16" s="56" t="s">
        <v>107</v>
      </c>
    </row>
    <row r="17" spans="1:11">
      <c r="A17" s="24" t="s">
        <v>5208</v>
      </c>
      <c r="B17" s="24" t="s">
        <v>15</v>
      </c>
      <c r="C17" s="55" t="s">
        <v>40</v>
      </c>
      <c r="D17" s="18"/>
      <c r="E17" s="56">
        <v>3</v>
      </c>
      <c r="F17" s="56">
        <v>3</v>
      </c>
      <c r="G17" s="56">
        <v>2</v>
      </c>
      <c r="H17" s="56">
        <v>1</v>
      </c>
      <c r="I17" s="56">
        <v>1</v>
      </c>
      <c r="J17" s="56">
        <v>2</v>
      </c>
      <c r="K17" s="56" t="s">
        <v>107</v>
      </c>
    </row>
    <row r="18" spans="1:11">
      <c r="A18" s="24" t="s">
        <v>5208</v>
      </c>
      <c r="B18" s="24" t="s">
        <v>15</v>
      </c>
      <c r="C18" s="55" t="s">
        <v>41</v>
      </c>
      <c r="D18" s="18"/>
      <c r="E18" s="56" t="s">
        <v>107</v>
      </c>
      <c r="F18" s="56" t="s">
        <v>107</v>
      </c>
      <c r="G18" s="56">
        <v>1</v>
      </c>
      <c r="H18" s="56" t="s">
        <v>107</v>
      </c>
      <c r="I18" s="56" t="s">
        <v>107</v>
      </c>
      <c r="J18" s="56" t="s">
        <v>107</v>
      </c>
      <c r="K18" s="56" t="s">
        <v>107</v>
      </c>
    </row>
    <row r="19" spans="1:11">
      <c r="A19" s="24" t="s">
        <v>5208</v>
      </c>
      <c r="B19" s="24" t="s">
        <v>15</v>
      </c>
      <c r="C19" s="55" t="s">
        <v>42</v>
      </c>
      <c r="D19" s="18"/>
      <c r="E19" s="56">
        <v>7</v>
      </c>
      <c r="F19" s="56">
        <v>7</v>
      </c>
      <c r="G19" s="56">
        <v>1</v>
      </c>
      <c r="H19" s="56">
        <v>2</v>
      </c>
      <c r="I19" s="56">
        <v>9</v>
      </c>
      <c r="J19" s="56">
        <v>6</v>
      </c>
      <c r="K19" s="56" t="s">
        <v>107</v>
      </c>
    </row>
    <row r="20" spans="1:11">
      <c r="A20" s="24" t="s">
        <v>5208</v>
      </c>
      <c r="B20" s="24" t="s">
        <v>15</v>
      </c>
      <c r="C20" s="55" t="s">
        <v>43</v>
      </c>
      <c r="D20" s="18"/>
      <c r="E20" s="56" t="s">
        <v>107</v>
      </c>
      <c r="F20" s="56">
        <v>4</v>
      </c>
      <c r="G20" s="56">
        <v>4</v>
      </c>
      <c r="H20" s="56" t="s">
        <v>107</v>
      </c>
      <c r="I20" s="56" t="s">
        <v>107</v>
      </c>
      <c r="J20" s="56" t="s">
        <v>107</v>
      </c>
      <c r="K20" s="56" t="s">
        <v>107</v>
      </c>
    </row>
    <row r="21" spans="1:11">
      <c r="A21" s="24" t="s">
        <v>5208</v>
      </c>
      <c r="B21" s="24" t="s">
        <v>15</v>
      </c>
      <c r="C21" s="55" t="s">
        <v>44</v>
      </c>
      <c r="D21" s="18"/>
      <c r="E21" s="56">
        <v>8</v>
      </c>
      <c r="F21" s="56">
        <v>6</v>
      </c>
      <c r="G21" s="56">
        <v>5</v>
      </c>
      <c r="H21" s="56">
        <v>4</v>
      </c>
      <c r="I21" s="56">
        <v>5</v>
      </c>
      <c r="J21" s="56">
        <v>8</v>
      </c>
      <c r="K21" s="56">
        <v>1</v>
      </c>
    </row>
    <row r="22" spans="1:11">
      <c r="A22" s="24" t="s">
        <v>5208</v>
      </c>
      <c r="B22" s="24" t="s">
        <v>15</v>
      </c>
      <c r="C22" s="55" t="s">
        <v>45</v>
      </c>
      <c r="D22" s="18"/>
      <c r="E22" s="56" t="s">
        <v>107</v>
      </c>
      <c r="F22" s="56" t="s">
        <v>107</v>
      </c>
      <c r="G22" s="56" t="s">
        <v>107</v>
      </c>
      <c r="H22" s="56" t="s">
        <v>107</v>
      </c>
      <c r="I22" s="56" t="s">
        <v>107</v>
      </c>
      <c r="J22" s="56">
        <v>1</v>
      </c>
      <c r="K22" s="56" t="s">
        <v>107</v>
      </c>
    </row>
    <row r="23" spans="1:11">
      <c r="A23" s="24" t="s">
        <v>5208</v>
      </c>
      <c r="B23" s="24" t="s">
        <v>15</v>
      </c>
      <c r="C23" s="55" t="s">
        <v>46</v>
      </c>
      <c r="D23" s="18"/>
      <c r="E23" s="56" t="s">
        <v>107</v>
      </c>
      <c r="F23" s="56">
        <v>1</v>
      </c>
      <c r="G23" s="56" t="s">
        <v>107</v>
      </c>
      <c r="H23" s="56" t="s">
        <v>107</v>
      </c>
      <c r="I23" s="56" t="s">
        <v>107</v>
      </c>
      <c r="J23" s="56" t="s">
        <v>107</v>
      </c>
      <c r="K23" s="56" t="s">
        <v>107</v>
      </c>
    </row>
    <row r="24" spans="1:11">
      <c r="A24" s="24" t="s">
        <v>5208</v>
      </c>
      <c r="B24" s="24" t="s">
        <v>15</v>
      </c>
      <c r="C24" s="55" t="s">
        <v>47</v>
      </c>
      <c r="D24" s="18"/>
      <c r="E24" s="56" t="s">
        <v>107</v>
      </c>
      <c r="F24" s="56">
        <v>1</v>
      </c>
      <c r="G24" s="56">
        <v>1</v>
      </c>
      <c r="H24" s="56">
        <v>1</v>
      </c>
      <c r="I24" s="56">
        <v>2</v>
      </c>
      <c r="J24" s="56">
        <v>1</v>
      </c>
      <c r="K24" s="56" t="s">
        <v>107</v>
      </c>
    </row>
    <row r="25" spans="1:11">
      <c r="A25" s="24" t="s">
        <v>5208</v>
      </c>
      <c r="B25" s="24" t="s">
        <v>15</v>
      </c>
      <c r="C25" s="55" t="s">
        <v>48</v>
      </c>
      <c r="D25" s="18"/>
      <c r="E25" s="56" t="s">
        <v>107</v>
      </c>
      <c r="F25" s="56">
        <v>1</v>
      </c>
      <c r="G25" s="56" t="s">
        <v>107</v>
      </c>
      <c r="H25" s="56" t="s">
        <v>107</v>
      </c>
      <c r="I25" s="56" t="s">
        <v>107</v>
      </c>
      <c r="J25" s="56">
        <v>1</v>
      </c>
      <c r="K25" s="56" t="s">
        <v>107</v>
      </c>
    </row>
    <row r="26" spans="1:11">
      <c r="A26" s="24" t="s">
        <v>5208</v>
      </c>
      <c r="B26" s="24" t="s">
        <v>15</v>
      </c>
      <c r="C26" s="55" t="s">
        <v>49</v>
      </c>
      <c r="D26" s="18"/>
      <c r="E26" s="56">
        <v>2</v>
      </c>
      <c r="F26" s="56" t="s">
        <v>107</v>
      </c>
      <c r="G26" s="56" t="s">
        <v>107</v>
      </c>
      <c r="H26" s="56" t="s">
        <v>107</v>
      </c>
      <c r="I26" s="56" t="s">
        <v>107</v>
      </c>
      <c r="J26" s="56">
        <v>2</v>
      </c>
      <c r="K26" s="56" t="s">
        <v>107</v>
      </c>
    </row>
    <row r="27" spans="1:11">
      <c r="A27" s="24" t="s">
        <v>5208</v>
      </c>
      <c r="B27" s="24" t="s">
        <v>15</v>
      </c>
      <c r="C27" s="55" t="s">
        <v>50</v>
      </c>
      <c r="D27" s="18"/>
      <c r="E27" s="56">
        <v>3</v>
      </c>
      <c r="F27" s="56">
        <v>5</v>
      </c>
      <c r="G27" s="56">
        <v>1</v>
      </c>
      <c r="H27" s="56">
        <v>1</v>
      </c>
      <c r="I27" s="56">
        <v>1</v>
      </c>
      <c r="J27" s="56">
        <v>6</v>
      </c>
      <c r="K27" s="56" t="s">
        <v>107</v>
      </c>
    </row>
    <row r="28" spans="1:11">
      <c r="A28" s="24" t="s">
        <v>5208</v>
      </c>
      <c r="B28" s="24" t="s">
        <v>15</v>
      </c>
      <c r="C28" s="55" t="s">
        <v>51</v>
      </c>
      <c r="D28" s="18"/>
      <c r="E28" s="56">
        <v>1</v>
      </c>
      <c r="F28" s="56" t="s">
        <v>107</v>
      </c>
      <c r="G28" s="56" t="s">
        <v>107</v>
      </c>
      <c r="H28" s="56" t="s">
        <v>107</v>
      </c>
      <c r="I28" s="56" t="s">
        <v>107</v>
      </c>
      <c r="J28" s="56" t="s">
        <v>107</v>
      </c>
      <c r="K28" s="56" t="s">
        <v>107</v>
      </c>
    </row>
    <row r="29" spans="1:11">
      <c r="A29" s="24" t="s">
        <v>5208</v>
      </c>
      <c r="B29" s="24" t="s">
        <v>15</v>
      </c>
      <c r="C29" s="55" t="s">
        <v>52</v>
      </c>
      <c r="D29" s="18"/>
      <c r="E29" s="56">
        <v>2</v>
      </c>
      <c r="F29" s="56">
        <v>1</v>
      </c>
      <c r="G29" s="56">
        <v>1</v>
      </c>
      <c r="H29" s="56" t="s">
        <v>107</v>
      </c>
      <c r="I29" s="56">
        <v>2</v>
      </c>
      <c r="J29" s="56" t="s">
        <v>107</v>
      </c>
      <c r="K29" s="56" t="s">
        <v>107</v>
      </c>
    </row>
    <row r="30" spans="1:11">
      <c r="A30" s="24" t="s">
        <v>5208</v>
      </c>
      <c r="B30" s="24" t="s">
        <v>15</v>
      </c>
      <c r="C30" s="55" t="s">
        <v>53</v>
      </c>
      <c r="D30" s="18"/>
      <c r="E30" s="56">
        <v>6</v>
      </c>
      <c r="F30" s="56">
        <v>9</v>
      </c>
      <c r="G30" s="56">
        <v>5</v>
      </c>
      <c r="H30" s="56">
        <v>6</v>
      </c>
      <c r="I30" s="56">
        <v>5</v>
      </c>
      <c r="J30" s="56">
        <v>4</v>
      </c>
      <c r="K30" s="56" t="s">
        <v>107</v>
      </c>
    </row>
    <row r="31" spans="1:11">
      <c r="A31" s="24" t="s">
        <v>5208</v>
      </c>
      <c r="B31" s="24" t="s">
        <v>15</v>
      </c>
      <c r="C31" s="55" t="s">
        <v>54</v>
      </c>
      <c r="D31" s="18"/>
      <c r="E31" s="56" t="s">
        <v>107</v>
      </c>
      <c r="F31" s="56" t="s">
        <v>107</v>
      </c>
      <c r="G31" s="56" t="s">
        <v>107</v>
      </c>
      <c r="H31" s="56">
        <v>1</v>
      </c>
      <c r="I31" s="56" t="s">
        <v>107</v>
      </c>
      <c r="J31" s="56" t="s">
        <v>107</v>
      </c>
      <c r="K31" s="56" t="s">
        <v>107</v>
      </c>
    </row>
    <row r="32" spans="1:11">
      <c r="A32" s="24" t="s">
        <v>5208</v>
      </c>
      <c r="B32" s="24" t="s">
        <v>15</v>
      </c>
      <c r="C32" s="55" t="s">
        <v>55</v>
      </c>
      <c r="D32" s="18"/>
      <c r="E32" s="56">
        <v>1</v>
      </c>
      <c r="F32" s="56">
        <v>2</v>
      </c>
      <c r="G32" s="56" t="s">
        <v>107</v>
      </c>
      <c r="H32" s="56" t="s">
        <v>107</v>
      </c>
      <c r="I32" s="56">
        <v>2</v>
      </c>
      <c r="J32" s="56">
        <v>3</v>
      </c>
      <c r="K32" s="56" t="s">
        <v>107</v>
      </c>
    </row>
    <row r="33" spans="1:11">
      <c r="A33" s="24" t="s">
        <v>5208</v>
      </c>
      <c r="B33" s="24" t="s">
        <v>15</v>
      </c>
      <c r="C33" s="55" t="s">
        <v>56</v>
      </c>
      <c r="D33" s="18"/>
      <c r="E33" s="56" t="s">
        <v>107</v>
      </c>
      <c r="F33" s="56">
        <v>1</v>
      </c>
      <c r="G33" s="56">
        <v>6</v>
      </c>
      <c r="H33" s="56">
        <v>7</v>
      </c>
      <c r="I33" s="56">
        <v>12</v>
      </c>
      <c r="J33" s="56">
        <v>11</v>
      </c>
      <c r="K33" s="56" t="s">
        <v>107</v>
      </c>
    </row>
    <row r="34" spans="1:11">
      <c r="A34" s="24" t="s">
        <v>5208</v>
      </c>
      <c r="B34" s="24" t="s">
        <v>15</v>
      </c>
      <c r="C34" s="55" t="s">
        <v>57</v>
      </c>
      <c r="D34" s="18"/>
      <c r="E34" s="56" t="s">
        <v>107</v>
      </c>
      <c r="F34" s="56" t="s">
        <v>107</v>
      </c>
      <c r="G34" s="56" t="s">
        <v>107</v>
      </c>
      <c r="H34" s="56">
        <v>1</v>
      </c>
      <c r="I34" s="56" t="s">
        <v>107</v>
      </c>
      <c r="J34" s="56" t="s">
        <v>107</v>
      </c>
      <c r="K34" s="56" t="s">
        <v>107</v>
      </c>
    </row>
    <row r="35" spans="1:11">
      <c r="A35" s="24" t="s">
        <v>5208</v>
      </c>
      <c r="B35" s="24" t="s">
        <v>15</v>
      </c>
      <c r="C35" s="55" t="s">
        <v>58</v>
      </c>
      <c r="D35" s="18"/>
      <c r="E35" s="56" t="s">
        <v>107</v>
      </c>
      <c r="F35" s="56">
        <v>2</v>
      </c>
      <c r="G35" s="56">
        <v>1</v>
      </c>
      <c r="H35" s="56">
        <v>2</v>
      </c>
      <c r="I35" s="56">
        <v>1</v>
      </c>
      <c r="J35" s="56">
        <v>7</v>
      </c>
      <c r="K35" s="56" t="s">
        <v>107</v>
      </c>
    </row>
    <row r="36" spans="1:11">
      <c r="A36" s="24" t="s">
        <v>5208</v>
      </c>
      <c r="B36" s="24" t="s">
        <v>15</v>
      </c>
      <c r="C36" s="55" t="s">
        <v>59</v>
      </c>
      <c r="D36" s="18"/>
      <c r="E36" s="56" t="s">
        <v>107</v>
      </c>
      <c r="F36" s="56">
        <v>2</v>
      </c>
      <c r="G36" s="56" t="s">
        <v>107</v>
      </c>
      <c r="H36" s="56">
        <v>1</v>
      </c>
      <c r="I36" s="56">
        <v>1</v>
      </c>
      <c r="J36" s="56" t="s">
        <v>107</v>
      </c>
      <c r="K36" s="56" t="s">
        <v>107</v>
      </c>
    </row>
    <row r="37" spans="1:11">
      <c r="A37" s="24" t="s">
        <v>5208</v>
      </c>
      <c r="B37" s="24" t="s">
        <v>15</v>
      </c>
      <c r="C37" s="55" t="s">
        <v>60</v>
      </c>
      <c r="D37" s="18"/>
      <c r="E37" s="56" t="s">
        <v>107</v>
      </c>
      <c r="F37" s="56">
        <v>1</v>
      </c>
      <c r="G37" s="56" t="s">
        <v>107</v>
      </c>
      <c r="H37" s="56">
        <v>1</v>
      </c>
      <c r="I37" s="56" t="s">
        <v>107</v>
      </c>
      <c r="J37" s="56" t="s">
        <v>107</v>
      </c>
      <c r="K37" s="56" t="s">
        <v>107</v>
      </c>
    </row>
    <row r="38" spans="1:11">
      <c r="A38" s="24" t="s">
        <v>5208</v>
      </c>
      <c r="B38" s="24" t="s">
        <v>15</v>
      </c>
      <c r="C38" s="55" t="s">
        <v>61</v>
      </c>
      <c r="D38" s="18"/>
      <c r="E38" s="56" t="s">
        <v>107</v>
      </c>
      <c r="F38" s="56">
        <v>1</v>
      </c>
      <c r="G38" s="56">
        <v>1</v>
      </c>
      <c r="H38" s="56">
        <v>1</v>
      </c>
      <c r="I38" s="56" t="s">
        <v>107</v>
      </c>
      <c r="J38" s="56">
        <v>4</v>
      </c>
      <c r="K38" s="56" t="s">
        <v>107</v>
      </c>
    </row>
    <row r="39" spans="1:11">
      <c r="A39" s="24" t="s">
        <v>5208</v>
      </c>
      <c r="B39" s="24" t="s">
        <v>15</v>
      </c>
      <c r="C39" s="55" t="s">
        <v>62</v>
      </c>
      <c r="D39" s="18"/>
      <c r="E39" s="56">
        <v>26</v>
      </c>
      <c r="F39" s="56">
        <v>16</v>
      </c>
      <c r="G39" s="56">
        <v>12</v>
      </c>
      <c r="H39" s="56">
        <v>18</v>
      </c>
      <c r="I39" s="56">
        <v>12</v>
      </c>
      <c r="J39" s="56">
        <v>22</v>
      </c>
      <c r="K39" s="56" t="s">
        <v>107</v>
      </c>
    </row>
    <row r="40" spans="1:11">
      <c r="A40" s="24" t="s">
        <v>5208</v>
      </c>
      <c r="B40" s="24" t="s">
        <v>15</v>
      </c>
      <c r="C40" s="55" t="s">
        <v>68</v>
      </c>
      <c r="D40" s="18"/>
      <c r="E40" s="56">
        <v>38</v>
      </c>
      <c r="F40" s="56">
        <v>10</v>
      </c>
      <c r="G40" s="56">
        <v>6</v>
      </c>
      <c r="H40" s="56">
        <v>13</v>
      </c>
      <c r="I40" s="56">
        <v>2</v>
      </c>
      <c r="J40" s="56">
        <v>3</v>
      </c>
      <c r="K40" s="56" t="s">
        <v>107</v>
      </c>
    </row>
    <row r="41" spans="1:11">
      <c r="A41" s="47" t="s">
        <v>5208</v>
      </c>
      <c r="B41" s="47" t="s">
        <v>16</v>
      </c>
      <c r="C41" s="47" t="s">
        <v>5124</v>
      </c>
      <c r="D41" s="48" t="s">
        <v>5228</v>
      </c>
      <c r="E41" s="46">
        <v>66</v>
      </c>
      <c r="F41" s="46">
        <v>93</v>
      </c>
      <c r="G41" s="46">
        <v>138</v>
      </c>
      <c r="H41" s="46">
        <v>67</v>
      </c>
      <c r="I41" s="46" t="s">
        <v>107</v>
      </c>
      <c r="J41" s="46">
        <v>27</v>
      </c>
      <c r="K41" s="46">
        <v>14</v>
      </c>
    </row>
    <row r="42" spans="1:11">
      <c r="A42" s="24" t="s">
        <v>5208</v>
      </c>
      <c r="B42" s="24" t="s">
        <v>16</v>
      </c>
      <c r="C42" s="55" t="s">
        <v>70</v>
      </c>
      <c r="D42" s="18"/>
      <c r="E42" s="56">
        <v>1</v>
      </c>
      <c r="F42" s="56" t="s">
        <v>107</v>
      </c>
      <c r="G42" s="56" t="s">
        <v>107</v>
      </c>
      <c r="H42" s="56" t="s">
        <v>107</v>
      </c>
      <c r="I42" s="56" t="s">
        <v>107</v>
      </c>
      <c r="J42" s="56">
        <v>1</v>
      </c>
      <c r="K42" s="56" t="s">
        <v>107</v>
      </c>
    </row>
    <row r="43" spans="1:11">
      <c r="A43" s="24" t="s">
        <v>5208</v>
      </c>
      <c r="B43" s="24" t="s">
        <v>16</v>
      </c>
      <c r="C43" s="55" t="s">
        <v>71</v>
      </c>
      <c r="D43" s="18"/>
      <c r="E43" s="56">
        <v>17</v>
      </c>
      <c r="F43" s="56">
        <v>2</v>
      </c>
      <c r="G43" s="56">
        <v>17</v>
      </c>
      <c r="H43" s="56">
        <v>5</v>
      </c>
      <c r="I43" s="56" t="s">
        <v>107</v>
      </c>
      <c r="J43" s="56">
        <v>3</v>
      </c>
      <c r="K43" s="56">
        <v>1</v>
      </c>
    </row>
    <row r="44" spans="1:11">
      <c r="A44" s="24" t="s">
        <v>5208</v>
      </c>
      <c r="B44" s="24" t="s">
        <v>16</v>
      </c>
      <c r="C44" s="55" t="s">
        <v>72</v>
      </c>
      <c r="D44" s="18"/>
      <c r="E44" s="56">
        <v>17</v>
      </c>
      <c r="F44" s="56">
        <v>18</v>
      </c>
      <c r="G44" s="56">
        <v>9</v>
      </c>
      <c r="H44" s="56" t="s">
        <v>107</v>
      </c>
      <c r="I44" s="56" t="s">
        <v>107</v>
      </c>
      <c r="J44" s="56">
        <v>10</v>
      </c>
      <c r="K44" s="56">
        <v>1</v>
      </c>
    </row>
    <row r="45" spans="1:11">
      <c r="A45" s="24" t="s">
        <v>5208</v>
      </c>
      <c r="B45" s="24" t="s">
        <v>16</v>
      </c>
      <c r="C45" s="55" t="s">
        <v>73</v>
      </c>
      <c r="D45" s="18"/>
      <c r="E45" s="56">
        <v>10</v>
      </c>
      <c r="F45" s="56">
        <v>18</v>
      </c>
      <c r="G45" s="56">
        <v>37</v>
      </c>
      <c r="H45" s="56">
        <v>1</v>
      </c>
      <c r="I45" s="56" t="s">
        <v>107</v>
      </c>
      <c r="J45" s="56">
        <v>5</v>
      </c>
      <c r="K45" s="56">
        <v>2</v>
      </c>
    </row>
    <row r="46" spans="1:11">
      <c r="A46" s="24" t="s">
        <v>5208</v>
      </c>
      <c r="B46" s="24" t="s">
        <v>16</v>
      </c>
      <c r="C46" s="55" t="s">
        <v>74</v>
      </c>
      <c r="D46" s="18"/>
      <c r="E46" s="56">
        <v>1</v>
      </c>
      <c r="F46" s="56" t="s">
        <v>107</v>
      </c>
      <c r="G46" s="56" t="s">
        <v>107</v>
      </c>
      <c r="H46" s="56" t="s">
        <v>107</v>
      </c>
      <c r="I46" s="56" t="s">
        <v>107</v>
      </c>
      <c r="J46" s="56" t="s">
        <v>107</v>
      </c>
      <c r="K46" s="56" t="s">
        <v>107</v>
      </c>
    </row>
    <row r="47" spans="1:11">
      <c r="A47" s="24" t="s">
        <v>5208</v>
      </c>
      <c r="B47" s="24" t="s">
        <v>16</v>
      </c>
      <c r="C47" s="55" t="s">
        <v>75</v>
      </c>
      <c r="D47" s="18"/>
      <c r="E47" s="56">
        <v>4</v>
      </c>
      <c r="F47" s="56">
        <v>5</v>
      </c>
      <c r="G47" s="56" t="s">
        <v>107</v>
      </c>
      <c r="H47" s="56">
        <v>2</v>
      </c>
      <c r="I47" s="56" t="s">
        <v>107</v>
      </c>
      <c r="J47" s="56">
        <v>6</v>
      </c>
      <c r="K47" s="56">
        <v>10</v>
      </c>
    </row>
    <row r="48" spans="1:11">
      <c r="A48" s="24" t="s">
        <v>5208</v>
      </c>
      <c r="B48" s="24" t="s">
        <v>16</v>
      </c>
      <c r="C48" s="55" t="s">
        <v>76</v>
      </c>
      <c r="D48" s="18"/>
      <c r="E48" s="56">
        <v>16</v>
      </c>
      <c r="F48" s="56">
        <v>50</v>
      </c>
      <c r="G48" s="56">
        <v>75</v>
      </c>
      <c r="H48" s="56">
        <v>59</v>
      </c>
      <c r="I48" s="56" t="s">
        <v>107</v>
      </c>
      <c r="J48" s="56">
        <v>2</v>
      </c>
      <c r="K48" s="56" t="s">
        <v>107</v>
      </c>
    </row>
    <row r="49" spans="1:11">
      <c r="A49" s="47" t="s">
        <v>5208</v>
      </c>
      <c r="B49" s="47" t="s">
        <v>17</v>
      </c>
      <c r="C49" s="47" t="s">
        <v>5125</v>
      </c>
      <c r="D49" s="48" t="s">
        <v>5228</v>
      </c>
      <c r="E49" s="46" t="s">
        <v>107</v>
      </c>
      <c r="F49" s="46">
        <v>6</v>
      </c>
      <c r="G49" s="46">
        <v>14</v>
      </c>
      <c r="H49" s="46">
        <v>12</v>
      </c>
      <c r="I49" s="46">
        <v>25</v>
      </c>
      <c r="J49" s="46">
        <v>18</v>
      </c>
      <c r="K49" s="46">
        <v>3</v>
      </c>
    </row>
    <row r="50" spans="1:11">
      <c r="A50" s="24" t="s">
        <v>5208</v>
      </c>
      <c r="B50" s="24" t="s">
        <v>17</v>
      </c>
      <c r="C50" s="55" t="s">
        <v>69</v>
      </c>
      <c r="D50" s="18"/>
      <c r="E50" s="56" t="s">
        <v>107</v>
      </c>
      <c r="F50" s="56">
        <v>6</v>
      </c>
      <c r="G50" s="56">
        <v>14</v>
      </c>
      <c r="H50" s="56">
        <v>12</v>
      </c>
      <c r="I50" s="56">
        <v>25</v>
      </c>
      <c r="J50" s="56">
        <v>18</v>
      </c>
      <c r="K50" s="56">
        <v>3</v>
      </c>
    </row>
    <row r="51" spans="1:11">
      <c r="D51" s="18"/>
      <c r="E51" s="54"/>
      <c r="F51" s="54"/>
      <c r="G51" s="54"/>
      <c r="H51" s="54"/>
      <c r="I51" s="54"/>
      <c r="J51" s="54"/>
      <c r="K51" s="54"/>
    </row>
    <row r="52" spans="1:11" ht="15.75">
      <c r="A52" s="43" t="s">
        <v>5227</v>
      </c>
      <c r="B52" s="43"/>
      <c r="C52" s="43"/>
      <c r="D52" s="44"/>
      <c r="E52" s="45"/>
      <c r="F52" s="45"/>
      <c r="G52" s="45"/>
      <c r="H52" s="45"/>
      <c r="I52" s="45"/>
      <c r="J52" s="45"/>
      <c r="K52" s="45"/>
    </row>
    <row r="53" spans="1:11" ht="15.75">
      <c r="A53" s="19" t="s">
        <v>5121</v>
      </c>
      <c r="B53" s="19"/>
      <c r="C53" s="19"/>
      <c r="D53" s="20"/>
      <c r="E53" s="21"/>
      <c r="F53" s="21"/>
      <c r="G53" s="21"/>
      <c r="H53" s="21"/>
      <c r="I53" s="21"/>
      <c r="J53" s="21"/>
      <c r="K53" s="21"/>
    </row>
    <row r="54" spans="1:11">
      <c r="A54" s="22" t="s">
        <v>5208</v>
      </c>
      <c r="B54" s="22" t="s">
        <v>13</v>
      </c>
      <c r="C54" s="22" t="s">
        <v>5122</v>
      </c>
      <c r="D54" s="23">
        <f>IFERROR(AVERAGEIFS(マスタ_業務・標準!$M:$M,マスタ_業務・標準!$K:$K,$A54,マスタ_業務・標準!$L:$L,$B54),"")</f>
        <v>3.97</v>
      </c>
      <c r="E54" s="31">
        <v>3.92</v>
      </c>
      <c r="F54" s="31">
        <v>3.11</v>
      </c>
      <c r="G54" s="31">
        <v>4.87</v>
      </c>
      <c r="H54" s="31">
        <v>4.9800000000000004</v>
      </c>
      <c r="I54" s="31">
        <v>5.01</v>
      </c>
      <c r="J54" s="31">
        <v>2.66</v>
      </c>
      <c r="K54" s="31">
        <v>2.33</v>
      </c>
    </row>
    <row r="55" spans="1:11">
      <c r="A55" s="24" t="s">
        <v>5208</v>
      </c>
      <c r="B55" s="24" t="s">
        <v>13</v>
      </c>
      <c r="C55" s="55" t="s">
        <v>63</v>
      </c>
      <c r="D55" s="18">
        <f>IFERROR(AVERAGEIFS(マスタ_業務・標準!$H:$H,マスタ_業務・標準!$D:$D,$A55,マスタ_業務・標準!$C:$C,$C55),"")</f>
        <v>2.0299999999999998</v>
      </c>
      <c r="E55" s="54" t="s">
        <v>107</v>
      </c>
      <c r="F55" s="54" t="s">
        <v>107</v>
      </c>
      <c r="G55" s="54" t="s">
        <v>107</v>
      </c>
      <c r="H55" s="54">
        <v>2.0299999999999998</v>
      </c>
      <c r="I55" s="54" t="s">
        <v>107</v>
      </c>
      <c r="J55" s="54" t="s">
        <v>107</v>
      </c>
      <c r="K55" s="54" t="s">
        <v>107</v>
      </c>
    </row>
    <row r="56" spans="1:11">
      <c r="A56" s="24" t="s">
        <v>5208</v>
      </c>
      <c r="B56" s="24" t="s">
        <v>13</v>
      </c>
      <c r="C56" s="55" t="s">
        <v>64</v>
      </c>
      <c r="D56" s="18">
        <f>IFERROR(AVERAGEIFS(マスタ_業務・標準!$H:$H,マスタ_業務・標準!$D:$D,$A56,マスタ_業務・標準!$C:$C,$C56),"")</f>
        <v>4.3499999999999996</v>
      </c>
      <c r="E56" s="54">
        <v>4.04</v>
      </c>
      <c r="F56" s="54" t="s">
        <v>107</v>
      </c>
      <c r="G56" s="54">
        <v>4.8600000000000003</v>
      </c>
      <c r="H56" s="54">
        <v>4.78</v>
      </c>
      <c r="I56" s="54">
        <v>5.34</v>
      </c>
      <c r="J56" s="54">
        <v>2.87</v>
      </c>
      <c r="K56" s="54" t="s">
        <v>107</v>
      </c>
    </row>
    <row r="57" spans="1:11">
      <c r="A57" s="24" t="s">
        <v>5208</v>
      </c>
      <c r="B57" s="24" t="s">
        <v>13</v>
      </c>
      <c r="C57" s="55" t="s">
        <v>65</v>
      </c>
      <c r="D57" s="18">
        <f>IFERROR(AVERAGEIFS(マスタ_業務・標準!$H:$H,マスタ_業務・標準!$D:$D,$A57,マスタ_業務・標準!$C:$C,$C57),"")</f>
        <v>2.69</v>
      </c>
      <c r="E57" s="54">
        <v>1.99</v>
      </c>
      <c r="F57" s="54" t="s">
        <v>107</v>
      </c>
      <c r="G57" s="54">
        <v>3.88</v>
      </c>
      <c r="H57" s="54">
        <v>2.36</v>
      </c>
      <c r="I57" s="54">
        <v>4.87</v>
      </c>
      <c r="J57" s="54">
        <v>2.25</v>
      </c>
      <c r="K57" s="54">
        <v>0.84</v>
      </c>
    </row>
    <row r="58" spans="1:11">
      <c r="A58" s="24" t="s">
        <v>5208</v>
      </c>
      <c r="B58" s="24" t="s">
        <v>13</v>
      </c>
      <c r="C58" s="55" t="s">
        <v>66</v>
      </c>
      <c r="D58" s="18">
        <f>IFERROR(AVERAGEIFS(マスタ_業務・標準!$H:$H,マスタ_業務・標準!$D:$D,$A58,マスタ_業務・標準!$C:$C,$C58),"")</f>
        <v>5.23</v>
      </c>
      <c r="E58" s="54">
        <v>6.57</v>
      </c>
      <c r="F58" s="54">
        <v>5.45</v>
      </c>
      <c r="G58" s="54">
        <v>5.92</v>
      </c>
      <c r="H58" s="54">
        <v>5.5</v>
      </c>
      <c r="I58" s="54">
        <v>5.38</v>
      </c>
      <c r="J58" s="54">
        <v>0.56000000000000005</v>
      </c>
      <c r="K58" s="54" t="s">
        <v>107</v>
      </c>
    </row>
    <row r="59" spans="1:11">
      <c r="A59" s="24" t="s">
        <v>5208</v>
      </c>
      <c r="B59" s="24" t="s">
        <v>13</v>
      </c>
      <c r="C59" s="55" t="s">
        <v>67</v>
      </c>
      <c r="D59" s="18">
        <f>IFERROR(AVERAGEIFS(マスタ_業務・標準!$H:$H,マスタ_業務・標準!$D:$D,$A59,マスタ_業務・標準!$C:$C,$C59),"")</f>
        <v>4.7699999999999996</v>
      </c>
      <c r="E59" s="54">
        <v>6.01</v>
      </c>
      <c r="F59" s="54">
        <v>3.09</v>
      </c>
      <c r="G59" s="54">
        <v>3.21</v>
      </c>
      <c r="H59" s="54">
        <v>5.29</v>
      </c>
      <c r="I59" s="54">
        <v>4.32</v>
      </c>
      <c r="J59" s="54">
        <v>4.9800000000000004</v>
      </c>
      <c r="K59" s="54">
        <v>5.74</v>
      </c>
    </row>
    <row r="60" spans="1:11">
      <c r="A60" s="22" t="s">
        <v>5208</v>
      </c>
      <c r="B60" s="22" t="s">
        <v>15</v>
      </c>
      <c r="C60" s="22" t="s">
        <v>5123</v>
      </c>
      <c r="D60" s="23">
        <f>IFERROR(AVERAGEIFS(マスタ_業務・標準!$M:$M,マスタ_業務・標準!$K:$K,$A60,マスタ_業務・標準!$L:$L,$B60),"")</f>
        <v>2.92</v>
      </c>
      <c r="E60" s="31">
        <v>3.05</v>
      </c>
      <c r="F60" s="31">
        <v>2.9</v>
      </c>
      <c r="G60" s="31">
        <v>3.37</v>
      </c>
      <c r="H60" s="31">
        <v>3.34</v>
      </c>
      <c r="I60" s="31">
        <v>2.74</v>
      </c>
      <c r="J60" s="31">
        <v>2.65</v>
      </c>
      <c r="K60" s="31">
        <v>0.79</v>
      </c>
    </row>
    <row r="61" spans="1:11">
      <c r="A61" s="24" t="s">
        <v>5208</v>
      </c>
      <c r="B61" s="24" t="s">
        <v>15</v>
      </c>
      <c r="C61" s="55" t="s">
        <v>36</v>
      </c>
      <c r="D61" s="18">
        <f>IFERROR(AVERAGEIFS(マスタ_業務・標準!$H:$H,マスタ_業務・標準!$D:$D,$A61,マスタ_業務・標準!$C:$C,$C61),"")</f>
        <v>2.5299999999999998</v>
      </c>
      <c r="E61" s="54">
        <v>2.5299999999999998</v>
      </c>
      <c r="F61" s="54" t="s">
        <v>107</v>
      </c>
      <c r="G61" s="54" t="s">
        <v>107</v>
      </c>
      <c r="H61" s="54" t="s">
        <v>107</v>
      </c>
      <c r="I61" s="54" t="s">
        <v>107</v>
      </c>
      <c r="J61" s="54" t="s">
        <v>107</v>
      </c>
      <c r="K61" s="54" t="s">
        <v>107</v>
      </c>
    </row>
    <row r="62" spans="1:11">
      <c r="A62" s="24" t="s">
        <v>5208</v>
      </c>
      <c r="B62" s="24" t="s">
        <v>15</v>
      </c>
      <c r="C62" s="55" t="s">
        <v>39</v>
      </c>
      <c r="D62" s="18">
        <f>IFERROR(AVERAGEIFS(マスタ_業務・標準!$H:$H,マスタ_業務・標準!$D:$D,$A62,マスタ_業務・標準!$C:$C,$C62),"")</f>
        <v>4.3600000000000003</v>
      </c>
      <c r="E62" s="54">
        <v>2.4</v>
      </c>
      <c r="F62" s="54" t="s">
        <v>107</v>
      </c>
      <c r="G62" s="54">
        <v>5.22</v>
      </c>
      <c r="H62" s="54">
        <v>4.2</v>
      </c>
      <c r="I62" s="54">
        <v>3.55</v>
      </c>
      <c r="J62" s="54" t="s">
        <v>107</v>
      </c>
      <c r="K62" s="54" t="s">
        <v>107</v>
      </c>
    </row>
    <row r="63" spans="1:11">
      <c r="A63" s="24" t="s">
        <v>5208</v>
      </c>
      <c r="B63" s="24" t="s">
        <v>15</v>
      </c>
      <c r="C63" s="55" t="s">
        <v>40</v>
      </c>
      <c r="D63" s="18">
        <f>IFERROR(AVERAGEIFS(マスタ_業務・標準!$H:$H,マスタ_業務・標準!$D:$D,$A63,マスタ_業務・標準!$C:$C,$C63),"")</f>
        <v>2.9</v>
      </c>
      <c r="E63" s="54">
        <v>3.33</v>
      </c>
      <c r="F63" s="54">
        <v>3.38</v>
      </c>
      <c r="G63" s="54">
        <v>1.82</v>
      </c>
      <c r="H63" s="54">
        <v>3.63</v>
      </c>
      <c r="I63" s="54">
        <v>2.75</v>
      </c>
      <c r="J63" s="54">
        <v>2.56</v>
      </c>
      <c r="K63" s="54" t="s">
        <v>107</v>
      </c>
    </row>
    <row r="64" spans="1:11">
      <c r="A64" s="24" t="s">
        <v>5208</v>
      </c>
      <c r="B64" s="24" t="s">
        <v>15</v>
      </c>
      <c r="C64" s="55" t="s">
        <v>41</v>
      </c>
      <c r="D64" s="18">
        <f>IFERROR(AVERAGEIFS(マスタ_業務・標準!$H:$H,マスタ_業務・標準!$D:$D,$A64,マスタ_業務・標準!$C:$C,$C64),"")</f>
        <v>2.86</v>
      </c>
      <c r="E64" s="54" t="s">
        <v>107</v>
      </c>
      <c r="F64" s="54" t="s">
        <v>107</v>
      </c>
      <c r="G64" s="54">
        <v>2.86</v>
      </c>
      <c r="H64" s="54" t="s">
        <v>107</v>
      </c>
      <c r="I64" s="54" t="s">
        <v>107</v>
      </c>
      <c r="J64" s="54" t="s">
        <v>107</v>
      </c>
      <c r="K64" s="54" t="s">
        <v>107</v>
      </c>
    </row>
    <row r="65" spans="1:11">
      <c r="A65" s="24" t="s">
        <v>5208</v>
      </c>
      <c r="B65" s="24" t="s">
        <v>15</v>
      </c>
      <c r="C65" s="55" t="s">
        <v>42</v>
      </c>
      <c r="D65" s="18">
        <f>IFERROR(AVERAGEIFS(マスタ_業務・標準!$H:$H,マスタ_業務・標準!$D:$D,$A65,マスタ_業務・標準!$C:$C,$C65),"")</f>
        <v>2.33</v>
      </c>
      <c r="E65" s="54">
        <v>1.9</v>
      </c>
      <c r="F65" s="54">
        <v>2.2799999999999998</v>
      </c>
      <c r="G65" s="54">
        <v>2.79</v>
      </c>
      <c r="H65" s="54">
        <v>2.62</v>
      </c>
      <c r="I65" s="54">
        <v>2.25</v>
      </c>
      <c r="J65" s="54">
        <v>2.92</v>
      </c>
      <c r="K65" s="54" t="s">
        <v>107</v>
      </c>
    </row>
    <row r="66" spans="1:11">
      <c r="A66" s="24" t="s">
        <v>5208</v>
      </c>
      <c r="B66" s="24" t="s">
        <v>15</v>
      </c>
      <c r="C66" s="55" t="s">
        <v>43</v>
      </c>
      <c r="D66" s="18">
        <f>IFERROR(AVERAGEIFS(マスタ_業務・標準!$H:$H,マスタ_業務・標準!$D:$D,$A66,マスタ_業務・標準!$C:$C,$C66),"")</f>
        <v>3.93</v>
      </c>
      <c r="E66" s="54" t="s">
        <v>107</v>
      </c>
      <c r="F66" s="54">
        <v>3.42</v>
      </c>
      <c r="G66" s="54">
        <v>4.4400000000000004</v>
      </c>
      <c r="H66" s="54" t="s">
        <v>107</v>
      </c>
      <c r="I66" s="54" t="s">
        <v>107</v>
      </c>
      <c r="J66" s="54" t="s">
        <v>107</v>
      </c>
      <c r="K66" s="54" t="s">
        <v>107</v>
      </c>
    </row>
    <row r="67" spans="1:11">
      <c r="A67" s="24" t="s">
        <v>5208</v>
      </c>
      <c r="B67" s="24" t="s">
        <v>15</v>
      </c>
      <c r="C67" s="55" t="s">
        <v>44</v>
      </c>
      <c r="D67" s="18">
        <f>IFERROR(AVERAGEIFS(マスタ_業務・標準!$H:$H,マスタ_業務・標準!$D:$D,$A67,マスタ_業務・標準!$C:$C,$C67),"")</f>
        <v>2.68</v>
      </c>
      <c r="E67" s="54">
        <v>2.96</v>
      </c>
      <c r="F67" s="54">
        <v>3.26</v>
      </c>
      <c r="G67" s="54">
        <v>2.5499999999999998</v>
      </c>
      <c r="H67" s="54">
        <v>2</v>
      </c>
      <c r="I67" s="54">
        <v>2.5499999999999998</v>
      </c>
      <c r="J67" s="54">
        <v>3.12</v>
      </c>
      <c r="K67" s="54">
        <v>0.79</v>
      </c>
    </row>
    <row r="68" spans="1:11">
      <c r="A68" s="24" t="s">
        <v>5208</v>
      </c>
      <c r="B68" s="24" t="s">
        <v>15</v>
      </c>
      <c r="C68" s="55" t="s">
        <v>45</v>
      </c>
      <c r="D68" s="18">
        <f>IFERROR(AVERAGEIFS(マスタ_業務・標準!$H:$H,マスタ_業務・標準!$D:$D,$A68,マスタ_業務・標準!$C:$C,$C68),"")</f>
        <v>14.81</v>
      </c>
      <c r="E68" s="54" t="s">
        <v>107</v>
      </c>
      <c r="F68" s="54" t="s">
        <v>107</v>
      </c>
      <c r="G68" s="54" t="s">
        <v>107</v>
      </c>
      <c r="H68" s="54" t="s">
        <v>107</v>
      </c>
      <c r="I68" s="54" t="s">
        <v>107</v>
      </c>
      <c r="J68" s="54">
        <v>14.81</v>
      </c>
      <c r="K68" s="54" t="s">
        <v>107</v>
      </c>
    </row>
    <row r="69" spans="1:11">
      <c r="A69" s="24" t="s">
        <v>5208</v>
      </c>
      <c r="B69" s="24" t="s">
        <v>15</v>
      </c>
      <c r="C69" s="55" t="s">
        <v>46</v>
      </c>
      <c r="D69" s="18">
        <f>IFERROR(AVERAGEIFS(マスタ_業務・標準!$H:$H,マスタ_業務・標準!$D:$D,$A69,マスタ_業務・標準!$C:$C,$C69),"")</f>
        <v>2.2000000000000002</v>
      </c>
      <c r="E69" s="54" t="s">
        <v>107</v>
      </c>
      <c r="F69" s="54">
        <v>2.2000000000000002</v>
      </c>
      <c r="G69" s="54" t="s">
        <v>107</v>
      </c>
      <c r="H69" s="54" t="s">
        <v>107</v>
      </c>
      <c r="I69" s="54" t="s">
        <v>107</v>
      </c>
      <c r="J69" s="54" t="s">
        <v>107</v>
      </c>
      <c r="K69" s="54" t="s">
        <v>107</v>
      </c>
    </row>
    <row r="70" spans="1:11">
      <c r="A70" s="24" t="s">
        <v>5208</v>
      </c>
      <c r="B70" s="24" t="s">
        <v>15</v>
      </c>
      <c r="C70" s="55" t="s">
        <v>47</v>
      </c>
      <c r="D70" s="18">
        <f>IFERROR(AVERAGEIFS(マスタ_業務・標準!$H:$H,マスタ_業務・標準!$D:$D,$A70,マスタ_業務・標準!$C:$C,$C70),"")</f>
        <v>2.2599999999999998</v>
      </c>
      <c r="E70" s="54" t="s">
        <v>107</v>
      </c>
      <c r="F70" s="54">
        <v>1.1499999999999999</v>
      </c>
      <c r="G70" s="54">
        <v>3.65</v>
      </c>
      <c r="H70" s="54">
        <v>2.2999999999999998</v>
      </c>
      <c r="I70" s="54">
        <v>1.67</v>
      </c>
      <c r="J70" s="54">
        <v>3.11</v>
      </c>
      <c r="K70" s="54" t="s">
        <v>107</v>
      </c>
    </row>
    <row r="71" spans="1:11">
      <c r="A71" s="24" t="s">
        <v>5208</v>
      </c>
      <c r="B71" s="24" t="s">
        <v>15</v>
      </c>
      <c r="C71" s="55" t="s">
        <v>48</v>
      </c>
      <c r="D71" s="18">
        <f>IFERROR(AVERAGEIFS(マスタ_業務・標準!$H:$H,マスタ_業務・標準!$D:$D,$A71,マスタ_業務・標準!$C:$C,$C71),"")</f>
        <v>2.78</v>
      </c>
      <c r="E71" s="54" t="s">
        <v>107</v>
      </c>
      <c r="F71" s="54">
        <v>2.72</v>
      </c>
      <c r="G71" s="54" t="s">
        <v>107</v>
      </c>
      <c r="H71" s="54" t="s">
        <v>107</v>
      </c>
      <c r="I71" s="54" t="s">
        <v>107</v>
      </c>
      <c r="J71" s="54">
        <v>2.83</v>
      </c>
      <c r="K71" s="54" t="s">
        <v>107</v>
      </c>
    </row>
    <row r="72" spans="1:11">
      <c r="A72" s="24" t="s">
        <v>5208</v>
      </c>
      <c r="B72" s="24" t="s">
        <v>15</v>
      </c>
      <c r="C72" s="55" t="s">
        <v>49</v>
      </c>
      <c r="D72" s="18">
        <f>IFERROR(AVERAGEIFS(マスタ_業務・標準!$H:$H,マスタ_業務・標準!$D:$D,$A72,マスタ_業務・標準!$C:$C,$C72),"")</f>
        <v>2.21</v>
      </c>
      <c r="E72" s="54">
        <v>2.27</v>
      </c>
      <c r="F72" s="54" t="s">
        <v>107</v>
      </c>
      <c r="G72" s="54" t="s">
        <v>107</v>
      </c>
      <c r="H72" s="54" t="s">
        <v>107</v>
      </c>
      <c r="I72" s="54" t="s">
        <v>107</v>
      </c>
      <c r="J72" s="54">
        <v>2.15</v>
      </c>
      <c r="K72" s="54" t="s">
        <v>107</v>
      </c>
    </row>
    <row r="73" spans="1:11">
      <c r="A73" s="24" t="s">
        <v>5208</v>
      </c>
      <c r="B73" s="24" t="s">
        <v>15</v>
      </c>
      <c r="C73" s="55" t="s">
        <v>50</v>
      </c>
      <c r="D73" s="18">
        <f>IFERROR(AVERAGEIFS(マスタ_業務・標準!$H:$H,マスタ_業務・標準!$D:$D,$A73,マスタ_業務・標準!$C:$C,$C73),"")</f>
        <v>3.07</v>
      </c>
      <c r="E73" s="54">
        <v>4.43</v>
      </c>
      <c r="F73" s="54">
        <v>3.34</v>
      </c>
      <c r="G73" s="54">
        <v>2.23</v>
      </c>
      <c r="H73" s="54">
        <v>2.52</v>
      </c>
      <c r="I73" s="54">
        <v>5.45</v>
      </c>
      <c r="J73" s="54">
        <v>2.1</v>
      </c>
      <c r="K73" s="54" t="s">
        <v>107</v>
      </c>
    </row>
    <row r="74" spans="1:11">
      <c r="A74" s="24" t="s">
        <v>5208</v>
      </c>
      <c r="B74" s="24" t="s">
        <v>15</v>
      </c>
      <c r="C74" s="55" t="s">
        <v>51</v>
      </c>
      <c r="D74" s="18">
        <f>IFERROR(AVERAGEIFS(マスタ_業務・標準!$H:$H,マスタ_業務・標準!$D:$D,$A74,マスタ_業務・標準!$C:$C,$C74),"")</f>
        <v>2.91</v>
      </c>
      <c r="E74" s="54">
        <v>2.91</v>
      </c>
      <c r="F74" s="54" t="s">
        <v>107</v>
      </c>
      <c r="G74" s="54" t="s">
        <v>107</v>
      </c>
      <c r="H74" s="54" t="s">
        <v>107</v>
      </c>
      <c r="I74" s="54" t="s">
        <v>107</v>
      </c>
      <c r="J74" s="54" t="s">
        <v>107</v>
      </c>
      <c r="K74" s="54" t="s">
        <v>107</v>
      </c>
    </row>
    <row r="75" spans="1:11">
      <c r="A75" s="24" t="s">
        <v>5208</v>
      </c>
      <c r="B75" s="24" t="s">
        <v>15</v>
      </c>
      <c r="C75" s="55" t="s">
        <v>52</v>
      </c>
      <c r="D75" s="18">
        <f>IFERROR(AVERAGEIFS(マスタ_業務・標準!$H:$H,マスタ_業務・標準!$D:$D,$A75,マスタ_業務・標準!$C:$C,$C75),"")</f>
        <v>3.36</v>
      </c>
      <c r="E75" s="54">
        <v>2.93</v>
      </c>
      <c r="F75" s="54">
        <v>3.2</v>
      </c>
      <c r="G75" s="54">
        <v>5.09</v>
      </c>
      <c r="H75" s="54" t="s">
        <v>107</v>
      </c>
      <c r="I75" s="54">
        <v>2.66</v>
      </c>
      <c r="J75" s="54" t="s">
        <v>107</v>
      </c>
      <c r="K75" s="54" t="s">
        <v>107</v>
      </c>
    </row>
    <row r="76" spans="1:11">
      <c r="A76" s="24" t="s">
        <v>5208</v>
      </c>
      <c r="B76" s="24" t="s">
        <v>15</v>
      </c>
      <c r="C76" s="55" t="s">
        <v>53</v>
      </c>
      <c r="D76" s="18">
        <f>IFERROR(AVERAGEIFS(マスタ_業務・標準!$H:$H,マスタ_業務・標準!$D:$D,$A76,マスタ_業務・標準!$C:$C,$C76),"")</f>
        <v>3.2</v>
      </c>
      <c r="E76" s="54">
        <v>3.44</v>
      </c>
      <c r="F76" s="54">
        <v>2.36</v>
      </c>
      <c r="G76" s="54">
        <v>2.4700000000000002</v>
      </c>
      <c r="H76" s="54">
        <v>3.99</v>
      </c>
      <c r="I76" s="54">
        <v>2.44</v>
      </c>
      <c r="J76" s="54">
        <v>5.07</v>
      </c>
      <c r="K76" s="54" t="s">
        <v>107</v>
      </c>
    </row>
    <row r="77" spans="1:11">
      <c r="A77" s="24" t="s">
        <v>5208</v>
      </c>
      <c r="B77" s="24" t="s">
        <v>15</v>
      </c>
      <c r="C77" s="55" t="s">
        <v>54</v>
      </c>
      <c r="D77" s="18">
        <f>IFERROR(AVERAGEIFS(マスタ_業務・標準!$H:$H,マスタ_業務・標準!$D:$D,$A77,マスタ_業務・標準!$C:$C,$C77),"")</f>
        <v>1.65</v>
      </c>
      <c r="E77" s="54" t="s">
        <v>107</v>
      </c>
      <c r="F77" s="54" t="s">
        <v>107</v>
      </c>
      <c r="G77" s="54" t="s">
        <v>107</v>
      </c>
      <c r="H77" s="54">
        <v>1.65</v>
      </c>
      <c r="I77" s="54" t="s">
        <v>107</v>
      </c>
      <c r="J77" s="54" t="s">
        <v>107</v>
      </c>
      <c r="K77" s="54" t="s">
        <v>107</v>
      </c>
    </row>
    <row r="78" spans="1:11">
      <c r="A78" s="24" t="s">
        <v>5208</v>
      </c>
      <c r="B78" s="24" t="s">
        <v>15</v>
      </c>
      <c r="C78" s="55" t="s">
        <v>55</v>
      </c>
      <c r="D78" s="18">
        <f>IFERROR(AVERAGEIFS(マスタ_業務・標準!$H:$H,マスタ_業務・標準!$D:$D,$A78,マスタ_業務・標準!$C:$C,$C78),"")</f>
        <v>6.16</v>
      </c>
      <c r="E78" s="54">
        <v>4.5999999999999996</v>
      </c>
      <c r="F78" s="54">
        <v>8.18</v>
      </c>
      <c r="G78" s="54" t="s">
        <v>107</v>
      </c>
      <c r="H78" s="54" t="s">
        <v>107</v>
      </c>
      <c r="I78" s="54">
        <v>2.2200000000000002</v>
      </c>
      <c r="J78" s="54">
        <v>6.89</v>
      </c>
      <c r="K78" s="54" t="s">
        <v>107</v>
      </c>
    </row>
    <row r="79" spans="1:11">
      <c r="A79" s="24" t="s">
        <v>5208</v>
      </c>
      <c r="B79" s="24" t="s">
        <v>15</v>
      </c>
      <c r="C79" s="55" t="s">
        <v>56</v>
      </c>
      <c r="D79" s="18">
        <f>IFERROR(AVERAGEIFS(マスタ_業務・標準!$H:$H,マスタ_業務・標準!$D:$D,$A79,マスタ_業務・標準!$C:$C,$C79),"")</f>
        <v>4.7</v>
      </c>
      <c r="E79" s="54" t="s">
        <v>107</v>
      </c>
      <c r="F79" s="54">
        <v>7.27</v>
      </c>
      <c r="G79" s="54">
        <v>5.89</v>
      </c>
      <c r="H79" s="54">
        <v>5.0599999999999996</v>
      </c>
      <c r="I79" s="54">
        <v>3.48</v>
      </c>
      <c r="J79" s="54">
        <v>4.5</v>
      </c>
      <c r="K79" s="54" t="s">
        <v>107</v>
      </c>
    </row>
    <row r="80" spans="1:11">
      <c r="A80" s="24" t="s">
        <v>5208</v>
      </c>
      <c r="B80" s="24" t="s">
        <v>15</v>
      </c>
      <c r="C80" s="55" t="s">
        <v>57</v>
      </c>
      <c r="D80" s="18">
        <f>IFERROR(AVERAGEIFS(マスタ_業務・標準!$H:$H,マスタ_業務・標準!$D:$D,$A80,マスタ_業務・標準!$C:$C,$C80),"")</f>
        <v>2.2200000000000002</v>
      </c>
      <c r="E80" s="54" t="s">
        <v>107</v>
      </c>
      <c r="F80" s="54" t="s">
        <v>107</v>
      </c>
      <c r="G80" s="54" t="s">
        <v>107</v>
      </c>
      <c r="H80" s="54">
        <v>2.2200000000000002</v>
      </c>
      <c r="I80" s="54" t="s">
        <v>107</v>
      </c>
      <c r="J80" s="54" t="s">
        <v>107</v>
      </c>
      <c r="K80" s="54" t="s">
        <v>107</v>
      </c>
    </row>
    <row r="81" spans="1:11">
      <c r="A81" s="24" t="s">
        <v>5208</v>
      </c>
      <c r="B81" s="24" t="s">
        <v>15</v>
      </c>
      <c r="C81" s="55" t="s">
        <v>58</v>
      </c>
      <c r="D81" s="18">
        <f>IFERROR(AVERAGEIFS(マスタ_業務・標準!$H:$H,マスタ_業務・標準!$D:$D,$A81,マスタ_業務・標準!$C:$C,$C81),"")</f>
        <v>4.05</v>
      </c>
      <c r="E81" s="54" t="s">
        <v>107</v>
      </c>
      <c r="F81" s="54">
        <v>3.15</v>
      </c>
      <c r="G81" s="54">
        <v>2.23</v>
      </c>
      <c r="H81" s="54">
        <v>3.59</v>
      </c>
      <c r="I81" s="54">
        <v>2.46</v>
      </c>
      <c r="J81" s="54">
        <v>7.11</v>
      </c>
      <c r="K81" s="54" t="s">
        <v>107</v>
      </c>
    </row>
    <row r="82" spans="1:11">
      <c r="A82" s="24" t="s">
        <v>5208</v>
      </c>
      <c r="B82" s="24" t="s">
        <v>15</v>
      </c>
      <c r="C82" s="55" t="s">
        <v>59</v>
      </c>
      <c r="D82" s="18">
        <f>IFERROR(AVERAGEIFS(マスタ_業務・標準!$H:$H,マスタ_業務・標準!$D:$D,$A82,マスタ_業務・標準!$C:$C,$C82),"")</f>
        <v>4.3600000000000003</v>
      </c>
      <c r="E82" s="54" t="s">
        <v>107</v>
      </c>
      <c r="F82" s="54">
        <v>4.92</v>
      </c>
      <c r="G82" s="54" t="s">
        <v>107</v>
      </c>
      <c r="H82" s="54">
        <v>3.63</v>
      </c>
      <c r="I82" s="54">
        <v>3.96</v>
      </c>
      <c r="J82" s="54" t="s">
        <v>107</v>
      </c>
      <c r="K82" s="54" t="s">
        <v>107</v>
      </c>
    </row>
    <row r="83" spans="1:11">
      <c r="A83" s="24" t="s">
        <v>5208</v>
      </c>
      <c r="B83" s="24" t="s">
        <v>15</v>
      </c>
      <c r="C83" s="55" t="s">
        <v>60</v>
      </c>
      <c r="D83" s="18">
        <f>IFERROR(AVERAGEIFS(マスタ_業務・標準!$H:$H,マスタ_業務・標準!$D:$D,$A83,マスタ_業務・標準!$C:$C,$C83),"")</f>
        <v>3.11</v>
      </c>
      <c r="E83" s="54" t="s">
        <v>107</v>
      </c>
      <c r="F83" s="54">
        <v>3.68</v>
      </c>
      <c r="G83" s="54" t="s">
        <v>107</v>
      </c>
      <c r="H83" s="54">
        <v>2.5299999999999998</v>
      </c>
      <c r="I83" s="54" t="s">
        <v>107</v>
      </c>
      <c r="J83" s="54" t="s">
        <v>107</v>
      </c>
      <c r="K83" s="54" t="s">
        <v>107</v>
      </c>
    </row>
    <row r="84" spans="1:11">
      <c r="A84" s="24" t="s">
        <v>5208</v>
      </c>
      <c r="B84" s="24" t="s">
        <v>15</v>
      </c>
      <c r="C84" s="55" t="s">
        <v>61</v>
      </c>
      <c r="D84" s="18">
        <f>IFERROR(AVERAGEIFS(マスタ_業務・標準!$H:$H,マスタ_業務・標準!$D:$D,$A84,マスタ_業務・標準!$C:$C,$C84),"")</f>
        <v>4.12</v>
      </c>
      <c r="E84" s="54" t="s">
        <v>107</v>
      </c>
      <c r="F84" s="54">
        <v>3.21</v>
      </c>
      <c r="G84" s="54">
        <v>2.5099999999999998</v>
      </c>
      <c r="H84" s="54">
        <v>5.61</v>
      </c>
      <c r="I84" s="54" t="s">
        <v>107</v>
      </c>
      <c r="J84" s="54">
        <v>4.47</v>
      </c>
      <c r="K84" s="54" t="s">
        <v>107</v>
      </c>
    </row>
    <row r="85" spans="1:11">
      <c r="A85" s="24" t="s">
        <v>5208</v>
      </c>
      <c r="B85" s="24" t="s">
        <v>15</v>
      </c>
      <c r="C85" s="55" t="s">
        <v>62</v>
      </c>
      <c r="D85" s="18">
        <f>IFERROR(AVERAGEIFS(マスタ_業務・標準!$H:$H,マスタ_業務・標準!$D:$D,$A85,マスタ_業務・標準!$C:$C,$C85),"")</f>
        <v>3.11</v>
      </c>
      <c r="E85" s="54">
        <v>2.5299999999999998</v>
      </c>
      <c r="F85" s="54">
        <v>3.21</v>
      </c>
      <c r="G85" s="54">
        <v>4.3899999999999997</v>
      </c>
      <c r="H85" s="54">
        <v>3.85</v>
      </c>
      <c r="I85" s="54">
        <v>2.68</v>
      </c>
      <c r="J85" s="54">
        <v>2.36</v>
      </c>
      <c r="K85" s="54" t="s">
        <v>107</v>
      </c>
    </row>
    <row r="86" spans="1:11" ht="15" thickBot="1">
      <c r="A86" s="24" t="s">
        <v>5208</v>
      </c>
      <c r="B86" s="24" t="s">
        <v>15</v>
      </c>
      <c r="C86" s="55" t="s">
        <v>68</v>
      </c>
      <c r="D86" s="18">
        <f>IFERROR(AVERAGEIFS(マスタ_業務・標準!$H:$H,マスタ_業務・標準!$D:$D,$A86,マスタ_業務・標準!$C:$C,$C86),"")</f>
        <v>5.2</v>
      </c>
      <c r="E86" s="54">
        <v>4.99</v>
      </c>
      <c r="F86" s="54">
        <v>5.08</v>
      </c>
      <c r="G86" s="54">
        <v>5.08</v>
      </c>
      <c r="H86" s="54">
        <v>6.45</v>
      </c>
      <c r="I86" s="54">
        <v>6.72</v>
      </c>
      <c r="J86" s="54">
        <v>3.03</v>
      </c>
      <c r="K86" s="54" t="s">
        <v>107</v>
      </c>
    </row>
    <row r="87" spans="1:11" ht="15.75" thickTop="1" thickBot="1">
      <c r="A87" s="22" t="s">
        <v>5208</v>
      </c>
      <c r="B87" s="22" t="s">
        <v>16</v>
      </c>
      <c r="C87" s="22" t="s">
        <v>5124</v>
      </c>
      <c r="D87" s="23">
        <f>IFERROR(AVERAGEIFS(マスタ_業務・標準!$M:$M,マスタ_業務・標準!$K:$K,$A87,マスタ_業務・標準!$L:$L,$B87),"")</f>
        <v>2.86</v>
      </c>
      <c r="E87" s="31">
        <v>2.6</v>
      </c>
      <c r="F87" s="31">
        <v>2.93</v>
      </c>
      <c r="G87" s="31">
        <v>3.32</v>
      </c>
      <c r="H87" s="31">
        <v>2.69</v>
      </c>
      <c r="I87" s="31" t="s">
        <v>107</v>
      </c>
      <c r="J87" s="31">
        <v>2.09</v>
      </c>
      <c r="K87" s="59">
        <v>2.93</v>
      </c>
    </row>
    <row r="88" spans="1:11" ht="15" thickTop="1">
      <c r="A88" s="24" t="s">
        <v>5208</v>
      </c>
      <c r="B88" s="24" t="s">
        <v>16</v>
      </c>
      <c r="C88" s="55" t="s">
        <v>70</v>
      </c>
      <c r="D88" s="18">
        <f>IFERROR(AVERAGEIFS(マスタ_業務・標準!$H:$H,マスタ_業務・標準!$D:$D,$A88,マスタ_業務・標準!$C:$C,$C88),"")</f>
        <v>2.3199999999999998</v>
      </c>
      <c r="E88" s="54">
        <v>2.95</v>
      </c>
      <c r="F88" s="54" t="s">
        <v>107</v>
      </c>
      <c r="G88" s="54" t="s">
        <v>107</v>
      </c>
      <c r="H88" s="54" t="s">
        <v>107</v>
      </c>
      <c r="I88" s="54" t="s">
        <v>107</v>
      </c>
      <c r="J88" s="54">
        <v>1.69</v>
      </c>
      <c r="K88" s="54" t="s">
        <v>107</v>
      </c>
    </row>
    <row r="89" spans="1:11">
      <c r="A89" s="24" t="s">
        <v>5208</v>
      </c>
      <c r="B89" s="24" t="s">
        <v>16</v>
      </c>
      <c r="C89" s="55" t="s">
        <v>71</v>
      </c>
      <c r="D89" s="18">
        <f>IFERROR(AVERAGEIFS(マスタ_業務・標準!$H:$H,マスタ_業務・標準!$D:$D,$A89,マスタ_業務・標準!$C:$C,$C89),"")</f>
        <v>2.56</v>
      </c>
      <c r="E89" s="54">
        <v>2.38</v>
      </c>
      <c r="F89" s="54">
        <v>1.77</v>
      </c>
      <c r="G89" s="54">
        <v>3</v>
      </c>
      <c r="H89" s="54">
        <v>2.04</v>
      </c>
      <c r="I89" s="54" t="s">
        <v>107</v>
      </c>
      <c r="J89" s="54">
        <v>2.2000000000000002</v>
      </c>
      <c r="K89" s="54">
        <v>5.01</v>
      </c>
    </row>
    <row r="90" spans="1:11">
      <c r="A90" s="24" t="s">
        <v>5208</v>
      </c>
      <c r="B90" s="24" t="s">
        <v>16</v>
      </c>
      <c r="C90" s="55" t="s">
        <v>72</v>
      </c>
      <c r="D90" s="18">
        <f>IFERROR(AVERAGEIFS(マスタ_業務・標準!$H:$H,マスタ_業務・標準!$D:$D,$A90,マスタ_業務・標準!$C:$C,$C90),"")</f>
        <v>3.26</v>
      </c>
      <c r="E90" s="54">
        <v>3.43</v>
      </c>
      <c r="F90" s="54">
        <v>4.2300000000000004</v>
      </c>
      <c r="G90" s="54">
        <v>3.06</v>
      </c>
      <c r="H90" s="54" t="s">
        <v>107</v>
      </c>
      <c r="I90" s="54" t="s">
        <v>107</v>
      </c>
      <c r="J90" s="54">
        <v>2.0099999999999998</v>
      </c>
      <c r="K90" s="54">
        <v>1.66</v>
      </c>
    </row>
    <row r="91" spans="1:11">
      <c r="A91" s="24" t="s">
        <v>5208</v>
      </c>
      <c r="B91" s="24" t="s">
        <v>16</v>
      </c>
      <c r="C91" s="55" t="s">
        <v>73</v>
      </c>
      <c r="D91" s="18">
        <f>IFERROR(AVERAGEIFS(マスタ_業務・標準!$H:$H,マスタ_業務・標準!$D:$D,$A91,マスタ_業務・標準!$C:$C,$C91),"")</f>
        <v>2.5</v>
      </c>
      <c r="E91" s="54">
        <v>2.09</v>
      </c>
      <c r="F91" s="54">
        <v>2.27</v>
      </c>
      <c r="G91" s="54">
        <v>2.14</v>
      </c>
      <c r="H91" s="54">
        <v>5.88</v>
      </c>
      <c r="I91" s="54" t="s">
        <v>107</v>
      </c>
      <c r="J91" s="54">
        <v>2.23</v>
      </c>
      <c r="K91" s="54">
        <v>3.08</v>
      </c>
    </row>
    <row r="92" spans="1:11">
      <c r="A92" s="24" t="s">
        <v>5208</v>
      </c>
      <c r="B92" s="24" t="s">
        <v>16</v>
      </c>
      <c r="C92" s="55" t="s">
        <v>74</v>
      </c>
      <c r="D92" s="18">
        <f>IFERROR(AVERAGEIFS(マスタ_業務・標準!$H:$H,マスタ_業務・標準!$D:$D,$A92,マスタ_業務・標準!$C:$C,$C92),"")</f>
        <v>3.79</v>
      </c>
      <c r="E92" s="54">
        <v>3.79</v>
      </c>
      <c r="F92" s="54" t="s">
        <v>107</v>
      </c>
      <c r="G92" s="54" t="s">
        <v>107</v>
      </c>
      <c r="H92" s="54" t="s">
        <v>107</v>
      </c>
      <c r="I92" s="54" t="s">
        <v>107</v>
      </c>
      <c r="J92" s="54" t="s">
        <v>107</v>
      </c>
      <c r="K92" s="54" t="s">
        <v>107</v>
      </c>
    </row>
    <row r="93" spans="1:11">
      <c r="A93" s="24" t="s">
        <v>5208</v>
      </c>
      <c r="B93" s="24" t="s">
        <v>16</v>
      </c>
      <c r="C93" s="55" t="s">
        <v>75</v>
      </c>
      <c r="D93" s="18">
        <f>IFERROR(AVERAGEIFS(マスタ_業務・標準!$H:$H,マスタ_業務・標準!$D:$D,$A93,マスタ_業務・標準!$C:$C,$C93),"")</f>
        <v>2.48</v>
      </c>
      <c r="E93" s="54">
        <v>2.5299999999999998</v>
      </c>
      <c r="F93" s="54">
        <v>2.79</v>
      </c>
      <c r="G93" s="54" t="s">
        <v>107</v>
      </c>
      <c r="H93" s="54">
        <v>2.12</v>
      </c>
      <c r="I93" s="54" t="s">
        <v>107</v>
      </c>
      <c r="J93" s="54">
        <v>2.02</v>
      </c>
      <c r="K93" s="54">
        <v>3.01</v>
      </c>
    </row>
    <row r="94" spans="1:11">
      <c r="A94" s="24" t="s">
        <v>5208</v>
      </c>
      <c r="B94" s="24" t="s">
        <v>16</v>
      </c>
      <c r="C94" s="55" t="s">
        <v>76</v>
      </c>
      <c r="D94" s="18">
        <f>IFERROR(AVERAGEIFS(マスタ_業務・標準!$H:$H,マスタ_業務・標準!$D:$D,$A94,マスタ_業務・標準!$C:$C,$C94),"")</f>
        <v>3.35</v>
      </c>
      <c r="E94" s="54">
        <v>3.54</v>
      </c>
      <c r="F94" s="54">
        <v>3.24</v>
      </c>
      <c r="G94" s="54">
        <v>4.0199999999999996</v>
      </c>
      <c r="H94" s="54">
        <v>2.93</v>
      </c>
      <c r="I94" s="54" t="s">
        <v>107</v>
      </c>
      <c r="J94" s="54">
        <v>1.94</v>
      </c>
      <c r="K94" s="54" t="s">
        <v>107</v>
      </c>
    </row>
    <row r="95" spans="1:11">
      <c r="A95" s="22" t="s">
        <v>5208</v>
      </c>
      <c r="B95" s="22" t="s">
        <v>17</v>
      </c>
      <c r="C95" s="22" t="s">
        <v>5125</v>
      </c>
      <c r="D95" s="23">
        <f>IFERROR(AVERAGEIFS(マスタ_業務・標準!$M:$M,マスタ_業務・標準!$K:$K,$A95,マスタ_業務・標準!$L:$L,$B95),"")</f>
        <v>9.56</v>
      </c>
      <c r="E95" s="31" t="s">
        <v>107</v>
      </c>
      <c r="F95" s="31">
        <v>8.73</v>
      </c>
      <c r="G95" s="31">
        <v>8.35</v>
      </c>
      <c r="H95" s="31">
        <v>8.48</v>
      </c>
      <c r="I95" s="31">
        <v>13.25</v>
      </c>
      <c r="J95" s="31">
        <v>12.46</v>
      </c>
      <c r="K95" s="31">
        <v>5.1100000000000003</v>
      </c>
    </row>
    <row r="96" spans="1:11">
      <c r="A96" s="24" t="s">
        <v>5208</v>
      </c>
      <c r="B96" s="24" t="s">
        <v>17</v>
      </c>
      <c r="C96" s="55" t="s">
        <v>69</v>
      </c>
      <c r="D96" s="18">
        <f>IFERROR(AVERAGEIFS(マスタ_業務・標準!$H:$H,マスタ_業務・標準!$D:$D,$A96,マスタ_業務・標準!$C:$C,$C96),"")</f>
        <v>9.56</v>
      </c>
      <c r="E96" s="54" t="s">
        <v>107</v>
      </c>
      <c r="F96" s="54">
        <v>8.73</v>
      </c>
      <c r="G96" s="54">
        <v>8.35</v>
      </c>
      <c r="H96" s="54">
        <v>8.48</v>
      </c>
      <c r="I96" s="54">
        <v>13.25</v>
      </c>
      <c r="J96" s="54">
        <v>12.46</v>
      </c>
      <c r="K96" s="54">
        <v>5.1100000000000003</v>
      </c>
    </row>
    <row r="97" spans="4:11">
      <c r="D97" s="18"/>
      <c r="E97" s="54"/>
      <c r="F97" s="54"/>
      <c r="G97" s="54"/>
      <c r="H97" s="54"/>
      <c r="I97" s="54"/>
      <c r="J97" s="54"/>
      <c r="K97" s="54"/>
    </row>
  </sheetData>
  <autoFilter ref="A6:K97" xr:uid="{B1D44A39-1884-4FC5-9F6E-318F3175F809}"/>
  <mergeCells count="3">
    <mergeCell ref="A2:B5"/>
    <mergeCell ref="D2:D5"/>
    <mergeCell ref="E4:K4"/>
  </mergeCells>
  <phoneticPr fontId="1"/>
  <conditionalFormatting sqref="E7:K97">
    <cfRule type="expression" dxfId="4" priority="4" stopIfTrue="1">
      <formula>E7="-"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4EDEFFA9-F7E5-43D6-BC6F-4F0CC5E54551}">
            <xm:f>AND(ISNUMBER(E7),ISNUMBER($D7),$D7&gt;0,E7&lt;$D7*マスタ_業務・標準!$Q$2)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" stopIfTrue="1" id="{EFF68A9E-CB72-48A7-B2F6-0511AFDB37D4}">
            <xm:f>AND(ISNUMBER(E7),ISNUMBER($D7),$D7&gt;0,E7&gt;=$D7*マスタ_業務・標準!$Q$2,E7&lt;$D7*マスタ_業務・標準!$Q$3)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" stopIfTrue="1" id="{64C473A3-E1F1-45B9-943F-ABA147064E6D}">
            <xm:f>AND(ISNUMBER(E7),ISNUMBER($D7),$D7&gt;0,E7&gt;=$D7*マスタ_業務・標準!$Q$3)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E7:K97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5D48B-F7A1-4B68-A894-8F5C60C1B13C}">
  <sheetPr codeName="Sheet4">
    <tabColor rgb="FFC55A11"/>
  </sheetPr>
  <dimension ref="A1:T17"/>
  <sheetViews>
    <sheetView workbookViewId="0">
      <selection activeCell="A6" sqref="A6"/>
    </sheetView>
  </sheetViews>
  <sheetFormatPr defaultRowHeight="14.25"/>
  <cols>
    <col min="1" max="2" width="12.625" customWidth="1"/>
    <col min="3" max="3" width="11.625" customWidth="1"/>
    <col min="4" max="4" width="5.625" customWidth="1"/>
    <col min="5" max="5" width="11.625" customWidth="1"/>
    <col min="6" max="6" width="15.625" customWidth="1"/>
    <col min="7" max="10" width="11.625" customWidth="1"/>
    <col min="11" max="11" width="30.625" customWidth="1"/>
    <col min="12" max="12" width="0" hidden="1" customWidth="1"/>
    <col min="13" max="13" width="2.625" customWidth="1"/>
    <col min="14" max="14" width="30.625" customWidth="1"/>
    <col min="15" max="15" width="2.625" customWidth="1"/>
    <col min="16" max="16" width="40.625" customWidth="1"/>
    <col min="17" max="17" width="2.625" customWidth="1"/>
    <col min="18" max="18" width="30.625" customWidth="1"/>
    <col min="19" max="19" width="2.625" customWidth="1"/>
    <col min="20" max="20" width="40.625" customWidth="1"/>
  </cols>
  <sheetData>
    <row r="1" spans="1:20" ht="19.5">
      <c r="A1" s="3" t="s">
        <v>5005</v>
      </c>
    </row>
    <row r="2" spans="1:20">
      <c r="A2" t="s">
        <v>5015</v>
      </c>
    </row>
    <row r="3" spans="1:20">
      <c r="A3" s="16" t="s">
        <v>5234</v>
      </c>
    </row>
    <row r="4" spans="1:20" ht="30" customHeight="1"/>
    <row r="5" spans="1:20" ht="30" customHeight="1">
      <c r="A5" s="5" t="s">
        <v>97</v>
      </c>
      <c r="B5" s="5" t="s">
        <v>113</v>
      </c>
      <c r="C5" s="5" t="s">
        <v>98</v>
      </c>
      <c r="D5" s="5" t="s">
        <v>5006</v>
      </c>
      <c r="E5" s="5" t="s">
        <v>99</v>
      </c>
      <c r="F5" s="5" t="s">
        <v>20</v>
      </c>
      <c r="G5" s="5" t="s">
        <v>100</v>
      </c>
      <c r="H5" s="5" t="s">
        <v>101</v>
      </c>
      <c r="I5" s="5" t="s">
        <v>102</v>
      </c>
      <c r="J5" s="5" t="s">
        <v>103</v>
      </c>
      <c r="K5" s="5" t="s">
        <v>104</v>
      </c>
      <c r="L5" s="5" t="s">
        <v>5007</v>
      </c>
      <c r="N5" s="17" t="s">
        <v>5016</v>
      </c>
      <c r="P5" s="17" t="s">
        <v>5220</v>
      </c>
      <c r="R5" s="17" t="s">
        <v>5018</v>
      </c>
      <c r="T5" s="17" t="s">
        <v>5221</v>
      </c>
    </row>
    <row r="6" spans="1:20">
      <c r="A6" t="s">
        <v>27</v>
      </c>
      <c r="B6" t="s">
        <v>25</v>
      </c>
      <c r="C6" s="15">
        <v>46297</v>
      </c>
      <c r="D6" t="s">
        <v>5008</v>
      </c>
      <c r="E6" t="s">
        <v>13</v>
      </c>
      <c r="F6" t="s">
        <v>37</v>
      </c>
      <c r="G6" s="51">
        <v>4</v>
      </c>
      <c r="H6" s="51">
        <v>3</v>
      </c>
      <c r="I6" s="52">
        <v>1</v>
      </c>
      <c r="J6" t="s">
        <v>106</v>
      </c>
      <c r="K6" s="6"/>
      <c r="L6" t="s">
        <v>5009</v>
      </c>
      <c r="N6" t="s">
        <v>5017</v>
      </c>
      <c r="P6" t="s">
        <v>5017</v>
      </c>
      <c r="R6" t="s">
        <v>5019</v>
      </c>
      <c r="T6" t="s">
        <v>5017</v>
      </c>
    </row>
    <row r="7" spans="1:20">
      <c r="A7" t="s">
        <v>27</v>
      </c>
      <c r="B7" t="s">
        <v>25</v>
      </c>
      <c r="C7" s="15">
        <v>46297</v>
      </c>
      <c r="D7" t="s">
        <v>5008</v>
      </c>
      <c r="E7" t="s">
        <v>15</v>
      </c>
      <c r="F7" t="s">
        <v>37</v>
      </c>
      <c r="G7" s="51">
        <v>1</v>
      </c>
      <c r="H7" s="51" t="s">
        <v>107</v>
      </c>
      <c r="I7" s="52">
        <v>1</v>
      </c>
      <c r="J7" t="s">
        <v>106</v>
      </c>
      <c r="K7" s="6"/>
      <c r="L7" t="s">
        <v>5010</v>
      </c>
      <c r="R7" t="s">
        <v>5020</v>
      </c>
    </row>
    <row r="8" spans="1:20">
      <c r="A8" t="s">
        <v>27</v>
      </c>
      <c r="B8" t="s">
        <v>25</v>
      </c>
      <c r="C8" s="15">
        <v>46297</v>
      </c>
      <c r="D8" t="s">
        <v>5008</v>
      </c>
      <c r="E8" t="s">
        <v>17</v>
      </c>
      <c r="F8" t="s">
        <v>37</v>
      </c>
      <c r="G8" s="51">
        <v>3</v>
      </c>
      <c r="H8" s="51">
        <v>3</v>
      </c>
      <c r="I8" s="52">
        <v>0</v>
      </c>
      <c r="J8" t="s">
        <v>106</v>
      </c>
      <c r="K8" s="6"/>
      <c r="L8" t="s">
        <v>5011</v>
      </c>
      <c r="R8" t="s">
        <v>5021</v>
      </c>
    </row>
    <row r="9" spans="1:20">
      <c r="A9" t="s">
        <v>27</v>
      </c>
      <c r="B9" t="s">
        <v>25</v>
      </c>
      <c r="C9" s="15">
        <v>46300</v>
      </c>
      <c r="D9" t="s">
        <v>5012</v>
      </c>
      <c r="E9" t="s">
        <v>16</v>
      </c>
      <c r="F9" t="s">
        <v>37</v>
      </c>
      <c r="G9" s="51">
        <v>14</v>
      </c>
      <c r="H9" s="51">
        <v>10</v>
      </c>
      <c r="I9" s="52">
        <v>4</v>
      </c>
      <c r="J9" t="s">
        <v>5013</v>
      </c>
      <c r="K9" s="6"/>
      <c r="L9" t="s">
        <v>5014</v>
      </c>
      <c r="R9" t="s">
        <v>5022</v>
      </c>
    </row>
    <row r="10" spans="1:20">
      <c r="R10" t="s">
        <v>5023</v>
      </c>
    </row>
    <row r="11" spans="1:20">
      <c r="R11" t="s">
        <v>5024</v>
      </c>
    </row>
    <row r="12" spans="1:20">
      <c r="R12" t="s">
        <v>5025</v>
      </c>
    </row>
    <row r="13" spans="1:20">
      <c r="R13" t="s">
        <v>5026</v>
      </c>
    </row>
    <row r="14" spans="1:20">
      <c r="R14" t="s">
        <v>5027</v>
      </c>
    </row>
    <row r="15" spans="1:20">
      <c r="R15" t="s">
        <v>5028</v>
      </c>
    </row>
    <row r="16" spans="1:20">
      <c r="R16" t="s">
        <v>5029</v>
      </c>
    </row>
    <row r="17" spans="18:18">
      <c r="R17" t="s">
        <v>5003</v>
      </c>
    </row>
  </sheetData>
  <autoFilter ref="A5:L9" xr:uid="{E445D48B-F7A1-4B68-A894-8F5C60C1B13C}"/>
  <phoneticPr fontId="1"/>
  <conditionalFormatting sqref="A6:J9">
    <cfRule type="expression" dxfId="0" priority="1" stopIfTrue="1">
      <formula>LEFT($J6,1)="▲"</formula>
    </cfRule>
  </conditionalFormatting>
  <pageMargins left="0.75" right="0.75" top="1" bottom="1" header="0.5" footer="0.5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6A283-D5DF-418E-8C83-D6F5C28648B4}">
  <sheetPr codeName="Sheet6"/>
  <dimension ref="A1:R100"/>
  <sheetViews>
    <sheetView workbookViewId="0">
      <pane ySplit="1" topLeftCell="A20" activePane="bottomLeft" state="frozen"/>
      <selection pane="bottomLeft" activeCell="C34" sqref="C34"/>
    </sheetView>
  </sheetViews>
  <sheetFormatPr defaultRowHeight="14.25"/>
  <cols>
    <col min="1" max="1" width="11.625" customWidth="1"/>
    <col min="2" max="3" width="40.625" customWidth="1"/>
    <col min="4" max="4" width="10.625" customWidth="1"/>
    <col min="5" max="5" width="12.625" customWidth="1"/>
    <col min="6" max="6" width="14.625" customWidth="1"/>
    <col min="7" max="7" width="8.625" style="9" customWidth="1"/>
    <col min="8" max="8" width="10.625" style="8" customWidth="1"/>
    <col min="9" max="9" width="34.625" customWidth="1"/>
    <col min="10" max="10" width="2.625" customWidth="1"/>
    <col min="11" max="11" width="10.625" customWidth="1"/>
    <col min="12" max="12" width="14.625" customWidth="1"/>
    <col min="13" max="13" width="11.625" customWidth="1"/>
    <col min="14" max="14" width="30.625" customWidth="1"/>
    <col min="15" max="15" width="2.625" customWidth="1"/>
    <col min="16" max="16" width="12.625" customWidth="1"/>
    <col min="17" max="17" width="7.625" customWidth="1"/>
    <col min="18" max="18" width="18.625" customWidth="1"/>
  </cols>
  <sheetData>
    <row r="1" spans="1:18" ht="30" customHeight="1">
      <c r="A1" s="5" t="s">
        <v>114</v>
      </c>
      <c r="B1" s="5" t="s">
        <v>19</v>
      </c>
      <c r="C1" s="5" t="s">
        <v>5196</v>
      </c>
      <c r="D1" s="5" t="s">
        <v>5197</v>
      </c>
      <c r="E1" s="5" t="s">
        <v>5198</v>
      </c>
      <c r="F1" s="5" t="s">
        <v>20</v>
      </c>
      <c r="G1" s="5" t="s">
        <v>21</v>
      </c>
      <c r="H1" s="41" t="s">
        <v>5199</v>
      </c>
      <c r="I1" s="5" t="s">
        <v>12</v>
      </c>
      <c r="K1" s="34" t="s">
        <v>5197</v>
      </c>
      <c r="L1" s="34" t="s">
        <v>5200</v>
      </c>
      <c r="M1" s="34" t="s">
        <v>5162</v>
      </c>
      <c r="N1" s="34" t="s">
        <v>12</v>
      </c>
      <c r="P1" s="2" t="s">
        <v>5126</v>
      </c>
    </row>
    <row r="2" spans="1:18">
      <c r="A2" s="11" t="s">
        <v>595</v>
      </c>
      <c r="B2" t="s">
        <v>36</v>
      </c>
      <c r="C2" s="6" t="s">
        <v>36</v>
      </c>
      <c r="D2" s="6" t="s">
        <v>5208</v>
      </c>
      <c r="E2" s="6" t="s">
        <v>15</v>
      </c>
      <c r="F2" s="6" t="s">
        <v>37</v>
      </c>
      <c r="G2" s="42" t="s">
        <v>38</v>
      </c>
      <c r="H2" s="7">
        <v>2.5299999999999998</v>
      </c>
      <c r="I2" t="s">
        <v>5176</v>
      </c>
      <c r="K2" t="s">
        <v>5208</v>
      </c>
      <c r="L2" t="s">
        <v>13</v>
      </c>
      <c r="M2" s="7">
        <v>3.97</v>
      </c>
      <c r="N2" t="s">
        <v>5180</v>
      </c>
      <c r="P2" s="27" t="s">
        <v>5127</v>
      </c>
      <c r="Q2" s="26">
        <v>0.9</v>
      </c>
      <c r="R2" t="s">
        <v>5128</v>
      </c>
    </row>
    <row r="3" spans="1:18">
      <c r="A3" s="11" t="s">
        <v>143</v>
      </c>
      <c r="B3" t="s">
        <v>39</v>
      </c>
      <c r="C3" s="6" t="s">
        <v>39</v>
      </c>
      <c r="D3" s="6" t="s">
        <v>5208</v>
      </c>
      <c r="E3" s="6" t="s">
        <v>15</v>
      </c>
      <c r="F3" s="6" t="s">
        <v>37</v>
      </c>
      <c r="G3" s="42" t="s">
        <v>38</v>
      </c>
      <c r="H3" s="7">
        <v>4.3600000000000003</v>
      </c>
      <c r="I3" t="s">
        <v>5177</v>
      </c>
      <c r="K3" t="s">
        <v>5208</v>
      </c>
      <c r="L3" t="s">
        <v>15</v>
      </c>
      <c r="M3" s="7">
        <v>2.92</v>
      </c>
      <c r="N3" t="s">
        <v>5209</v>
      </c>
      <c r="P3" s="28" t="s">
        <v>5129</v>
      </c>
      <c r="Q3" s="26">
        <v>1.1000000000000001</v>
      </c>
      <c r="R3" t="s">
        <v>5130</v>
      </c>
    </row>
    <row r="4" spans="1:18">
      <c r="A4" s="11" t="s">
        <v>212</v>
      </c>
      <c r="B4" t="s">
        <v>40</v>
      </c>
      <c r="C4" s="6" t="s">
        <v>40</v>
      </c>
      <c r="D4" s="6" t="s">
        <v>5208</v>
      </c>
      <c r="E4" s="6" t="s">
        <v>15</v>
      </c>
      <c r="F4" s="6" t="s">
        <v>37</v>
      </c>
      <c r="G4" s="42" t="s">
        <v>38</v>
      </c>
      <c r="H4" s="7">
        <v>2.9</v>
      </c>
      <c r="I4" t="s">
        <v>5178</v>
      </c>
      <c r="K4" t="s">
        <v>5208</v>
      </c>
      <c r="L4" t="s">
        <v>16</v>
      </c>
      <c r="M4" s="7">
        <v>2.86</v>
      </c>
      <c r="N4" t="s">
        <v>5189</v>
      </c>
    </row>
    <row r="5" spans="1:18">
      <c r="A5" s="11" t="s">
        <v>2556</v>
      </c>
      <c r="B5" t="s">
        <v>41</v>
      </c>
      <c r="C5" s="6" t="s">
        <v>41</v>
      </c>
      <c r="D5" s="6" t="s">
        <v>5208</v>
      </c>
      <c r="E5" s="6" t="s">
        <v>15</v>
      </c>
      <c r="F5" s="6" t="s">
        <v>37</v>
      </c>
      <c r="G5" s="42" t="s">
        <v>38</v>
      </c>
      <c r="H5" s="7">
        <v>2.86</v>
      </c>
      <c r="I5" t="s">
        <v>5179</v>
      </c>
      <c r="K5" t="s">
        <v>5208</v>
      </c>
      <c r="L5" t="s">
        <v>17</v>
      </c>
      <c r="M5" s="7">
        <v>9.56</v>
      </c>
      <c r="N5" t="s">
        <v>5191</v>
      </c>
      <c r="P5" s="2" t="s">
        <v>5163</v>
      </c>
    </row>
    <row r="6" spans="1:18">
      <c r="A6" s="11" t="s">
        <v>607</v>
      </c>
      <c r="B6" t="s">
        <v>42</v>
      </c>
      <c r="C6" s="6" t="s">
        <v>42</v>
      </c>
      <c r="D6" s="6" t="s">
        <v>5208</v>
      </c>
      <c r="E6" s="6" t="s">
        <v>15</v>
      </c>
      <c r="F6" s="6" t="s">
        <v>37</v>
      </c>
      <c r="G6" s="42" t="s">
        <v>38</v>
      </c>
      <c r="H6" s="7">
        <v>2.33</v>
      </c>
      <c r="I6" t="s">
        <v>5180</v>
      </c>
      <c r="K6" t="s">
        <v>5208</v>
      </c>
      <c r="L6" t="s">
        <v>18</v>
      </c>
      <c r="M6" s="7">
        <v>2</v>
      </c>
      <c r="N6" t="s">
        <v>14</v>
      </c>
      <c r="P6" t="s">
        <v>5201</v>
      </c>
    </row>
    <row r="7" spans="1:18">
      <c r="A7" s="11" t="s">
        <v>1497</v>
      </c>
      <c r="B7" t="s">
        <v>43</v>
      </c>
      <c r="C7" s="6" t="s">
        <v>43</v>
      </c>
      <c r="D7" s="6" t="s">
        <v>5208</v>
      </c>
      <c r="E7" s="6" t="s">
        <v>15</v>
      </c>
      <c r="F7" s="6" t="s">
        <v>37</v>
      </c>
      <c r="G7" s="42" t="s">
        <v>38</v>
      </c>
      <c r="H7" s="7">
        <v>3.93</v>
      </c>
      <c r="I7" t="s">
        <v>5181</v>
      </c>
      <c r="K7" t="s">
        <v>5210</v>
      </c>
      <c r="L7" t="s">
        <v>13</v>
      </c>
      <c r="M7" s="7"/>
      <c r="N7" t="s">
        <v>5211</v>
      </c>
      <c r="P7" t="s">
        <v>5202</v>
      </c>
    </row>
    <row r="8" spans="1:18">
      <c r="A8" s="11" t="s">
        <v>512</v>
      </c>
      <c r="B8" t="s">
        <v>44</v>
      </c>
      <c r="C8" s="6" t="s">
        <v>44</v>
      </c>
      <c r="D8" s="6" t="s">
        <v>5208</v>
      </c>
      <c r="E8" s="6" t="s">
        <v>15</v>
      </c>
      <c r="F8" s="6" t="s">
        <v>37</v>
      </c>
      <c r="G8" s="42" t="s">
        <v>38</v>
      </c>
      <c r="H8" s="7">
        <v>2.68</v>
      </c>
      <c r="I8" t="s">
        <v>5182</v>
      </c>
      <c r="K8" t="s">
        <v>5210</v>
      </c>
      <c r="L8" t="s">
        <v>15</v>
      </c>
      <c r="M8" s="7"/>
      <c r="N8" t="s">
        <v>5211</v>
      </c>
      <c r="P8" t="s">
        <v>5203</v>
      </c>
    </row>
    <row r="9" spans="1:18">
      <c r="A9" s="11" t="s">
        <v>4825</v>
      </c>
      <c r="B9" t="s">
        <v>45</v>
      </c>
      <c r="C9" s="6" t="s">
        <v>45</v>
      </c>
      <c r="D9" s="6" t="s">
        <v>5208</v>
      </c>
      <c r="E9" s="6" t="s">
        <v>15</v>
      </c>
      <c r="F9" s="6" t="s">
        <v>37</v>
      </c>
      <c r="G9" s="42" t="s">
        <v>38</v>
      </c>
      <c r="H9" s="7">
        <v>14.81</v>
      </c>
      <c r="I9" t="s">
        <v>5179</v>
      </c>
      <c r="K9" t="s">
        <v>5210</v>
      </c>
      <c r="L9" t="s">
        <v>16</v>
      </c>
      <c r="M9" s="7"/>
      <c r="N9" t="s">
        <v>5211</v>
      </c>
      <c r="P9" t="s">
        <v>5204</v>
      </c>
    </row>
    <row r="10" spans="1:18">
      <c r="A10" s="11" t="s">
        <v>1552</v>
      </c>
      <c r="B10" t="s">
        <v>46</v>
      </c>
      <c r="C10" s="6" t="s">
        <v>46</v>
      </c>
      <c r="D10" s="6" t="s">
        <v>5208</v>
      </c>
      <c r="E10" s="6" t="s">
        <v>15</v>
      </c>
      <c r="F10" s="6" t="s">
        <v>37</v>
      </c>
      <c r="G10" s="42" t="s">
        <v>38</v>
      </c>
      <c r="H10" s="7">
        <v>2.2000000000000002</v>
      </c>
      <c r="I10" t="s">
        <v>5179</v>
      </c>
      <c r="K10" t="s">
        <v>5210</v>
      </c>
      <c r="L10" t="s">
        <v>17</v>
      </c>
      <c r="M10" s="7"/>
      <c r="N10" t="s">
        <v>5211</v>
      </c>
      <c r="P10" t="s">
        <v>5205</v>
      </c>
    </row>
    <row r="11" spans="1:18">
      <c r="A11" s="11" t="s">
        <v>1663</v>
      </c>
      <c r="B11" t="s">
        <v>47</v>
      </c>
      <c r="C11" s="6" t="s">
        <v>47</v>
      </c>
      <c r="D11" s="6" t="s">
        <v>5208</v>
      </c>
      <c r="E11" s="6" t="s">
        <v>15</v>
      </c>
      <c r="F11" s="6" t="s">
        <v>37</v>
      </c>
      <c r="G11" s="42" t="s">
        <v>38</v>
      </c>
      <c r="H11" s="7">
        <v>2.2599999999999998</v>
      </c>
      <c r="I11" t="s">
        <v>5183</v>
      </c>
      <c r="K11" t="s">
        <v>5210</v>
      </c>
      <c r="L11" t="s">
        <v>18</v>
      </c>
      <c r="M11" s="7"/>
      <c r="N11" t="s">
        <v>5211</v>
      </c>
      <c r="P11" t="s">
        <v>5206</v>
      </c>
    </row>
    <row r="12" spans="1:18">
      <c r="A12" s="11" t="s">
        <v>1484</v>
      </c>
      <c r="B12" t="s">
        <v>48</v>
      </c>
      <c r="C12" s="6" t="s">
        <v>48</v>
      </c>
      <c r="D12" s="6" t="s">
        <v>5208</v>
      </c>
      <c r="E12" s="6" t="s">
        <v>15</v>
      </c>
      <c r="F12" s="6" t="s">
        <v>37</v>
      </c>
      <c r="G12" s="42" t="s">
        <v>38</v>
      </c>
      <c r="H12" s="7">
        <v>2.78</v>
      </c>
      <c r="I12" t="s">
        <v>5176</v>
      </c>
      <c r="M12" s="7"/>
      <c r="P12" t="s">
        <v>5207</v>
      </c>
    </row>
    <row r="13" spans="1:18">
      <c r="A13" s="11" t="s">
        <v>653</v>
      </c>
      <c r="B13" t="s">
        <v>49</v>
      </c>
      <c r="C13" s="6" t="s">
        <v>49</v>
      </c>
      <c r="D13" s="6" t="s">
        <v>5208</v>
      </c>
      <c r="E13" s="6" t="s">
        <v>15</v>
      </c>
      <c r="F13" s="6" t="s">
        <v>37</v>
      </c>
      <c r="G13" s="42" t="s">
        <v>38</v>
      </c>
      <c r="H13" s="7">
        <v>2.21</v>
      </c>
      <c r="I13" t="s">
        <v>5181</v>
      </c>
      <c r="M13" s="7"/>
    </row>
    <row r="14" spans="1:18">
      <c r="A14" s="11" t="s">
        <v>930</v>
      </c>
      <c r="B14" t="s">
        <v>50</v>
      </c>
      <c r="C14" s="6" t="s">
        <v>50</v>
      </c>
      <c r="D14" s="6" t="s">
        <v>5208</v>
      </c>
      <c r="E14" s="6" t="s">
        <v>15</v>
      </c>
      <c r="F14" s="6" t="s">
        <v>37</v>
      </c>
      <c r="G14" s="42" t="s">
        <v>38</v>
      </c>
      <c r="H14" s="7">
        <v>3.07</v>
      </c>
      <c r="I14" t="s">
        <v>5184</v>
      </c>
      <c r="M14" s="7"/>
    </row>
    <row r="15" spans="1:18">
      <c r="A15" s="11" t="s">
        <v>169</v>
      </c>
      <c r="B15" t="s">
        <v>51</v>
      </c>
      <c r="C15" s="6" t="s">
        <v>51</v>
      </c>
      <c r="D15" s="6" t="s">
        <v>5208</v>
      </c>
      <c r="E15" s="6" t="s">
        <v>15</v>
      </c>
      <c r="F15" s="6" t="s">
        <v>37</v>
      </c>
      <c r="G15" s="42" t="s">
        <v>38</v>
      </c>
      <c r="H15" s="7">
        <v>2.91</v>
      </c>
      <c r="I15" t="s">
        <v>5179</v>
      </c>
      <c r="M15" s="7"/>
    </row>
    <row r="16" spans="1:18">
      <c r="A16" s="11" t="s">
        <v>190</v>
      </c>
      <c r="B16" t="s">
        <v>52</v>
      </c>
      <c r="C16" s="6" t="s">
        <v>52</v>
      </c>
      <c r="D16" s="6" t="s">
        <v>5208</v>
      </c>
      <c r="E16" s="6" t="s">
        <v>15</v>
      </c>
      <c r="F16" s="6" t="s">
        <v>37</v>
      </c>
      <c r="G16" s="42" t="s">
        <v>38</v>
      </c>
      <c r="H16" s="7">
        <v>3.36</v>
      </c>
      <c r="I16" t="s">
        <v>5185</v>
      </c>
      <c r="M16" s="7"/>
    </row>
    <row r="17" spans="1:13">
      <c r="A17" s="11" t="s">
        <v>504</v>
      </c>
      <c r="B17" t="s">
        <v>53</v>
      </c>
      <c r="C17" s="6" t="s">
        <v>53</v>
      </c>
      <c r="D17" s="6" t="s">
        <v>5208</v>
      </c>
      <c r="E17" s="6" t="s">
        <v>15</v>
      </c>
      <c r="F17" s="6" t="s">
        <v>37</v>
      </c>
      <c r="G17" s="42" t="s">
        <v>38</v>
      </c>
      <c r="H17" s="7">
        <v>3.2</v>
      </c>
      <c r="I17" t="s">
        <v>5186</v>
      </c>
      <c r="M17" s="7"/>
    </row>
    <row r="18" spans="1:13">
      <c r="A18" s="11" t="s">
        <v>3719</v>
      </c>
      <c r="B18" t="s">
        <v>54</v>
      </c>
      <c r="C18" s="6" t="s">
        <v>54</v>
      </c>
      <c r="D18" s="6" t="s">
        <v>5208</v>
      </c>
      <c r="E18" s="6" t="s">
        <v>15</v>
      </c>
      <c r="F18" s="6" t="s">
        <v>37</v>
      </c>
      <c r="G18" s="42" t="s">
        <v>38</v>
      </c>
      <c r="H18" s="7">
        <v>1.65</v>
      </c>
      <c r="I18" t="s">
        <v>5179</v>
      </c>
      <c r="M18" s="7"/>
    </row>
    <row r="19" spans="1:13">
      <c r="A19" s="11" t="s">
        <v>499</v>
      </c>
      <c r="B19" t="s">
        <v>55</v>
      </c>
      <c r="C19" s="6" t="s">
        <v>55</v>
      </c>
      <c r="D19" s="6" t="s">
        <v>5208</v>
      </c>
      <c r="E19" s="6" t="s">
        <v>15</v>
      </c>
      <c r="F19" s="6" t="s">
        <v>37</v>
      </c>
      <c r="G19" s="42" t="s">
        <v>38</v>
      </c>
      <c r="H19" s="7">
        <v>6.16</v>
      </c>
      <c r="I19" t="s">
        <v>5183</v>
      </c>
      <c r="M19" s="7"/>
    </row>
    <row r="20" spans="1:13">
      <c r="A20" s="11" t="s">
        <v>1848</v>
      </c>
      <c r="B20" t="s">
        <v>56</v>
      </c>
      <c r="C20" s="6" t="s">
        <v>56</v>
      </c>
      <c r="D20" s="6" t="s">
        <v>5208</v>
      </c>
      <c r="E20" s="6" t="s">
        <v>15</v>
      </c>
      <c r="F20" s="6" t="s">
        <v>37</v>
      </c>
      <c r="G20" s="42" t="s">
        <v>38</v>
      </c>
      <c r="H20" s="7">
        <v>4.7</v>
      </c>
      <c r="I20" t="s">
        <v>5187</v>
      </c>
      <c r="M20" s="7"/>
    </row>
    <row r="21" spans="1:13">
      <c r="A21" s="11" t="s">
        <v>2861</v>
      </c>
      <c r="B21" t="s">
        <v>57</v>
      </c>
      <c r="C21" s="6" t="s">
        <v>57</v>
      </c>
      <c r="D21" s="6" t="s">
        <v>5208</v>
      </c>
      <c r="E21" s="6" t="s">
        <v>15</v>
      </c>
      <c r="F21" s="6" t="s">
        <v>37</v>
      </c>
      <c r="G21" s="42" t="s">
        <v>38</v>
      </c>
      <c r="H21" s="7">
        <v>2.2200000000000002</v>
      </c>
      <c r="I21" t="s">
        <v>5179</v>
      </c>
      <c r="M21" s="7"/>
    </row>
    <row r="22" spans="1:13">
      <c r="A22" s="11" t="s">
        <v>1361</v>
      </c>
      <c r="B22" t="s">
        <v>58</v>
      </c>
      <c r="C22" s="6" t="s">
        <v>58</v>
      </c>
      <c r="D22" s="6" t="s">
        <v>5208</v>
      </c>
      <c r="E22" s="6" t="s">
        <v>15</v>
      </c>
      <c r="F22" s="6" t="s">
        <v>37</v>
      </c>
      <c r="G22" s="42" t="s">
        <v>38</v>
      </c>
      <c r="H22" s="7">
        <v>4.05</v>
      </c>
      <c r="I22" t="s">
        <v>5188</v>
      </c>
      <c r="M22" s="7"/>
    </row>
    <row r="23" spans="1:13">
      <c r="A23" s="11" t="s">
        <v>1576</v>
      </c>
      <c r="B23" t="s">
        <v>59</v>
      </c>
      <c r="C23" s="6" t="s">
        <v>59</v>
      </c>
      <c r="D23" s="6" t="s">
        <v>5208</v>
      </c>
      <c r="E23" s="6" t="s">
        <v>15</v>
      </c>
      <c r="F23" s="6" t="s">
        <v>37</v>
      </c>
      <c r="G23" s="42" t="s">
        <v>38</v>
      </c>
      <c r="H23" s="7">
        <v>4.3600000000000003</v>
      </c>
      <c r="I23" t="s">
        <v>5181</v>
      </c>
      <c r="M23" s="7"/>
    </row>
    <row r="24" spans="1:13">
      <c r="A24" s="11" t="s">
        <v>1655</v>
      </c>
      <c r="B24" t="s">
        <v>60</v>
      </c>
      <c r="C24" s="6" t="s">
        <v>60</v>
      </c>
      <c r="D24" s="6" t="s">
        <v>5208</v>
      </c>
      <c r="E24" s="6" t="s">
        <v>15</v>
      </c>
      <c r="F24" s="6" t="s">
        <v>37</v>
      </c>
      <c r="G24" s="42" t="s">
        <v>38</v>
      </c>
      <c r="H24" s="7">
        <v>3.11</v>
      </c>
      <c r="I24" t="s">
        <v>5176</v>
      </c>
      <c r="M24" s="7"/>
    </row>
    <row r="25" spans="1:13">
      <c r="A25" s="11" t="s">
        <v>1823</v>
      </c>
      <c r="B25" t="s">
        <v>61</v>
      </c>
      <c r="C25" s="6" t="s">
        <v>61</v>
      </c>
      <c r="D25" s="6" t="s">
        <v>5208</v>
      </c>
      <c r="E25" s="6" t="s">
        <v>15</v>
      </c>
      <c r="F25" s="6" t="s">
        <v>37</v>
      </c>
      <c r="G25" s="42" t="s">
        <v>38</v>
      </c>
      <c r="H25" s="7">
        <v>4.12</v>
      </c>
      <c r="I25" t="s">
        <v>5183</v>
      </c>
      <c r="M25" s="7"/>
    </row>
    <row r="26" spans="1:13">
      <c r="A26" s="11" t="s">
        <v>164</v>
      </c>
      <c r="B26" t="s">
        <v>62</v>
      </c>
      <c r="C26" s="6" t="s">
        <v>62</v>
      </c>
      <c r="D26" s="6" t="s">
        <v>5208</v>
      </c>
      <c r="E26" s="6" t="s">
        <v>15</v>
      </c>
      <c r="F26" s="6" t="s">
        <v>37</v>
      </c>
      <c r="G26" s="42" t="s">
        <v>38</v>
      </c>
      <c r="H26" s="7">
        <v>3.11</v>
      </c>
      <c r="I26" t="s">
        <v>5189</v>
      </c>
      <c r="M26" s="7"/>
    </row>
    <row r="27" spans="1:13">
      <c r="A27" s="11" t="s">
        <v>3117</v>
      </c>
      <c r="B27" t="s">
        <v>63</v>
      </c>
      <c r="C27" s="6" t="s">
        <v>63</v>
      </c>
      <c r="D27" s="6" t="s">
        <v>5208</v>
      </c>
      <c r="E27" s="6" t="s">
        <v>13</v>
      </c>
      <c r="F27" s="6" t="s">
        <v>37</v>
      </c>
      <c r="G27" s="42" t="s">
        <v>38</v>
      </c>
      <c r="H27" s="7">
        <v>2.0299999999999998</v>
      </c>
      <c r="I27" t="s">
        <v>5176</v>
      </c>
      <c r="M27" s="7"/>
    </row>
    <row r="28" spans="1:13">
      <c r="A28" s="11" t="s">
        <v>334</v>
      </c>
      <c r="B28" t="s">
        <v>64</v>
      </c>
      <c r="C28" s="6" t="s">
        <v>64</v>
      </c>
      <c r="D28" s="6" t="s">
        <v>5208</v>
      </c>
      <c r="E28" s="6" t="s">
        <v>13</v>
      </c>
      <c r="F28" s="6" t="s">
        <v>37</v>
      </c>
      <c r="G28" s="42" t="s">
        <v>38</v>
      </c>
      <c r="H28" s="7">
        <v>4.3499999999999996</v>
      </c>
      <c r="I28" t="s">
        <v>5190</v>
      </c>
      <c r="M28" s="7"/>
    </row>
    <row r="29" spans="1:13">
      <c r="A29" s="11" t="s">
        <v>344</v>
      </c>
      <c r="B29" t="s">
        <v>65</v>
      </c>
      <c r="C29" s="6" t="s">
        <v>65</v>
      </c>
      <c r="D29" s="6" t="s">
        <v>5208</v>
      </c>
      <c r="E29" s="6" t="s">
        <v>13</v>
      </c>
      <c r="F29" s="6" t="s">
        <v>37</v>
      </c>
      <c r="G29" s="42" t="s">
        <v>38</v>
      </c>
      <c r="H29" s="7">
        <v>2.69</v>
      </c>
      <c r="I29" t="s">
        <v>5190</v>
      </c>
      <c r="M29" s="7"/>
    </row>
    <row r="30" spans="1:13">
      <c r="A30" s="11" t="s">
        <v>328</v>
      </c>
      <c r="B30" t="s">
        <v>66</v>
      </c>
      <c r="C30" s="6" t="s">
        <v>66</v>
      </c>
      <c r="D30" s="6" t="s">
        <v>5208</v>
      </c>
      <c r="E30" s="6" t="s">
        <v>13</v>
      </c>
      <c r="F30" s="6" t="s">
        <v>37</v>
      </c>
      <c r="G30" s="42" t="s">
        <v>38</v>
      </c>
      <c r="H30" s="7">
        <v>5.23</v>
      </c>
      <c r="I30" t="s">
        <v>5191</v>
      </c>
      <c r="M30" s="7"/>
    </row>
    <row r="31" spans="1:13">
      <c r="A31" s="11" t="s">
        <v>321</v>
      </c>
      <c r="B31" t="s">
        <v>67</v>
      </c>
      <c r="C31" s="6" t="s">
        <v>67</v>
      </c>
      <c r="D31" s="6" t="s">
        <v>5208</v>
      </c>
      <c r="E31" s="6" t="s">
        <v>13</v>
      </c>
      <c r="F31" s="6" t="s">
        <v>37</v>
      </c>
      <c r="G31" s="42" t="s">
        <v>38</v>
      </c>
      <c r="H31" s="7">
        <v>4.7699999999999996</v>
      </c>
      <c r="I31" t="s">
        <v>5192</v>
      </c>
      <c r="M31" s="7"/>
    </row>
    <row r="32" spans="1:13">
      <c r="A32" s="11" t="s">
        <v>195</v>
      </c>
      <c r="B32" t="s">
        <v>68</v>
      </c>
      <c r="C32" s="6" t="s">
        <v>68</v>
      </c>
      <c r="D32" s="6" t="s">
        <v>5208</v>
      </c>
      <c r="E32" s="6" t="s">
        <v>15</v>
      </c>
      <c r="F32" s="6" t="s">
        <v>37</v>
      </c>
      <c r="G32" s="42" t="s">
        <v>38</v>
      </c>
      <c r="H32" s="7">
        <v>5.2</v>
      </c>
      <c r="I32" t="s">
        <v>5193</v>
      </c>
      <c r="M32" s="7"/>
    </row>
    <row r="33" spans="1:13">
      <c r="A33" s="11" t="s">
        <v>1740</v>
      </c>
      <c r="B33" t="s">
        <v>69</v>
      </c>
      <c r="C33" s="6" t="s">
        <v>69</v>
      </c>
      <c r="D33" s="6" t="s">
        <v>5208</v>
      </c>
      <c r="E33" s="6" t="s">
        <v>17</v>
      </c>
      <c r="F33" s="6" t="s">
        <v>37</v>
      </c>
      <c r="G33" s="42" t="s">
        <v>38</v>
      </c>
      <c r="H33" s="7">
        <v>9.56</v>
      </c>
      <c r="I33" t="s">
        <v>5191</v>
      </c>
      <c r="M33" s="7"/>
    </row>
    <row r="34" spans="1:13">
      <c r="A34" s="11" t="s">
        <v>4315</v>
      </c>
      <c r="B34" t="s">
        <v>70</v>
      </c>
      <c r="C34" s="6" t="s">
        <v>70</v>
      </c>
      <c r="D34" s="6" t="s">
        <v>5208</v>
      </c>
      <c r="E34" s="6" t="s">
        <v>16</v>
      </c>
      <c r="F34" s="6" t="s">
        <v>37</v>
      </c>
      <c r="G34" s="42" t="s">
        <v>38</v>
      </c>
      <c r="H34" s="7">
        <v>2.3199999999999998</v>
      </c>
      <c r="I34" t="s">
        <v>5176</v>
      </c>
      <c r="M34" s="7"/>
    </row>
    <row r="35" spans="1:13">
      <c r="A35" s="11" t="s">
        <v>828</v>
      </c>
      <c r="B35" t="s">
        <v>70</v>
      </c>
      <c r="C35" s="6" t="s">
        <v>70</v>
      </c>
      <c r="D35" s="6" t="s">
        <v>5208</v>
      </c>
      <c r="E35" s="6" t="s">
        <v>16</v>
      </c>
      <c r="F35" s="6" t="s">
        <v>37</v>
      </c>
      <c r="G35" s="42" t="s">
        <v>38</v>
      </c>
      <c r="H35" s="7">
        <v>2.3199999999999998</v>
      </c>
      <c r="I35" t="s">
        <v>5176</v>
      </c>
      <c r="M35" s="7"/>
    </row>
    <row r="36" spans="1:13">
      <c r="A36" s="11" t="s">
        <v>237</v>
      </c>
      <c r="B36" t="s">
        <v>71</v>
      </c>
      <c r="C36" s="6" t="s">
        <v>71</v>
      </c>
      <c r="D36" s="6" t="s">
        <v>5208</v>
      </c>
      <c r="E36" s="6" t="s">
        <v>16</v>
      </c>
      <c r="F36" s="6" t="s">
        <v>37</v>
      </c>
      <c r="G36" s="42" t="s">
        <v>38</v>
      </c>
      <c r="H36" s="7">
        <v>2.56</v>
      </c>
      <c r="I36" t="s">
        <v>5194</v>
      </c>
      <c r="M36" s="7"/>
    </row>
    <row r="37" spans="1:13">
      <c r="A37" s="11" t="s">
        <v>842</v>
      </c>
      <c r="B37" t="s">
        <v>71</v>
      </c>
      <c r="C37" s="6" t="s">
        <v>71</v>
      </c>
      <c r="D37" s="6" t="s">
        <v>5208</v>
      </c>
      <c r="E37" s="6" t="s">
        <v>16</v>
      </c>
      <c r="F37" s="6" t="s">
        <v>37</v>
      </c>
      <c r="G37" s="42" t="s">
        <v>38</v>
      </c>
      <c r="H37" s="7">
        <v>2.56</v>
      </c>
      <c r="I37" t="s">
        <v>5194</v>
      </c>
      <c r="M37" s="7"/>
    </row>
    <row r="38" spans="1:13">
      <c r="A38" s="11" t="s">
        <v>672</v>
      </c>
      <c r="B38" t="s">
        <v>72</v>
      </c>
      <c r="C38" s="6" t="s">
        <v>72</v>
      </c>
      <c r="D38" s="6" t="s">
        <v>5208</v>
      </c>
      <c r="E38" s="6" t="s">
        <v>16</v>
      </c>
      <c r="F38" s="6" t="s">
        <v>37</v>
      </c>
      <c r="G38" s="42" t="s">
        <v>38</v>
      </c>
      <c r="H38" s="7">
        <v>3.26</v>
      </c>
      <c r="I38" t="s">
        <v>5184</v>
      </c>
      <c r="M38" s="7"/>
    </row>
    <row r="39" spans="1:13">
      <c r="A39" s="11" t="s">
        <v>439</v>
      </c>
      <c r="B39" t="s">
        <v>73</v>
      </c>
      <c r="C39" s="6" t="s">
        <v>73</v>
      </c>
      <c r="D39" s="6" t="s">
        <v>5208</v>
      </c>
      <c r="E39" s="6" t="s">
        <v>16</v>
      </c>
      <c r="F39" s="6" t="s">
        <v>37</v>
      </c>
      <c r="G39" s="42" t="s">
        <v>38</v>
      </c>
      <c r="H39" s="7">
        <v>2.5</v>
      </c>
      <c r="I39" t="s">
        <v>5194</v>
      </c>
      <c r="M39" s="7"/>
    </row>
    <row r="40" spans="1:13">
      <c r="A40" s="11" t="s">
        <v>258</v>
      </c>
      <c r="B40" t="s">
        <v>74</v>
      </c>
      <c r="C40" s="6" t="s">
        <v>74</v>
      </c>
      <c r="D40" s="6" t="s">
        <v>5208</v>
      </c>
      <c r="E40" s="6" t="s">
        <v>16</v>
      </c>
      <c r="F40" s="6" t="s">
        <v>37</v>
      </c>
      <c r="G40" s="42" t="s">
        <v>38</v>
      </c>
      <c r="H40" s="7">
        <v>3.79</v>
      </c>
      <c r="I40" t="s">
        <v>5179</v>
      </c>
      <c r="M40" s="7"/>
    </row>
    <row r="41" spans="1:13">
      <c r="A41" s="11" t="s">
        <v>416</v>
      </c>
      <c r="B41" t="s">
        <v>75</v>
      </c>
      <c r="C41" s="6" t="s">
        <v>75</v>
      </c>
      <c r="D41" s="6" t="s">
        <v>5208</v>
      </c>
      <c r="E41" s="6" t="s">
        <v>16</v>
      </c>
      <c r="F41" s="6" t="s">
        <v>37</v>
      </c>
      <c r="G41" s="42" t="s">
        <v>38</v>
      </c>
      <c r="H41" s="7">
        <v>2.48</v>
      </c>
      <c r="I41" t="s">
        <v>5184</v>
      </c>
      <c r="M41" s="7"/>
    </row>
    <row r="42" spans="1:13">
      <c r="A42" s="11" t="s">
        <v>818</v>
      </c>
      <c r="B42" t="s">
        <v>75</v>
      </c>
      <c r="C42" s="6" t="s">
        <v>75</v>
      </c>
      <c r="D42" s="6" t="s">
        <v>5208</v>
      </c>
      <c r="E42" s="6" t="s">
        <v>16</v>
      </c>
      <c r="F42" s="6" t="s">
        <v>37</v>
      </c>
      <c r="G42" s="42" t="s">
        <v>38</v>
      </c>
      <c r="H42" s="7">
        <v>2.48</v>
      </c>
      <c r="I42" t="s">
        <v>5184</v>
      </c>
      <c r="M42" s="7"/>
    </row>
    <row r="43" spans="1:13">
      <c r="A43" s="11" t="s">
        <v>242</v>
      </c>
      <c r="B43" t="s">
        <v>76</v>
      </c>
      <c r="C43" s="6" t="s">
        <v>76</v>
      </c>
      <c r="D43" s="6" t="s">
        <v>5208</v>
      </c>
      <c r="E43" s="6" t="s">
        <v>16</v>
      </c>
      <c r="F43" s="6" t="s">
        <v>37</v>
      </c>
      <c r="G43" s="42" t="s">
        <v>38</v>
      </c>
      <c r="H43" s="7">
        <v>3.35</v>
      </c>
      <c r="I43" t="s">
        <v>5195</v>
      </c>
      <c r="M43" s="7"/>
    </row>
    <row r="44" spans="1:13">
      <c r="A44" s="11" t="s">
        <v>804</v>
      </c>
      <c r="B44" t="s">
        <v>76</v>
      </c>
      <c r="C44" s="6" t="s">
        <v>76</v>
      </c>
      <c r="D44" s="6" t="s">
        <v>5208</v>
      </c>
      <c r="E44" s="6" t="s">
        <v>16</v>
      </c>
      <c r="F44" s="6" t="s">
        <v>37</v>
      </c>
      <c r="G44" s="42" t="s">
        <v>38</v>
      </c>
      <c r="H44" s="7">
        <v>3.35</v>
      </c>
      <c r="I44" t="s">
        <v>5195</v>
      </c>
      <c r="M44" s="7"/>
    </row>
    <row r="45" spans="1:13">
      <c r="A45" s="11" t="s">
        <v>149</v>
      </c>
      <c r="B45" t="s">
        <v>77</v>
      </c>
      <c r="C45" s="6" t="s">
        <v>77</v>
      </c>
      <c r="D45" s="6"/>
      <c r="E45" s="6"/>
      <c r="F45" s="6"/>
      <c r="G45" s="42" t="s">
        <v>78</v>
      </c>
      <c r="H45" s="7"/>
      <c r="M45" s="7"/>
    </row>
    <row r="46" spans="1:13">
      <c r="A46" s="11" t="s">
        <v>355</v>
      </c>
      <c r="B46" t="s">
        <v>77</v>
      </c>
      <c r="C46" s="6" t="s">
        <v>77</v>
      </c>
      <c r="D46" s="6"/>
      <c r="E46" s="6"/>
      <c r="F46" s="6"/>
      <c r="G46" s="42" t="s">
        <v>78</v>
      </c>
      <c r="H46" s="7"/>
      <c r="M46" s="7"/>
    </row>
    <row r="47" spans="1:13">
      <c r="A47" s="11" t="s">
        <v>274</v>
      </c>
      <c r="B47" t="s">
        <v>77</v>
      </c>
      <c r="C47" s="6" t="s">
        <v>77</v>
      </c>
      <c r="D47" s="6"/>
      <c r="E47" s="6"/>
      <c r="F47" s="6"/>
      <c r="G47" s="42" t="s">
        <v>78</v>
      </c>
      <c r="H47" s="7"/>
      <c r="M47" s="7"/>
    </row>
    <row r="48" spans="1:13">
      <c r="A48" s="11" t="s">
        <v>154</v>
      </c>
      <c r="B48" t="s">
        <v>79</v>
      </c>
      <c r="C48" s="6" t="s">
        <v>79</v>
      </c>
      <c r="D48" s="6"/>
      <c r="E48" s="6"/>
      <c r="F48" s="6"/>
      <c r="G48" s="42" t="s">
        <v>78</v>
      </c>
      <c r="H48" s="7"/>
      <c r="M48" s="7"/>
    </row>
    <row r="49" spans="1:13">
      <c r="A49" s="11" t="s">
        <v>360</v>
      </c>
      <c r="B49" t="s">
        <v>79</v>
      </c>
      <c r="C49" s="6" t="s">
        <v>79</v>
      </c>
      <c r="D49" s="6"/>
      <c r="E49" s="6"/>
      <c r="F49" s="6"/>
      <c r="G49" s="42" t="s">
        <v>78</v>
      </c>
      <c r="H49" s="7"/>
      <c r="M49" s="7"/>
    </row>
    <row r="50" spans="1:13">
      <c r="A50" s="11" t="s">
        <v>279</v>
      </c>
      <c r="B50" t="s">
        <v>79</v>
      </c>
      <c r="C50" s="6" t="s">
        <v>79</v>
      </c>
      <c r="D50" s="6"/>
      <c r="E50" s="6"/>
      <c r="F50" s="6"/>
      <c r="G50" s="42" t="s">
        <v>78</v>
      </c>
      <c r="H50" s="7"/>
      <c r="M50" s="7"/>
    </row>
    <row r="51" spans="1:13">
      <c r="A51" s="11" t="s">
        <v>523</v>
      </c>
      <c r="B51" t="s">
        <v>80</v>
      </c>
      <c r="C51" s="6" t="s">
        <v>80</v>
      </c>
      <c r="D51" s="6"/>
      <c r="E51" s="6"/>
      <c r="F51" s="6"/>
      <c r="G51" s="42" t="s">
        <v>78</v>
      </c>
      <c r="H51" s="7"/>
      <c r="M51" s="7"/>
    </row>
    <row r="52" spans="1:13">
      <c r="A52" s="11" t="s">
        <v>1777</v>
      </c>
      <c r="B52" t="s">
        <v>80</v>
      </c>
      <c r="C52" s="6" t="s">
        <v>80</v>
      </c>
      <c r="D52" s="6"/>
      <c r="E52" s="6"/>
      <c r="F52" s="6"/>
      <c r="G52" s="42" t="s">
        <v>78</v>
      </c>
      <c r="H52" s="7"/>
      <c r="M52" s="7"/>
    </row>
    <row r="53" spans="1:13">
      <c r="A53" s="11" t="s">
        <v>284</v>
      </c>
      <c r="B53" t="s">
        <v>80</v>
      </c>
      <c r="C53" s="6" t="s">
        <v>80</v>
      </c>
      <c r="D53" s="6"/>
      <c r="E53" s="6"/>
      <c r="F53" s="6"/>
      <c r="G53" s="42" t="s">
        <v>78</v>
      </c>
      <c r="H53" s="7"/>
      <c r="M53" s="7"/>
    </row>
    <row r="54" spans="1:13">
      <c r="A54" s="11" t="s">
        <v>4807</v>
      </c>
      <c r="B54" t="s">
        <v>81</v>
      </c>
      <c r="C54" s="6" t="s">
        <v>81</v>
      </c>
      <c r="D54" s="6"/>
      <c r="E54" s="6"/>
      <c r="F54" s="6"/>
      <c r="G54" s="42" t="s">
        <v>78</v>
      </c>
      <c r="H54" s="7"/>
      <c r="M54" s="7"/>
    </row>
    <row r="55" spans="1:13">
      <c r="A55" s="11" t="s">
        <v>4001</v>
      </c>
      <c r="B55" t="s">
        <v>81</v>
      </c>
      <c r="C55" s="6" t="s">
        <v>81</v>
      </c>
      <c r="D55" s="6"/>
      <c r="E55" s="6"/>
      <c r="F55" s="6"/>
      <c r="G55" s="42" t="s">
        <v>78</v>
      </c>
      <c r="H55" s="7"/>
      <c r="M55" s="7"/>
    </row>
    <row r="56" spans="1:13">
      <c r="A56" s="11" t="s">
        <v>4261</v>
      </c>
      <c r="B56" t="s">
        <v>81</v>
      </c>
      <c r="C56" s="6" t="s">
        <v>81</v>
      </c>
      <c r="D56" s="6"/>
      <c r="E56" s="6"/>
      <c r="F56" s="6"/>
      <c r="G56" s="42" t="s">
        <v>78</v>
      </c>
      <c r="H56" s="7"/>
      <c r="M56" s="7"/>
    </row>
    <row r="57" spans="1:13">
      <c r="A57" s="11" t="s">
        <v>528</v>
      </c>
      <c r="B57" t="s">
        <v>82</v>
      </c>
      <c r="C57" s="6" t="s">
        <v>82</v>
      </c>
      <c r="D57" s="6"/>
      <c r="E57" s="6"/>
      <c r="F57" s="6"/>
      <c r="G57" s="42" t="s">
        <v>78</v>
      </c>
      <c r="H57" s="7"/>
      <c r="M57" s="7"/>
    </row>
    <row r="58" spans="1:13">
      <c r="A58" s="11" t="s">
        <v>1782</v>
      </c>
      <c r="B58" t="s">
        <v>82</v>
      </c>
      <c r="C58" s="6" t="s">
        <v>82</v>
      </c>
      <c r="D58" s="6"/>
      <c r="E58" s="6"/>
      <c r="F58" s="6"/>
      <c r="G58" s="42" t="s">
        <v>78</v>
      </c>
      <c r="H58" s="7"/>
      <c r="M58" s="7"/>
    </row>
    <row r="59" spans="1:13">
      <c r="A59" s="11" t="s">
        <v>4304</v>
      </c>
      <c r="B59" t="s">
        <v>82</v>
      </c>
      <c r="C59" s="6" t="s">
        <v>82</v>
      </c>
      <c r="D59" s="6"/>
      <c r="E59" s="6"/>
      <c r="F59" s="6"/>
      <c r="G59" s="42" t="s">
        <v>78</v>
      </c>
      <c r="H59" s="7"/>
      <c r="M59" s="7"/>
    </row>
    <row r="60" spans="1:13">
      <c r="A60" s="11" t="s">
        <v>179</v>
      </c>
      <c r="B60" t="s">
        <v>83</v>
      </c>
      <c r="C60" s="6" t="s">
        <v>83</v>
      </c>
      <c r="D60" s="6"/>
      <c r="E60" s="6"/>
      <c r="F60" s="6"/>
      <c r="G60" s="42" t="s">
        <v>78</v>
      </c>
      <c r="H60" s="7"/>
      <c r="M60" s="7"/>
    </row>
    <row r="61" spans="1:13">
      <c r="A61" s="11" t="s">
        <v>3055</v>
      </c>
      <c r="B61" t="s">
        <v>83</v>
      </c>
      <c r="C61" s="6" t="s">
        <v>83</v>
      </c>
      <c r="D61" s="6"/>
      <c r="E61" s="6"/>
      <c r="F61" s="6"/>
      <c r="G61" s="42" t="s">
        <v>78</v>
      </c>
      <c r="H61" s="7"/>
      <c r="M61" s="7"/>
    </row>
    <row r="62" spans="1:13">
      <c r="A62" s="11" t="s">
        <v>1159</v>
      </c>
      <c r="B62" t="s">
        <v>83</v>
      </c>
      <c r="C62" s="6" t="s">
        <v>83</v>
      </c>
      <c r="D62" s="6"/>
      <c r="E62" s="6"/>
      <c r="F62" s="6"/>
      <c r="G62" s="42" t="s">
        <v>78</v>
      </c>
      <c r="H62" s="7"/>
      <c r="M62" s="7"/>
    </row>
    <row r="63" spans="1:13">
      <c r="A63" s="11" t="s">
        <v>4115</v>
      </c>
      <c r="B63" t="s">
        <v>84</v>
      </c>
      <c r="C63" s="6" t="s">
        <v>84</v>
      </c>
      <c r="D63" s="6"/>
      <c r="E63" s="6"/>
      <c r="F63" s="6"/>
      <c r="G63" s="42" t="s">
        <v>78</v>
      </c>
      <c r="H63" s="7"/>
      <c r="M63" s="7"/>
    </row>
    <row r="64" spans="1:13">
      <c r="A64" s="11" t="s">
        <v>3110</v>
      </c>
      <c r="B64" t="s">
        <v>84</v>
      </c>
      <c r="C64" s="6" t="s">
        <v>84</v>
      </c>
      <c r="D64" s="6"/>
      <c r="E64" s="6"/>
      <c r="F64" s="6"/>
      <c r="G64" s="42" t="s">
        <v>78</v>
      </c>
      <c r="H64" s="7"/>
      <c r="M64" s="7"/>
    </row>
    <row r="65" spans="1:13">
      <c r="A65" s="11" t="s">
        <v>1052</v>
      </c>
      <c r="B65" t="s">
        <v>84</v>
      </c>
      <c r="C65" s="6" t="s">
        <v>84</v>
      </c>
      <c r="D65" s="6"/>
      <c r="E65" s="6"/>
      <c r="F65" s="6"/>
      <c r="G65" s="42" t="s">
        <v>78</v>
      </c>
      <c r="H65" s="7"/>
      <c r="M65" s="7"/>
    </row>
    <row r="66" spans="1:13">
      <c r="A66" s="11" t="s">
        <v>3452</v>
      </c>
      <c r="B66" t="s">
        <v>85</v>
      </c>
      <c r="C66" s="6" t="s">
        <v>85</v>
      </c>
      <c r="D66" s="6"/>
      <c r="E66" s="6"/>
      <c r="F66" s="6"/>
      <c r="G66" s="42" t="s">
        <v>78</v>
      </c>
      <c r="H66" s="7"/>
      <c r="M66" s="7"/>
    </row>
    <row r="67" spans="1:13">
      <c r="A67" s="11" t="s">
        <v>217</v>
      </c>
      <c r="B67" t="s">
        <v>86</v>
      </c>
      <c r="C67" s="6" t="s">
        <v>86</v>
      </c>
      <c r="D67" s="6"/>
      <c r="E67" s="6"/>
      <c r="F67" s="6"/>
      <c r="G67" s="42" t="s">
        <v>78</v>
      </c>
      <c r="H67" s="7"/>
      <c r="M67" s="7"/>
    </row>
    <row r="68" spans="1:13">
      <c r="A68" s="11" t="s">
        <v>393</v>
      </c>
      <c r="B68" t="s">
        <v>86</v>
      </c>
      <c r="C68" s="6" t="s">
        <v>86</v>
      </c>
      <c r="D68" s="6"/>
      <c r="E68" s="6"/>
      <c r="F68" s="6"/>
      <c r="G68" s="42" t="s">
        <v>78</v>
      </c>
      <c r="H68" s="7"/>
      <c r="M68" s="7"/>
    </row>
    <row r="69" spans="1:13">
      <c r="A69" s="11" t="s">
        <v>312</v>
      </c>
      <c r="B69" t="s">
        <v>86</v>
      </c>
      <c r="C69" s="6" t="s">
        <v>86</v>
      </c>
      <c r="D69" s="6"/>
      <c r="E69" s="6"/>
      <c r="F69" s="6"/>
      <c r="G69" s="42" t="s">
        <v>78</v>
      </c>
      <c r="H69" s="7"/>
      <c r="M69" s="7"/>
    </row>
    <row r="70" spans="1:13">
      <c r="A70" s="11" t="s">
        <v>131</v>
      </c>
      <c r="B70" t="s">
        <v>87</v>
      </c>
      <c r="C70" s="6" t="s">
        <v>87</v>
      </c>
      <c r="D70" s="6"/>
      <c r="E70" s="6"/>
      <c r="F70" s="6"/>
      <c r="G70" s="42" t="s">
        <v>78</v>
      </c>
      <c r="H70" s="7"/>
      <c r="M70" s="7"/>
    </row>
    <row r="71" spans="1:13">
      <c r="A71" s="11" t="s">
        <v>316</v>
      </c>
      <c r="B71" t="s">
        <v>87</v>
      </c>
      <c r="C71" s="6" t="s">
        <v>87</v>
      </c>
      <c r="D71" s="6"/>
      <c r="E71" s="6"/>
      <c r="F71" s="6"/>
      <c r="G71" s="42" t="s">
        <v>78</v>
      </c>
      <c r="H71" s="7"/>
      <c r="M71" s="7"/>
    </row>
    <row r="72" spans="1:13">
      <c r="A72" s="11" t="s">
        <v>226</v>
      </c>
      <c r="B72" t="s">
        <v>87</v>
      </c>
      <c r="C72" s="6" t="s">
        <v>87</v>
      </c>
      <c r="D72" s="6"/>
      <c r="E72" s="6"/>
      <c r="F72" s="6"/>
      <c r="G72" s="42" t="s">
        <v>78</v>
      </c>
      <c r="H72" s="7"/>
      <c r="M72" s="7"/>
    </row>
    <row r="73" spans="1:13">
      <c r="A73" s="11" t="s">
        <v>1679</v>
      </c>
      <c r="B73" t="s">
        <v>87</v>
      </c>
      <c r="C73" s="6" t="s">
        <v>87</v>
      </c>
      <c r="D73" s="6"/>
      <c r="E73" s="6"/>
      <c r="F73" s="6"/>
      <c r="G73" s="42" t="s">
        <v>78</v>
      </c>
      <c r="H73" s="7"/>
      <c r="M73" s="7"/>
    </row>
    <row r="74" spans="1:13">
      <c r="A74" s="11" t="s">
        <v>4290</v>
      </c>
      <c r="B74" t="s">
        <v>88</v>
      </c>
      <c r="C74" s="6" t="s">
        <v>88</v>
      </c>
      <c r="D74" s="6"/>
      <c r="E74" s="6"/>
      <c r="F74" s="6"/>
      <c r="G74" s="42" t="s">
        <v>78</v>
      </c>
      <c r="H74" s="7"/>
      <c r="M74" s="7"/>
    </row>
    <row r="75" spans="1:13">
      <c r="A75" s="11" t="s">
        <v>1457</v>
      </c>
      <c r="B75" t="s">
        <v>88</v>
      </c>
      <c r="C75" s="6" t="s">
        <v>88</v>
      </c>
      <c r="D75" s="6"/>
      <c r="E75" s="6"/>
      <c r="F75" s="6"/>
      <c r="G75" s="42" t="s">
        <v>78</v>
      </c>
      <c r="H75" s="7"/>
      <c r="M75" s="7"/>
    </row>
    <row r="76" spans="1:13">
      <c r="A76" s="11" t="s">
        <v>1731</v>
      </c>
      <c r="B76" t="s">
        <v>88</v>
      </c>
      <c r="C76" s="6" t="s">
        <v>88</v>
      </c>
      <c r="D76" s="6"/>
      <c r="E76" s="6"/>
      <c r="F76" s="6"/>
      <c r="G76" s="42" t="s">
        <v>78</v>
      </c>
      <c r="H76" s="7"/>
      <c r="M76" s="7"/>
    </row>
    <row r="77" spans="1:13">
      <c r="A77" s="11" t="s">
        <v>4240</v>
      </c>
      <c r="B77" t="s">
        <v>88</v>
      </c>
      <c r="C77" s="6" t="s">
        <v>88</v>
      </c>
      <c r="D77" s="6"/>
      <c r="E77" s="6"/>
      <c r="F77" s="6"/>
      <c r="G77" s="42" t="s">
        <v>78</v>
      </c>
      <c r="H77" s="7"/>
      <c r="M77" s="7"/>
    </row>
    <row r="78" spans="1:13">
      <c r="A78" s="11" t="s">
        <v>138</v>
      </c>
      <c r="B78" t="s">
        <v>89</v>
      </c>
      <c r="C78" s="6" t="s">
        <v>89</v>
      </c>
      <c r="D78" s="6"/>
      <c r="E78" s="6"/>
      <c r="F78" s="6"/>
      <c r="G78" s="42" t="s">
        <v>78</v>
      </c>
      <c r="H78" s="7"/>
      <c r="M78" s="7"/>
    </row>
    <row r="79" spans="1:13">
      <c r="A79" s="11" t="s">
        <v>1527</v>
      </c>
      <c r="B79" t="s">
        <v>89</v>
      </c>
      <c r="C79" s="6" t="s">
        <v>89</v>
      </c>
      <c r="D79" s="6"/>
      <c r="E79" s="6"/>
      <c r="F79" s="6"/>
      <c r="G79" s="42" t="s">
        <v>78</v>
      </c>
      <c r="H79" s="7"/>
      <c r="M79" s="7"/>
    </row>
    <row r="80" spans="1:13">
      <c r="A80" s="11" t="s">
        <v>232</v>
      </c>
      <c r="B80" t="s">
        <v>89</v>
      </c>
      <c r="C80" s="6" t="s">
        <v>89</v>
      </c>
      <c r="D80" s="6"/>
      <c r="E80" s="6"/>
      <c r="F80" s="6"/>
      <c r="G80" s="42" t="s">
        <v>78</v>
      </c>
      <c r="H80" s="7"/>
      <c r="M80" s="7"/>
    </row>
    <row r="81" spans="1:13">
      <c r="A81" s="11" t="s">
        <v>2797</v>
      </c>
      <c r="B81" t="s">
        <v>89</v>
      </c>
      <c r="C81" s="6" t="s">
        <v>89</v>
      </c>
      <c r="D81" s="6"/>
      <c r="E81" s="6"/>
      <c r="F81" s="6"/>
      <c r="G81" s="42" t="s">
        <v>78</v>
      </c>
      <c r="H81" s="7"/>
      <c r="M81" s="7"/>
    </row>
    <row r="82" spans="1:13">
      <c r="A82" s="11" t="s">
        <v>222</v>
      </c>
      <c r="B82" t="s">
        <v>90</v>
      </c>
      <c r="C82" s="6" t="s">
        <v>90</v>
      </c>
      <c r="D82" s="6"/>
      <c r="E82" s="6"/>
      <c r="F82" s="6"/>
      <c r="G82" s="42" t="s">
        <v>78</v>
      </c>
      <c r="H82" s="7"/>
      <c r="M82" s="7"/>
    </row>
    <row r="83" spans="1:13">
      <c r="A83" s="11" t="s">
        <v>401</v>
      </c>
      <c r="B83" t="s">
        <v>90</v>
      </c>
      <c r="C83" s="6" t="s">
        <v>90</v>
      </c>
      <c r="D83" s="6"/>
      <c r="E83" s="6"/>
      <c r="F83" s="6"/>
      <c r="G83" s="42" t="s">
        <v>78</v>
      </c>
      <c r="H83" s="7"/>
      <c r="M83" s="7"/>
    </row>
    <row r="84" spans="1:13">
      <c r="A84" s="11" t="s">
        <v>308</v>
      </c>
      <c r="B84" t="s">
        <v>90</v>
      </c>
      <c r="C84" s="6" t="s">
        <v>90</v>
      </c>
      <c r="D84" s="6"/>
      <c r="E84" s="6"/>
      <c r="F84" s="6"/>
      <c r="G84" s="42" t="s">
        <v>78</v>
      </c>
      <c r="H84" s="7"/>
      <c r="M84" s="7"/>
    </row>
    <row r="85" spans="1:13">
      <c r="A85" s="11" t="s">
        <v>3593</v>
      </c>
      <c r="B85" t="s">
        <v>90</v>
      </c>
      <c r="C85" s="6" t="s">
        <v>90</v>
      </c>
      <c r="D85" s="6"/>
      <c r="E85" s="6"/>
      <c r="F85" s="6"/>
      <c r="G85" s="42" t="s">
        <v>78</v>
      </c>
      <c r="H85" s="7"/>
      <c r="M85" s="7"/>
    </row>
    <row r="86" spans="1:13">
      <c r="A86" s="11" t="s">
        <v>2266</v>
      </c>
      <c r="B86" t="s">
        <v>91</v>
      </c>
      <c r="C86" s="6" t="s">
        <v>91</v>
      </c>
      <c r="D86" s="6"/>
      <c r="E86" s="6"/>
      <c r="F86" s="6"/>
      <c r="G86" s="42" t="s">
        <v>78</v>
      </c>
      <c r="H86" s="7"/>
      <c r="M86" s="7"/>
    </row>
    <row r="87" spans="1:13">
      <c r="A87" s="11" t="s">
        <v>4294</v>
      </c>
      <c r="B87" t="s">
        <v>92</v>
      </c>
      <c r="C87" s="6" t="s">
        <v>92</v>
      </c>
      <c r="D87" s="6"/>
      <c r="E87" s="6"/>
      <c r="F87" s="6"/>
      <c r="G87" s="42" t="s">
        <v>78</v>
      </c>
      <c r="H87" s="7"/>
      <c r="M87" s="7"/>
    </row>
    <row r="88" spans="1:13">
      <c r="A88" s="11" t="s">
        <v>174</v>
      </c>
      <c r="B88" t="s">
        <v>92</v>
      </c>
      <c r="C88" s="6" t="s">
        <v>92</v>
      </c>
      <c r="D88" s="6"/>
      <c r="E88" s="6"/>
      <c r="F88" s="6"/>
      <c r="G88" s="42" t="s">
        <v>78</v>
      </c>
      <c r="H88" s="7"/>
      <c r="M88" s="7"/>
    </row>
    <row r="89" spans="1:13">
      <c r="A89" s="11" t="s">
        <v>339</v>
      </c>
      <c r="B89" t="s">
        <v>92</v>
      </c>
      <c r="C89" s="6" t="s">
        <v>92</v>
      </c>
      <c r="D89" s="6"/>
      <c r="E89" s="6"/>
      <c r="F89" s="6"/>
      <c r="G89" s="42" t="s">
        <v>78</v>
      </c>
      <c r="H89" s="7"/>
      <c r="M89" s="7"/>
    </row>
    <row r="90" spans="1:13">
      <c r="A90" s="11" t="s">
        <v>263</v>
      </c>
      <c r="B90" t="s">
        <v>92</v>
      </c>
      <c r="C90" s="6" t="s">
        <v>92</v>
      </c>
      <c r="D90" s="6"/>
      <c r="E90" s="6"/>
      <c r="F90" s="6"/>
      <c r="G90" s="42" t="s">
        <v>78</v>
      </c>
      <c r="H90" s="7"/>
      <c r="M90" s="7"/>
    </row>
    <row r="91" spans="1:13">
      <c r="A91" s="11" t="s">
        <v>823</v>
      </c>
      <c r="B91" t="s">
        <v>92</v>
      </c>
      <c r="C91" s="6" t="s">
        <v>92</v>
      </c>
      <c r="D91" s="6"/>
      <c r="E91" s="6"/>
      <c r="F91" s="6"/>
      <c r="G91" s="42" t="s">
        <v>78</v>
      </c>
      <c r="H91" s="7"/>
      <c r="M91" s="7"/>
    </row>
    <row r="92" spans="1:13">
      <c r="A92" s="11" t="s">
        <v>1191</v>
      </c>
      <c r="B92" t="s">
        <v>93</v>
      </c>
      <c r="C92" s="6" t="s">
        <v>93</v>
      </c>
      <c r="D92" s="6"/>
      <c r="E92" s="6"/>
      <c r="F92" s="6"/>
      <c r="G92" s="42" t="s">
        <v>78</v>
      </c>
      <c r="H92" s="7"/>
      <c r="M92" s="7"/>
    </row>
    <row r="93" spans="1:13">
      <c r="A93" s="11" t="s">
        <v>1278</v>
      </c>
      <c r="B93" t="s">
        <v>93</v>
      </c>
      <c r="C93" s="6" t="s">
        <v>93</v>
      </c>
      <c r="D93" s="6"/>
      <c r="E93" s="6"/>
      <c r="F93" s="6"/>
      <c r="G93" s="42" t="s">
        <v>78</v>
      </c>
      <c r="H93" s="7"/>
      <c r="M93" s="7"/>
    </row>
    <row r="94" spans="1:13">
      <c r="A94" s="11" t="s">
        <v>4740</v>
      </c>
      <c r="B94" t="s">
        <v>94</v>
      </c>
      <c r="C94" s="6" t="s">
        <v>94</v>
      </c>
      <c r="D94" s="6"/>
      <c r="E94" s="6"/>
      <c r="F94" s="6"/>
      <c r="G94" s="42" t="s">
        <v>78</v>
      </c>
      <c r="H94" s="7"/>
      <c r="M94" s="7"/>
    </row>
    <row r="95" spans="1:13">
      <c r="A95" s="11" t="s">
        <v>159</v>
      </c>
      <c r="B95" t="s">
        <v>95</v>
      </c>
      <c r="C95" s="6" t="s">
        <v>95</v>
      </c>
      <c r="D95" s="6"/>
      <c r="E95" s="6"/>
      <c r="F95" s="6"/>
      <c r="G95" s="42" t="s">
        <v>78</v>
      </c>
      <c r="H95" s="7"/>
      <c r="M95" s="7"/>
    </row>
    <row r="96" spans="1:13">
      <c r="A96" s="11" t="s">
        <v>921</v>
      </c>
      <c r="B96" t="s">
        <v>95</v>
      </c>
      <c r="C96" s="6" t="s">
        <v>95</v>
      </c>
      <c r="D96" s="6"/>
      <c r="E96" s="6"/>
      <c r="F96" s="6"/>
      <c r="G96" s="42" t="s">
        <v>78</v>
      </c>
      <c r="H96" s="7"/>
      <c r="M96" s="7"/>
    </row>
    <row r="97" spans="1:13">
      <c r="A97" s="11" t="s">
        <v>666</v>
      </c>
      <c r="B97" t="s">
        <v>95</v>
      </c>
      <c r="C97" s="6" t="s">
        <v>95</v>
      </c>
      <c r="D97" s="6"/>
      <c r="E97" s="6"/>
      <c r="F97" s="6"/>
      <c r="G97" s="42" t="s">
        <v>78</v>
      </c>
      <c r="H97" s="7"/>
      <c r="M97" s="7"/>
    </row>
    <row r="98" spans="1:13">
      <c r="A98" s="11" t="s">
        <v>1953</v>
      </c>
      <c r="B98" t="s">
        <v>95</v>
      </c>
      <c r="C98" s="6" t="s">
        <v>95</v>
      </c>
      <c r="D98" s="6"/>
      <c r="E98" s="6"/>
      <c r="F98" s="6"/>
      <c r="G98" s="42" t="s">
        <v>78</v>
      </c>
      <c r="H98" s="7"/>
      <c r="M98" s="7"/>
    </row>
    <row r="99" spans="1:13">
      <c r="A99" s="11" t="s">
        <v>3746</v>
      </c>
      <c r="B99" t="s">
        <v>96</v>
      </c>
      <c r="C99" s="6" t="s">
        <v>96</v>
      </c>
      <c r="D99" s="6"/>
      <c r="E99" s="6"/>
      <c r="F99" s="6"/>
      <c r="G99" s="42" t="s">
        <v>78</v>
      </c>
      <c r="H99" s="7"/>
      <c r="M99" s="7"/>
    </row>
    <row r="100" spans="1:13">
      <c r="A100" s="11" t="s">
        <v>1921</v>
      </c>
      <c r="B100" t="s">
        <v>96</v>
      </c>
      <c r="C100" s="6" t="s">
        <v>96</v>
      </c>
      <c r="D100" s="6"/>
      <c r="E100" s="6"/>
      <c r="F100" s="6"/>
      <c r="G100" s="42" t="s">
        <v>78</v>
      </c>
      <c r="H100" s="7"/>
      <c r="M100" s="7"/>
    </row>
  </sheetData>
  <phoneticPr fontId="1"/>
  <dataValidations count="4">
    <dataValidation type="list" allowBlank="1" showInputMessage="1" sqref="E2:E5000" xr:uid="{44C4EBCD-2BD6-4B8F-A7D0-3611A7411D76}">
      <formula1>"住居,扶養,通勤,給与口座,その他"</formula1>
    </dataValidation>
    <dataValidation type="list" allowBlank="1" showInputMessage="1" sqref="F2:F5000" xr:uid="{45388A88-9EEF-4856-8DD6-F18F8DA5F298}">
      <formula1>"登録,ＳＶ承認,確認済締処理登録"</formula1>
    </dataValidation>
    <dataValidation type="list" allowBlank="1" showInputMessage="1" sqref="G2:G5000" xr:uid="{2E78F647-45DB-4385-AAA1-08405F62769E}">
      <formula1>"○,×"</formula1>
    </dataValidation>
    <dataValidation type="list" allowBlank="1" showInputMessage="1" sqref="D2:D5000 K2:K300" xr:uid="{48F52149-235D-4E1B-9496-137BDC062883}">
      <formula1>"1次確認,2次確認,3次確認"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D1802-6553-475C-B9F2-5D19E2632B6B}">
  <sheetPr codeName="Sheet7"/>
  <dimension ref="A1:F2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.625" customWidth="1"/>
    <col min="2" max="2" width="34.625" customWidth="1"/>
    <col min="3" max="3" width="14.625" customWidth="1"/>
    <col min="4" max="4" width="44.625" customWidth="1"/>
  </cols>
  <sheetData>
    <row r="1" spans="1:6">
      <c r="A1" s="5" t="s">
        <v>22</v>
      </c>
      <c r="B1" s="5" t="s">
        <v>23</v>
      </c>
      <c r="C1" s="5" t="s">
        <v>24</v>
      </c>
      <c r="D1" s="5" t="s">
        <v>12</v>
      </c>
      <c r="F1" t="s">
        <v>28</v>
      </c>
    </row>
    <row r="2" spans="1:6">
      <c r="A2" t="s">
        <v>25</v>
      </c>
      <c r="B2" s="6" t="s">
        <v>26</v>
      </c>
      <c r="C2" s="6" t="s">
        <v>27</v>
      </c>
      <c r="F2" t="s">
        <v>29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861D-7153-4D02-9D7B-211F54205ACC}">
  <sheetPr codeName="Sheet5">
    <tabColor rgb="FFBF8F00"/>
  </sheetPr>
  <dimension ref="A1:R109"/>
  <sheetViews>
    <sheetView workbookViewId="0">
      <selection activeCell="C9" sqref="C9"/>
    </sheetView>
  </sheetViews>
  <sheetFormatPr defaultRowHeight="14.25"/>
  <cols>
    <col min="2" max="2" width="20" bestFit="1" customWidth="1"/>
  </cols>
  <sheetData>
    <row r="1" spans="1:18">
      <c r="A1" s="2" t="s">
        <v>5169</v>
      </c>
    </row>
    <row r="2" spans="1:18">
      <c r="A2" s="38" t="s">
        <v>5170</v>
      </c>
      <c r="B2" s="39">
        <v>46302.32303240741</v>
      </c>
      <c r="C2" s="38"/>
      <c r="D2" s="38" t="s">
        <v>5171</v>
      </c>
      <c r="E2" s="38">
        <v>99</v>
      </c>
      <c r="F2" s="38" t="s">
        <v>5172</v>
      </c>
      <c r="G2" s="38">
        <v>1</v>
      </c>
      <c r="H2" s="38"/>
      <c r="I2" s="38" t="s">
        <v>5173</v>
      </c>
      <c r="J2" s="38">
        <v>100</v>
      </c>
      <c r="K2" s="38">
        <v>2</v>
      </c>
    </row>
    <row r="4" spans="1:18" ht="16.5">
      <c r="A4" s="40" t="s">
        <v>5174</v>
      </c>
    </row>
    <row r="5" spans="1:18" ht="42.75">
      <c r="A5" s="5" t="s">
        <v>114</v>
      </c>
      <c r="B5" s="5" t="s">
        <v>19</v>
      </c>
      <c r="C5" s="5" t="s">
        <v>5196</v>
      </c>
      <c r="D5" s="5" t="s">
        <v>5197</v>
      </c>
      <c r="E5" s="5" t="s">
        <v>5198</v>
      </c>
      <c r="F5" s="5" t="s">
        <v>20</v>
      </c>
      <c r="G5" s="5" t="s">
        <v>21</v>
      </c>
      <c r="H5" s="41" t="s">
        <v>5199</v>
      </c>
      <c r="I5" s="5" t="s">
        <v>12</v>
      </c>
      <c r="K5" s="34" t="s">
        <v>5197</v>
      </c>
      <c r="L5" s="34" t="s">
        <v>5200</v>
      </c>
      <c r="M5" s="34" t="s">
        <v>5162</v>
      </c>
      <c r="N5" s="34" t="s">
        <v>12</v>
      </c>
      <c r="P5" s="2" t="s">
        <v>5126</v>
      </c>
    </row>
    <row r="6" spans="1:18">
      <c r="A6" s="11" t="s">
        <v>595</v>
      </c>
      <c r="B6" t="s">
        <v>36</v>
      </c>
      <c r="C6" s="6" t="s">
        <v>36</v>
      </c>
      <c r="D6" s="6" t="s">
        <v>5208</v>
      </c>
      <c r="E6" s="6" t="s">
        <v>15</v>
      </c>
      <c r="F6" s="6" t="s">
        <v>37</v>
      </c>
      <c r="G6" s="42" t="s">
        <v>38</v>
      </c>
      <c r="H6" s="7">
        <v>2.5299999999999998</v>
      </c>
      <c r="I6" t="s">
        <v>5176</v>
      </c>
      <c r="K6" t="s">
        <v>5208</v>
      </c>
      <c r="L6" t="s">
        <v>13</v>
      </c>
      <c r="M6" s="7">
        <v>3.97</v>
      </c>
      <c r="N6" t="s">
        <v>5180</v>
      </c>
      <c r="P6" s="27" t="s">
        <v>5127</v>
      </c>
      <c r="Q6" s="26">
        <v>0.9</v>
      </c>
      <c r="R6" t="s">
        <v>5128</v>
      </c>
    </row>
    <row r="7" spans="1:18">
      <c r="A7" s="11" t="s">
        <v>143</v>
      </c>
      <c r="B7" t="s">
        <v>39</v>
      </c>
      <c r="C7" s="6" t="s">
        <v>39</v>
      </c>
      <c r="D7" s="6" t="s">
        <v>5208</v>
      </c>
      <c r="E7" s="6" t="s">
        <v>15</v>
      </c>
      <c r="F7" s="6" t="s">
        <v>37</v>
      </c>
      <c r="G7" s="42" t="s">
        <v>38</v>
      </c>
      <c r="H7" s="7">
        <v>4.3600000000000003</v>
      </c>
      <c r="I7" t="s">
        <v>5177</v>
      </c>
      <c r="K7" t="s">
        <v>5208</v>
      </c>
      <c r="L7" t="s">
        <v>15</v>
      </c>
      <c r="M7" s="7">
        <v>2.92</v>
      </c>
      <c r="N7" t="s">
        <v>5209</v>
      </c>
      <c r="P7" s="28" t="s">
        <v>5129</v>
      </c>
      <c r="Q7" s="26">
        <v>1.1000000000000001</v>
      </c>
      <c r="R7" t="s">
        <v>5130</v>
      </c>
    </row>
    <row r="8" spans="1:18">
      <c r="A8" s="11" t="s">
        <v>212</v>
      </c>
      <c r="B8" t="s">
        <v>40</v>
      </c>
      <c r="C8" s="6" t="s">
        <v>40</v>
      </c>
      <c r="D8" s="6" t="s">
        <v>5208</v>
      </c>
      <c r="E8" s="6" t="s">
        <v>15</v>
      </c>
      <c r="F8" s="6" t="s">
        <v>37</v>
      </c>
      <c r="G8" s="42" t="s">
        <v>38</v>
      </c>
      <c r="H8" s="7">
        <v>2.9</v>
      </c>
      <c r="I8" t="s">
        <v>5178</v>
      </c>
      <c r="K8" t="s">
        <v>5208</v>
      </c>
      <c r="L8" t="s">
        <v>16</v>
      </c>
      <c r="M8" s="7">
        <v>2.86</v>
      </c>
      <c r="N8" t="s">
        <v>5189</v>
      </c>
    </row>
    <row r="9" spans="1:18">
      <c r="A9" s="11" t="s">
        <v>2556</v>
      </c>
      <c r="B9" t="s">
        <v>41</v>
      </c>
      <c r="C9" s="6" t="s">
        <v>41</v>
      </c>
      <c r="D9" s="6" t="s">
        <v>5208</v>
      </c>
      <c r="E9" s="6" t="s">
        <v>15</v>
      </c>
      <c r="F9" s="6" t="s">
        <v>37</v>
      </c>
      <c r="G9" s="42" t="s">
        <v>38</v>
      </c>
      <c r="H9" s="7">
        <v>2.86</v>
      </c>
      <c r="I9" t="s">
        <v>5179</v>
      </c>
      <c r="K9" t="s">
        <v>5208</v>
      </c>
      <c r="L9" t="s">
        <v>17</v>
      </c>
      <c r="M9" s="7">
        <v>9.56</v>
      </c>
      <c r="N9" t="s">
        <v>5191</v>
      </c>
      <c r="P9" s="2" t="s">
        <v>5163</v>
      </c>
    </row>
    <row r="10" spans="1:18">
      <c r="A10" s="11" t="s">
        <v>607</v>
      </c>
      <c r="B10" t="s">
        <v>42</v>
      </c>
      <c r="C10" s="6" t="s">
        <v>42</v>
      </c>
      <c r="D10" s="6" t="s">
        <v>5208</v>
      </c>
      <c r="E10" s="6" t="s">
        <v>15</v>
      </c>
      <c r="F10" s="6" t="s">
        <v>37</v>
      </c>
      <c r="G10" s="42" t="s">
        <v>38</v>
      </c>
      <c r="H10" s="7">
        <v>2.33</v>
      </c>
      <c r="I10" t="s">
        <v>5180</v>
      </c>
      <c r="K10" t="s">
        <v>5208</v>
      </c>
      <c r="L10" t="s">
        <v>18</v>
      </c>
      <c r="M10" s="7">
        <v>2</v>
      </c>
      <c r="N10" t="s">
        <v>14</v>
      </c>
      <c r="P10" t="s">
        <v>5201</v>
      </c>
    </row>
    <row r="11" spans="1:18">
      <c r="A11" s="11" t="s">
        <v>1497</v>
      </c>
      <c r="B11" t="s">
        <v>43</v>
      </c>
      <c r="C11" s="6" t="s">
        <v>43</v>
      </c>
      <c r="D11" s="6" t="s">
        <v>5208</v>
      </c>
      <c r="E11" s="6" t="s">
        <v>15</v>
      </c>
      <c r="F11" s="6" t="s">
        <v>37</v>
      </c>
      <c r="G11" s="42" t="s">
        <v>38</v>
      </c>
      <c r="H11" s="7">
        <v>3.93</v>
      </c>
      <c r="I11" t="s">
        <v>5181</v>
      </c>
      <c r="K11" t="s">
        <v>5210</v>
      </c>
      <c r="L11" t="s">
        <v>13</v>
      </c>
      <c r="M11" s="7"/>
      <c r="N11" t="s">
        <v>5211</v>
      </c>
      <c r="P11" t="s">
        <v>5202</v>
      </c>
    </row>
    <row r="12" spans="1:18">
      <c r="A12" s="11" t="s">
        <v>512</v>
      </c>
      <c r="B12" t="s">
        <v>44</v>
      </c>
      <c r="C12" s="6" t="s">
        <v>44</v>
      </c>
      <c r="D12" s="6" t="s">
        <v>5208</v>
      </c>
      <c r="E12" s="6" t="s">
        <v>15</v>
      </c>
      <c r="F12" s="6" t="s">
        <v>37</v>
      </c>
      <c r="G12" s="42" t="s">
        <v>38</v>
      </c>
      <c r="H12" s="7">
        <v>2.68</v>
      </c>
      <c r="I12" t="s">
        <v>5182</v>
      </c>
      <c r="K12" t="s">
        <v>5210</v>
      </c>
      <c r="L12" t="s">
        <v>15</v>
      </c>
      <c r="M12" s="7"/>
      <c r="N12" t="s">
        <v>5211</v>
      </c>
      <c r="P12" t="s">
        <v>5203</v>
      </c>
    </row>
    <row r="13" spans="1:18">
      <c r="A13" s="11" t="s">
        <v>4825</v>
      </c>
      <c r="B13" t="s">
        <v>45</v>
      </c>
      <c r="C13" s="6" t="s">
        <v>45</v>
      </c>
      <c r="D13" s="6" t="s">
        <v>5208</v>
      </c>
      <c r="E13" s="6" t="s">
        <v>15</v>
      </c>
      <c r="F13" s="6" t="s">
        <v>37</v>
      </c>
      <c r="G13" s="42" t="s">
        <v>38</v>
      </c>
      <c r="H13" s="7">
        <v>14.81</v>
      </c>
      <c r="I13" t="s">
        <v>5179</v>
      </c>
      <c r="K13" t="s">
        <v>5210</v>
      </c>
      <c r="L13" t="s">
        <v>16</v>
      </c>
      <c r="M13" s="7"/>
      <c r="N13" t="s">
        <v>5211</v>
      </c>
      <c r="P13" t="s">
        <v>5204</v>
      </c>
    </row>
    <row r="14" spans="1:18">
      <c r="A14" s="11" t="s">
        <v>1552</v>
      </c>
      <c r="B14" t="s">
        <v>46</v>
      </c>
      <c r="C14" s="6" t="s">
        <v>46</v>
      </c>
      <c r="D14" s="6" t="s">
        <v>5208</v>
      </c>
      <c r="E14" s="6" t="s">
        <v>15</v>
      </c>
      <c r="F14" s="6" t="s">
        <v>37</v>
      </c>
      <c r="G14" s="42" t="s">
        <v>38</v>
      </c>
      <c r="H14" s="7">
        <v>2.2000000000000002</v>
      </c>
      <c r="I14" t="s">
        <v>5179</v>
      </c>
      <c r="K14" t="s">
        <v>5210</v>
      </c>
      <c r="L14" t="s">
        <v>17</v>
      </c>
      <c r="M14" s="7"/>
      <c r="N14" t="s">
        <v>5211</v>
      </c>
      <c r="P14" t="s">
        <v>5205</v>
      </c>
    </row>
    <row r="15" spans="1:18">
      <c r="A15" s="11" t="s">
        <v>1663</v>
      </c>
      <c r="B15" t="s">
        <v>47</v>
      </c>
      <c r="C15" s="6" t="s">
        <v>47</v>
      </c>
      <c r="D15" s="6" t="s">
        <v>5208</v>
      </c>
      <c r="E15" s="6" t="s">
        <v>15</v>
      </c>
      <c r="F15" s="6" t="s">
        <v>37</v>
      </c>
      <c r="G15" s="42" t="s">
        <v>38</v>
      </c>
      <c r="H15" s="7">
        <v>2.2599999999999998</v>
      </c>
      <c r="I15" t="s">
        <v>5183</v>
      </c>
      <c r="K15" t="s">
        <v>5210</v>
      </c>
      <c r="L15" t="s">
        <v>18</v>
      </c>
      <c r="M15" s="7"/>
      <c r="N15" t="s">
        <v>5211</v>
      </c>
      <c r="P15" t="s">
        <v>5206</v>
      </c>
    </row>
    <row r="16" spans="1:18">
      <c r="A16" s="11" t="s">
        <v>1484</v>
      </c>
      <c r="B16" t="s">
        <v>48</v>
      </c>
      <c r="C16" s="6" t="s">
        <v>48</v>
      </c>
      <c r="D16" s="6" t="s">
        <v>5208</v>
      </c>
      <c r="E16" s="6" t="s">
        <v>15</v>
      </c>
      <c r="F16" s="6" t="s">
        <v>37</v>
      </c>
      <c r="G16" s="42" t="s">
        <v>38</v>
      </c>
      <c r="H16" s="7">
        <v>2.78</v>
      </c>
      <c r="I16" t="s">
        <v>5176</v>
      </c>
      <c r="M16" s="7"/>
      <c r="P16" t="s">
        <v>5207</v>
      </c>
    </row>
    <row r="17" spans="1:13">
      <c r="A17" s="11" t="s">
        <v>653</v>
      </c>
      <c r="B17" t="s">
        <v>49</v>
      </c>
      <c r="C17" s="6" t="s">
        <v>49</v>
      </c>
      <c r="D17" s="6" t="s">
        <v>5208</v>
      </c>
      <c r="E17" s="6" t="s">
        <v>15</v>
      </c>
      <c r="F17" s="6" t="s">
        <v>37</v>
      </c>
      <c r="G17" s="42" t="s">
        <v>38</v>
      </c>
      <c r="H17" s="7">
        <v>2.21</v>
      </c>
      <c r="I17" t="s">
        <v>5181</v>
      </c>
      <c r="M17" s="7"/>
    </row>
    <row r="18" spans="1:13">
      <c r="A18" s="11" t="s">
        <v>930</v>
      </c>
      <c r="B18" t="s">
        <v>50</v>
      </c>
      <c r="C18" s="6" t="s">
        <v>50</v>
      </c>
      <c r="D18" s="6" t="s">
        <v>5208</v>
      </c>
      <c r="E18" s="6" t="s">
        <v>15</v>
      </c>
      <c r="F18" s="6" t="s">
        <v>37</v>
      </c>
      <c r="G18" s="42" t="s">
        <v>38</v>
      </c>
      <c r="H18" s="7">
        <v>3.07</v>
      </c>
      <c r="I18" t="s">
        <v>5184</v>
      </c>
      <c r="M18" s="7"/>
    </row>
    <row r="19" spans="1:13">
      <c r="A19" s="11" t="s">
        <v>169</v>
      </c>
      <c r="B19" t="s">
        <v>51</v>
      </c>
      <c r="C19" s="6" t="s">
        <v>51</v>
      </c>
      <c r="D19" s="6" t="s">
        <v>5208</v>
      </c>
      <c r="E19" s="6" t="s">
        <v>15</v>
      </c>
      <c r="F19" s="6" t="s">
        <v>37</v>
      </c>
      <c r="G19" s="42" t="s">
        <v>38</v>
      </c>
      <c r="H19" s="7">
        <v>2.91</v>
      </c>
      <c r="I19" t="s">
        <v>5179</v>
      </c>
      <c r="M19" s="7"/>
    </row>
    <row r="20" spans="1:13">
      <c r="A20" s="11" t="s">
        <v>190</v>
      </c>
      <c r="B20" t="s">
        <v>52</v>
      </c>
      <c r="C20" s="6" t="s">
        <v>52</v>
      </c>
      <c r="D20" s="6" t="s">
        <v>5208</v>
      </c>
      <c r="E20" s="6" t="s">
        <v>15</v>
      </c>
      <c r="F20" s="6" t="s">
        <v>37</v>
      </c>
      <c r="G20" s="42" t="s">
        <v>38</v>
      </c>
      <c r="H20" s="7">
        <v>3.36</v>
      </c>
      <c r="I20" t="s">
        <v>5185</v>
      </c>
      <c r="M20" s="7"/>
    </row>
    <row r="21" spans="1:13">
      <c r="A21" s="11" t="s">
        <v>504</v>
      </c>
      <c r="B21" t="s">
        <v>53</v>
      </c>
      <c r="C21" s="6" t="s">
        <v>53</v>
      </c>
      <c r="D21" s="6" t="s">
        <v>5208</v>
      </c>
      <c r="E21" s="6" t="s">
        <v>15</v>
      </c>
      <c r="F21" s="6" t="s">
        <v>37</v>
      </c>
      <c r="G21" s="42" t="s">
        <v>38</v>
      </c>
      <c r="H21" s="7">
        <v>3.2</v>
      </c>
      <c r="I21" t="s">
        <v>5186</v>
      </c>
      <c r="M21" s="7"/>
    </row>
    <row r="22" spans="1:13">
      <c r="A22" s="11" t="s">
        <v>3719</v>
      </c>
      <c r="B22" t="s">
        <v>54</v>
      </c>
      <c r="C22" s="6" t="s">
        <v>54</v>
      </c>
      <c r="D22" s="6" t="s">
        <v>5208</v>
      </c>
      <c r="E22" s="6" t="s">
        <v>15</v>
      </c>
      <c r="F22" s="6" t="s">
        <v>37</v>
      </c>
      <c r="G22" s="42" t="s">
        <v>38</v>
      </c>
      <c r="H22" s="7">
        <v>1.65</v>
      </c>
      <c r="I22" t="s">
        <v>5179</v>
      </c>
      <c r="M22" s="7"/>
    </row>
    <row r="23" spans="1:13">
      <c r="A23" s="11" t="s">
        <v>499</v>
      </c>
      <c r="B23" t="s">
        <v>55</v>
      </c>
      <c r="C23" s="6" t="s">
        <v>55</v>
      </c>
      <c r="D23" s="6" t="s">
        <v>5208</v>
      </c>
      <c r="E23" s="6" t="s">
        <v>15</v>
      </c>
      <c r="F23" s="6" t="s">
        <v>37</v>
      </c>
      <c r="G23" s="42" t="s">
        <v>38</v>
      </c>
      <c r="H23" s="7">
        <v>6.16</v>
      </c>
      <c r="I23" t="s">
        <v>5183</v>
      </c>
      <c r="M23" s="7"/>
    </row>
    <row r="24" spans="1:13">
      <c r="A24" s="11" t="s">
        <v>1848</v>
      </c>
      <c r="B24" t="s">
        <v>56</v>
      </c>
      <c r="C24" s="6" t="s">
        <v>56</v>
      </c>
      <c r="D24" s="6" t="s">
        <v>5208</v>
      </c>
      <c r="E24" s="6" t="s">
        <v>15</v>
      </c>
      <c r="F24" s="6" t="s">
        <v>37</v>
      </c>
      <c r="G24" s="42" t="s">
        <v>38</v>
      </c>
      <c r="H24" s="7">
        <v>4.7</v>
      </c>
      <c r="I24" t="s">
        <v>5187</v>
      </c>
      <c r="M24" s="7"/>
    </row>
    <row r="25" spans="1:13">
      <c r="A25" s="11" t="s">
        <v>2861</v>
      </c>
      <c r="B25" t="s">
        <v>57</v>
      </c>
      <c r="C25" s="6" t="s">
        <v>57</v>
      </c>
      <c r="D25" s="6" t="s">
        <v>5208</v>
      </c>
      <c r="E25" s="6" t="s">
        <v>15</v>
      </c>
      <c r="F25" s="6" t="s">
        <v>37</v>
      </c>
      <c r="G25" s="42" t="s">
        <v>38</v>
      </c>
      <c r="H25" s="7">
        <v>2.2200000000000002</v>
      </c>
      <c r="I25" t="s">
        <v>5179</v>
      </c>
      <c r="M25" s="7"/>
    </row>
    <row r="26" spans="1:13">
      <c r="A26" s="11" t="s">
        <v>1361</v>
      </c>
      <c r="B26" t="s">
        <v>58</v>
      </c>
      <c r="C26" s="6" t="s">
        <v>58</v>
      </c>
      <c r="D26" s="6" t="s">
        <v>5208</v>
      </c>
      <c r="E26" s="6" t="s">
        <v>15</v>
      </c>
      <c r="F26" s="6" t="s">
        <v>37</v>
      </c>
      <c r="G26" s="42" t="s">
        <v>38</v>
      </c>
      <c r="H26" s="7">
        <v>4.05</v>
      </c>
      <c r="I26" t="s">
        <v>5188</v>
      </c>
      <c r="M26" s="7"/>
    </row>
    <row r="27" spans="1:13">
      <c r="A27" s="11" t="s">
        <v>1576</v>
      </c>
      <c r="B27" t="s">
        <v>59</v>
      </c>
      <c r="C27" s="6" t="s">
        <v>59</v>
      </c>
      <c r="D27" s="6" t="s">
        <v>5208</v>
      </c>
      <c r="E27" s="6" t="s">
        <v>15</v>
      </c>
      <c r="F27" s="6" t="s">
        <v>37</v>
      </c>
      <c r="G27" s="42" t="s">
        <v>38</v>
      </c>
      <c r="H27" s="7">
        <v>4.3600000000000003</v>
      </c>
      <c r="I27" t="s">
        <v>5181</v>
      </c>
      <c r="M27" s="7"/>
    </row>
    <row r="28" spans="1:13">
      <c r="A28" s="11" t="s">
        <v>1655</v>
      </c>
      <c r="B28" t="s">
        <v>60</v>
      </c>
      <c r="C28" s="6" t="s">
        <v>60</v>
      </c>
      <c r="D28" s="6" t="s">
        <v>5208</v>
      </c>
      <c r="E28" s="6" t="s">
        <v>15</v>
      </c>
      <c r="F28" s="6" t="s">
        <v>37</v>
      </c>
      <c r="G28" s="42" t="s">
        <v>38</v>
      </c>
      <c r="H28" s="7">
        <v>3.11</v>
      </c>
      <c r="I28" t="s">
        <v>5176</v>
      </c>
      <c r="M28" s="7"/>
    </row>
    <row r="29" spans="1:13">
      <c r="A29" s="11" t="s">
        <v>1823</v>
      </c>
      <c r="B29" t="s">
        <v>61</v>
      </c>
      <c r="C29" s="6" t="s">
        <v>61</v>
      </c>
      <c r="D29" s="6" t="s">
        <v>5208</v>
      </c>
      <c r="E29" s="6" t="s">
        <v>15</v>
      </c>
      <c r="F29" s="6" t="s">
        <v>37</v>
      </c>
      <c r="G29" s="42" t="s">
        <v>38</v>
      </c>
      <c r="H29" s="7">
        <v>4.12</v>
      </c>
      <c r="I29" t="s">
        <v>5183</v>
      </c>
      <c r="M29" s="7"/>
    </row>
    <row r="30" spans="1:13">
      <c r="A30" s="11" t="s">
        <v>164</v>
      </c>
      <c r="B30" t="s">
        <v>62</v>
      </c>
      <c r="C30" s="6" t="s">
        <v>62</v>
      </c>
      <c r="D30" s="6" t="s">
        <v>5208</v>
      </c>
      <c r="E30" s="6" t="s">
        <v>15</v>
      </c>
      <c r="F30" s="6" t="s">
        <v>37</v>
      </c>
      <c r="G30" s="42" t="s">
        <v>38</v>
      </c>
      <c r="H30" s="7">
        <v>3.11</v>
      </c>
      <c r="I30" t="s">
        <v>5189</v>
      </c>
      <c r="M30" s="7"/>
    </row>
    <row r="31" spans="1:13">
      <c r="A31" s="11" t="s">
        <v>3117</v>
      </c>
      <c r="B31" t="s">
        <v>63</v>
      </c>
      <c r="C31" s="6" t="s">
        <v>63</v>
      </c>
      <c r="D31" s="6" t="s">
        <v>5208</v>
      </c>
      <c r="E31" s="6" t="s">
        <v>13</v>
      </c>
      <c r="F31" s="6" t="s">
        <v>37</v>
      </c>
      <c r="G31" s="42" t="s">
        <v>38</v>
      </c>
      <c r="H31" s="7">
        <v>2.0299999999999998</v>
      </c>
      <c r="I31" t="s">
        <v>5176</v>
      </c>
      <c r="M31" s="7"/>
    </row>
    <row r="32" spans="1:13">
      <c r="A32" s="11" t="s">
        <v>334</v>
      </c>
      <c r="B32" t="s">
        <v>64</v>
      </c>
      <c r="C32" s="6" t="s">
        <v>64</v>
      </c>
      <c r="D32" s="6" t="s">
        <v>5208</v>
      </c>
      <c r="E32" s="6" t="s">
        <v>13</v>
      </c>
      <c r="F32" s="6" t="s">
        <v>37</v>
      </c>
      <c r="G32" s="42" t="s">
        <v>38</v>
      </c>
      <c r="H32" s="7">
        <v>4.3499999999999996</v>
      </c>
      <c r="I32" t="s">
        <v>5190</v>
      </c>
      <c r="M32" s="7"/>
    </row>
    <row r="33" spans="1:13">
      <c r="A33" s="11" t="s">
        <v>344</v>
      </c>
      <c r="B33" t="s">
        <v>65</v>
      </c>
      <c r="C33" s="6" t="s">
        <v>65</v>
      </c>
      <c r="D33" s="6" t="s">
        <v>5208</v>
      </c>
      <c r="E33" s="6" t="s">
        <v>13</v>
      </c>
      <c r="F33" s="6" t="s">
        <v>37</v>
      </c>
      <c r="G33" s="42" t="s">
        <v>38</v>
      </c>
      <c r="H33" s="7">
        <v>2.69</v>
      </c>
      <c r="I33" t="s">
        <v>5190</v>
      </c>
      <c r="M33" s="7"/>
    </row>
    <row r="34" spans="1:13">
      <c r="A34" s="11" t="s">
        <v>328</v>
      </c>
      <c r="B34" t="s">
        <v>66</v>
      </c>
      <c r="C34" s="6" t="s">
        <v>66</v>
      </c>
      <c r="D34" s="6" t="s">
        <v>5208</v>
      </c>
      <c r="E34" s="6" t="s">
        <v>13</v>
      </c>
      <c r="F34" s="6" t="s">
        <v>37</v>
      </c>
      <c r="G34" s="42" t="s">
        <v>38</v>
      </c>
      <c r="H34" s="7">
        <v>5.23</v>
      </c>
      <c r="I34" t="s">
        <v>5191</v>
      </c>
      <c r="M34" s="7"/>
    </row>
    <row r="35" spans="1:13">
      <c r="A35" s="11" t="s">
        <v>321</v>
      </c>
      <c r="B35" t="s">
        <v>67</v>
      </c>
      <c r="C35" s="6" t="s">
        <v>67</v>
      </c>
      <c r="D35" s="6" t="s">
        <v>5208</v>
      </c>
      <c r="E35" s="6" t="s">
        <v>13</v>
      </c>
      <c r="F35" s="6" t="s">
        <v>37</v>
      </c>
      <c r="G35" s="42" t="s">
        <v>38</v>
      </c>
      <c r="H35" s="7">
        <v>4.7699999999999996</v>
      </c>
      <c r="I35" t="s">
        <v>5192</v>
      </c>
      <c r="M35" s="7"/>
    </row>
    <row r="36" spans="1:13">
      <c r="A36" s="11" t="s">
        <v>195</v>
      </c>
      <c r="B36" t="s">
        <v>68</v>
      </c>
      <c r="C36" s="6" t="s">
        <v>68</v>
      </c>
      <c r="D36" s="6" t="s">
        <v>5208</v>
      </c>
      <c r="E36" s="6" t="s">
        <v>15</v>
      </c>
      <c r="F36" s="6" t="s">
        <v>37</v>
      </c>
      <c r="G36" s="42" t="s">
        <v>38</v>
      </c>
      <c r="H36" s="7">
        <v>5.2</v>
      </c>
      <c r="I36" t="s">
        <v>5193</v>
      </c>
      <c r="M36" s="7"/>
    </row>
    <row r="37" spans="1:13">
      <c r="A37" s="11" t="s">
        <v>1740</v>
      </c>
      <c r="B37" t="s">
        <v>69</v>
      </c>
      <c r="C37" s="6" t="s">
        <v>69</v>
      </c>
      <c r="D37" s="6" t="s">
        <v>5208</v>
      </c>
      <c r="E37" s="6" t="s">
        <v>17</v>
      </c>
      <c r="F37" s="6" t="s">
        <v>37</v>
      </c>
      <c r="G37" s="42" t="s">
        <v>38</v>
      </c>
      <c r="H37" s="7">
        <v>9.56</v>
      </c>
      <c r="I37" t="s">
        <v>5191</v>
      </c>
      <c r="M37" s="7"/>
    </row>
    <row r="38" spans="1:13">
      <c r="A38" s="11" t="s">
        <v>4315</v>
      </c>
      <c r="B38" t="s">
        <v>70</v>
      </c>
      <c r="C38" s="6" t="s">
        <v>70</v>
      </c>
      <c r="D38" s="6" t="s">
        <v>5208</v>
      </c>
      <c r="E38" s="6" t="s">
        <v>16</v>
      </c>
      <c r="F38" s="6" t="s">
        <v>37</v>
      </c>
      <c r="G38" s="42" t="s">
        <v>38</v>
      </c>
      <c r="H38" s="7">
        <v>2.3199999999999998</v>
      </c>
      <c r="I38" t="s">
        <v>5176</v>
      </c>
      <c r="M38" s="7"/>
    </row>
    <row r="39" spans="1:13">
      <c r="A39" s="11" t="s">
        <v>828</v>
      </c>
      <c r="B39" t="s">
        <v>70</v>
      </c>
      <c r="C39" s="6" t="s">
        <v>70</v>
      </c>
      <c r="D39" s="6" t="s">
        <v>5208</v>
      </c>
      <c r="E39" s="6" t="s">
        <v>16</v>
      </c>
      <c r="F39" s="6" t="s">
        <v>37</v>
      </c>
      <c r="G39" s="42" t="s">
        <v>38</v>
      </c>
      <c r="H39" s="7">
        <v>2.3199999999999998</v>
      </c>
      <c r="I39" t="s">
        <v>5176</v>
      </c>
      <c r="M39" s="7"/>
    </row>
    <row r="40" spans="1:13">
      <c r="A40" s="11" t="s">
        <v>237</v>
      </c>
      <c r="B40" t="s">
        <v>71</v>
      </c>
      <c r="C40" s="6" t="s">
        <v>71</v>
      </c>
      <c r="D40" s="6" t="s">
        <v>5208</v>
      </c>
      <c r="E40" s="6" t="s">
        <v>16</v>
      </c>
      <c r="F40" s="6" t="s">
        <v>37</v>
      </c>
      <c r="G40" s="42" t="s">
        <v>38</v>
      </c>
      <c r="H40" s="7">
        <v>2.56</v>
      </c>
      <c r="I40" t="s">
        <v>5194</v>
      </c>
      <c r="M40" s="7"/>
    </row>
    <row r="41" spans="1:13">
      <c r="A41" s="11" t="s">
        <v>842</v>
      </c>
      <c r="B41" t="s">
        <v>71</v>
      </c>
      <c r="C41" s="6" t="s">
        <v>71</v>
      </c>
      <c r="D41" s="6" t="s">
        <v>5208</v>
      </c>
      <c r="E41" s="6" t="s">
        <v>16</v>
      </c>
      <c r="F41" s="6" t="s">
        <v>37</v>
      </c>
      <c r="G41" s="42" t="s">
        <v>38</v>
      </c>
      <c r="H41" s="7">
        <v>2.56</v>
      </c>
      <c r="I41" t="s">
        <v>5194</v>
      </c>
      <c r="M41" s="7"/>
    </row>
    <row r="42" spans="1:13">
      <c r="A42" s="11" t="s">
        <v>672</v>
      </c>
      <c r="B42" t="s">
        <v>72</v>
      </c>
      <c r="C42" s="6" t="s">
        <v>72</v>
      </c>
      <c r="D42" s="6" t="s">
        <v>5208</v>
      </c>
      <c r="E42" s="6" t="s">
        <v>16</v>
      </c>
      <c r="F42" s="6" t="s">
        <v>37</v>
      </c>
      <c r="G42" s="42" t="s">
        <v>38</v>
      </c>
      <c r="H42" s="7">
        <v>3.26</v>
      </c>
      <c r="I42" t="s">
        <v>5184</v>
      </c>
      <c r="M42" s="7"/>
    </row>
    <row r="43" spans="1:13">
      <c r="A43" s="11" t="s">
        <v>439</v>
      </c>
      <c r="B43" t="s">
        <v>73</v>
      </c>
      <c r="C43" s="6" t="s">
        <v>73</v>
      </c>
      <c r="D43" s="6" t="s">
        <v>5208</v>
      </c>
      <c r="E43" s="6" t="s">
        <v>16</v>
      </c>
      <c r="F43" s="6" t="s">
        <v>37</v>
      </c>
      <c r="G43" s="42" t="s">
        <v>38</v>
      </c>
      <c r="H43" s="7">
        <v>2.5</v>
      </c>
      <c r="I43" t="s">
        <v>5194</v>
      </c>
      <c r="M43" s="7"/>
    </row>
    <row r="44" spans="1:13">
      <c r="A44" s="11" t="s">
        <v>258</v>
      </c>
      <c r="B44" t="s">
        <v>74</v>
      </c>
      <c r="C44" s="6" t="s">
        <v>74</v>
      </c>
      <c r="D44" s="6" t="s">
        <v>5208</v>
      </c>
      <c r="E44" s="6" t="s">
        <v>16</v>
      </c>
      <c r="F44" s="6" t="s">
        <v>37</v>
      </c>
      <c r="G44" s="42" t="s">
        <v>38</v>
      </c>
      <c r="H44" s="7">
        <v>3.79</v>
      </c>
      <c r="I44" t="s">
        <v>5179</v>
      </c>
      <c r="M44" s="7"/>
    </row>
    <row r="45" spans="1:13">
      <c r="A45" s="11" t="s">
        <v>416</v>
      </c>
      <c r="B45" t="s">
        <v>75</v>
      </c>
      <c r="C45" s="6" t="s">
        <v>75</v>
      </c>
      <c r="D45" s="6" t="s">
        <v>5208</v>
      </c>
      <c r="E45" s="6" t="s">
        <v>16</v>
      </c>
      <c r="F45" s="6" t="s">
        <v>37</v>
      </c>
      <c r="G45" s="42" t="s">
        <v>38</v>
      </c>
      <c r="H45" s="7">
        <v>2.48</v>
      </c>
      <c r="I45" t="s">
        <v>5184</v>
      </c>
      <c r="M45" s="7"/>
    </row>
    <row r="46" spans="1:13">
      <c r="A46" s="11" t="s">
        <v>818</v>
      </c>
      <c r="B46" t="s">
        <v>75</v>
      </c>
      <c r="C46" s="6" t="s">
        <v>75</v>
      </c>
      <c r="D46" s="6" t="s">
        <v>5208</v>
      </c>
      <c r="E46" s="6" t="s">
        <v>16</v>
      </c>
      <c r="F46" s="6" t="s">
        <v>37</v>
      </c>
      <c r="G46" s="42" t="s">
        <v>38</v>
      </c>
      <c r="H46" s="7">
        <v>2.48</v>
      </c>
      <c r="I46" t="s">
        <v>5184</v>
      </c>
      <c r="M46" s="7"/>
    </row>
    <row r="47" spans="1:13">
      <c r="A47" s="11" t="s">
        <v>242</v>
      </c>
      <c r="B47" t="s">
        <v>76</v>
      </c>
      <c r="C47" s="6" t="s">
        <v>76</v>
      </c>
      <c r="D47" s="6" t="s">
        <v>5208</v>
      </c>
      <c r="E47" s="6" t="s">
        <v>16</v>
      </c>
      <c r="F47" s="6" t="s">
        <v>37</v>
      </c>
      <c r="G47" s="42" t="s">
        <v>38</v>
      </c>
      <c r="H47" s="7">
        <v>3.35</v>
      </c>
      <c r="I47" t="s">
        <v>5195</v>
      </c>
      <c r="M47" s="7"/>
    </row>
    <row r="48" spans="1:13">
      <c r="A48" s="11" t="s">
        <v>804</v>
      </c>
      <c r="B48" t="s">
        <v>76</v>
      </c>
      <c r="C48" s="6" t="s">
        <v>76</v>
      </c>
      <c r="D48" s="6" t="s">
        <v>5208</v>
      </c>
      <c r="E48" s="6" t="s">
        <v>16</v>
      </c>
      <c r="F48" s="6" t="s">
        <v>37</v>
      </c>
      <c r="G48" s="42" t="s">
        <v>38</v>
      </c>
      <c r="H48" s="7">
        <v>3.35</v>
      </c>
      <c r="I48" t="s">
        <v>5195</v>
      </c>
      <c r="M48" s="7"/>
    </row>
    <row r="49" spans="1:13">
      <c r="A49" s="11" t="s">
        <v>149</v>
      </c>
      <c r="B49" t="s">
        <v>77</v>
      </c>
      <c r="C49" s="6" t="s">
        <v>77</v>
      </c>
      <c r="D49" s="6"/>
      <c r="E49" s="6"/>
      <c r="F49" s="6"/>
      <c r="G49" s="42" t="s">
        <v>78</v>
      </c>
      <c r="H49" s="7"/>
      <c r="M49" s="7"/>
    </row>
    <row r="50" spans="1:13">
      <c r="A50" s="11" t="s">
        <v>355</v>
      </c>
      <c r="B50" t="s">
        <v>77</v>
      </c>
      <c r="C50" s="6" t="s">
        <v>77</v>
      </c>
      <c r="D50" s="6"/>
      <c r="E50" s="6"/>
      <c r="F50" s="6"/>
      <c r="G50" s="42" t="s">
        <v>78</v>
      </c>
      <c r="H50" s="7"/>
      <c r="M50" s="7"/>
    </row>
    <row r="51" spans="1:13">
      <c r="A51" s="11" t="s">
        <v>274</v>
      </c>
      <c r="B51" t="s">
        <v>77</v>
      </c>
      <c r="C51" s="6" t="s">
        <v>77</v>
      </c>
      <c r="D51" s="6"/>
      <c r="E51" s="6"/>
      <c r="F51" s="6"/>
      <c r="G51" s="42" t="s">
        <v>78</v>
      </c>
      <c r="H51" s="7"/>
      <c r="M51" s="7"/>
    </row>
    <row r="52" spans="1:13">
      <c r="A52" s="11" t="s">
        <v>154</v>
      </c>
      <c r="B52" t="s">
        <v>79</v>
      </c>
      <c r="C52" s="6" t="s">
        <v>79</v>
      </c>
      <c r="D52" s="6"/>
      <c r="E52" s="6"/>
      <c r="F52" s="6"/>
      <c r="G52" s="42" t="s">
        <v>78</v>
      </c>
      <c r="H52" s="7"/>
      <c r="M52" s="7"/>
    </row>
    <row r="53" spans="1:13">
      <c r="A53" s="11" t="s">
        <v>360</v>
      </c>
      <c r="B53" t="s">
        <v>79</v>
      </c>
      <c r="C53" s="6" t="s">
        <v>79</v>
      </c>
      <c r="D53" s="6"/>
      <c r="E53" s="6"/>
      <c r="F53" s="6"/>
      <c r="G53" s="42" t="s">
        <v>78</v>
      </c>
      <c r="H53" s="7"/>
      <c r="M53" s="7"/>
    </row>
    <row r="54" spans="1:13">
      <c r="A54" s="11" t="s">
        <v>279</v>
      </c>
      <c r="B54" t="s">
        <v>79</v>
      </c>
      <c r="C54" s="6" t="s">
        <v>79</v>
      </c>
      <c r="D54" s="6"/>
      <c r="E54" s="6"/>
      <c r="F54" s="6"/>
      <c r="G54" s="42" t="s">
        <v>78</v>
      </c>
      <c r="H54" s="7"/>
      <c r="M54" s="7"/>
    </row>
    <row r="55" spans="1:13">
      <c r="A55" s="11" t="s">
        <v>523</v>
      </c>
      <c r="B55" t="s">
        <v>80</v>
      </c>
      <c r="C55" s="6" t="s">
        <v>80</v>
      </c>
      <c r="D55" s="6"/>
      <c r="E55" s="6"/>
      <c r="F55" s="6"/>
      <c r="G55" s="42" t="s">
        <v>78</v>
      </c>
      <c r="H55" s="7"/>
      <c r="M55" s="7"/>
    </row>
    <row r="56" spans="1:13">
      <c r="A56" s="11" t="s">
        <v>1777</v>
      </c>
      <c r="B56" t="s">
        <v>80</v>
      </c>
      <c r="C56" s="6" t="s">
        <v>80</v>
      </c>
      <c r="D56" s="6"/>
      <c r="E56" s="6"/>
      <c r="F56" s="6"/>
      <c r="G56" s="42" t="s">
        <v>78</v>
      </c>
      <c r="H56" s="7"/>
      <c r="M56" s="7"/>
    </row>
    <row r="57" spans="1:13">
      <c r="A57" s="11" t="s">
        <v>284</v>
      </c>
      <c r="B57" t="s">
        <v>80</v>
      </c>
      <c r="C57" s="6" t="s">
        <v>80</v>
      </c>
      <c r="D57" s="6"/>
      <c r="E57" s="6"/>
      <c r="F57" s="6"/>
      <c r="G57" s="42" t="s">
        <v>78</v>
      </c>
      <c r="H57" s="7"/>
      <c r="M57" s="7"/>
    </row>
    <row r="58" spans="1:13">
      <c r="A58" s="11" t="s">
        <v>4807</v>
      </c>
      <c r="B58" t="s">
        <v>81</v>
      </c>
      <c r="C58" s="6" t="s">
        <v>81</v>
      </c>
      <c r="D58" s="6"/>
      <c r="E58" s="6"/>
      <c r="F58" s="6"/>
      <c r="G58" s="42" t="s">
        <v>78</v>
      </c>
      <c r="H58" s="7"/>
      <c r="M58" s="7"/>
    </row>
    <row r="59" spans="1:13">
      <c r="A59" s="11" t="s">
        <v>4001</v>
      </c>
      <c r="B59" t="s">
        <v>81</v>
      </c>
      <c r="C59" s="6" t="s">
        <v>81</v>
      </c>
      <c r="D59" s="6"/>
      <c r="E59" s="6"/>
      <c r="F59" s="6"/>
      <c r="G59" s="42" t="s">
        <v>78</v>
      </c>
      <c r="H59" s="7"/>
      <c r="M59" s="7"/>
    </row>
    <row r="60" spans="1:13">
      <c r="A60" s="11" t="s">
        <v>4261</v>
      </c>
      <c r="B60" t="s">
        <v>81</v>
      </c>
      <c r="C60" s="6" t="s">
        <v>81</v>
      </c>
      <c r="D60" s="6"/>
      <c r="E60" s="6"/>
      <c r="F60" s="6"/>
      <c r="G60" s="42" t="s">
        <v>78</v>
      </c>
      <c r="H60" s="7"/>
      <c r="M60" s="7"/>
    </row>
    <row r="61" spans="1:13">
      <c r="A61" s="11" t="s">
        <v>528</v>
      </c>
      <c r="B61" t="s">
        <v>82</v>
      </c>
      <c r="C61" s="6" t="s">
        <v>82</v>
      </c>
      <c r="D61" s="6"/>
      <c r="E61" s="6"/>
      <c r="F61" s="6"/>
      <c r="G61" s="42" t="s">
        <v>78</v>
      </c>
      <c r="H61" s="7"/>
      <c r="M61" s="7"/>
    </row>
    <row r="62" spans="1:13">
      <c r="A62" s="11" t="s">
        <v>1782</v>
      </c>
      <c r="B62" t="s">
        <v>82</v>
      </c>
      <c r="C62" s="6" t="s">
        <v>82</v>
      </c>
      <c r="D62" s="6"/>
      <c r="E62" s="6"/>
      <c r="F62" s="6"/>
      <c r="G62" s="42" t="s">
        <v>78</v>
      </c>
      <c r="H62" s="7"/>
      <c r="M62" s="7"/>
    </row>
    <row r="63" spans="1:13">
      <c r="A63" s="11" t="s">
        <v>4304</v>
      </c>
      <c r="B63" t="s">
        <v>82</v>
      </c>
      <c r="C63" s="6" t="s">
        <v>82</v>
      </c>
      <c r="D63" s="6"/>
      <c r="E63" s="6"/>
      <c r="F63" s="6"/>
      <c r="G63" s="42" t="s">
        <v>78</v>
      </c>
      <c r="H63" s="7"/>
      <c r="M63" s="7"/>
    </row>
    <row r="64" spans="1:13">
      <c r="A64" s="11" t="s">
        <v>179</v>
      </c>
      <c r="B64" t="s">
        <v>83</v>
      </c>
      <c r="C64" s="6" t="s">
        <v>83</v>
      </c>
      <c r="D64" s="6"/>
      <c r="E64" s="6"/>
      <c r="F64" s="6"/>
      <c r="G64" s="42" t="s">
        <v>78</v>
      </c>
      <c r="H64" s="7"/>
      <c r="M64" s="7"/>
    </row>
    <row r="65" spans="1:13">
      <c r="A65" s="11" t="s">
        <v>3055</v>
      </c>
      <c r="B65" t="s">
        <v>83</v>
      </c>
      <c r="C65" s="6" t="s">
        <v>83</v>
      </c>
      <c r="D65" s="6"/>
      <c r="E65" s="6"/>
      <c r="F65" s="6"/>
      <c r="G65" s="42" t="s">
        <v>78</v>
      </c>
      <c r="H65" s="7"/>
      <c r="M65" s="7"/>
    </row>
    <row r="66" spans="1:13">
      <c r="A66" s="11" t="s">
        <v>1159</v>
      </c>
      <c r="B66" t="s">
        <v>83</v>
      </c>
      <c r="C66" s="6" t="s">
        <v>83</v>
      </c>
      <c r="D66" s="6"/>
      <c r="E66" s="6"/>
      <c r="F66" s="6"/>
      <c r="G66" s="42" t="s">
        <v>78</v>
      </c>
      <c r="H66" s="7"/>
      <c r="M66" s="7"/>
    </row>
    <row r="67" spans="1:13">
      <c r="A67" s="11" t="s">
        <v>4115</v>
      </c>
      <c r="B67" t="s">
        <v>84</v>
      </c>
      <c r="C67" s="6" t="s">
        <v>84</v>
      </c>
      <c r="D67" s="6"/>
      <c r="E67" s="6"/>
      <c r="F67" s="6"/>
      <c r="G67" s="42" t="s">
        <v>78</v>
      </c>
      <c r="H67" s="7"/>
      <c r="M67" s="7"/>
    </row>
    <row r="68" spans="1:13">
      <c r="A68" s="11" t="s">
        <v>3110</v>
      </c>
      <c r="B68" t="s">
        <v>84</v>
      </c>
      <c r="C68" s="6" t="s">
        <v>84</v>
      </c>
      <c r="D68" s="6"/>
      <c r="E68" s="6"/>
      <c r="F68" s="6"/>
      <c r="G68" s="42" t="s">
        <v>78</v>
      </c>
      <c r="H68" s="7"/>
      <c r="M68" s="7"/>
    </row>
    <row r="69" spans="1:13">
      <c r="A69" s="11" t="s">
        <v>1052</v>
      </c>
      <c r="B69" t="s">
        <v>84</v>
      </c>
      <c r="C69" s="6" t="s">
        <v>84</v>
      </c>
      <c r="D69" s="6"/>
      <c r="E69" s="6"/>
      <c r="F69" s="6"/>
      <c r="G69" s="42" t="s">
        <v>78</v>
      </c>
      <c r="H69" s="7"/>
      <c r="M69" s="7"/>
    </row>
    <row r="70" spans="1:13">
      <c r="A70" s="11" t="s">
        <v>3452</v>
      </c>
      <c r="B70" t="s">
        <v>85</v>
      </c>
      <c r="C70" s="6" t="s">
        <v>85</v>
      </c>
      <c r="D70" s="6"/>
      <c r="E70" s="6"/>
      <c r="F70" s="6"/>
      <c r="G70" s="42" t="s">
        <v>78</v>
      </c>
      <c r="H70" s="7"/>
      <c r="M70" s="7"/>
    </row>
    <row r="71" spans="1:13">
      <c r="A71" s="11" t="s">
        <v>217</v>
      </c>
      <c r="B71" t="s">
        <v>86</v>
      </c>
      <c r="C71" s="6" t="s">
        <v>86</v>
      </c>
      <c r="D71" s="6"/>
      <c r="E71" s="6"/>
      <c r="F71" s="6"/>
      <c r="G71" s="42" t="s">
        <v>78</v>
      </c>
      <c r="H71" s="7"/>
      <c r="M71" s="7"/>
    </row>
    <row r="72" spans="1:13">
      <c r="A72" s="11" t="s">
        <v>393</v>
      </c>
      <c r="B72" t="s">
        <v>86</v>
      </c>
      <c r="C72" s="6" t="s">
        <v>86</v>
      </c>
      <c r="D72" s="6"/>
      <c r="E72" s="6"/>
      <c r="F72" s="6"/>
      <c r="G72" s="42" t="s">
        <v>78</v>
      </c>
      <c r="H72" s="7"/>
      <c r="M72" s="7"/>
    </row>
    <row r="73" spans="1:13">
      <c r="A73" s="11" t="s">
        <v>312</v>
      </c>
      <c r="B73" t="s">
        <v>86</v>
      </c>
      <c r="C73" s="6" t="s">
        <v>86</v>
      </c>
      <c r="D73" s="6"/>
      <c r="E73" s="6"/>
      <c r="F73" s="6"/>
      <c r="G73" s="42" t="s">
        <v>78</v>
      </c>
      <c r="H73" s="7"/>
      <c r="M73" s="7"/>
    </row>
    <row r="74" spans="1:13">
      <c r="A74" s="11" t="s">
        <v>131</v>
      </c>
      <c r="B74" t="s">
        <v>87</v>
      </c>
      <c r="C74" s="6" t="s">
        <v>87</v>
      </c>
      <c r="D74" s="6"/>
      <c r="E74" s="6"/>
      <c r="F74" s="6"/>
      <c r="G74" s="42" t="s">
        <v>78</v>
      </c>
      <c r="H74" s="7"/>
      <c r="M74" s="7"/>
    </row>
    <row r="75" spans="1:13">
      <c r="A75" s="11" t="s">
        <v>316</v>
      </c>
      <c r="B75" t="s">
        <v>87</v>
      </c>
      <c r="C75" s="6" t="s">
        <v>87</v>
      </c>
      <c r="D75" s="6"/>
      <c r="E75" s="6"/>
      <c r="F75" s="6"/>
      <c r="G75" s="42" t="s">
        <v>78</v>
      </c>
      <c r="H75" s="7"/>
      <c r="M75" s="7"/>
    </row>
    <row r="76" spans="1:13">
      <c r="A76" s="11" t="s">
        <v>226</v>
      </c>
      <c r="B76" t="s">
        <v>87</v>
      </c>
      <c r="C76" s="6" t="s">
        <v>87</v>
      </c>
      <c r="D76" s="6"/>
      <c r="E76" s="6"/>
      <c r="F76" s="6"/>
      <c r="G76" s="42" t="s">
        <v>78</v>
      </c>
      <c r="H76" s="7"/>
      <c r="M76" s="7"/>
    </row>
    <row r="77" spans="1:13">
      <c r="A77" s="11" t="s">
        <v>1679</v>
      </c>
      <c r="B77" t="s">
        <v>87</v>
      </c>
      <c r="C77" s="6" t="s">
        <v>87</v>
      </c>
      <c r="D77" s="6"/>
      <c r="E77" s="6"/>
      <c r="F77" s="6"/>
      <c r="G77" s="42" t="s">
        <v>78</v>
      </c>
      <c r="H77" s="7"/>
      <c r="M77" s="7"/>
    </row>
    <row r="78" spans="1:13">
      <c r="A78" s="11" t="s">
        <v>4290</v>
      </c>
      <c r="B78" t="s">
        <v>88</v>
      </c>
      <c r="C78" s="6" t="s">
        <v>88</v>
      </c>
      <c r="D78" s="6"/>
      <c r="E78" s="6"/>
      <c r="F78" s="6"/>
      <c r="G78" s="42" t="s">
        <v>78</v>
      </c>
      <c r="H78" s="7"/>
      <c r="M78" s="7"/>
    </row>
    <row r="79" spans="1:13">
      <c r="A79" s="11" t="s">
        <v>1457</v>
      </c>
      <c r="B79" t="s">
        <v>88</v>
      </c>
      <c r="C79" s="6" t="s">
        <v>88</v>
      </c>
      <c r="D79" s="6"/>
      <c r="E79" s="6"/>
      <c r="F79" s="6"/>
      <c r="G79" s="42" t="s">
        <v>78</v>
      </c>
      <c r="H79" s="7"/>
      <c r="M79" s="7"/>
    </row>
    <row r="80" spans="1:13">
      <c r="A80" s="11" t="s">
        <v>1731</v>
      </c>
      <c r="B80" t="s">
        <v>88</v>
      </c>
      <c r="C80" s="6" t="s">
        <v>88</v>
      </c>
      <c r="D80" s="6"/>
      <c r="E80" s="6"/>
      <c r="F80" s="6"/>
      <c r="G80" s="42" t="s">
        <v>78</v>
      </c>
      <c r="H80" s="7"/>
      <c r="M80" s="7"/>
    </row>
    <row r="81" spans="1:13">
      <c r="A81" s="11" t="s">
        <v>4240</v>
      </c>
      <c r="B81" t="s">
        <v>88</v>
      </c>
      <c r="C81" s="6" t="s">
        <v>88</v>
      </c>
      <c r="D81" s="6"/>
      <c r="E81" s="6"/>
      <c r="F81" s="6"/>
      <c r="G81" s="42" t="s">
        <v>78</v>
      </c>
      <c r="H81" s="7"/>
      <c r="M81" s="7"/>
    </row>
    <row r="82" spans="1:13">
      <c r="A82" s="11" t="s">
        <v>138</v>
      </c>
      <c r="B82" t="s">
        <v>89</v>
      </c>
      <c r="C82" s="6" t="s">
        <v>89</v>
      </c>
      <c r="D82" s="6"/>
      <c r="E82" s="6"/>
      <c r="F82" s="6"/>
      <c r="G82" s="42" t="s">
        <v>78</v>
      </c>
      <c r="H82" s="7"/>
      <c r="M82" s="7"/>
    </row>
    <row r="83" spans="1:13">
      <c r="A83" s="11" t="s">
        <v>1527</v>
      </c>
      <c r="B83" t="s">
        <v>89</v>
      </c>
      <c r="C83" s="6" t="s">
        <v>89</v>
      </c>
      <c r="D83" s="6"/>
      <c r="E83" s="6"/>
      <c r="F83" s="6"/>
      <c r="G83" s="42" t="s">
        <v>78</v>
      </c>
      <c r="H83" s="7"/>
      <c r="M83" s="7"/>
    </row>
    <row r="84" spans="1:13">
      <c r="A84" s="11" t="s">
        <v>232</v>
      </c>
      <c r="B84" t="s">
        <v>89</v>
      </c>
      <c r="C84" s="6" t="s">
        <v>89</v>
      </c>
      <c r="D84" s="6"/>
      <c r="E84" s="6"/>
      <c r="F84" s="6"/>
      <c r="G84" s="42" t="s">
        <v>78</v>
      </c>
      <c r="H84" s="7"/>
      <c r="M84" s="7"/>
    </row>
    <row r="85" spans="1:13">
      <c r="A85" s="11" t="s">
        <v>2797</v>
      </c>
      <c r="B85" t="s">
        <v>89</v>
      </c>
      <c r="C85" s="6" t="s">
        <v>89</v>
      </c>
      <c r="D85" s="6"/>
      <c r="E85" s="6"/>
      <c r="F85" s="6"/>
      <c r="G85" s="42" t="s">
        <v>78</v>
      </c>
      <c r="H85" s="7"/>
      <c r="M85" s="7"/>
    </row>
    <row r="86" spans="1:13">
      <c r="A86" s="11" t="s">
        <v>222</v>
      </c>
      <c r="B86" t="s">
        <v>90</v>
      </c>
      <c r="C86" s="6" t="s">
        <v>90</v>
      </c>
      <c r="D86" s="6"/>
      <c r="E86" s="6"/>
      <c r="F86" s="6"/>
      <c r="G86" s="42" t="s">
        <v>78</v>
      </c>
      <c r="H86" s="7"/>
      <c r="M86" s="7"/>
    </row>
    <row r="87" spans="1:13">
      <c r="A87" s="11" t="s">
        <v>401</v>
      </c>
      <c r="B87" t="s">
        <v>90</v>
      </c>
      <c r="C87" s="6" t="s">
        <v>90</v>
      </c>
      <c r="D87" s="6"/>
      <c r="E87" s="6"/>
      <c r="F87" s="6"/>
      <c r="G87" s="42" t="s">
        <v>78</v>
      </c>
      <c r="H87" s="7"/>
      <c r="M87" s="7"/>
    </row>
    <row r="88" spans="1:13">
      <c r="A88" s="11" t="s">
        <v>308</v>
      </c>
      <c r="B88" t="s">
        <v>90</v>
      </c>
      <c r="C88" s="6" t="s">
        <v>90</v>
      </c>
      <c r="D88" s="6"/>
      <c r="E88" s="6"/>
      <c r="F88" s="6"/>
      <c r="G88" s="42" t="s">
        <v>78</v>
      </c>
      <c r="H88" s="7"/>
      <c r="M88" s="7"/>
    </row>
    <row r="89" spans="1:13">
      <c r="A89" s="11" t="s">
        <v>3593</v>
      </c>
      <c r="B89" t="s">
        <v>90</v>
      </c>
      <c r="C89" s="6" t="s">
        <v>90</v>
      </c>
      <c r="D89" s="6"/>
      <c r="E89" s="6"/>
      <c r="F89" s="6"/>
      <c r="G89" s="42" t="s">
        <v>78</v>
      </c>
      <c r="H89" s="7"/>
      <c r="M89" s="7"/>
    </row>
    <row r="90" spans="1:13">
      <c r="A90" s="11" t="s">
        <v>2266</v>
      </c>
      <c r="B90" t="s">
        <v>91</v>
      </c>
      <c r="C90" s="6" t="s">
        <v>91</v>
      </c>
      <c r="D90" s="6"/>
      <c r="E90" s="6"/>
      <c r="F90" s="6"/>
      <c r="G90" s="42" t="s">
        <v>78</v>
      </c>
      <c r="H90" s="7"/>
      <c r="M90" s="7"/>
    </row>
    <row r="91" spans="1:13">
      <c r="A91" s="11" t="s">
        <v>4294</v>
      </c>
      <c r="B91" t="s">
        <v>92</v>
      </c>
      <c r="C91" s="6" t="s">
        <v>92</v>
      </c>
      <c r="D91" s="6"/>
      <c r="E91" s="6"/>
      <c r="F91" s="6"/>
      <c r="G91" s="42" t="s">
        <v>78</v>
      </c>
      <c r="H91" s="7"/>
      <c r="M91" s="7"/>
    </row>
    <row r="92" spans="1:13">
      <c r="A92" s="11" t="s">
        <v>174</v>
      </c>
      <c r="B92" t="s">
        <v>92</v>
      </c>
      <c r="C92" s="6" t="s">
        <v>92</v>
      </c>
      <c r="D92" s="6"/>
      <c r="E92" s="6"/>
      <c r="F92" s="6"/>
      <c r="G92" s="42" t="s">
        <v>78</v>
      </c>
      <c r="H92" s="7"/>
      <c r="M92" s="7"/>
    </row>
    <row r="93" spans="1:13">
      <c r="A93" s="11" t="s">
        <v>339</v>
      </c>
      <c r="B93" t="s">
        <v>92</v>
      </c>
      <c r="C93" s="6" t="s">
        <v>92</v>
      </c>
      <c r="D93" s="6"/>
      <c r="E93" s="6"/>
      <c r="F93" s="6"/>
      <c r="G93" s="42" t="s">
        <v>78</v>
      </c>
      <c r="H93" s="7"/>
      <c r="M93" s="7"/>
    </row>
    <row r="94" spans="1:13">
      <c r="A94" s="11" t="s">
        <v>263</v>
      </c>
      <c r="B94" t="s">
        <v>92</v>
      </c>
      <c r="C94" s="6" t="s">
        <v>92</v>
      </c>
      <c r="D94" s="6"/>
      <c r="E94" s="6"/>
      <c r="F94" s="6"/>
      <c r="G94" s="42" t="s">
        <v>78</v>
      </c>
      <c r="H94" s="7"/>
      <c r="M94" s="7"/>
    </row>
    <row r="95" spans="1:13">
      <c r="A95" s="11" t="s">
        <v>823</v>
      </c>
      <c r="B95" t="s">
        <v>92</v>
      </c>
      <c r="C95" s="6" t="s">
        <v>92</v>
      </c>
      <c r="D95" s="6"/>
      <c r="E95" s="6"/>
      <c r="F95" s="6"/>
      <c r="G95" s="42" t="s">
        <v>78</v>
      </c>
      <c r="H95" s="7"/>
      <c r="M95" s="7"/>
    </row>
    <row r="96" spans="1:13">
      <c r="A96" s="11" t="s">
        <v>1191</v>
      </c>
      <c r="B96" t="s">
        <v>93</v>
      </c>
      <c r="C96" s="6" t="s">
        <v>93</v>
      </c>
      <c r="D96" s="6"/>
      <c r="E96" s="6"/>
      <c r="F96" s="6"/>
      <c r="G96" s="42" t="s">
        <v>78</v>
      </c>
      <c r="H96" s="7"/>
      <c r="M96" s="7"/>
    </row>
    <row r="97" spans="1:13">
      <c r="A97" s="11" t="s">
        <v>1278</v>
      </c>
      <c r="B97" t="s">
        <v>93</v>
      </c>
      <c r="C97" s="6" t="s">
        <v>93</v>
      </c>
      <c r="D97" s="6"/>
      <c r="E97" s="6"/>
      <c r="F97" s="6"/>
      <c r="G97" s="42" t="s">
        <v>78</v>
      </c>
      <c r="H97" s="7"/>
      <c r="M97" s="7"/>
    </row>
    <row r="98" spans="1:13">
      <c r="A98" s="11" t="s">
        <v>4740</v>
      </c>
      <c r="B98" t="s">
        <v>94</v>
      </c>
      <c r="C98" s="6" t="s">
        <v>94</v>
      </c>
      <c r="D98" s="6"/>
      <c r="E98" s="6"/>
      <c r="F98" s="6"/>
      <c r="G98" s="42" t="s">
        <v>78</v>
      </c>
      <c r="H98" s="7"/>
      <c r="M98" s="7"/>
    </row>
    <row r="99" spans="1:13">
      <c r="A99" s="11" t="s">
        <v>159</v>
      </c>
      <c r="B99" t="s">
        <v>95</v>
      </c>
      <c r="C99" s="6" t="s">
        <v>95</v>
      </c>
      <c r="D99" s="6"/>
      <c r="E99" s="6"/>
      <c r="F99" s="6"/>
      <c r="G99" s="42" t="s">
        <v>78</v>
      </c>
      <c r="H99" s="7"/>
      <c r="M99" s="7"/>
    </row>
    <row r="100" spans="1:13">
      <c r="A100" s="11" t="s">
        <v>921</v>
      </c>
      <c r="B100" t="s">
        <v>95</v>
      </c>
      <c r="C100" s="6" t="s">
        <v>95</v>
      </c>
      <c r="D100" s="6"/>
      <c r="E100" s="6"/>
      <c r="F100" s="6"/>
      <c r="G100" s="42" t="s">
        <v>78</v>
      </c>
      <c r="H100" s="7"/>
      <c r="M100" s="7"/>
    </row>
    <row r="101" spans="1:13">
      <c r="A101" s="11" t="s">
        <v>666</v>
      </c>
      <c r="B101" t="s">
        <v>95</v>
      </c>
      <c r="C101" s="6" t="s">
        <v>95</v>
      </c>
      <c r="D101" s="6"/>
      <c r="E101" s="6"/>
      <c r="F101" s="6"/>
      <c r="G101" s="42" t="s">
        <v>78</v>
      </c>
      <c r="H101" s="7"/>
      <c r="M101" s="7"/>
    </row>
    <row r="102" spans="1:13">
      <c r="A102" s="11" t="s">
        <v>1953</v>
      </c>
      <c r="B102" t="s">
        <v>95</v>
      </c>
      <c r="C102" s="6" t="s">
        <v>95</v>
      </c>
      <c r="D102" s="6"/>
      <c r="E102" s="6"/>
      <c r="F102" s="6"/>
      <c r="G102" s="42" t="s">
        <v>78</v>
      </c>
      <c r="H102" s="7"/>
      <c r="M102" s="7"/>
    </row>
    <row r="103" spans="1:13">
      <c r="A103" s="11" t="s">
        <v>3746</v>
      </c>
      <c r="B103" t="s">
        <v>96</v>
      </c>
      <c r="C103" s="6" t="s">
        <v>96</v>
      </c>
      <c r="D103" s="6"/>
      <c r="E103" s="6"/>
      <c r="F103" s="6"/>
      <c r="G103" s="42" t="s">
        <v>78</v>
      </c>
      <c r="H103" s="7"/>
      <c r="M103" s="7"/>
    </row>
    <row r="104" spans="1:13">
      <c r="A104" s="11" t="s">
        <v>1921</v>
      </c>
      <c r="B104" t="s">
        <v>96</v>
      </c>
      <c r="C104" s="6" t="s">
        <v>96</v>
      </c>
      <c r="D104" s="6"/>
      <c r="E104" s="6"/>
      <c r="F104" s="6"/>
      <c r="G104" s="42" t="s">
        <v>78</v>
      </c>
      <c r="H104" s="7"/>
      <c r="M104" s="7"/>
    </row>
    <row r="107" spans="1:13" ht="16.5">
      <c r="A107" s="40" t="s">
        <v>5175</v>
      </c>
    </row>
    <row r="108" spans="1:13" ht="28.5">
      <c r="A108" s="5" t="s">
        <v>22</v>
      </c>
      <c r="B108" s="5" t="s">
        <v>23</v>
      </c>
      <c r="C108" s="5" t="s">
        <v>24</v>
      </c>
      <c r="D108" s="5" t="s">
        <v>12</v>
      </c>
      <c r="F108" t="s">
        <v>28</v>
      </c>
    </row>
    <row r="109" spans="1:13">
      <c r="A109" t="s">
        <v>25</v>
      </c>
      <c r="B109" s="6" t="s">
        <v>26</v>
      </c>
      <c r="C109" s="6" t="s">
        <v>27</v>
      </c>
      <c r="F109" t="s">
        <v>29</v>
      </c>
    </row>
  </sheetData>
  <phoneticPr fontId="1"/>
  <dataValidations count="4">
    <dataValidation type="list" allowBlank="1" showInputMessage="1" sqref="G6:G104" xr:uid="{CC8115B0-31E2-4D27-9599-D1462A155CC9}">
      <formula1>"○,×"</formula1>
    </dataValidation>
    <dataValidation type="list" allowBlank="1" showInputMessage="1" sqref="F6:F104" xr:uid="{967F0336-F8D3-4AA6-898B-6F39D596F129}">
      <formula1>"登録,ＳＶ承認,確認済締処理登録"</formula1>
    </dataValidation>
    <dataValidation type="list" allowBlank="1" showInputMessage="1" sqref="E6:E104" xr:uid="{FA0406E3-F09A-4E07-A877-90DCC740FA04}">
      <formula1>"住居,扶養,通勤,給与口座,その他"</formula1>
    </dataValidation>
    <dataValidation type="list" allowBlank="1" showInputMessage="1" sqref="D6:D104 K6:K104" xr:uid="{004B89FB-5770-4932-A597-678D14386C0C}">
      <formula1>"1次確認,2次確認,3次確認"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73DFB-8C6D-4E45-A1B4-1E2541DE5844}">
  <sheetPr codeName="Sheet8">
    <tabColor rgb="FF808080"/>
  </sheetPr>
  <dimension ref="A1:W1734"/>
  <sheetViews>
    <sheetView topLeftCell="C1" workbookViewId="0">
      <pane ySplit="1" topLeftCell="A1677" activePane="bottomLeft" state="frozen"/>
      <selection pane="bottomLeft" activeCell="M1697" sqref="M1697"/>
    </sheetView>
  </sheetViews>
  <sheetFormatPr defaultRowHeight="14.25"/>
  <sheetData>
    <row r="1" spans="1:23">
      <c r="A1" s="10" t="s">
        <v>109</v>
      </c>
      <c r="B1" s="10" t="s">
        <v>110</v>
      </c>
      <c r="C1" s="10" t="s">
        <v>111</v>
      </c>
      <c r="D1" s="10" t="s">
        <v>112</v>
      </c>
      <c r="E1" s="10" t="s">
        <v>113</v>
      </c>
      <c r="F1" s="10" t="s">
        <v>98</v>
      </c>
      <c r="G1" s="10" t="s">
        <v>114</v>
      </c>
      <c r="H1" s="10" t="s">
        <v>115</v>
      </c>
      <c r="I1" s="10" t="s">
        <v>116</v>
      </c>
      <c r="J1" s="10" t="s">
        <v>117</v>
      </c>
      <c r="K1" s="10" t="s">
        <v>118</v>
      </c>
      <c r="L1" s="10" t="s">
        <v>119</v>
      </c>
      <c r="M1" s="10" t="s">
        <v>10</v>
      </c>
      <c r="N1" s="10" t="s">
        <v>120</v>
      </c>
      <c r="O1" s="10" t="s">
        <v>121</v>
      </c>
      <c r="P1" s="10" t="s">
        <v>122</v>
      </c>
      <c r="Q1" s="10" t="s">
        <v>123</v>
      </c>
      <c r="R1" s="10" t="s">
        <v>124</v>
      </c>
      <c r="S1" s="10" t="s">
        <v>125</v>
      </c>
      <c r="T1" s="10" t="s">
        <v>126</v>
      </c>
      <c r="U1" s="10" t="s">
        <v>127</v>
      </c>
      <c r="V1" s="10" t="s">
        <v>128</v>
      </c>
      <c r="W1" s="10" t="s">
        <v>30</v>
      </c>
    </row>
    <row r="2" spans="1:23">
      <c r="A2">
        <v>253205</v>
      </c>
      <c r="B2">
        <v>9742</v>
      </c>
      <c r="C2" s="11" t="s">
        <v>129</v>
      </c>
      <c r="D2" s="11" t="s">
        <v>130</v>
      </c>
      <c r="E2" s="11" t="s">
        <v>25</v>
      </c>
      <c r="F2" s="12">
        <v>46115</v>
      </c>
      <c r="G2" s="11" t="s">
        <v>131</v>
      </c>
      <c r="H2">
        <v>1</v>
      </c>
      <c r="I2" s="11" t="s">
        <v>132</v>
      </c>
      <c r="M2" s="11" t="s">
        <v>87</v>
      </c>
      <c r="N2" s="11" t="s">
        <v>133</v>
      </c>
      <c r="O2" s="11" t="s">
        <v>134</v>
      </c>
      <c r="P2" s="11" t="s">
        <v>132</v>
      </c>
      <c r="Q2" s="11" t="s">
        <v>135</v>
      </c>
      <c r="U2" s="11" t="s">
        <v>136</v>
      </c>
      <c r="V2" s="11" t="s">
        <v>137</v>
      </c>
      <c r="W2" s="13">
        <v>46302.314618055556</v>
      </c>
    </row>
    <row r="3" spans="1:23">
      <c r="A3">
        <v>253206</v>
      </c>
      <c r="B3">
        <v>9743</v>
      </c>
      <c r="C3" s="11" t="s">
        <v>129</v>
      </c>
      <c r="D3" s="11" t="s">
        <v>130</v>
      </c>
      <c r="E3" s="11" t="s">
        <v>25</v>
      </c>
      <c r="F3" s="12">
        <v>46115</v>
      </c>
      <c r="G3" s="11" t="s">
        <v>138</v>
      </c>
      <c r="H3">
        <v>1</v>
      </c>
      <c r="I3" s="11" t="s">
        <v>139</v>
      </c>
      <c r="M3" s="11" t="s">
        <v>89</v>
      </c>
      <c r="N3" s="11" t="s">
        <v>140</v>
      </c>
      <c r="O3" s="11" t="s">
        <v>141</v>
      </c>
      <c r="P3" s="11" t="s">
        <v>139</v>
      </c>
      <c r="Q3" s="11" t="s">
        <v>135</v>
      </c>
      <c r="U3" s="11" t="s">
        <v>142</v>
      </c>
      <c r="V3" s="11" t="s">
        <v>137</v>
      </c>
      <c r="W3" s="13">
        <v>46302.314618055556</v>
      </c>
    </row>
    <row r="4" spans="1:23">
      <c r="A4">
        <v>253207</v>
      </c>
      <c r="B4">
        <v>9744</v>
      </c>
      <c r="C4" s="11" t="s">
        <v>129</v>
      </c>
      <c r="D4" s="11" t="s">
        <v>130</v>
      </c>
      <c r="E4" s="11" t="s">
        <v>25</v>
      </c>
      <c r="F4" s="12">
        <v>46115</v>
      </c>
      <c r="G4" s="11" t="s">
        <v>143</v>
      </c>
      <c r="H4">
        <v>1</v>
      </c>
      <c r="I4" s="11" t="s">
        <v>144</v>
      </c>
      <c r="M4" s="11" t="s">
        <v>39</v>
      </c>
      <c r="N4" s="11" t="s">
        <v>145</v>
      </c>
      <c r="O4" s="11" t="s">
        <v>146</v>
      </c>
      <c r="P4" s="11" t="s">
        <v>144</v>
      </c>
      <c r="Q4" s="11" t="s">
        <v>147</v>
      </c>
      <c r="U4" s="11" t="s">
        <v>148</v>
      </c>
      <c r="V4" s="11" t="s">
        <v>137</v>
      </c>
      <c r="W4" s="13">
        <v>46302.314618055556</v>
      </c>
    </row>
    <row r="5" spans="1:23">
      <c r="A5">
        <v>253208</v>
      </c>
      <c r="B5">
        <v>9746</v>
      </c>
      <c r="C5" s="11" t="s">
        <v>129</v>
      </c>
      <c r="D5" s="11" t="s">
        <v>130</v>
      </c>
      <c r="E5" s="11" t="s">
        <v>25</v>
      </c>
      <c r="F5" s="12">
        <v>46115</v>
      </c>
      <c r="G5" s="11" t="s">
        <v>149</v>
      </c>
      <c r="H5">
        <v>1</v>
      </c>
      <c r="I5" s="11" t="s">
        <v>150</v>
      </c>
      <c r="M5" s="11" t="s">
        <v>77</v>
      </c>
      <c r="N5" s="11" t="s">
        <v>151</v>
      </c>
      <c r="O5" s="11" t="s">
        <v>152</v>
      </c>
      <c r="P5" s="11" t="s">
        <v>150</v>
      </c>
      <c r="Q5" s="11" t="s">
        <v>135</v>
      </c>
      <c r="U5" s="11" t="s">
        <v>153</v>
      </c>
      <c r="V5" s="11" t="s">
        <v>137</v>
      </c>
      <c r="W5" s="13">
        <v>46302.314618055556</v>
      </c>
    </row>
    <row r="6" spans="1:23">
      <c r="A6">
        <v>253209</v>
      </c>
      <c r="B6">
        <v>9747</v>
      </c>
      <c r="C6" s="11" t="s">
        <v>129</v>
      </c>
      <c r="D6" s="11" t="s">
        <v>130</v>
      </c>
      <c r="E6" s="11" t="s">
        <v>25</v>
      </c>
      <c r="F6" s="12">
        <v>46115</v>
      </c>
      <c r="G6" s="11" t="s">
        <v>154</v>
      </c>
      <c r="H6">
        <v>1</v>
      </c>
      <c r="I6" s="11" t="s">
        <v>155</v>
      </c>
      <c r="M6" s="11" t="s">
        <v>79</v>
      </c>
      <c r="N6" s="11" t="s">
        <v>156</v>
      </c>
      <c r="O6" s="11" t="s">
        <v>157</v>
      </c>
      <c r="P6" s="11" t="s">
        <v>155</v>
      </c>
      <c r="Q6" s="11" t="s">
        <v>135</v>
      </c>
      <c r="U6" s="11" t="s">
        <v>158</v>
      </c>
      <c r="V6" s="11" t="s">
        <v>137</v>
      </c>
      <c r="W6" s="13">
        <v>46302.314618055556</v>
      </c>
    </row>
    <row r="7" spans="1:23">
      <c r="A7">
        <v>253210</v>
      </c>
      <c r="B7">
        <v>9748</v>
      </c>
      <c r="C7" s="11" t="s">
        <v>129</v>
      </c>
      <c r="D7" s="11" t="s">
        <v>130</v>
      </c>
      <c r="E7" s="11" t="s">
        <v>25</v>
      </c>
      <c r="F7" s="12">
        <v>46115</v>
      </c>
      <c r="G7" s="11" t="s">
        <v>159</v>
      </c>
      <c r="H7">
        <v>1</v>
      </c>
      <c r="I7" s="11" t="s">
        <v>160</v>
      </c>
      <c r="M7" s="11" t="s">
        <v>95</v>
      </c>
      <c r="N7" s="11" t="s">
        <v>161</v>
      </c>
      <c r="O7" s="11" t="s">
        <v>162</v>
      </c>
      <c r="P7" s="11" t="s">
        <v>160</v>
      </c>
      <c r="Q7" s="11" t="s">
        <v>135</v>
      </c>
      <c r="U7" s="11" t="s">
        <v>163</v>
      </c>
      <c r="V7" s="11" t="s">
        <v>137</v>
      </c>
      <c r="W7" s="13">
        <v>46302.314618055556</v>
      </c>
    </row>
    <row r="8" spans="1:23">
      <c r="A8">
        <v>253211</v>
      </c>
      <c r="B8">
        <v>9749</v>
      </c>
      <c r="C8" s="11" t="s">
        <v>129</v>
      </c>
      <c r="D8" s="11" t="s">
        <v>130</v>
      </c>
      <c r="E8" s="11" t="s">
        <v>25</v>
      </c>
      <c r="F8" s="12">
        <v>46115</v>
      </c>
      <c r="G8" s="11" t="s">
        <v>164</v>
      </c>
      <c r="H8">
        <v>1</v>
      </c>
      <c r="I8" s="11" t="s">
        <v>165</v>
      </c>
      <c r="M8" s="11" t="s">
        <v>62</v>
      </c>
      <c r="N8" s="11" t="s">
        <v>166</v>
      </c>
      <c r="O8" s="11" t="s">
        <v>167</v>
      </c>
      <c r="P8" s="11" t="s">
        <v>165</v>
      </c>
      <c r="Q8" s="11" t="s">
        <v>135</v>
      </c>
      <c r="U8" s="11" t="s">
        <v>168</v>
      </c>
      <c r="V8" s="11" t="s">
        <v>137</v>
      </c>
      <c r="W8" s="13">
        <v>46302.314618055556</v>
      </c>
    </row>
    <row r="9" spans="1:23">
      <c r="A9">
        <v>253212</v>
      </c>
      <c r="B9">
        <v>9750</v>
      </c>
      <c r="C9" s="11" t="s">
        <v>129</v>
      </c>
      <c r="D9" s="11" t="s">
        <v>130</v>
      </c>
      <c r="E9" s="11" t="s">
        <v>25</v>
      </c>
      <c r="F9" s="12">
        <v>46115</v>
      </c>
      <c r="G9" s="11" t="s">
        <v>169</v>
      </c>
      <c r="H9">
        <v>1</v>
      </c>
      <c r="I9" s="11" t="s">
        <v>170</v>
      </c>
      <c r="M9" s="11" t="s">
        <v>51</v>
      </c>
      <c r="N9" s="11" t="s">
        <v>171</v>
      </c>
      <c r="O9" s="11" t="s">
        <v>172</v>
      </c>
      <c r="P9" s="11" t="s">
        <v>170</v>
      </c>
      <c r="Q9" s="11" t="s">
        <v>135</v>
      </c>
      <c r="U9" s="11" t="s">
        <v>173</v>
      </c>
      <c r="V9" s="11" t="s">
        <v>137</v>
      </c>
      <c r="W9" s="13">
        <v>46302.314618055556</v>
      </c>
    </row>
    <row r="10" spans="1:23">
      <c r="A10">
        <v>253213</v>
      </c>
      <c r="B10">
        <v>9751</v>
      </c>
      <c r="C10" s="11" t="s">
        <v>129</v>
      </c>
      <c r="D10" s="11" t="s">
        <v>130</v>
      </c>
      <c r="E10" s="11" t="s">
        <v>25</v>
      </c>
      <c r="F10" s="12">
        <v>46115</v>
      </c>
      <c r="G10" s="11" t="s">
        <v>174</v>
      </c>
      <c r="H10">
        <v>1</v>
      </c>
      <c r="I10" s="11" t="s">
        <v>175</v>
      </c>
      <c r="M10" s="11" t="s">
        <v>92</v>
      </c>
      <c r="N10" s="11" t="s">
        <v>176</v>
      </c>
      <c r="O10" s="11" t="s">
        <v>177</v>
      </c>
      <c r="P10" s="11" t="s">
        <v>175</v>
      </c>
      <c r="Q10" s="11" t="s">
        <v>135</v>
      </c>
      <c r="U10" s="11" t="s">
        <v>178</v>
      </c>
      <c r="V10" s="11" t="s">
        <v>137</v>
      </c>
      <c r="W10" s="13">
        <v>46302.314618055556</v>
      </c>
    </row>
    <row r="11" spans="1:23">
      <c r="A11">
        <v>253214</v>
      </c>
      <c r="B11">
        <v>9752</v>
      </c>
      <c r="C11" s="11" t="s">
        <v>129</v>
      </c>
      <c r="D11" s="11" t="s">
        <v>130</v>
      </c>
      <c r="E11" s="11" t="s">
        <v>25</v>
      </c>
      <c r="F11" s="12">
        <v>46115</v>
      </c>
      <c r="G11" s="11" t="s">
        <v>179</v>
      </c>
      <c r="H11">
        <v>1</v>
      </c>
      <c r="I11" s="11" t="s">
        <v>180</v>
      </c>
      <c r="M11" s="11" t="s">
        <v>83</v>
      </c>
      <c r="N11" s="11" t="s">
        <v>181</v>
      </c>
      <c r="O11" s="11" t="s">
        <v>182</v>
      </c>
      <c r="P11" s="11" t="s">
        <v>180</v>
      </c>
      <c r="Q11" s="11" t="s">
        <v>135</v>
      </c>
      <c r="U11" s="11" t="s">
        <v>183</v>
      </c>
      <c r="V11" s="11" t="s">
        <v>137</v>
      </c>
      <c r="W11" s="13">
        <v>46302.314618055556</v>
      </c>
    </row>
    <row r="12" spans="1:23">
      <c r="A12">
        <v>253215</v>
      </c>
      <c r="B12">
        <v>9753</v>
      </c>
      <c r="C12" s="11" t="s">
        <v>129</v>
      </c>
      <c r="D12" s="11" t="s">
        <v>130</v>
      </c>
      <c r="E12" s="11" t="s">
        <v>25</v>
      </c>
      <c r="F12" s="12">
        <v>46115</v>
      </c>
      <c r="G12" s="11" t="s">
        <v>164</v>
      </c>
      <c r="H12">
        <v>1</v>
      </c>
      <c r="I12" s="11" t="s">
        <v>184</v>
      </c>
      <c r="M12" s="11" t="s">
        <v>62</v>
      </c>
      <c r="N12" s="11" t="s">
        <v>185</v>
      </c>
      <c r="O12" s="11" t="s">
        <v>186</v>
      </c>
      <c r="P12" s="11" t="s">
        <v>184</v>
      </c>
      <c r="Q12" s="11" t="s">
        <v>135</v>
      </c>
      <c r="U12" s="11" t="s">
        <v>168</v>
      </c>
      <c r="V12" s="11" t="s">
        <v>137</v>
      </c>
      <c r="W12" s="13">
        <v>46302.314618055556</v>
      </c>
    </row>
    <row r="13" spans="1:23">
      <c r="A13">
        <v>253216</v>
      </c>
      <c r="B13">
        <v>9754</v>
      </c>
      <c r="C13" s="11" t="s">
        <v>129</v>
      </c>
      <c r="D13" s="11" t="s">
        <v>130</v>
      </c>
      <c r="E13" s="11" t="s">
        <v>25</v>
      </c>
      <c r="F13" s="12">
        <v>46115</v>
      </c>
      <c r="G13" s="11" t="s">
        <v>164</v>
      </c>
      <c r="H13">
        <v>1</v>
      </c>
      <c r="I13" s="11" t="s">
        <v>187</v>
      </c>
      <c r="M13" s="11" t="s">
        <v>62</v>
      </c>
      <c r="N13" s="11" t="s">
        <v>188</v>
      </c>
      <c r="O13" s="11" t="s">
        <v>189</v>
      </c>
      <c r="P13" s="11" t="s">
        <v>187</v>
      </c>
      <c r="Q13" s="11" t="s">
        <v>135</v>
      </c>
      <c r="U13" s="11" t="s">
        <v>168</v>
      </c>
      <c r="V13" s="11" t="s">
        <v>137</v>
      </c>
      <c r="W13" s="13">
        <v>46302.314618055556</v>
      </c>
    </row>
    <row r="14" spans="1:23">
      <c r="A14">
        <v>253217</v>
      </c>
      <c r="B14">
        <v>9755</v>
      </c>
      <c r="C14" s="11" t="s">
        <v>129</v>
      </c>
      <c r="D14" s="11" t="s">
        <v>130</v>
      </c>
      <c r="E14" s="11" t="s">
        <v>25</v>
      </c>
      <c r="F14" s="12">
        <v>46115</v>
      </c>
      <c r="G14" s="11" t="s">
        <v>190</v>
      </c>
      <c r="H14">
        <v>1</v>
      </c>
      <c r="I14" s="11" t="s">
        <v>191</v>
      </c>
      <c r="M14" s="11" t="s">
        <v>52</v>
      </c>
      <c r="N14" s="11" t="s">
        <v>192</v>
      </c>
      <c r="O14" s="11" t="s">
        <v>193</v>
      </c>
      <c r="P14" s="11" t="s">
        <v>191</v>
      </c>
      <c r="Q14" s="11" t="s">
        <v>135</v>
      </c>
      <c r="U14" s="11" t="s">
        <v>194</v>
      </c>
      <c r="V14" s="11" t="s">
        <v>137</v>
      </c>
      <c r="W14" s="13">
        <v>46302.314618055556</v>
      </c>
    </row>
    <row r="15" spans="1:23">
      <c r="A15">
        <v>253218</v>
      </c>
      <c r="B15">
        <v>9756</v>
      </c>
      <c r="C15" s="11" t="s">
        <v>129</v>
      </c>
      <c r="D15" s="11" t="s">
        <v>130</v>
      </c>
      <c r="E15" s="11" t="s">
        <v>25</v>
      </c>
      <c r="F15" s="12">
        <v>46115</v>
      </c>
      <c r="G15" s="11" t="s">
        <v>195</v>
      </c>
      <c r="H15">
        <v>1</v>
      </c>
      <c r="I15" s="11" t="s">
        <v>196</v>
      </c>
      <c r="M15" s="11" t="s">
        <v>68</v>
      </c>
      <c r="N15" s="11" t="s">
        <v>197</v>
      </c>
      <c r="O15" s="11" t="s">
        <v>198</v>
      </c>
      <c r="P15" s="11" t="s">
        <v>196</v>
      </c>
      <c r="Q15" s="11" t="s">
        <v>135</v>
      </c>
      <c r="U15" s="11" t="s">
        <v>199</v>
      </c>
      <c r="V15" s="11" t="s">
        <v>137</v>
      </c>
      <c r="W15" s="13">
        <v>46302.314618055556</v>
      </c>
    </row>
    <row r="16" spans="1:23">
      <c r="A16">
        <v>253219</v>
      </c>
      <c r="B16">
        <v>9757</v>
      </c>
      <c r="C16" s="11" t="s">
        <v>129</v>
      </c>
      <c r="D16" s="11" t="s">
        <v>130</v>
      </c>
      <c r="E16" s="11" t="s">
        <v>25</v>
      </c>
      <c r="F16" s="12">
        <v>46115</v>
      </c>
      <c r="G16" s="11" t="s">
        <v>131</v>
      </c>
      <c r="H16">
        <v>1</v>
      </c>
      <c r="I16" s="11" t="s">
        <v>200</v>
      </c>
      <c r="M16" s="11" t="s">
        <v>87</v>
      </c>
      <c r="N16" s="11" t="s">
        <v>201</v>
      </c>
      <c r="O16" s="11" t="s">
        <v>202</v>
      </c>
      <c r="P16" s="11" t="s">
        <v>200</v>
      </c>
      <c r="Q16" s="11" t="s">
        <v>135</v>
      </c>
      <c r="U16" s="11" t="s">
        <v>136</v>
      </c>
      <c r="V16" s="11" t="s">
        <v>137</v>
      </c>
      <c r="W16" s="13">
        <v>46302.314618055556</v>
      </c>
    </row>
    <row r="17" spans="1:23">
      <c r="A17">
        <v>253220</v>
      </c>
      <c r="B17">
        <v>9758</v>
      </c>
      <c r="C17" s="11" t="s">
        <v>129</v>
      </c>
      <c r="D17" s="11" t="s">
        <v>130</v>
      </c>
      <c r="E17" s="11" t="s">
        <v>25</v>
      </c>
      <c r="F17" s="12">
        <v>46115</v>
      </c>
      <c r="G17" s="11" t="s">
        <v>143</v>
      </c>
      <c r="H17">
        <v>1</v>
      </c>
      <c r="I17" s="11" t="s">
        <v>203</v>
      </c>
      <c r="M17" s="11" t="s">
        <v>39</v>
      </c>
      <c r="N17" s="11" t="s">
        <v>204</v>
      </c>
      <c r="O17" s="11" t="s">
        <v>205</v>
      </c>
      <c r="P17" s="11" t="s">
        <v>203</v>
      </c>
      <c r="Q17" s="11" t="s">
        <v>135</v>
      </c>
      <c r="U17" s="11" t="s">
        <v>148</v>
      </c>
      <c r="V17" s="11" t="s">
        <v>137</v>
      </c>
      <c r="W17" s="13">
        <v>46302.314618055556</v>
      </c>
    </row>
    <row r="18" spans="1:23">
      <c r="A18">
        <v>253221</v>
      </c>
      <c r="B18">
        <v>9759</v>
      </c>
      <c r="C18" s="11" t="s">
        <v>129</v>
      </c>
      <c r="D18" s="11" t="s">
        <v>130</v>
      </c>
      <c r="E18" s="11" t="s">
        <v>25</v>
      </c>
      <c r="F18" s="12">
        <v>46115</v>
      </c>
      <c r="G18" s="11" t="s">
        <v>195</v>
      </c>
      <c r="H18">
        <v>1</v>
      </c>
      <c r="I18" s="11" t="s">
        <v>206</v>
      </c>
      <c r="M18" s="11" t="s">
        <v>68</v>
      </c>
      <c r="N18" s="11" t="s">
        <v>207</v>
      </c>
      <c r="O18" s="11" t="s">
        <v>208</v>
      </c>
      <c r="P18" s="11" t="s">
        <v>206</v>
      </c>
      <c r="Q18" s="11" t="s">
        <v>135</v>
      </c>
      <c r="U18" s="11" t="s">
        <v>199</v>
      </c>
      <c r="V18" s="11" t="s">
        <v>137</v>
      </c>
      <c r="W18" s="13">
        <v>46302.314618055556</v>
      </c>
    </row>
    <row r="19" spans="1:23">
      <c r="A19">
        <v>253222</v>
      </c>
      <c r="B19">
        <v>9760</v>
      </c>
      <c r="C19" s="11" t="s">
        <v>129</v>
      </c>
      <c r="D19" s="11" t="s">
        <v>130</v>
      </c>
      <c r="E19" s="11" t="s">
        <v>25</v>
      </c>
      <c r="F19" s="12">
        <v>46115</v>
      </c>
      <c r="G19" s="11" t="s">
        <v>174</v>
      </c>
      <c r="H19">
        <v>1</v>
      </c>
      <c r="I19" s="11" t="s">
        <v>209</v>
      </c>
      <c r="M19" s="11" t="s">
        <v>92</v>
      </c>
      <c r="N19" s="11" t="s">
        <v>210</v>
      </c>
      <c r="O19" s="11" t="s">
        <v>211</v>
      </c>
      <c r="P19" s="11" t="s">
        <v>209</v>
      </c>
      <c r="Q19" s="11" t="s">
        <v>135</v>
      </c>
      <c r="U19" s="11" t="s">
        <v>178</v>
      </c>
      <c r="V19" s="11" t="s">
        <v>137</v>
      </c>
      <c r="W19" s="13">
        <v>46302.314618055556</v>
      </c>
    </row>
    <row r="20" spans="1:23">
      <c r="A20">
        <v>253223</v>
      </c>
      <c r="B20">
        <v>9761</v>
      </c>
      <c r="C20" s="11" t="s">
        <v>129</v>
      </c>
      <c r="D20" s="11" t="s">
        <v>130</v>
      </c>
      <c r="E20" s="11" t="s">
        <v>25</v>
      </c>
      <c r="F20" s="12">
        <v>46115</v>
      </c>
      <c r="G20" s="11" t="s">
        <v>212</v>
      </c>
      <c r="H20">
        <v>1</v>
      </c>
      <c r="I20" s="11" t="s">
        <v>213</v>
      </c>
      <c r="M20" s="11" t="s">
        <v>40</v>
      </c>
      <c r="N20" s="11" t="s">
        <v>214</v>
      </c>
      <c r="O20" s="11" t="s">
        <v>215</v>
      </c>
      <c r="P20" s="11" t="s">
        <v>213</v>
      </c>
      <c r="Q20" s="11" t="s">
        <v>135</v>
      </c>
      <c r="U20" s="11" t="s">
        <v>216</v>
      </c>
      <c r="V20" s="11" t="s">
        <v>137</v>
      </c>
      <c r="W20" s="13">
        <v>46302.314618055556</v>
      </c>
    </row>
    <row r="21" spans="1:23">
      <c r="A21">
        <v>253224</v>
      </c>
      <c r="B21">
        <v>9762</v>
      </c>
      <c r="C21" s="11" t="s">
        <v>129</v>
      </c>
      <c r="D21" s="11" t="s">
        <v>130</v>
      </c>
      <c r="E21" s="11" t="s">
        <v>25</v>
      </c>
      <c r="F21" s="12">
        <v>46115</v>
      </c>
      <c r="G21" s="11" t="s">
        <v>217</v>
      </c>
      <c r="H21">
        <v>1</v>
      </c>
      <c r="I21" s="11" t="s">
        <v>218</v>
      </c>
      <c r="M21" s="11" t="s">
        <v>86</v>
      </c>
      <c r="N21" s="11" t="s">
        <v>219</v>
      </c>
      <c r="O21" s="11" t="s">
        <v>220</v>
      </c>
      <c r="P21" s="11" t="s">
        <v>218</v>
      </c>
      <c r="Q21" s="11" t="s">
        <v>135</v>
      </c>
      <c r="U21" s="11" t="s">
        <v>221</v>
      </c>
      <c r="V21" s="11" t="s">
        <v>137</v>
      </c>
      <c r="W21" s="13">
        <v>46302.314618055556</v>
      </c>
    </row>
    <row r="22" spans="1:23">
      <c r="A22">
        <v>253225</v>
      </c>
      <c r="B22">
        <v>9745</v>
      </c>
      <c r="C22" s="11" t="s">
        <v>129</v>
      </c>
      <c r="D22" s="11" t="s">
        <v>130</v>
      </c>
      <c r="E22" s="11" t="s">
        <v>25</v>
      </c>
      <c r="F22" s="12">
        <v>46115</v>
      </c>
      <c r="G22" s="11" t="s">
        <v>222</v>
      </c>
      <c r="H22">
        <v>1</v>
      </c>
      <c r="I22" s="11" t="s">
        <v>147</v>
      </c>
      <c r="M22" s="11" t="s">
        <v>90</v>
      </c>
      <c r="N22" s="11" t="s">
        <v>223</v>
      </c>
      <c r="O22" s="11" t="s">
        <v>224</v>
      </c>
      <c r="P22" s="11" t="s">
        <v>147</v>
      </c>
      <c r="Q22" s="11" t="s">
        <v>135</v>
      </c>
      <c r="R22">
        <v>9744</v>
      </c>
      <c r="U22" s="11" t="s">
        <v>225</v>
      </c>
      <c r="V22" s="11" t="s">
        <v>137</v>
      </c>
      <c r="W22" s="13">
        <v>46302.314618055556</v>
      </c>
    </row>
    <row r="23" spans="1:23">
      <c r="A23">
        <v>253612</v>
      </c>
      <c r="B23">
        <v>9493</v>
      </c>
      <c r="C23" s="11" t="s">
        <v>129</v>
      </c>
      <c r="D23" s="11" t="s">
        <v>130</v>
      </c>
      <c r="E23" s="11" t="s">
        <v>25</v>
      </c>
      <c r="F23" s="12">
        <v>46118</v>
      </c>
      <c r="G23" s="11" t="s">
        <v>226</v>
      </c>
      <c r="H23">
        <v>1</v>
      </c>
      <c r="I23" s="11" t="s">
        <v>227</v>
      </c>
      <c r="M23" s="11" t="s">
        <v>87</v>
      </c>
      <c r="N23" s="11" t="s">
        <v>228</v>
      </c>
      <c r="O23" s="11" t="s">
        <v>229</v>
      </c>
      <c r="P23" s="11" t="s">
        <v>227</v>
      </c>
      <c r="Q23" s="11" t="s">
        <v>230</v>
      </c>
      <c r="U23" s="11" t="s">
        <v>231</v>
      </c>
      <c r="V23" s="11" t="s">
        <v>137</v>
      </c>
      <c r="W23" s="13">
        <v>46302.314618055556</v>
      </c>
    </row>
    <row r="24" spans="1:23">
      <c r="A24">
        <v>253613</v>
      </c>
      <c r="B24">
        <v>9495</v>
      </c>
      <c r="C24" s="11" t="s">
        <v>129</v>
      </c>
      <c r="D24" s="11" t="s">
        <v>130</v>
      </c>
      <c r="E24" s="11" t="s">
        <v>25</v>
      </c>
      <c r="F24" s="12">
        <v>46118</v>
      </c>
      <c r="G24" s="11" t="s">
        <v>232</v>
      </c>
      <c r="H24">
        <v>1</v>
      </c>
      <c r="I24" s="11" t="s">
        <v>233</v>
      </c>
      <c r="M24" s="11" t="s">
        <v>89</v>
      </c>
      <c r="N24" s="11" t="s">
        <v>234</v>
      </c>
      <c r="O24" s="11" t="s">
        <v>235</v>
      </c>
      <c r="P24" s="11" t="s">
        <v>233</v>
      </c>
      <c r="Q24" s="11" t="s">
        <v>135</v>
      </c>
      <c r="U24" s="11" t="s">
        <v>236</v>
      </c>
      <c r="V24" s="11" t="s">
        <v>137</v>
      </c>
      <c r="W24" s="13">
        <v>46302.314618055556</v>
      </c>
    </row>
    <row r="25" spans="1:23">
      <c r="A25">
        <v>253614</v>
      </c>
      <c r="B25">
        <v>9496</v>
      </c>
      <c r="C25" s="11" t="s">
        <v>129</v>
      </c>
      <c r="D25" s="11" t="s">
        <v>130</v>
      </c>
      <c r="E25" s="11" t="s">
        <v>25</v>
      </c>
      <c r="F25" s="12">
        <v>46118</v>
      </c>
      <c r="G25" s="11" t="s">
        <v>237</v>
      </c>
      <c r="H25">
        <v>1</v>
      </c>
      <c r="I25" s="11" t="s">
        <v>238</v>
      </c>
      <c r="M25" s="11" t="s">
        <v>71</v>
      </c>
      <c r="N25" s="11" t="s">
        <v>239</v>
      </c>
      <c r="O25" s="11" t="s">
        <v>240</v>
      </c>
      <c r="P25" s="11" t="s">
        <v>238</v>
      </c>
      <c r="Q25" s="11" t="s">
        <v>135</v>
      </c>
      <c r="U25" s="11" t="s">
        <v>241</v>
      </c>
      <c r="V25" s="11" t="s">
        <v>137</v>
      </c>
      <c r="W25" s="13">
        <v>46302.314618055556</v>
      </c>
    </row>
    <row r="26" spans="1:23">
      <c r="A26">
        <v>253615</v>
      </c>
      <c r="B26">
        <v>9497</v>
      </c>
      <c r="C26" s="11" t="s">
        <v>129</v>
      </c>
      <c r="D26" s="11" t="s">
        <v>130</v>
      </c>
      <c r="E26" s="11" t="s">
        <v>25</v>
      </c>
      <c r="F26" s="12">
        <v>46118</v>
      </c>
      <c r="G26" s="11" t="s">
        <v>242</v>
      </c>
      <c r="H26">
        <v>1</v>
      </c>
      <c r="I26" s="11" t="s">
        <v>218</v>
      </c>
      <c r="M26" s="11" t="s">
        <v>76</v>
      </c>
      <c r="N26" s="11" t="s">
        <v>243</v>
      </c>
      <c r="O26" s="11" t="s">
        <v>244</v>
      </c>
      <c r="P26" s="11" t="s">
        <v>218</v>
      </c>
      <c r="Q26" s="11" t="s">
        <v>135</v>
      </c>
      <c r="U26" s="11" t="s">
        <v>245</v>
      </c>
      <c r="V26" s="11" t="s">
        <v>137</v>
      </c>
      <c r="W26" s="13">
        <v>46302.314618055556</v>
      </c>
    </row>
    <row r="27" spans="1:23">
      <c r="A27">
        <v>253616</v>
      </c>
      <c r="B27">
        <v>9498</v>
      </c>
      <c r="C27" s="11" t="s">
        <v>129</v>
      </c>
      <c r="D27" s="11" t="s">
        <v>130</v>
      </c>
      <c r="E27" s="11" t="s">
        <v>25</v>
      </c>
      <c r="F27" s="12">
        <v>46118</v>
      </c>
      <c r="G27" s="11" t="s">
        <v>232</v>
      </c>
      <c r="H27">
        <v>1</v>
      </c>
      <c r="I27" s="11" t="s">
        <v>246</v>
      </c>
      <c r="M27" s="11" t="s">
        <v>89</v>
      </c>
      <c r="N27" s="11" t="s">
        <v>247</v>
      </c>
      <c r="O27" s="11" t="s">
        <v>248</v>
      </c>
      <c r="P27" s="11" t="s">
        <v>246</v>
      </c>
      <c r="Q27" s="11" t="s">
        <v>135</v>
      </c>
      <c r="U27" s="11" t="s">
        <v>236</v>
      </c>
      <c r="V27" s="11" t="s">
        <v>137</v>
      </c>
      <c r="W27" s="13">
        <v>46302.314618055556</v>
      </c>
    </row>
    <row r="28" spans="1:23">
      <c r="A28">
        <v>253617</v>
      </c>
      <c r="B28">
        <v>9499</v>
      </c>
      <c r="C28" s="11" t="s">
        <v>129</v>
      </c>
      <c r="D28" s="11" t="s">
        <v>130</v>
      </c>
      <c r="E28" s="11" t="s">
        <v>25</v>
      </c>
      <c r="F28" s="12">
        <v>46118</v>
      </c>
      <c r="G28" s="11" t="s">
        <v>237</v>
      </c>
      <c r="H28">
        <v>1</v>
      </c>
      <c r="I28" s="11" t="s">
        <v>249</v>
      </c>
      <c r="M28" s="11" t="s">
        <v>71</v>
      </c>
      <c r="N28" s="11" t="s">
        <v>250</v>
      </c>
      <c r="O28" s="11" t="s">
        <v>251</v>
      </c>
      <c r="P28" s="11" t="s">
        <v>249</v>
      </c>
      <c r="Q28" s="11" t="s">
        <v>135</v>
      </c>
      <c r="U28" s="11" t="s">
        <v>241</v>
      </c>
      <c r="V28" s="11" t="s">
        <v>137</v>
      </c>
      <c r="W28" s="13">
        <v>46302.314618055556</v>
      </c>
    </row>
    <row r="29" spans="1:23">
      <c r="A29">
        <v>253618</v>
      </c>
      <c r="B29">
        <v>9500</v>
      </c>
      <c r="C29" s="11" t="s">
        <v>129</v>
      </c>
      <c r="D29" s="11" t="s">
        <v>130</v>
      </c>
      <c r="E29" s="11" t="s">
        <v>25</v>
      </c>
      <c r="F29" s="12">
        <v>46118</v>
      </c>
      <c r="G29" s="11" t="s">
        <v>237</v>
      </c>
      <c r="H29">
        <v>1</v>
      </c>
      <c r="I29" s="11" t="s">
        <v>252</v>
      </c>
      <c r="M29" s="11" t="s">
        <v>71</v>
      </c>
      <c r="N29" s="11" t="s">
        <v>253</v>
      </c>
      <c r="O29" s="11" t="s">
        <v>254</v>
      </c>
      <c r="P29" s="11" t="s">
        <v>252</v>
      </c>
      <c r="Q29" s="11" t="s">
        <v>135</v>
      </c>
      <c r="U29" s="11" t="s">
        <v>241</v>
      </c>
      <c r="V29" s="11" t="s">
        <v>137</v>
      </c>
      <c r="W29" s="13">
        <v>46302.314618055556</v>
      </c>
    </row>
    <row r="30" spans="1:23">
      <c r="A30">
        <v>253619</v>
      </c>
      <c r="B30">
        <v>9501</v>
      </c>
      <c r="C30" s="11" t="s">
        <v>129</v>
      </c>
      <c r="D30" s="11" t="s">
        <v>130</v>
      </c>
      <c r="E30" s="11" t="s">
        <v>25</v>
      </c>
      <c r="F30" s="12">
        <v>46118</v>
      </c>
      <c r="G30" s="11" t="s">
        <v>226</v>
      </c>
      <c r="H30">
        <v>1</v>
      </c>
      <c r="I30" s="11" t="s">
        <v>255</v>
      </c>
      <c r="M30" s="11" t="s">
        <v>87</v>
      </c>
      <c r="N30" s="11" t="s">
        <v>256</v>
      </c>
      <c r="O30" s="11" t="s">
        <v>257</v>
      </c>
      <c r="P30" s="11" t="s">
        <v>255</v>
      </c>
      <c r="Q30" s="11" t="s">
        <v>135</v>
      </c>
      <c r="U30" s="11" t="s">
        <v>231</v>
      </c>
      <c r="V30" s="11" t="s">
        <v>137</v>
      </c>
      <c r="W30" s="13">
        <v>46302.314618055556</v>
      </c>
    </row>
    <row r="31" spans="1:23">
      <c r="A31">
        <v>253620</v>
      </c>
      <c r="B31">
        <v>9502</v>
      </c>
      <c r="C31" s="11" t="s">
        <v>129</v>
      </c>
      <c r="D31" s="11" t="s">
        <v>130</v>
      </c>
      <c r="E31" s="11" t="s">
        <v>25</v>
      </c>
      <c r="F31" s="12">
        <v>46118</v>
      </c>
      <c r="G31" s="11" t="s">
        <v>258</v>
      </c>
      <c r="H31">
        <v>1</v>
      </c>
      <c r="I31" s="11" t="s">
        <v>259</v>
      </c>
      <c r="M31" s="11" t="s">
        <v>74</v>
      </c>
      <c r="N31" s="11" t="s">
        <v>260</v>
      </c>
      <c r="O31" s="11" t="s">
        <v>261</v>
      </c>
      <c r="P31" s="11" t="s">
        <v>259</v>
      </c>
      <c r="Q31" s="11" t="s">
        <v>135</v>
      </c>
      <c r="U31" s="11" t="s">
        <v>262</v>
      </c>
      <c r="V31" s="11" t="s">
        <v>137</v>
      </c>
      <c r="W31" s="13">
        <v>46302.314618055556</v>
      </c>
    </row>
    <row r="32" spans="1:23">
      <c r="A32">
        <v>253621</v>
      </c>
      <c r="B32">
        <v>9503</v>
      </c>
      <c r="C32" s="11" t="s">
        <v>129</v>
      </c>
      <c r="D32" s="11" t="s">
        <v>130</v>
      </c>
      <c r="E32" s="11" t="s">
        <v>25</v>
      </c>
      <c r="F32" s="12">
        <v>46118</v>
      </c>
      <c r="G32" s="11" t="s">
        <v>263</v>
      </c>
      <c r="H32">
        <v>1</v>
      </c>
      <c r="I32" s="11" t="s">
        <v>264</v>
      </c>
      <c r="M32" s="11" t="s">
        <v>92</v>
      </c>
      <c r="N32" s="11" t="s">
        <v>265</v>
      </c>
      <c r="O32" s="11" t="s">
        <v>266</v>
      </c>
      <c r="P32" s="11" t="s">
        <v>264</v>
      </c>
      <c r="Q32" s="11" t="s">
        <v>135</v>
      </c>
      <c r="U32" s="11" t="s">
        <v>267</v>
      </c>
      <c r="V32" s="11" t="s">
        <v>137</v>
      </c>
      <c r="W32" s="13">
        <v>46302.314618055556</v>
      </c>
    </row>
    <row r="33" spans="1:23">
      <c r="A33">
        <v>253622</v>
      </c>
      <c r="B33">
        <v>9504</v>
      </c>
      <c r="C33" s="11" t="s">
        <v>129</v>
      </c>
      <c r="D33" s="11" t="s">
        <v>130</v>
      </c>
      <c r="E33" s="11" t="s">
        <v>25</v>
      </c>
      <c r="F33" s="12">
        <v>46118</v>
      </c>
      <c r="G33" s="11" t="s">
        <v>237</v>
      </c>
      <c r="H33">
        <v>1</v>
      </c>
      <c r="I33" s="11" t="s">
        <v>268</v>
      </c>
      <c r="M33" s="11" t="s">
        <v>71</v>
      </c>
      <c r="N33" s="11" t="s">
        <v>269</v>
      </c>
      <c r="O33" s="11" t="s">
        <v>270</v>
      </c>
      <c r="P33" s="11" t="s">
        <v>268</v>
      </c>
      <c r="Q33" s="11" t="s">
        <v>135</v>
      </c>
      <c r="U33" s="11" t="s">
        <v>241</v>
      </c>
      <c r="V33" s="11" t="s">
        <v>137</v>
      </c>
      <c r="W33" s="13">
        <v>46302.314618055556</v>
      </c>
    </row>
    <row r="34" spans="1:23">
      <c r="A34">
        <v>253623</v>
      </c>
      <c r="B34">
        <v>9505</v>
      </c>
      <c r="C34" s="11" t="s">
        <v>129</v>
      </c>
      <c r="D34" s="11" t="s">
        <v>130</v>
      </c>
      <c r="E34" s="11" t="s">
        <v>25</v>
      </c>
      <c r="F34" s="12">
        <v>46118</v>
      </c>
      <c r="G34" s="11" t="s">
        <v>263</v>
      </c>
      <c r="H34">
        <v>1</v>
      </c>
      <c r="I34" s="11" t="s">
        <v>271</v>
      </c>
      <c r="M34" s="11" t="s">
        <v>92</v>
      </c>
      <c r="N34" s="11" t="s">
        <v>272</v>
      </c>
      <c r="O34" s="11" t="s">
        <v>273</v>
      </c>
      <c r="P34" s="11" t="s">
        <v>271</v>
      </c>
      <c r="Q34" s="11" t="s">
        <v>135</v>
      </c>
      <c r="U34" s="11" t="s">
        <v>267</v>
      </c>
      <c r="V34" s="11" t="s">
        <v>137</v>
      </c>
      <c r="W34" s="13">
        <v>46302.314618055556</v>
      </c>
    </row>
    <row r="35" spans="1:23">
      <c r="A35">
        <v>253624</v>
      </c>
      <c r="B35">
        <v>9506</v>
      </c>
      <c r="C35" s="11" t="s">
        <v>129</v>
      </c>
      <c r="D35" s="11" t="s">
        <v>130</v>
      </c>
      <c r="E35" s="11" t="s">
        <v>25</v>
      </c>
      <c r="F35" s="12">
        <v>46118</v>
      </c>
      <c r="G35" s="11" t="s">
        <v>274</v>
      </c>
      <c r="H35">
        <v>1</v>
      </c>
      <c r="I35" s="11" t="s">
        <v>275</v>
      </c>
      <c r="M35" s="11" t="s">
        <v>77</v>
      </c>
      <c r="N35" s="11" t="s">
        <v>276</v>
      </c>
      <c r="O35" s="11" t="s">
        <v>277</v>
      </c>
      <c r="P35" s="11" t="s">
        <v>275</v>
      </c>
      <c r="Q35" s="11" t="s">
        <v>135</v>
      </c>
      <c r="U35" s="11" t="s">
        <v>278</v>
      </c>
      <c r="V35" s="11" t="s">
        <v>137</v>
      </c>
      <c r="W35" s="13">
        <v>46302.314618055556</v>
      </c>
    </row>
    <row r="36" spans="1:23">
      <c r="A36">
        <v>253625</v>
      </c>
      <c r="B36">
        <v>9507</v>
      </c>
      <c r="C36" s="11" t="s">
        <v>129</v>
      </c>
      <c r="D36" s="11" t="s">
        <v>130</v>
      </c>
      <c r="E36" s="11" t="s">
        <v>25</v>
      </c>
      <c r="F36" s="12">
        <v>46118</v>
      </c>
      <c r="G36" s="11" t="s">
        <v>279</v>
      </c>
      <c r="H36">
        <v>1</v>
      </c>
      <c r="I36" s="11" t="s">
        <v>280</v>
      </c>
      <c r="M36" s="11" t="s">
        <v>79</v>
      </c>
      <c r="N36" s="11" t="s">
        <v>281</v>
      </c>
      <c r="O36" s="11" t="s">
        <v>282</v>
      </c>
      <c r="P36" s="11" t="s">
        <v>280</v>
      </c>
      <c r="Q36" s="11" t="s">
        <v>135</v>
      </c>
      <c r="U36" s="11" t="s">
        <v>283</v>
      </c>
      <c r="V36" s="11" t="s">
        <v>137</v>
      </c>
      <c r="W36" s="13">
        <v>46302.314618055556</v>
      </c>
    </row>
    <row r="37" spans="1:23">
      <c r="A37">
        <v>253626</v>
      </c>
      <c r="B37">
        <v>9508</v>
      </c>
      <c r="C37" s="11" t="s">
        <v>129</v>
      </c>
      <c r="D37" s="11" t="s">
        <v>130</v>
      </c>
      <c r="E37" s="11" t="s">
        <v>25</v>
      </c>
      <c r="F37" s="12">
        <v>46118</v>
      </c>
      <c r="G37" s="11" t="s">
        <v>284</v>
      </c>
      <c r="H37">
        <v>1</v>
      </c>
      <c r="I37" s="11" t="s">
        <v>285</v>
      </c>
      <c r="M37" s="11" t="s">
        <v>80</v>
      </c>
      <c r="N37" s="11" t="s">
        <v>286</v>
      </c>
      <c r="O37" s="11" t="s">
        <v>287</v>
      </c>
      <c r="P37" s="11" t="s">
        <v>285</v>
      </c>
      <c r="Q37" s="11" t="s">
        <v>135</v>
      </c>
      <c r="U37" s="11" t="s">
        <v>288</v>
      </c>
      <c r="V37" s="11" t="s">
        <v>137</v>
      </c>
      <c r="W37" s="13">
        <v>46302.314618055556</v>
      </c>
    </row>
    <row r="38" spans="1:23">
      <c r="A38">
        <v>253627</v>
      </c>
      <c r="B38">
        <v>9509</v>
      </c>
      <c r="C38" s="11" t="s">
        <v>129</v>
      </c>
      <c r="D38" s="11" t="s">
        <v>130</v>
      </c>
      <c r="E38" s="11" t="s">
        <v>25</v>
      </c>
      <c r="F38" s="12">
        <v>46118</v>
      </c>
      <c r="G38" s="11" t="s">
        <v>237</v>
      </c>
      <c r="H38">
        <v>1</v>
      </c>
      <c r="I38" s="11" t="s">
        <v>289</v>
      </c>
      <c r="M38" s="11" t="s">
        <v>71</v>
      </c>
      <c r="N38" s="11" t="s">
        <v>290</v>
      </c>
      <c r="O38" s="11" t="s">
        <v>291</v>
      </c>
      <c r="P38" s="11" t="s">
        <v>289</v>
      </c>
      <c r="Q38" s="11" t="s">
        <v>135</v>
      </c>
      <c r="U38" s="11" t="s">
        <v>241</v>
      </c>
      <c r="V38" s="11" t="s">
        <v>137</v>
      </c>
      <c r="W38" s="13">
        <v>46302.314618055556</v>
      </c>
    </row>
    <row r="39" spans="1:23">
      <c r="A39">
        <v>253628</v>
      </c>
      <c r="B39">
        <v>9510</v>
      </c>
      <c r="C39" s="11" t="s">
        <v>129</v>
      </c>
      <c r="D39" s="11" t="s">
        <v>130</v>
      </c>
      <c r="E39" s="11" t="s">
        <v>25</v>
      </c>
      <c r="F39" s="12">
        <v>46118</v>
      </c>
      <c r="G39" s="11" t="s">
        <v>237</v>
      </c>
      <c r="H39">
        <v>1</v>
      </c>
      <c r="I39" s="11" t="s">
        <v>292</v>
      </c>
      <c r="M39" s="11" t="s">
        <v>71</v>
      </c>
      <c r="N39" s="11" t="s">
        <v>293</v>
      </c>
      <c r="O39" s="11" t="s">
        <v>294</v>
      </c>
      <c r="P39" s="11" t="s">
        <v>292</v>
      </c>
      <c r="Q39" s="11" t="s">
        <v>135</v>
      </c>
      <c r="U39" s="11" t="s">
        <v>241</v>
      </c>
      <c r="V39" s="11" t="s">
        <v>137</v>
      </c>
      <c r="W39" s="13">
        <v>46302.314618055556</v>
      </c>
    </row>
    <row r="40" spans="1:23">
      <c r="A40">
        <v>253629</v>
      </c>
      <c r="B40">
        <v>9511</v>
      </c>
      <c r="C40" s="11" t="s">
        <v>129</v>
      </c>
      <c r="D40" s="11" t="s">
        <v>130</v>
      </c>
      <c r="E40" s="11" t="s">
        <v>25</v>
      </c>
      <c r="F40" s="12">
        <v>46118</v>
      </c>
      <c r="G40" s="11" t="s">
        <v>237</v>
      </c>
      <c r="H40">
        <v>1</v>
      </c>
      <c r="I40" s="11" t="s">
        <v>295</v>
      </c>
      <c r="M40" s="11" t="s">
        <v>71</v>
      </c>
      <c r="N40" s="11" t="s">
        <v>296</v>
      </c>
      <c r="O40" s="11" t="s">
        <v>297</v>
      </c>
      <c r="P40" s="11" t="s">
        <v>295</v>
      </c>
      <c r="Q40" s="11" t="s">
        <v>135</v>
      </c>
      <c r="U40" s="11" t="s">
        <v>241</v>
      </c>
      <c r="V40" s="11" t="s">
        <v>137</v>
      </c>
      <c r="W40" s="13">
        <v>46302.314618055556</v>
      </c>
    </row>
    <row r="41" spans="1:23">
      <c r="A41">
        <v>253630</v>
      </c>
      <c r="B41">
        <v>9512</v>
      </c>
      <c r="C41" s="11" t="s">
        <v>129</v>
      </c>
      <c r="D41" s="11" t="s">
        <v>130</v>
      </c>
      <c r="E41" s="11" t="s">
        <v>25</v>
      </c>
      <c r="F41" s="12">
        <v>46118</v>
      </c>
      <c r="G41" s="11" t="s">
        <v>237</v>
      </c>
      <c r="H41">
        <v>1</v>
      </c>
      <c r="I41" s="11" t="s">
        <v>298</v>
      </c>
      <c r="M41" s="11" t="s">
        <v>71</v>
      </c>
      <c r="N41" s="11" t="s">
        <v>299</v>
      </c>
      <c r="O41" s="11" t="s">
        <v>300</v>
      </c>
      <c r="P41" s="11" t="s">
        <v>298</v>
      </c>
      <c r="Q41" s="11" t="s">
        <v>135</v>
      </c>
      <c r="U41" s="11" t="s">
        <v>241</v>
      </c>
      <c r="V41" s="11" t="s">
        <v>137</v>
      </c>
      <c r="W41" s="13">
        <v>46302.314618055556</v>
      </c>
    </row>
    <row r="42" spans="1:23">
      <c r="A42">
        <v>253631</v>
      </c>
      <c r="B42">
        <v>9513</v>
      </c>
      <c r="C42" s="11" t="s">
        <v>129</v>
      </c>
      <c r="D42" s="11" t="s">
        <v>130</v>
      </c>
      <c r="E42" s="11" t="s">
        <v>25</v>
      </c>
      <c r="F42" s="12">
        <v>46118</v>
      </c>
      <c r="G42" s="11" t="s">
        <v>226</v>
      </c>
      <c r="H42">
        <v>1</v>
      </c>
      <c r="I42" s="11" t="s">
        <v>301</v>
      </c>
      <c r="M42" s="11" t="s">
        <v>87</v>
      </c>
      <c r="N42" s="11" t="s">
        <v>302</v>
      </c>
      <c r="O42" s="11" t="s">
        <v>303</v>
      </c>
      <c r="P42" s="11" t="s">
        <v>301</v>
      </c>
      <c r="Q42" s="11" t="s">
        <v>135</v>
      </c>
      <c r="U42" s="11" t="s">
        <v>231</v>
      </c>
      <c r="V42" s="11" t="s">
        <v>137</v>
      </c>
      <c r="W42" s="13">
        <v>46302.314618055556</v>
      </c>
    </row>
    <row r="43" spans="1:23">
      <c r="A43">
        <v>253632</v>
      </c>
      <c r="B43">
        <v>9514</v>
      </c>
      <c r="C43" s="11" t="s">
        <v>129</v>
      </c>
      <c r="D43" s="11" t="s">
        <v>130</v>
      </c>
      <c r="E43" s="11" t="s">
        <v>25</v>
      </c>
      <c r="F43" s="12">
        <v>46118</v>
      </c>
      <c r="G43" s="11" t="s">
        <v>237</v>
      </c>
      <c r="H43">
        <v>1</v>
      </c>
      <c r="I43" s="11" t="s">
        <v>304</v>
      </c>
      <c r="M43" s="11" t="s">
        <v>71</v>
      </c>
      <c r="N43" s="11" t="s">
        <v>305</v>
      </c>
      <c r="O43" s="11" t="s">
        <v>306</v>
      </c>
      <c r="P43" s="11" t="s">
        <v>304</v>
      </c>
      <c r="Q43" s="11" t="s">
        <v>307</v>
      </c>
      <c r="U43" s="11" t="s">
        <v>241</v>
      </c>
      <c r="V43" s="11" t="s">
        <v>137</v>
      </c>
      <c r="W43" s="13">
        <v>46302.314618055556</v>
      </c>
    </row>
    <row r="44" spans="1:23">
      <c r="A44">
        <v>253633</v>
      </c>
      <c r="B44">
        <v>9494</v>
      </c>
      <c r="C44" s="11" t="s">
        <v>129</v>
      </c>
      <c r="D44" s="11" t="s">
        <v>130</v>
      </c>
      <c r="E44" s="11" t="s">
        <v>25</v>
      </c>
      <c r="F44" s="12">
        <v>46118</v>
      </c>
      <c r="G44" s="11" t="s">
        <v>308</v>
      </c>
      <c r="H44">
        <v>1</v>
      </c>
      <c r="I44" s="11" t="s">
        <v>230</v>
      </c>
      <c r="M44" s="11" t="s">
        <v>90</v>
      </c>
      <c r="N44" s="11" t="s">
        <v>309</v>
      </c>
      <c r="O44" s="11" t="s">
        <v>310</v>
      </c>
      <c r="P44" s="11" t="s">
        <v>230</v>
      </c>
      <c r="Q44" s="11" t="s">
        <v>135</v>
      </c>
      <c r="R44">
        <v>9493</v>
      </c>
      <c r="U44" s="11" t="s">
        <v>311</v>
      </c>
      <c r="V44" s="11" t="s">
        <v>137</v>
      </c>
      <c r="W44" s="13">
        <v>46302.314618055556</v>
      </c>
    </row>
    <row r="45" spans="1:23">
      <c r="A45">
        <v>253634</v>
      </c>
      <c r="B45">
        <v>9515</v>
      </c>
      <c r="C45" s="11" t="s">
        <v>129</v>
      </c>
      <c r="D45" s="11" t="s">
        <v>130</v>
      </c>
      <c r="E45" s="11" t="s">
        <v>25</v>
      </c>
      <c r="F45" s="12">
        <v>46118</v>
      </c>
      <c r="G45" s="11" t="s">
        <v>312</v>
      </c>
      <c r="H45">
        <v>1</v>
      </c>
      <c r="I45" s="11" t="s">
        <v>307</v>
      </c>
      <c r="M45" s="11" t="s">
        <v>86</v>
      </c>
      <c r="N45" s="11" t="s">
        <v>313</v>
      </c>
      <c r="O45" s="11" t="s">
        <v>314</v>
      </c>
      <c r="P45" s="11" t="s">
        <v>307</v>
      </c>
      <c r="Q45" s="11" t="s">
        <v>135</v>
      </c>
      <c r="R45">
        <v>9514</v>
      </c>
      <c r="U45" s="11" t="s">
        <v>315</v>
      </c>
      <c r="V45" s="11" t="s">
        <v>137</v>
      </c>
      <c r="W45" s="13">
        <v>46302.314618055556</v>
      </c>
    </row>
    <row r="46" spans="1:23">
      <c r="A46">
        <v>253945</v>
      </c>
      <c r="B46">
        <v>1021</v>
      </c>
      <c r="C46" s="11" t="s">
        <v>129</v>
      </c>
      <c r="D46" s="11" t="s">
        <v>130</v>
      </c>
      <c r="E46" s="11" t="s">
        <v>25</v>
      </c>
      <c r="F46" s="12">
        <v>46119</v>
      </c>
      <c r="G46" s="11" t="s">
        <v>316</v>
      </c>
      <c r="H46">
        <v>1</v>
      </c>
      <c r="I46" s="11" t="s">
        <v>317</v>
      </c>
      <c r="M46" s="11" t="s">
        <v>87</v>
      </c>
      <c r="N46" s="11" t="s">
        <v>318</v>
      </c>
      <c r="O46" s="11" t="s">
        <v>319</v>
      </c>
      <c r="P46" s="11" t="s">
        <v>317</v>
      </c>
      <c r="Q46" s="11" t="s">
        <v>135</v>
      </c>
      <c r="U46" s="11" t="s">
        <v>320</v>
      </c>
      <c r="V46" s="11" t="s">
        <v>137</v>
      </c>
      <c r="W46" s="13">
        <v>46302.314618055556</v>
      </c>
    </row>
    <row r="47" spans="1:23">
      <c r="A47">
        <v>253946</v>
      </c>
      <c r="B47">
        <v>1022</v>
      </c>
      <c r="C47" s="11" t="s">
        <v>129</v>
      </c>
      <c r="D47" s="11" t="s">
        <v>130</v>
      </c>
      <c r="E47" s="11" t="s">
        <v>25</v>
      </c>
      <c r="F47" s="12">
        <v>46119</v>
      </c>
      <c r="G47" s="11" t="s">
        <v>321</v>
      </c>
      <c r="H47">
        <v>10</v>
      </c>
      <c r="I47" s="11" t="s">
        <v>322</v>
      </c>
      <c r="M47" s="11" t="s">
        <v>67</v>
      </c>
      <c r="N47" s="11" t="s">
        <v>323</v>
      </c>
      <c r="O47" s="11" t="s">
        <v>324</v>
      </c>
      <c r="P47" s="11" t="s">
        <v>325</v>
      </c>
      <c r="Q47" s="11" t="s">
        <v>326</v>
      </c>
      <c r="U47" s="11" t="s">
        <v>327</v>
      </c>
      <c r="V47" s="11" t="s">
        <v>137</v>
      </c>
      <c r="W47" s="13">
        <v>46302.314618055556</v>
      </c>
    </row>
    <row r="48" spans="1:23">
      <c r="A48">
        <v>253947</v>
      </c>
      <c r="B48">
        <v>1024</v>
      </c>
      <c r="C48" s="11" t="s">
        <v>129</v>
      </c>
      <c r="D48" s="11" t="s">
        <v>130</v>
      </c>
      <c r="E48" s="11" t="s">
        <v>25</v>
      </c>
      <c r="F48" s="12">
        <v>46119</v>
      </c>
      <c r="G48" s="11" t="s">
        <v>328</v>
      </c>
      <c r="H48">
        <v>4</v>
      </c>
      <c r="I48" s="11" t="s">
        <v>329</v>
      </c>
      <c r="M48" s="11" t="s">
        <v>66</v>
      </c>
      <c r="N48" s="11" t="s">
        <v>330</v>
      </c>
      <c r="O48" s="11" t="s">
        <v>331</v>
      </c>
      <c r="P48" s="11" t="s">
        <v>332</v>
      </c>
      <c r="Q48" s="11" t="s">
        <v>135</v>
      </c>
      <c r="U48" s="11" t="s">
        <v>333</v>
      </c>
      <c r="V48" s="11" t="s">
        <v>137</v>
      </c>
      <c r="W48" s="13">
        <v>46302.314618055556</v>
      </c>
    </row>
    <row r="49" spans="1:23">
      <c r="A49">
        <v>253948</v>
      </c>
      <c r="B49">
        <v>1025</v>
      </c>
      <c r="C49" s="11" t="s">
        <v>129</v>
      </c>
      <c r="D49" s="11" t="s">
        <v>130</v>
      </c>
      <c r="E49" s="11" t="s">
        <v>25</v>
      </c>
      <c r="F49" s="12">
        <v>46119</v>
      </c>
      <c r="G49" s="11" t="s">
        <v>334</v>
      </c>
      <c r="H49">
        <v>1</v>
      </c>
      <c r="I49" s="11" t="s">
        <v>335</v>
      </c>
      <c r="M49" s="11" t="s">
        <v>64</v>
      </c>
      <c r="N49" s="11" t="s">
        <v>336</v>
      </c>
      <c r="O49" s="11" t="s">
        <v>337</v>
      </c>
      <c r="P49" s="11" t="s">
        <v>335</v>
      </c>
      <c r="Q49" s="11" t="s">
        <v>135</v>
      </c>
      <c r="U49" s="11" t="s">
        <v>338</v>
      </c>
      <c r="V49" s="11" t="s">
        <v>137</v>
      </c>
      <c r="W49" s="13">
        <v>46302.314618055556</v>
      </c>
    </row>
    <row r="50" spans="1:23">
      <c r="A50">
        <v>253949</v>
      </c>
      <c r="B50">
        <v>1026</v>
      </c>
      <c r="C50" s="11" t="s">
        <v>129</v>
      </c>
      <c r="D50" s="11" t="s">
        <v>130</v>
      </c>
      <c r="E50" s="11" t="s">
        <v>25</v>
      </c>
      <c r="F50" s="12">
        <v>46119</v>
      </c>
      <c r="G50" s="11" t="s">
        <v>339</v>
      </c>
      <c r="H50">
        <v>1</v>
      </c>
      <c r="I50" s="11" t="s">
        <v>340</v>
      </c>
      <c r="M50" s="11" t="s">
        <v>92</v>
      </c>
      <c r="N50" s="11" t="s">
        <v>341</v>
      </c>
      <c r="O50" s="11" t="s">
        <v>342</v>
      </c>
      <c r="P50" s="11" t="s">
        <v>340</v>
      </c>
      <c r="Q50" s="11" t="s">
        <v>135</v>
      </c>
      <c r="U50" s="11" t="s">
        <v>343</v>
      </c>
      <c r="V50" s="11" t="s">
        <v>137</v>
      </c>
      <c r="W50" s="13">
        <v>46302.314618055556</v>
      </c>
    </row>
    <row r="51" spans="1:23">
      <c r="A51">
        <v>253950</v>
      </c>
      <c r="B51">
        <v>1027</v>
      </c>
      <c r="C51" s="11" t="s">
        <v>129</v>
      </c>
      <c r="D51" s="11" t="s">
        <v>130</v>
      </c>
      <c r="E51" s="11" t="s">
        <v>25</v>
      </c>
      <c r="F51" s="12">
        <v>46119</v>
      </c>
      <c r="G51" s="11" t="s">
        <v>344</v>
      </c>
      <c r="H51">
        <v>1</v>
      </c>
      <c r="I51" s="11" t="s">
        <v>345</v>
      </c>
      <c r="M51" s="11" t="s">
        <v>65</v>
      </c>
      <c r="N51" s="11" t="s">
        <v>346</v>
      </c>
      <c r="O51" s="11" t="s">
        <v>347</v>
      </c>
      <c r="P51" s="11" t="s">
        <v>345</v>
      </c>
      <c r="Q51" s="11" t="s">
        <v>135</v>
      </c>
      <c r="U51" s="11" t="s">
        <v>348</v>
      </c>
      <c r="V51" s="11" t="s">
        <v>137</v>
      </c>
      <c r="W51" s="13">
        <v>46302.314618055556</v>
      </c>
    </row>
    <row r="52" spans="1:23">
      <c r="A52">
        <v>253951</v>
      </c>
      <c r="B52">
        <v>1028</v>
      </c>
      <c r="C52" s="11" t="s">
        <v>129</v>
      </c>
      <c r="D52" s="11" t="s">
        <v>130</v>
      </c>
      <c r="E52" s="11" t="s">
        <v>25</v>
      </c>
      <c r="F52" s="12">
        <v>46119</v>
      </c>
      <c r="G52" s="11" t="s">
        <v>316</v>
      </c>
      <c r="H52">
        <v>1</v>
      </c>
      <c r="I52" s="11" t="s">
        <v>349</v>
      </c>
      <c r="M52" s="11" t="s">
        <v>87</v>
      </c>
      <c r="N52" s="11" t="s">
        <v>350</v>
      </c>
      <c r="O52" s="11" t="s">
        <v>351</v>
      </c>
      <c r="P52" s="11" t="s">
        <v>349</v>
      </c>
      <c r="Q52" s="11" t="s">
        <v>135</v>
      </c>
      <c r="U52" s="11" t="s">
        <v>320</v>
      </c>
      <c r="V52" s="11" t="s">
        <v>137</v>
      </c>
      <c r="W52" s="13">
        <v>46302.314618055556</v>
      </c>
    </row>
    <row r="53" spans="1:23">
      <c r="A53">
        <v>253952</v>
      </c>
      <c r="B53">
        <v>1029</v>
      </c>
      <c r="C53" s="11" t="s">
        <v>129</v>
      </c>
      <c r="D53" s="11" t="s">
        <v>130</v>
      </c>
      <c r="E53" s="11" t="s">
        <v>25</v>
      </c>
      <c r="F53" s="12">
        <v>46119</v>
      </c>
      <c r="G53" s="11" t="s">
        <v>339</v>
      </c>
      <c r="H53">
        <v>1</v>
      </c>
      <c r="I53" s="11" t="s">
        <v>352</v>
      </c>
      <c r="M53" s="11" t="s">
        <v>92</v>
      </c>
      <c r="N53" s="11" t="s">
        <v>353</v>
      </c>
      <c r="O53" s="11" t="s">
        <v>354</v>
      </c>
      <c r="P53" s="11" t="s">
        <v>352</v>
      </c>
      <c r="Q53" s="11" t="s">
        <v>135</v>
      </c>
      <c r="U53" s="11" t="s">
        <v>343</v>
      </c>
      <c r="V53" s="11" t="s">
        <v>137</v>
      </c>
      <c r="W53" s="13">
        <v>46302.314618055556</v>
      </c>
    </row>
    <row r="54" spans="1:23">
      <c r="A54">
        <v>253953</v>
      </c>
      <c r="B54">
        <v>1030</v>
      </c>
      <c r="C54" s="11" t="s">
        <v>129</v>
      </c>
      <c r="D54" s="11" t="s">
        <v>130</v>
      </c>
      <c r="E54" s="11" t="s">
        <v>25</v>
      </c>
      <c r="F54" s="12">
        <v>46119</v>
      </c>
      <c r="G54" s="11" t="s">
        <v>355</v>
      </c>
      <c r="H54">
        <v>1</v>
      </c>
      <c r="I54" s="11" t="s">
        <v>356</v>
      </c>
      <c r="M54" s="11" t="s">
        <v>77</v>
      </c>
      <c r="N54" s="11" t="s">
        <v>357</v>
      </c>
      <c r="O54" s="11" t="s">
        <v>358</v>
      </c>
      <c r="P54" s="11" t="s">
        <v>356</v>
      </c>
      <c r="Q54" s="11" t="s">
        <v>135</v>
      </c>
      <c r="U54" s="11" t="s">
        <v>359</v>
      </c>
      <c r="V54" s="11" t="s">
        <v>137</v>
      </c>
      <c r="W54" s="13">
        <v>46302.314618055556</v>
      </c>
    </row>
    <row r="55" spans="1:23">
      <c r="A55">
        <v>253954</v>
      </c>
      <c r="B55">
        <v>1031</v>
      </c>
      <c r="C55" s="11" t="s">
        <v>129</v>
      </c>
      <c r="D55" s="11" t="s">
        <v>130</v>
      </c>
      <c r="E55" s="11" t="s">
        <v>25</v>
      </c>
      <c r="F55" s="12">
        <v>46119</v>
      </c>
      <c r="G55" s="11" t="s">
        <v>360</v>
      </c>
      <c r="H55">
        <v>1</v>
      </c>
      <c r="I55" s="11" t="s">
        <v>361</v>
      </c>
      <c r="M55" s="11" t="s">
        <v>79</v>
      </c>
      <c r="N55" s="11" t="s">
        <v>362</v>
      </c>
      <c r="O55" s="11" t="s">
        <v>363</v>
      </c>
      <c r="P55" s="11" t="s">
        <v>361</v>
      </c>
      <c r="Q55" s="11" t="s">
        <v>135</v>
      </c>
      <c r="U55" s="11" t="s">
        <v>364</v>
      </c>
      <c r="V55" s="11" t="s">
        <v>137</v>
      </c>
      <c r="W55" s="13">
        <v>46302.314618055556</v>
      </c>
    </row>
    <row r="56" spans="1:23">
      <c r="A56">
        <v>253955</v>
      </c>
      <c r="B56">
        <v>1032</v>
      </c>
      <c r="C56" s="11" t="s">
        <v>129</v>
      </c>
      <c r="D56" s="11" t="s">
        <v>130</v>
      </c>
      <c r="E56" s="11" t="s">
        <v>25</v>
      </c>
      <c r="F56" s="12">
        <v>46119</v>
      </c>
      <c r="G56" s="11" t="s">
        <v>334</v>
      </c>
      <c r="H56">
        <v>1</v>
      </c>
      <c r="I56" s="11" t="s">
        <v>365</v>
      </c>
      <c r="M56" s="11" t="s">
        <v>64</v>
      </c>
      <c r="N56" s="11" t="s">
        <v>366</v>
      </c>
      <c r="O56" s="11" t="s">
        <v>367</v>
      </c>
      <c r="P56" s="11" t="s">
        <v>365</v>
      </c>
      <c r="Q56" s="11" t="s">
        <v>135</v>
      </c>
      <c r="U56" s="11" t="s">
        <v>338</v>
      </c>
      <c r="V56" s="11" t="s">
        <v>137</v>
      </c>
      <c r="W56" s="13">
        <v>46302.314618055556</v>
      </c>
    </row>
    <row r="57" spans="1:23">
      <c r="A57">
        <v>253956</v>
      </c>
      <c r="B57">
        <v>1033</v>
      </c>
      <c r="C57" s="11" t="s">
        <v>129</v>
      </c>
      <c r="D57" s="11" t="s">
        <v>130</v>
      </c>
      <c r="E57" s="11" t="s">
        <v>25</v>
      </c>
      <c r="F57" s="12">
        <v>46119</v>
      </c>
      <c r="G57" s="11" t="s">
        <v>316</v>
      </c>
      <c r="H57">
        <v>1</v>
      </c>
      <c r="I57" s="11" t="s">
        <v>368</v>
      </c>
      <c r="M57" s="11" t="s">
        <v>87</v>
      </c>
      <c r="N57" s="11" t="s">
        <v>369</v>
      </c>
      <c r="O57" s="11" t="s">
        <v>370</v>
      </c>
      <c r="P57" s="11" t="s">
        <v>368</v>
      </c>
      <c r="Q57" s="11" t="s">
        <v>135</v>
      </c>
      <c r="U57" s="11" t="s">
        <v>320</v>
      </c>
      <c r="V57" s="11" t="s">
        <v>137</v>
      </c>
      <c r="W57" s="13">
        <v>46302.314618055556</v>
      </c>
    </row>
    <row r="58" spans="1:23">
      <c r="A58">
        <v>253957</v>
      </c>
      <c r="B58">
        <v>1034</v>
      </c>
      <c r="C58" s="11" t="s">
        <v>129</v>
      </c>
      <c r="D58" s="11" t="s">
        <v>130</v>
      </c>
      <c r="E58" s="11" t="s">
        <v>25</v>
      </c>
      <c r="F58" s="12">
        <v>46119</v>
      </c>
      <c r="G58" s="11" t="s">
        <v>334</v>
      </c>
      <c r="H58">
        <v>1</v>
      </c>
      <c r="I58" s="11" t="s">
        <v>317</v>
      </c>
      <c r="M58" s="11" t="s">
        <v>64</v>
      </c>
      <c r="N58" s="11" t="s">
        <v>371</v>
      </c>
      <c r="O58" s="11" t="s">
        <v>372</v>
      </c>
      <c r="P58" s="11" t="s">
        <v>317</v>
      </c>
      <c r="Q58" s="11" t="s">
        <v>135</v>
      </c>
      <c r="U58" s="11" t="s">
        <v>338</v>
      </c>
      <c r="V58" s="11" t="s">
        <v>137</v>
      </c>
      <c r="W58" s="13">
        <v>46302.314618055556</v>
      </c>
    </row>
    <row r="59" spans="1:23">
      <c r="A59">
        <v>253958</v>
      </c>
      <c r="B59">
        <v>1035</v>
      </c>
      <c r="C59" s="11" t="s">
        <v>129</v>
      </c>
      <c r="D59" s="11" t="s">
        <v>130</v>
      </c>
      <c r="E59" s="11" t="s">
        <v>25</v>
      </c>
      <c r="F59" s="12">
        <v>46119</v>
      </c>
      <c r="G59" s="11" t="s">
        <v>316</v>
      </c>
      <c r="H59">
        <v>1</v>
      </c>
      <c r="I59" s="11" t="s">
        <v>373</v>
      </c>
      <c r="M59" s="11" t="s">
        <v>87</v>
      </c>
      <c r="N59" s="11" t="s">
        <v>374</v>
      </c>
      <c r="O59" s="11" t="s">
        <v>375</v>
      </c>
      <c r="P59" s="11" t="s">
        <v>373</v>
      </c>
      <c r="Q59" s="11" t="s">
        <v>135</v>
      </c>
      <c r="U59" s="11" t="s">
        <v>320</v>
      </c>
      <c r="V59" s="11" t="s">
        <v>137</v>
      </c>
      <c r="W59" s="13">
        <v>46302.314618055556</v>
      </c>
    </row>
    <row r="60" spans="1:23">
      <c r="A60">
        <v>253959</v>
      </c>
      <c r="B60">
        <v>1036</v>
      </c>
      <c r="C60" s="11" t="s">
        <v>129</v>
      </c>
      <c r="D60" s="11" t="s">
        <v>130</v>
      </c>
      <c r="E60" s="11" t="s">
        <v>25</v>
      </c>
      <c r="F60" s="12">
        <v>46119</v>
      </c>
      <c r="G60" s="11" t="s">
        <v>328</v>
      </c>
      <c r="H60">
        <v>3</v>
      </c>
      <c r="I60" s="11" t="s">
        <v>376</v>
      </c>
      <c r="M60" s="11" t="s">
        <v>66</v>
      </c>
      <c r="N60" s="11" t="s">
        <v>377</v>
      </c>
      <c r="O60" s="11" t="s">
        <v>378</v>
      </c>
      <c r="P60" s="11" t="s">
        <v>379</v>
      </c>
      <c r="Q60" s="11" t="s">
        <v>135</v>
      </c>
      <c r="U60" s="11" t="s">
        <v>333</v>
      </c>
      <c r="V60" s="11" t="s">
        <v>137</v>
      </c>
      <c r="W60" s="13">
        <v>46302.314618055556</v>
      </c>
    </row>
    <row r="61" spans="1:23">
      <c r="A61">
        <v>253960</v>
      </c>
      <c r="B61">
        <v>1037</v>
      </c>
      <c r="C61" s="11" t="s">
        <v>129</v>
      </c>
      <c r="D61" s="11" t="s">
        <v>130</v>
      </c>
      <c r="E61" s="11" t="s">
        <v>25</v>
      </c>
      <c r="F61" s="12">
        <v>46119</v>
      </c>
      <c r="G61" s="11" t="s">
        <v>334</v>
      </c>
      <c r="H61">
        <v>3</v>
      </c>
      <c r="I61" s="11" t="s">
        <v>380</v>
      </c>
      <c r="M61" s="11" t="s">
        <v>64</v>
      </c>
      <c r="N61" s="11" t="s">
        <v>381</v>
      </c>
      <c r="O61" s="11" t="s">
        <v>382</v>
      </c>
      <c r="P61" s="11" t="s">
        <v>383</v>
      </c>
      <c r="Q61" s="11" t="s">
        <v>135</v>
      </c>
      <c r="U61" s="11" t="s">
        <v>338</v>
      </c>
      <c r="V61" s="11" t="s">
        <v>137</v>
      </c>
      <c r="W61" s="13">
        <v>46302.314618055556</v>
      </c>
    </row>
    <row r="62" spans="1:23">
      <c r="A62">
        <v>253961</v>
      </c>
      <c r="B62">
        <v>1038</v>
      </c>
      <c r="C62" s="11" t="s">
        <v>129</v>
      </c>
      <c r="D62" s="11" t="s">
        <v>130</v>
      </c>
      <c r="E62" s="11" t="s">
        <v>25</v>
      </c>
      <c r="F62" s="12">
        <v>46119</v>
      </c>
      <c r="G62" s="11" t="s">
        <v>328</v>
      </c>
      <c r="H62">
        <v>1</v>
      </c>
      <c r="I62" s="11" t="s">
        <v>384</v>
      </c>
      <c r="M62" s="11" t="s">
        <v>66</v>
      </c>
      <c r="N62" s="11" t="s">
        <v>385</v>
      </c>
      <c r="O62" s="11" t="s">
        <v>386</v>
      </c>
      <c r="P62" s="11" t="s">
        <v>384</v>
      </c>
      <c r="Q62" s="11" t="s">
        <v>135</v>
      </c>
      <c r="U62" s="11" t="s">
        <v>333</v>
      </c>
      <c r="V62" s="11" t="s">
        <v>137</v>
      </c>
      <c r="W62" s="13">
        <v>46302.314618055556</v>
      </c>
    </row>
    <row r="63" spans="1:23">
      <c r="A63">
        <v>253962</v>
      </c>
      <c r="B63">
        <v>1039</v>
      </c>
      <c r="C63" s="11" t="s">
        <v>129</v>
      </c>
      <c r="D63" s="11" t="s">
        <v>130</v>
      </c>
      <c r="E63" s="11" t="s">
        <v>25</v>
      </c>
      <c r="F63" s="12">
        <v>46119</v>
      </c>
      <c r="G63" s="11" t="s">
        <v>316</v>
      </c>
      <c r="H63">
        <v>1</v>
      </c>
      <c r="I63" s="11" t="s">
        <v>387</v>
      </c>
      <c r="M63" s="11" t="s">
        <v>87</v>
      </c>
      <c r="N63" s="11" t="s">
        <v>388</v>
      </c>
      <c r="O63" s="11" t="s">
        <v>389</v>
      </c>
      <c r="P63" s="11" t="s">
        <v>387</v>
      </c>
      <c r="Q63" s="11" t="s">
        <v>135</v>
      </c>
      <c r="U63" s="11" t="s">
        <v>320</v>
      </c>
      <c r="V63" s="11" t="s">
        <v>137</v>
      </c>
      <c r="W63" s="13">
        <v>46302.314618055556</v>
      </c>
    </row>
    <row r="64" spans="1:23">
      <c r="A64">
        <v>253963</v>
      </c>
      <c r="B64">
        <v>1040</v>
      </c>
      <c r="C64" s="11" t="s">
        <v>129</v>
      </c>
      <c r="D64" s="11" t="s">
        <v>130</v>
      </c>
      <c r="E64" s="11" t="s">
        <v>25</v>
      </c>
      <c r="F64" s="12">
        <v>46119</v>
      </c>
      <c r="G64" s="11" t="s">
        <v>339</v>
      </c>
      <c r="H64">
        <v>1</v>
      </c>
      <c r="I64" s="11" t="s">
        <v>390</v>
      </c>
      <c r="M64" s="11" t="s">
        <v>92</v>
      </c>
      <c r="N64" s="11" t="s">
        <v>391</v>
      </c>
      <c r="O64" s="11" t="s">
        <v>392</v>
      </c>
      <c r="P64" s="11" t="s">
        <v>390</v>
      </c>
      <c r="Q64" s="11" t="s">
        <v>135</v>
      </c>
      <c r="U64" s="11" t="s">
        <v>343</v>
      </c>
      <c r="V64" s="11" t="s">
        <v>137</v>
      </c>
      <c r="W64" s="13">
        <v>46302.314618055556</v>
      </c>
    </row>
    <row r="65" spans="1:23">
      <c r="A65">
        <v>253964</v>
      </c>
      <c r="B65">
        <v>1041</v>
      </c>
      <c r="C65" s="11" t="s">
        <v>129</v>
      </c>
      <c r="D65" s="11" t="s">
        <v>130</v>
      </c>
      <c r="E65" s="11" t="s">
        <v>25</v>
      </c>
      <c r="F65" s="12">
        <v>46119</v>
      </c>
      <c r="G65" s="11" t="s">
        <v>393</v>
      </c>
      <c r="H65">
        <v>1</v>
      </c>
      <c r="I65" s="11" t="s">
        <v>394</v>
      </c>
      <c r="M65" s="11" t="s">
        <v>86</v>
      </c>
      <c r="N65" s="11" t="s">
        <v>395</v>
      </c>
      <c r="O65" s="11" t="s">
        <v>396</v>
      </c>
      <c r="P65" s="11" t="s">
        <v>394</v>
      </c>
      <c r="Q65" s="11" t="s">
        <v>135</v>
      </c>
      <c r="U65" s="11" t="s">
        <v>397</v>
      </c>
      <c r="V65" s="11" t="s">
        <v>137</v>
      </c>
      <c r="W65" s="13">
        <v>46302.314618055556</v>
      </c>
    </row>
    <row r="66" spans="1:23">
      <c r="A66">
        <v>253965</v>
      </c>
      <c r="B66">
        <v>1042</v>
      </c>
      <c r="C66" s="11" t="s">
        <v>129</v>
      </c>
      <c r="D66" s="11" t="s">
        <v>130</v>
      </c>
      <c r="E66" s="11" t="s">
        <v>25</v>
      </c>
      <c r="F66" s="12">
        <v>46119</v>
      </c>
      <c r="G66" s="11" t="s">
        <v>316</v>
      </c>
      <c r="H66">
        <v>1</v>
      </c>
      <c r="I66" s="11" t="s">
        <v>398</v>
      </c>
      <c r="M66" s="11" t="s">
        <v>87</v>
      </c>
      <c r="N66" s="11" t="s">
        <v>399</v>
      </c>
      <c r="O66" s="11" t="s">
        <v>400</v>
      </c>
      <c r="P66" s="11" t="s">
        <v>398</v>
      </c>
      <c r="Q66" s="11" t="s">
        <v>135</v>
      </c>
      <c r="U66" s="11" t="s">
        <v>320</v>
      </c>
      <c r="V66" s="11" t="s">
        <v>137</v>
      </c>
      <c r="W66" s="13">
        <v>46302.314618055556</v>
      </c>
    </row>
    <row r="67" spans="1:23">
      <c r="A67">
        <v>253966</v>
      </c>
      <c r="B67">
        <v>1023</v>
      </c>
      <c r="C67" s="11" t="s">
        <v>129</v>
      </c>
      <c r="D67" s="11" t="s">
        <v>130</v>
      </c>
      <c r="E67" s="11" t="s">
        <v>25</v>
      </c>
      <c r="F67" s="12">
        <v>46119</v>
      </c>
      <c r="G67" s="11" t="s">
        <v>401</v>
      </c>
      <c r="H67">
        <v>1</v>
      </c>
      <c r="I67" s="11" t="s">
        <v>326</v>
      </c>
      <c r="M67" s="11" t="s">
        <v>90</v>
      </c>
      <c r="N67" s="11" t="s">
        <v>402</v>
      </c>
      <c r="O67" s="11" t="s">
        <v>403</v>
      </c>
      <c r="P67" s="11" t="s">
        <v>326</v>
      </c>
      <c r="Q67" s="11" t="s">
        <v>135</v>
      </c>
      <c r="R67">
        <v>1022</v>
      </c>
      <c r="U67" s="11" t="s">
        <v>404</v>
      </c>
      <c r="V67" s="11" t="s">
        <v>137</v>
      </c>
      <c r="W67" s="13">
        <v>46302.314618055556</v>
      </c>
    </row>
    <row r="68" spans="1:23">
      <c r="A68">
        <v>254322</v>
      </c>
      <c r="B68">
        <v>9405</v>
      </c>
      <c r="C68" s="11" t="s">
        <v>129</v>
      </c>
      <c r="D68" s="11" t="s">
        <v>130</v>
      </c>
      <c r="E68" s="11" t="s">
        <v>25</v>
      </c>
      <c r="F68" s="12">
        <v>46120</v>
      </c>
      <c r="G68" s="11" t="s">
        <v>226</v>
      </c>
      <c r="H68">
        <v>1</v>
      </c>
      <c r="I68" s="11" t="s">
        <v>405</v>
      </c>
      <c r="M68" s="11" t="s">
        <v>87</v>
      </c>
      <c r="N68" s="11" t="s">
        <v>406</v>
      </c>
      <c r="O68" s="11" t="s">
        <v>407</v>
      </c>
      <c r="P68" s="11" t="s">
        <v>405</v>
      </c>
      <c r="Q68" s="11" t="s">
        <v>135</v>
      </c>
      <c r="U68" s="11" t="s">
        <v>231</v>
      </c>
      <c r="V68" s="11" t="s">
        <v>137</v>
      </c>
      <c r="W68" s="13">
        <v>46302.314618055556</v>
      </c>
    </row>
    <row r="69" spans="1:23">
      <c r="A69">
        <v>254323</v>
      </c>
      <c r="B69">
        <v>9406</v>
      </c>
      <c r="C69" s="11" t="s">
        <v>129</v>
      </c>
      <c r="D69" s="11" t="s">
        <v>130</v>
      </c>
      <c r="E69" s="11" t="s">
        <v>25</v>
      </c>
      <c r="F69" s="12">
        <v>46120</v>
      </c>
      <c r="G69" s="11" t="s">
        <v>232</v>
      </c>
      <c r="H69">
        <v>1</v>
      </c>
      <c r="I69" s="11" t="s">
        <v>408</v>
      </c>
      <c r="M69" s="11" t="s">
        <v>89</v>
      </c>
      <c r="N69" s="11" t="s">
        <v>409</v>
      </c>
      <c r="O69" s="11" t="s">
        <v>410</v>
      </c>
      <c r="P69" s="11" t="s">
        <v>408</v>
      </c>
      <c r="Q69" s="11" t="s">
        <v>135</v>
      </c>
      <c r="U69" s="11" t="s">
        <v>236</v>
      </c>
      <c r="V69" s="11" t="s">
        <v>137</v>
      </c>
      <c r="W69" s="13">
        <v>46302.314618055556</v>
      </c>
    </row>
    <row r="70" spans="1:23">
      <c r="A70">
        <v>254324</v>
      </c>
      <c r="B70">
        <v>9407</v>
      </c>
      <c r="C70" s="11" t="s">
        <v>129</v>
      </c>
      <c r="D70" s="11" t="s">
        <v>130</v>
      </c>
      <c r="E70" s="11" t="s">
        <v>25</v>
      </c>
      <c r="F70" s="12">
        <v>46120</v>
      </c>
      <c r="G70" s="11" t="s">
        <v>308</v>
      </c>
      <c r="H70">
        <v>1</v>
      </c>
      <c r="I70" s="11" t="s">
        <v>411</v>
      </c>
      <c r="M70" s="11" t="s">
        <v>90</v>
      </c>
      <c r="N70" s="11" t="s">
        <v>309</v>
      </c>
      <c r="O70" s="11" t="s">
        <v>412</v>
      </c>
      <c r="P70" s="11" t="s">
        <v>411</v>
      </c>
      <c r="Q70" s="11" t="s">
        <v>135</v>
      </c>
      <c r="U70" s="11" t="s">
        <v>311</v>
      </c>
      <c r="V70" s="11" t="s">
        <v>137</v>
      </c>
      <c r="W70" s="13">
        <v>46302.314618055556</v>
      </c>
    </row>
    <row r="71" spans="1:23">
      <c r="A71">
        <v>254325</v>
      </c>
      <c r="B71">
        <v>9408</v>
      </c>
      <c r="C71" s="11" t="s">
        <v>129</v>
      </c>
      <c r="D71" s="11" t="s">
        <v>130</v>
      </c>
      <c r="E71" s="11" t="s">
        <v>25</v>
      </c>
      <c r="F71" s="12">
        <v>46120</v>
      </c>
      <c r="G71" s="11" t="s">
        <v>226</v>
      </c>
      <c r="H71">
        <v>1</v>
      </c>
      <c r="I71" s="11" t="s">
        <v>413</v>
      </c>
      <c r="M71" s="11" t="s">
        <v>87</v>
      </c>
      <c r="N71" s="11" t="s">
        <v>414</v>
      </c>
      <c r="O71" s="11" t="s">
        <v>415</v>
      </c>
      <c r="P71" s="11" t="s">
        <v>413</v>
      </c>
      <c r="Q71" s="11" t="s">
        <v>135</v>
      </c>
      <c r="U71" s="11" t="s">
        <v>231</v>
      </c>
      <c r="V71" s="11" t="s">
        <v>137</v>
      </c>
      <c r="W71" s="13">
        <v>46302.314618055556</v>
      </c>
    </row>
    <row r="72" spans="1:23">
      <c r="A72">
        <v>254326</v>
      </c>
      <c r="B72">
        <v>9409</v>
      </c>
      <c r="C72" s="11" t="s">
        <v>129</v>
      </c>
      <c r="D72" s="11" t="s">
        <v>130</v>
      </c>
      <c r="E72" s="11" t="s">
        <v>25</v>
      </c>
      <c r="F72" s="12">
        <v>46120</v>
      </c>
      <c r="G72" s="11" t="s">
        <v>416</v>
      </c>
      <c r="H72">
        <v>1</v>
      </c>
      <c r="I72" s="11" t="s">
        <v>417</v>
      </c>
      <c r="M72" s="11" t="s">
        <v>75</v>
      </c>
      <c r="N72" s="11" t="s">
        <v>418</v>
      </c>
      <c r="O72" s="11" t="s">
        <v>419</v>
      </c>
      <c r="P72" s="11" t="s">
        <v>417</v>
      </c>
      <c r="Q72" s="11" t="s">
        <v>135</v>
      </c>
      <c r="U72" s="11" t="s">
        <v>420</v>
      </c>
      <c r="V72" s="11" t="s">
        <v>137</v>
      </c>
      <c r="W72" s="13">
        <v>46302.314618055556</v>
      </c>
    </row>
    <row r="73" spans="1:23">
      <c r="A73">
        <v>254327</v>
      </c>
      <c r="B73">
        <v>9410</v>
      </c>
      <c r="C73" s="11" t="s">
        <v>129</v>
      </c>
      <c r="D73" s="11" t="s">
        <v>130</v>
      </c>
      <c r="E73" s="11" t="s">
        <v>25</v>
      </c>
      <c r="F73" s="12">
        <v>46120</v>
      </c>
      <c r="G73" s="11" t="s">
        <v>237</v>
      </c>
      <c r="H73">
        <v>1</v>
      </c>
      <c r="I73" s="11" t="s">
        <v>421</v>
      </c>
      <c r="M73" s="11" t="s">
        <v>71</v>
      </c>
      <c r="N73" s="11" t="s">
        <v>422</v>
      </c>
      <c r="O73" s="11" t="s">
        <v>423</v>
      </c>
      <c r="P73" s="11" t="s">
        <v>421</v>
      </c>
      <c r="Q73" s="11" t="s">
        <v>135</v>
      </c>
      <c r="U73" s="11" t="s">
        <v>241</v>
      </c>
      <c r="V73" s="11" t="s">
        <v>137</v>
      </c>
      <c r="W73" s="13">
        <v>46302.314618055556</v>
      </c>
    </row>
    <row r="74" spans="1:23">
      <c r="A74">
        <v>254328</v>
      </c>
      <c r="B74">
        <v>9411</v>
      </c>
      <c r="C74" s="11" t="s">
        <v>129</v>
      </c>
      <c r="D74" s="11" t="s">
        <v>130</v>
      </c>
      <c r="E74" s="11" t="s">
        <v>25</v>
      </c>
      <c r="F74" s="12">
        <v>46120</v>
      </c>
      <c r="G74" s="11" t="s">
        <v>242</v>
      </c>
      <c r="H74">
        <v>1</v>
      </c>
      <c r="I74" s="11" t="s">
        <v>424</v>
      </c>
      <c r="M74" s="11" t="s">
        <v>76</v>
      </c>
      <c r="N74" s="11" t="s">
        <v>425</v>
      </c>
      <c r="O74" s="11" t="s">
        <v>426</v>
      </c>
      <c r="P74" s="11" t="s">
        <v>424</v>
      </c>
      <c r="Q74" s="11" t="s">
        <v>135</v>
      </c>
      <c r="U74" s="11" t="s">
        <v>245</v>
      </c>
      <c r="V74" s="11" t="s">
        <v>137</v>
      </c>
      <c r="W74" s="13">
        <v>46302.314618055556</v>
      </c>
    </row>
    <row r="75" spans="1:23">
      <c r="A75">
        <v>254329</v>
      </c>
      <c r="B75">
        <v>9412</v>
      </c>
      <c r="C75" s="11" t="s">
        <v>129</v>
      </c>
      <c r="D75" s="11" t="s">
        <v>130</v>
      </c>
      <c r="E75" s="11" t="s">
        <v>25</v>
      </c>
      <c r="F75" s="12">
        <v>46120</v>
      </c>
      <c r="G75" s="11" t="s">
        <v>242</v>
      </c>
      <c r="H75">
        <v>1</v>
      </c>
      <c r="I75" s="11" t="s">
        <v>427</v>
      </c>
      <c r="M75" s="11" t="s">
        <v>76</v>
      </c>
      <c r="N75" s="11" t="s">
        <v>428</v>
      </c>
      <c r="O75" s="11" t="s">
        <v>429</v>
      </c>
      <c r="P75" s="11" t="s">
        <v>427</v>
      </c>
      <c r="Q75" s="11" t="s">
        <v>135</v>
      </c>
      <c r="U75" s="11" t="s">
        <v>245</v>
      </c>
      <c r="V75" s="11" t="s">
        <v>137</v>
      </c>
      <c r="W75" s="13">
        <v>46302.314618055556</v>
      </c>
    </row>
    <row r="76" spans="1:23">
      <c r="A76">
        <v>254330</v>
      </c>
      <c r="B76">
        <v>9413</v>
      </c>
      <c r="C76" s="11" t="s">
        <v>129</v>
      </c>
      <c r="D76" s="11" t="s">
        <v>130</v>
      </c>
      <c r="E76" s="11" t="s">
        <v>25</v>
      </c>
      <c r="F76" s="12">
        <v>46120</v>
      </c>
      <c r="G76" s="11" t="s">
        <v>242</v>
      </c>
      <c r="H76">
        <v>1</v>
      </c>
      <c r="I76" s="11" t="s">
        <v>430</v>
      </c>
      <c r="M76" s="11" t="s">
        <v>76</v>
      </c>
      <c r="N76" s="11" t="s">
        <v>431</v>
      </c>
      <c r="O76" s="11" t="s">
        <v>432</v>
      </c>
      <c r="P76" s="11" t="s">
        <v>430</v>
      </c>
      <c r="Q76" s="11" t="s">
        <v>135</v>
      </c>
      <c r="U76" s="11" t="s">
        <v>245</v>
      </c>
      <c r="V76" s="11" t="s">
        <v>137</v>
      </c>
      <c r="W76" s="13">
        <v>46302.314618055556</v>
      </c>
    </row>
    <row r="77" spans="1:23">
      <c r="A77">
        <v>254331</v>
      </c>
      <c r="B77">
        <v>9414</v>
      </c>
      <c r="C77" s="11" t="s">
        <v>129</v>
      </c>
      <c r="D77" s="11" t="s">
        <v>130</v>
      </c>
      <c r="E77" s="11" t="s">
        <v>25</v>
      </c>
      <c r="F77" s="12">
        <v>46120</v>
      </c>
      <c r="G77" s="11" t="s">
        <v>237</v>
      </c>
      <c r="H77">
        <v>1</v>
      </c>
      <c r="I77" s="11" t="s">
        <v>433</v>
      </c>
      <c r="M77" s="11" t="s">
        <v>71</v>
      </c>
      <c r="N77" s="11" t="s">
        <v>434</v>
      </c>
      <c r="O77" s="11" t="s">
        <v>435</v>
      </c>
      <c r="P77" s="11" t="s">
        <v>433</v>
      </c>
      <c r="Q77" s="11" t="s">
        <v>135</v>
      </c>
      <c r="U77" s="11" t="s">
        <v>241</v>
      </c>
      <c r="V77" s="11" t="s">
        <v>137</v>
      </c>
      <c r="W77" s="13">
        <v>46302.314618055556</v>
      </c>
    </row>
    <row r="78" spans="1:23">
      <c r="A78">
        <v>254332</v>
      </c>
      <c r="B78">
        <v>9415</v>
      </c>
      <c r="C78" s="11" t="s">
        <v>129</v>
      </c>
      <c r="D78" s="11" t="s">
        <v>130</v>
      </c>
      <c r="E78" s="11" t="s">
        <v>25</v>
      </c>
      <c r="F78" s="12">
        <v>46120</v>
      </c>
      <c r="G78" s="11" t="s">
        <v>232</v>
      </c>
      <c r="H78">
        <v>1</v>
      </c>
      <c r="I78" s="11" t="s">
        <v>436</v>
      </c>
      <c r="M78" s="11" t="s">
        <v>89</v>
      </c>
      <c r="N78" s="11" t="s">
        <v>437</v>
      </c>
      <c r="O78" s="11" t="s">
        <v>438</v>
      </c>
      <c r="P78" s="11" t="s">
        <v>436</v>
      </c>
      <c r="Q78" s="11" t="s">
        <v>135</v>
      </c>
      <c r="U78" s="11" t="s">
        <v>236</v>
      </c>
      <c r="V78" s="11" t="s">
        <v>137</v>
      </c>
      <c r="W78" s="13">
        <v>46302.314618055556</v>
      </c>
    </row>
    <row r="79" spans="1:23">
      <c r="A79">
        <v>254333</v>
      </c>
      <c r="B79">
        <v>9416</v>
      </c>
      <c r="C79" s="11" t="s">
        <v>129</v>
      </c>
      <c r="D79" s="11" t="s">
        <v>130</v>
      </c>
      <c r="E79" s="11" t="s">
        <v>25</v>
      </c>
      <c r="F79" s="12">
        <v>46120</v>
      </c>
      <c r="G79" s="11" t="s">
        <v>439</v>
      </c>
      <c r="H79">
        <v>1</v>
      </c>
      <c r="I79" s="11" t="s">
        <v>440</v>
      </c>
      <c r="M79" s="11" t="s">
        <v>73</v>
      </c>
      <c r="N79" s="11" t="s">
        <v>441</v>
      </c>
      <c r="O79" s="11" t="s">
        <v>442</v>
      </c>
      <c r="P79" s="11" t="s">
        <v>440</v>
      </c>
      <c r="Q79" s="11" t="s">
        <v>135</v>
      </c>
      <c r="U79" s="11" t="s">
        <v>443</v>
      </c>
      <c r="V79" s="11" t="s">
        <v>137</v>
      </c>
      <c r="W79" s="13">
        <v>46302.314618055556</v>
      </c>
    </row>
    <row r="80" spans="1:23">
      <c r="A80">
        <v>254334</v>
      </c>
      <c r="B80">
        <v>9417</v>
      </c>
      <c r="C80" s="11" t="s">
        <v>129</v>
      </c>
      <c r="D80" s="11" t="s">
        <v>130</v>
      </c>
      <c r="E80" s="11" t="s">
        <v>25</v>
      </c>
      <c r="F80" s="12">
        <v>46120</v>
      </c>
      <c r="G80" s="11" t="s">
        <v>226</v>
      </c>
      <c r="H80">
        <v>1</v>
      </c>
      <c r="I80" s="11" t="s">
        <v>444</v>
      </c>
      <c r="M80" s="11" t="s">
        <v>87</v>
      </c>
      <c r="N80" s="11" t="s">
        <v>445</v>
      </c>
      <c r="O80" s="11" t="s">
        <v>446</v>
      </c>
      <c r="P80" s="11" t="s">
        <v>444</v>
      </c>
      <c r="Q80" s="11" t="s">
        <v>135</v>
      </c>
      <c r="U80" s="11" t="s">
        <v>231</v>
      </c>
      <c r="V80" s="11" t="s">
        <v>137</v>
      </c>
      <c r="W80" s="13">
        <v>46302.314618055556</v>
      </c>
    </row>
    <row r="81" spans="1:23">
      <c r="A81">
        <v>254335</v>
      </c>
      <c r="B81">
        <v>9418</v>
      </c>
      <c r="C81" s="11" t="s">
        <v>129</v>
      </c>
      <c r="D81" s="11" t="s">
        <v>130</v>
      </c>
      <c r="E81" s="11" t="s">
        <v>25</v>
      </c>
      <c r="F81" s="12">
        <v>46120</v>
      </c>
      <c r="G81" s="11" t="s">
        <v>263</v>
      </c>
      <c r="H81">
        <v>1</v>
      </c>
      <c r="I81" s="11" t="s">
        <v>447</v>
      </c>
      <c r="M81" s="11" t="s">
        <v>92</v>
      </c>
      <c r="N81" s="11" t="s">
        <v>448</v>
      </c>
      <c r="O81" s="11" t="s">
        <v>449</v>
      </c>
      <c r="P81" s="11" t="s">
        <v>447</v>
      </c>
      <c r="Q81" s="11" t="s">
        <v>135</v>
      </c>
      <c r="U81" s="11" t="s">
        <v>267</v>
      </c>
      <c r="V81" s="11" t="s">
        <v>137</v>
      </c>
      <c r="W81" s="13">
        <v>46302.314618055556</v>
      </c>
    </row>
    <row r="82" spans="1:23">
      <c r="A82">
        <v>254336</v>
      </c>
      <c r="B82">
        <v>9419</v>
      </c>
      <c r="C82" s="11" t="s">
        <v>129</v>
      </c>
      <c r="D82" s="11" t="s">
        <v>130</v>
      </c>
      <c r="E82" s="11" t="s">
        <v>25</v>
      </c>
      <c r="F82" s="12">
        <v>46120</v>
      </c>
      <c r="G82" s="11" t="s">
        <v>274</v>
      </c>
      <c r="H82">
        <v>1</v>
      </c>
      <c r="I82" s="11" t="s">
        <v>450</v>
      </c>
      <c r="M82" s="11" t="s">
        <v>77</v>
      </c>
      <c r="N82" s="11" t="s">
        <v>451</v>
      </c>
      <c r="O82" s="11" t="s">
        <v>452</v>
      </c>
      <c r="P82" s="11" t="s">
        <v>450</v>
      </c>
      <c r="Q82" s="11" t="s">
        <v>135</v>
      </c>
      <c r="U82" s="11" t="s">
        <v>278</v>
      </c>
      <c r="V82" s="11" t="s">
        <v>137</v>
      </c>
      <c r="W82" s="13">
        <v>46302.314618055556</v>
      </c>
    </row>
    <row r="83" spans="1:23">
      <c r="A83">
        <v>254337</v>
      </c>
      <c r="B83">
        <v>9420</v>
      </c>
      <c r="C83" s="11" t="s">
        <v>129</v>
      </c>
      <c r="D83" s="11" t="s">
        <v>130</v>
      </c>
      <c r="E83" s="11" t="s">
        <v>25</v>
      </c>
      <c r="F83" s="12">
        <v>46120</v>
      </c>
      <c r="G83" s="11" t="s">
        <v>284</v>
      </c>
      <c r="H83">
        <v>1</v>
      </c>
      <c r="I83" s="11" t="s">
        <v>453</v>
      </c>
      <c r="M83" s="11" t="s">
        <v>80</v>
      </c>
      <c r="N83" s="11" t="s">
        <v>454</v>
      </c>
      <c r="O83" s="11" t="s">
        <v>455</v>
      </c>
      <c r="P83" s="11" t="s">
        <v>453</v>
      </c>
      <c r="Q83" s="11" t="s">
        <v>135</v>
      </c>
      <c r="U83" s="11" t="s">
        <v>288</v>
      </c>
      <c r="V83" s="11" t="s">
        <v>137</v>
      </c>
      <c r="W83" s="13">
        <v>46302.314618055556</v>
      </c>
    </row>
    <row r="84" spans="1:23">
      <c r="A84">
        <v>254338</v>
      </c>
      <c r="B84">
        <v>9421</v>
      </c>
      <c r="C84" s="11" t="s">
        <v>129</v>
      </c>
      <c r="D84" s="11" t="s">
        <v>130</v>
      </c>
      <c r="E84" s="11" t="s">
        <v>25</v>
      </c>
      <c r="F84" s="12">
        <v>46120</v>
      </c>
      <c r="G84" s="11" t="s">
        <v>439</v>
      </c>
      <c r="H84">
        <v>1</v>
      </c>
      <c r="I84" s="11" t="s">
        <v>456</v>
      </c>
      <c r="M84" s="11" t="s">
        <v>73</v>
      </c>
      <c r="N84" s="11" t="s">
        <v>457</v>
      </c>
      <c r="O84" s="11" t="s">
        <v>458</v>
      </c>
      <c r="P84" s="11" t="s">
        <v>456</v>
      </c>
      <c r="Q84" s="11" t="s">
        <v>135</v>
      </c>
      <c r="U84" s="11" t="s">
        <v>443</v>
      </c>
      <c r="V84" s="11" t="s">
        <v>137</v>
      </c>
      <c r="W84" s="13">
        <v>46302.314618055556</v>
      </c>
    </row>
    <row r="85" spans="1:23">
      <c r="A85">
        <v>254339</v>
      </c>
      <c r="B85">
        <v>9422</v>
      </c>
      <c r="C85" s="11" t="s">
        <v>129</v>
      </c>
      <c r="D85" s="11" t="s">
        <v>130</v>
      </c>
      <c r="E85" s="11" t="s">
        <v>25</v>
      </c>
      <c r="F85" s="12">
        <v>46120</v>
      </c>
      <c r="G85" s="11" t="s">
        <v>242</v>
      </c>
      <c r="H85">
        <v>1</v>
      </c>
      <c r="I85" s="11" t="s">
        <v>459</v>
      </c>
      <c r="M85" s="11" t="s">
        <v>76</v>
      </c>
      <c r="N85" s="11" t="s">
        <v>460</v>
      </c>
      <c r="O85" s="11" t="s">
        <v>461</v>
      </c>
      <c r="P85" s="11" t="s">
        <v>459</v>
      </c>
      <c r="Q85" s="11" t="s">
        <v>135</v>
      </c>
      <c r="U85" s="11" t="s">
        <v>245</v>
      </c>
      <c r="V85" s="11" t="s">
        <v>137</v>
      </c>
      <c r="W85" s="13">
        <v>46302.314618055556</v>
      </c>
    </row>
    <row r="86" spans="1:23">
      <c r="A86">
        <v>254340</v>
      </c>
      <c r="B86">
        <v>9423</v>
      </c>
      <c r="C86" s="11" t="s">
        <v>129</v>
      </c>
      <c r="D86" s="11" t="s">
        <v>130</v>
      </c>
      <c r="E86" s="11" t="s">
        <v>25</v>
      </c>
      <c r="F86" s="12">
        <v>46120</v>
      </c>
      <c r="G86" s="11" t="s">
        <v>242</v>
      </c>
      <c r="H86">
        <v>1</v>
      </c>
      <c r="I86" s="11" t="s">
        <v>462</v>
      </c>
      <c r="M86" s="11" t="s">
        <v>76</v>
      </c>
      <c r="N86" s="11" t="s">
        <v>463</v>
      </c>
      <c r="O86" s="11" t="s">
        <v>464</v>
      </c>
      <c r="P86" s="11" t="s">
        <v>462</v>
      </c>
      <c r="Q86" s="11" t="s">
        <v>135</v>
      </c>
      <c r="U86" s="11" t="s">
        <v>245</v>
      </c>
      <c r="V86" s="11" t="s">
        <v>137</v>
      </c>
      <c r="W86" s="13">
        <v>46302.314618055556</v>
      </c>
    </row>
    <row r="87" spans="1:23">
      <c r="A87">
        <v>254341</v>
      </c>
      <c r="B87">
        <v>9424</v>
      </c>
      <c r="C87" s="11" t="s">
        <v>129</v>
      </c>
      <c r="D87" s="11" t="s">
        <v>130</v>
      </c>
      <c r="E87" s="11" t="s">
        <v>25</v>
      </c>
      <c r="F87" s="12">
        <v>46120</v>
      </c>
      <c r="G87" s="11" t="s">
        <v>242</v>
      </c>
      <c r="H87">
        <v>1</v>
      </c>
      <c r="I87" s="11" t="s">
        <v>465</v>
      </c>
      <c r="M87" s="11" t="s">
        <v>76</v>
      </c>
      <c r="N87" s="11" t="s">
        <v>466</v>
      </c>
      <c r="O87" s="11" t="s">
        <v>467</v>
      </c>
      <c r="P87" s="11" t="s">
        <v>465</v>
      </c>
      <c r="Q87" s="11" t="s">
        <v>135</v>
      </c>
      <c r="U87" s="11" t="s">
        <v>245</v>
      </c>
      <c r="V87" s="11" t="s">
        <v>137</v>
      </c>
      <c r="W87" s="13">
        <v>46302.314618055556</v>
      </c>
    </row>
    <row r="88" spans="1:23">
      <c r="A88">
        <v>254342</v>
      </c>
      <c r="B88">
        <v>9425</v>
      </c>
      <c r="C88" s="11" t="s">
        <v>129</v>
      </c>
      <c r="D88" s="11" t="s">
        <v>130</v>
      </c>
      <c r="E88" s="11" t="s">
        <v>25</v>
      </c>
      <c r="F88" s="12">
        <v>46120</v>
      </c>
      <c r="G88" s="11" t="s">
        <v>242</v>
      </c>
      <c r="H88">
        <v>1</v>
      </c>
      <c r="I88" s="11" t="s">
        <v>468</v>
      </c>
      <c r="M88" s="11" t="s">
        <v>76</v>
      </c>
      <c r="N88" s="11" t="s">
        <v>469</v>
      </c>
      <c r="O88" s="11" t="s">
        <v>470</v>
      </c>
      <c r="P88" s="11" t="s">
        <v>468</v>
      </c>
      <c r="Q88" s="11" t="s">
        <v>135</v>
      </c>
      <c r="U88" s="11" t="s">
        <v>245</v>
      </c>
      <c r="V88" s="11" t="s">
        <v>137</v>
      </c>
      <c r="W88" s="13">
        <v>46302.314618055556</v>
      </c>
    </row>
    <row r="89" spans="1:23">
      <c r="A89">
        <v>254343</v>
      </c>
      <c r="B89">
        <v>9426</v>
      </c>
      <c r="C89" s="11" t="s">
        <v>129</v>
      </c>
      <c r="D89" s="11" t="s">
        <v>130</v>
      </c>
      <c r="E89" s="11" t="s">
        <v>25</v>
      </c>
      <c r="F89" s="12">
        <v>46120</v>
      </c>
      <c r="G89" s="11" t="s">
        <v>242</v>
      </c>
      <c r="H89">
        <v>1</v>
      </c>
      <c r="I89" s="11" t="s">
        <v>471</v>
      </c>
      <c r="M89" s="11" t="s">
        <v>76</v>
      </c>
      <c r="N89" s="11" t="s">
        <v>472</v>
      </c>
      <c r="O89" s="11" t="s">
        <v>473</v>
      </c>
      <c r="P89" s="11" t="s">
        <v>471</v>
      </c>
      <c r="Q89" s="11" t="s">
        <v>135</v>
      </c>
      <c r="U89" s="11" t="s">
        <v>245</v>
      </c>
      <c r="V89" s="11" t="s">
        <v>137</v>
      </c>
      <c r="W89" s="13">
        <v>46302.314618055556</v>
      </c>
    </row>
    <row r="90" spans="1:23">
      <c r="A90">
        <v>254344</v>
      </c>
      <c r="B90">
        <v>9427</v>
      </c>
      <c r="C90" s="11" t="s">
        <v>129</v>
      </c>
      <c r="D90" s="11" t="s">
        <v>130</v>
      </c>
      <c r="E90" s="11" t="s">
        <v>25</v>
      </c>
      <c r="F90" s="12">
        <v>46120</v>
      </c>
      <c r="G90" s="11" t="s">
        <v>263</v>
      </c>
      <c r="H90">
        <v>1</v>
      </c>
      <c r="I90" s="11" t="s">
        <v>474</v>
      </c>
      <c r="M90" s="11" t="s">
        <v>92</v>
      </c>
      <c r="N90" s="11" t="s">
        <v>475</v>
      </c>
      <c r="O90" s="11" t="s">
        <v>476</v>
      </c>
      <c r="P90" s="11" t="s">
        <v>474</v>
      </c>
      <c r="Q90" s="11" t="s">
        <v>135</v>
      </c>
      <c r="U90" s="11" t="s">
        <v>267</v>
      </c>
      <c r="V90" s="11" t="s">
        <v>137</v>
      </c>
      <c r="W90" s="13">
        <v>46302.314618055556</v>
      </c>
    </row>
    <row r="91" spans="1:23">
      <c r="A91">
        <v>254345</v>
      </c>
      <c r="B91">
        <v>9428</v>
      </c>
      <c r="C91" s="11" t="s">
        <v>129</v>
      </c>
      <c r="D91" s="11" t="s">
        <v>130</v>
      </c>
      <c r="E91" s="11" t="s">
        <v>25</v>
      </c>
      <c r="F91" s="12">
        <v>46120</v>
      </c>
      <c r="G91" s="11" t="s">
        <v>242</v>
      </c>
      <c r="H91">
        <v>1</v>
      </c>
      <c r="I91" s="11" t="s">
        <v>477</v>
      </c>
      <c r="M91" s="11" t="s">
        <v>76</v>
      </c>
      <c r="N91" s="11" t="s">
        <v>478</v>
      </c>
      <c r="O91" s="11" t="s">
        <v>479</v>
      </c>
      <c r="P91" s="11" t="s">
        <v>477</v>
      </c>
      <c r="Q91" s="11" t="s">
        <v>135</v>
      </c>
      <c r="U91" s="11" t="s">
        <v>245</v>
      </c>
      <c r="V91" s="11" t="s">
        <v>137</v>
      </c>
      <c r="W91" s="13">
        <v>46302.314618055556</v>
      </c>
    </row>
    <row r="92" spans="1:23">
      <c r="A92">
        <v>254346</v>
      </c>
      <c r="B92">
        <v>9429</v>
      </c>
      <c r="C92" s="11" t="s">
        <v>129</v>
      </c>
      <c r="D92" s="11" t="s">
        <v>130</v>
      </c>
      <c r="E92" s="11" t="s">
        <v>25</v>
      </c>
      <c r="F92" s="12">
        <v>46120</v>
      </c>
      <c r="G92" s="11" t="s">
        <v>242</v>
      </c>
      <c r="H92">
        <v>1</v>
      </c>
      <c r="I92" s="11" t="s">
        <v>480</v>
      </c>
      <c r="M92" s="11" t="s">
        <v>76</v>
      </c>
      <c r="N92" s="11" t="s">
        <v>481</v>
      </c>
      <c r="O92" s="11" t="s">
        <v>482</v>
      </c>
      <c r="P92" s="11" t="s">
        <v>480</v>
      </c>
      <c r="Q92" s="11" t="s">
        <v>135</v>
      </c>
      <c r="U92" s="11" t="s">
        <v>245</v>
      </c>
      <c r="V92" s="11" t="s">
        <v>137</v>
      </c>
      <c r="W92" s="13">
        <v>46302.314618055556</v>
      </c>
    </row>
    <row r="93" spans="1:23">
      <c r="A93">
        <v>254347</v>
      </c>
      <c r="B93">
        <v>9430</v>
      </c>
      <c r="C93" s="11" t="s">
        <v>129</v>
      </c>
      <c r="D93" s="11" t="s">
        <v>130</v>
      </c>
      <c r="E93" s="11" t="s">
        <v>25</v>
      </c>
      <c r="F93" s="12">
        <v>46120</v>
      </c>
      <c r="G93" s="11" t="s">
        <v>312</v>
      </c>
      <c r="H93">
        <v>1</v>
      </c>
      <c r="I93" s="11" t="s">
        <v>483</v>
      </c>
      <c r="M93" s="11" t="s">
        <v>86</v>
      </c>
      <c r="N93" s="11" t="s">
        <v>484</v>
      </c>
      <c r="O93" s="11" t="s">
        <v>485</v>
      </c>
      <c r="P93" s="11" t="s">
        <v>483</v>
      </c>
      <c r="Q93" s="11" t="s">
        <v>135</v>
      </c>
      <c r="U93" s="11" t="s">
        <v>315</v>
      </c>
      <c r="V93" s="11" t="s">
        <v>137</v>
      </c>
      <c r="W93" s="13">
        <v>46302.314618055556</v>
      </c>
    </row>
    <row r="94" spans="1:23">
      <c r="A94">
        <v>254348</v>
      </c>
      <c r="B94">
        <v>9431</v>
      </c>
      <c r="C94" s="11" t="s">
        <v>129</v>
      </c>
      <c r="D94" s="11" t="s">
        <v>130</v>
      </c>
      <c r="E94" s="11" t="s">
        <v>25</v>
      </c>
      <c r="F94" s="12">
        <v>46120</v>
      </c>
      <c r="G94" s="11" t="s">
        <v>232</v>
      </c>
      <c r="H94">
        <v>1</v>
      </c>
      <c r="I94" s="11" t="s">
        <v>486</v>
      </c>
      <c r="M94" s="11" t="s">
        <v>89</v>
      </c>
      <c r="N94" s="11" t="s">
        <v>487</v>
      </c>
      <c r="O94" s="11" t="s">
        <v>488</v>
      </c>
      <c r="P94" s="11" t="s">
        <v>486</v>
      </c>
      <c r="Q94" s="11" t="s">
        <v>135</v>
      </c>
      <c r="U94" s="11" t="s">
        <v>236</v>
      </c>
      <c r="V94" s="11" t="s">
        <v>137</v>
      </c>
      <c r="W94" s="13">
        <v>46302.314618055556</v>
      </c>
    </row>
    <row r="95" spans="1:23">
      <c r="A95">
        <v>255177</v>
      </c>
      <c r="B95">
        <v>1105</v>
      </c>
      <c r="C95" s="11" t="s">
        <v>129</v>
      </c>
      <c r="D95" s="11" t="s">
        <v>130</v>
      </c>
      <c r="E95" s="11" t="s">
        <v>25</v>
      </c>
      <c r="F95" s="12">
        <v>46122</v>
      </c>
      <c r="G95" s="11" t="s">
        <v>131</v>
      </c>
      <c r="H95">
        <v>1</v>
      </c>
      <c r="I95" s="11" t="s">
        <v>489</v>
      </c>
      <c r="M95" s="11" t="s">
        <v>87</v>
      </c>
      <c r="N95" s="11" t="s">
        <v>490</v>
      </c>
      <c r="O95" s="11" t="s">
        <v>491</v>
      </c>
      <c r="P95" s="11" t="s">
        <v>489</v>
      </c>
      <c r="Q95" s="11" t="s">
        <v>492</v>
      </c>
      <c r="U95" s="11" t="s">
        <v>136</v>
      </c>
      <c r="V95" s="11" t="s">
        <v>137</v>
      </c>
      <c r="W95" s="13">
        <v>46302.314618055556</v>
      </c>
    </row>
    <row r="96" spans="1:23">
      <c r="A96">
        <v>255178</v>
      </c>
      <c r="B96">
        <v>1107</v>
      </c>
      <c r="C96" s="11" t="s">
        <v>129</v>
      </c>
      <c r="D96" s="11" t="s">
        <v>130</v>
      </c>
      <c r="E96" s="11" t="s">
        <v>25</v>
      </c>
      <c r="F96" s="12">
        <v>46122</v>
      </c>
      <c r="G96" s="11" t="s">
        <v>195</v>
      </c>
      <c r="H96">
        <v>4</v>
      </c>
      <c r="I96" s="11" t="s">
        <v>493</v>
      </c>
      <c r="M96" s="11" t="s">
        <v>68</v>
      </c>
      <c r="N96" s="11" t="s">
        <v>494</v>
      </c>
      <c r="O96" s="11" t="s">
        <v>495</v>
      </c>
      <c r="P96" s="11" t="s">
        <v>203</v>
      </c>
      <c r="Q96" s="11" t="s">
        <v>135</v>
      </c>
      <c r="U96" s="11" t="s">
        <v>199</v>
      </c>
      <c r="V96" s="11" t="s">
        <v>137</v>
      </c>
      <c r="W96" s="13">
        <v>46302.314618055556</v>
      </c>
    </row>
    <row r="97" spans="1:23">
      <c r="A97">
        <v>255179</v>
      </c>
      <c r="B97">
        <v>1108</v>
      </c>
      <c r="C97" s="11" t="s">
        <v>129</v>
      </c>
      <c r="D97" s="11" t="s">
        <v>130</v>
      </c>
      <c r="E97" s="11" t="s">
        <v>25</v>
      </c>
      <c r="F97" s="12">
        <v>46122</v>
      </c>
      <c r="G97" s="11" t="s">
        <v>159</v>
      </c>
      <c r="H97">
        <v>1</v>
      </c>
      <c r="I97" s="11" t="s">
        <v>496</v>
      </c>
      <c r="M97" s="11" t="s">
        <v>95</v>
      </c>
      <c r="N97" s="11" t="s">
        <v>497</v>
      </c>
      <c r="O97" s="11" t="s">
        <v>498</v>
      </c>
      <c r="P97" s="11" t="s">
        <v>496</v>
      </c>
      <c r="Q97" s="11" t="s">
        <v>135</v>
      </c>
      <c r="U97" s="11" t="s">
        <v>163</v>
      </c>
      <c r="V97" s="11" t="s">
        <v>137</v>
      </c>
      <c r="W97" s="13">
        <v>46302.314618055556</v>
      </c>
    </row>
    <row r="98" spans="1:23">
      <c r="A98">
        <v>255180</v>
      </c>
      <c r="B98">
        <v>1109</v>
      </c>
      <c r="C98" s="11" t="s">
        <v>129</v>
      </c>
      <c r="D98" s="11" t="s">
        <v>130</v>
      </c>
      <c r="E98" s="11" t="s">
        <v>25</v>
      </c>
      <c r="F98" s="12">
        <v>46122</v>
      </c>
      <c r="G98" s="11" t="s">
        <v>499</v>
      </c>
      <c r="H98">
        <v>1</v>
      </c>
      <c r="I98" s="11" t="s">
        <v>500</v>
      </c>
      <c r="M98" s="11" t="s">
        <v>55</v>
      </c>
      <c r="N98" s="11" t="s">
        <v>501</v>
      </c>
      <c r="O98" s="11" t="s">
        <v>502</v>
      </c>
      <c r="P98" s="11" t="s">
        <v>500</v>
      </c>
      <c r="Q98" s="11" t="s">
        <v>135</v>
      </c>
      <c r="U98" s="11" t="s">
        <v>503</v>
      </c>
      <c r="V98" s="11" t="s">
        <v>137</v>
      </c>
      <c r="W98" s="13">
        <v>46302.314618055556</v>
      </c>
    </row>
    <row r="99" spans="1:23">
      <c r="A99">
        <v>255181</v>
      </c>
      <c r="B99">
        <v>1110</v>
      </c>
      <c r="C99" s="11" t="s">
        <v>129</v>
      </c>
      <c r="D99" s="11" t="s">
        <v>130</v>
      </c>
      <c r="E99" s="11" t="s">
        <v>25</v>
      </c>
      <c r="F99" s="12">
        <v>46122</v>
      </c>
      <c r="G99" s="11" t="s">
        <v>504</v>
      </c>
      <c r="H99">
        <v>1</v>
      </c>
      <c r="I99" s="11" t="s">
        <v>505</v>
      </c>
      <c r="M99" s="11" t="s">
        <v>53</v>
      </c>
      <c r="N99" s="11" t="s">
        <v>506</v>
      </c>
      <c r="O99" s="11" t="s">
        <v>507</v>
      </c>
      <c r="P99" s="11" t="s">
        <v>505</v>
      </c>
      <c r="Q99" s="11" t="s">
        <v>135</v>
      </c>
      <c r="U99" s="11" t="s">
        <v>508</v>
      </c>
      <c r="V99" s="11" t="s">
        <v>137</v>
      </c>
      <c r="W99" s="13">
        <v>46302.314618055556</v>
      </c>
    </row>
    <row r="100" spans="1:23">
      <c r="A100">
        <v>255182</v>
      </c>
      <c r="B100">
        <v>1111</v>
      </c>
      <c r="C100" s="11" t="s">
        <v>129</v>
      </c>
      <c r="D100" s="11" t="s">
        <v>130</v>
      </c>
      <c r="E100" s="11" t="s">
        <v>25</v>
      </c>
      <c r="F100" s="12">
        <v>46122</v>
      </c>
      <c r="G100" s="11" t="s">
        <v>174</v>
      </c>
      <c r="H100">
        <v>1</v>
      </c>
      <c r="I100" s="11" t="s">
        <v>509</v>
      </c>
      <c r="M100" s="11" t="s">
        <v>92</v>
      </c>
      <c r="N100" s="11" t="s">
        <v>510</v>
      </c>
      <c r="O100" s="11" t="s">
        <v>511</v>
      </c>
      <c r="P100" s="11" t="s">
        <v>509</v>
      </c>
      <c r="Q100" s="11" t="s">
        <v>135</v>
      </c>
      <c r="U100" s="11" t="s">
        <v>178</v>
      </c>
      <c r="V100" s="11" t="s">
        <v>137</v>
      </c>
      <c r="W100" s="13">
        <v>46302.314618055556</v>
      </c>
    </row>
    <row r="101" spans="1:23">
      <c r="A101">
        <v>255183</v>
      </c>
      <c r="B101">
        <v>1112</v>
      </c>
      <c r="C101" s="11" t="s">
        <v>129</v>
      </c>
      <c r="D101" s="11" t="s">
        <v>130</v>
      </c>
      <c r="E101" s="11" t="s">
        <v>25</v>
      </c>
      <c r="F101" s="12">
        <v>46122</v>
      </c>
      <c r="G101" s="11" t="s">
        <v>512</v>
      </c>
      <c r="H101">
        <v>1</v>
      </c>
      <c r="I101" s="11" t="s">
        <v>513</v>
      </c>
      <c r="M101" s="11" t="s">
        <v>44</v>
      </c>
      <c r="N101" s="11" t="s">
        <v>514</v>
      </c>
      <c r="O101" s="11" t="s">
        <v>515</v>
      </c>
      <c r="P101" s="11" t="s">
        <v>513</v>
      </c>
      <c r="Q101" s="11" t="s">
        <v>135</v>
      </c>
      <c r="U101" s="11" t="s">
        <v>516</v>
      </c>
      <c r="V101" s="11" t="s">
        <v>137</v>
      </c>
      <c r="W101" s="13">
        <v>46302.314618055556</v>
      </c>
    </row>
    <row r="102" spans="1:23">
      <c r="A102">
        <v>255184</v>
      </c>
      <c r="B102">
        <v>1113</v>
      </c>
      <c r="C102" s="11" t="s">
        <v>129</v>
      </c>
      <c r="D102" s="11" t="s">
        <v>130</v>
      </c>
      <c r="E102" s="11" t="s">
        <v>25</v>
      </c>
      <c r="F102" s="12">
        <v>46122</v>
      </c>
      <c r="G102" s="11" t="s">
        <v>174</v>
      </c>
      <c r="H102">
        <v>1</v>
      </c>
      <c r="I102" s="11" t="s">
        <v>517</v>
      </c>
      <c r="M102" s="11" t="s">
        <v>92</v>
      </c>
      <c r="N102" s="11" t="s">
        <v>518</v>
      </c>
      <c r="O102" s="11" t="s">
        <v>519</v>
      </c>
      <c r="P102" s="11" t="s">
        <v>517</v>
      </c>
      <c r="Q102" s="11" t="s">
        <v>135</v>
      </c>
      <c r="U102" s="11" t="s">
        <v>178</v>
      </c>
      <c r="V102" s="11" t="s">
        <v>137</v>
      </c>
      <c r="W102" s="13">
        <v>46302.314618055556</v>
      </c>
    </row>
    <row r="103" spans="1:23">
      <c r="A103">
        <v>255185</v>
      </c>
      <c r="B103">
        <v>1114</v>
      </c>
      <c r="C103" s="11" t="s">
        <v>129</v>
      </c>
      <c r="D103" s="11" t="s">
        <v>130</v>
      </c>
      <c r="E103" s="11" t="s">
        <v>25</v>
      </c>
      <c r="F103" s="12">
        <v>46122</v>
      </c>
      <c r="G103" s="11" t="s">
        <v>149</v>
      </c>
      <c r="H103">
        <v>1</v>
      </c>
      <c r="I103" s="11" t="s">
        <v>520</v>
      </c>
      <c r="M103" s="11" t="s">
        <v>77</v>
      </c>
      <c r="N103" s="11" t="s">
        <v>521</v>
      </c>
      <c r="O103" s="11" t="s">
        <v>522</v>
      </c>
      <c r="P103" s="11" t="s">
        <v>520</v>
      </c>
      <c r="Q103" s="11" t="s">
        <v>135</v>
      </c>
      <c r="U103" s="11" t="s">
        <v>153</v>
      </c>
      <c r="V103" s="11" t="s">
        <v>137</v>
      </c>
      <c r="W103" s="13">
        <v>46302.314618055556</v>
      </c>
    </row>
    <row r="104" spans="1:23">
      <c r="A104">
        <v>255186</v>
      </c>
      <c r="B104">
        <v>1115</v>
      </c>
      <c r="C104" s="11" t="s">
        <v>129</v>
      </c>
      <c r="D104" s="11" t="s">
        <v>130</v>
      </c>
      <c r="E104" s="11" t="s">
        <v>25</v>
      </c>
      <c r="F104" s="12">
        <v>46122</v>
      </c>
      <c r="G104" s="11" t="s">
        <v>523</v>
      </c>
      <c r="H104">
        <v>1</v>
      </c>
      <c r="I104" s="11" t="s">
        <v>524</v>
      </c>
      <c r="M104" s="11" t="s">
        <v>80</v>
      </c>
      <c r="N104" s="11" t="s">
        <v>525</v>
      </c>
      <c r="O104" s="11" t="s">
        <v>526</v>
      </c>
      <c r="P104" s="11" t="s">
        <v>524</v>
      </c>
      <c r="Q104" s="11" t="s">
        <v>135</v>
      </c>
      <c r="U104" s="11" t="s">
        <v>527</v>
      </c>
      <c r="V104" s="11" t="s">
        <v>137</v>
      </c>
      <c r="W104" s="13">
        <v>46302.314618055556</v>
      </c>
    </row>
    <row r="105" spans="1:23">
      <c r="A105">
        <v>255187</v>
      </c>
      <c r="B105">
        <v>1116</v>
      </c>
      <c r="C105" s="11" t="s">
        <v>129</v>
      </c>
      <c r="D105" s="11" t="s">
        <v>130</v>
      </c>
      <c r="E105" s="11" t="s">
        <v>25</v>
      </c>
      <c r="F105" s="12">
        <v>46122</v>
      </c>
      <c r="G105" s="11" t="s">
        <v>528</v>
      </c>
      <c r="H105">
        <v>1</v>
      </c>
      <c r="I105" s="11" t="s">
        <v>529</v>
      </c>
      <c r="M105" s="11" t="s">
        <v>82</v>
      </c>
      <c r="N105" s="11" t="s">
        <v>530</v>
      </c>
      <c r="O105" s="11" t="s">
        <v>531</v>
      </c>
      <c r="P105" s="11" t="s">
        <v>529</v>
      </c>
      <c r="Q105" s="11" t="s">
        <v>135</v>
      </c>
      <c r="U105" s="11" t="s">
        <v>532</v>
      </c>
      <c r="V105" s="11" t="s">
        <v>137</v>
      </c>
      <c r="W105" s="13">
        <v>46302.314618055556</v>
      </c>
    </row>
    <row r="106" spans="1:23">
      <c r="A106">
        <v>255188</v>
      </c>
      <c r="B106">
        <v>1117</v>
      </c>
      <c r="C106" s="11" t="s">
        <v>129</v>
      </c>
      <c r="D106" s="11" t="s">
        <v>130</v>
      </c>
      <c r="E106" s="11" t="s">
        <v>25</v>
      </c>
      <c r="F106" s="12">
        <v>46122</v>
      </c>
      <c r="G106" s="11" t="s">
        <v>131</v>
      </c>
      <c r="H106">
        <v>1</v>
      </c>
      <c r="I106" s="11" t="s">
        <v>533</v>
      </c>
      <c r="M106" s="11" t="s">
        <v>87</v>
      </c>
      <c r="N106" s="11" t="s">
        <v>534</v>
      </c>
      <c r="O106" s="11" t="s">
        <v>535</v>
      </c>
      <c r="P106" s="11" t="s">
        <v>533</v>
      </c>
      <c r="Q106" s="11" t="s">
        <v>135</v>
      </c>
      <c r="U106" s="11" t="s">
        <v>136</v>
      </c>
      <c r="V106" s="11" t="s">
        <v>137</v>
      </c>
      <c r="W106" s="13">
        <v>46302.314618055556</v>
      </c>
    </row>
    <row r="107" spans="1:23">
      <c r="A107">
        <v>255189</v>
      </c>
      <c r="B107">
        <v>1118</v>
      </c>
      <c r="C107" s="11" t="s">
        <v>129</v>
      </c>
      <c r="D107" s="11" t="s">
        <v>130</v>
      </c>
      <c r="E107" s="11" t="s">
        <v>25</v>
      </c>
      <c r="F107" s="12">
        <v>46122</v>
      </c>
      <c r="G107" s="11" t="s">
        <v>512</v>
      </c>
      <c r="H107">
        <v>1</v>
      </c>
      <c r="I107" s="11" t="s">
        <v>536</v>
      </c>
      <c r="M107" s="11" t="s">
        <v>44</v>
      </c>
      <c r="N107" s="11" t="s">
        <v>537</v>
      </c>
      <c r="O107" s="11" t="s">
        <v>538</v>
      </c>
      <c r="P107" s="11" t="s">
        <v>536</v>
      </c>
      <c r="Q107" s="11" t="s">
        <v>135</v>
      </c>
      <c r="U107" s="11" t="s">
        <v>516</v>
      </c>
      <c r="V107" s="11" t="s">
        <v>137</v>
      </c>
      <c r="W107" s="13">
        <v>46302.314618055556</v>
      </c>
    </row>
    <row r="108" spans="1:23">
      <c r="A108">
        <v>255190</v>
      </c>
      <c r="B108">
        <v>1119</v>
      </c>
      <c r="C108" s="11" t="s">
        <v>129</v>
      </c>
      <c r="D108" s="11" t="s">
        <v>130</v>
      </c>
      <c r="E108" s="11" t="s">
        <v>25</v>
      </c>
      <c r="F108" s="12">
        <v>46122</v>
      </c>
      <c r="G108" s="11" t="s">
        <v>174</v>
      </c>
      <c r="H108">
        <v>1</v>
      </c>
      <c r="I108" s="11" t="s">
        <v>539</v>
      </c>
      <c r="M108" s="11" t="s">
        <v>92</v>
      </c>
      <c r="N108" s="11" t="s">
        <v>540</v>
      </c>
      <c r="O108" s="11" t="s">
        <v>541</v>
      </c>
      <c r="P108" s="11" t="s">
        <v>539</v>
      </c>
      <c r="Q108" s="11" t="s">
        <v>135</v>
      </c>
      <c r="U108" s="11" t="s">
        <v>178</v>
      </c>
      <c r="V108" s="11" t="s">
        <v>137</v>
      </c>
      <c r="W108" s="13">
        <v>46302.314618055556</v>
      </c>
    </row>
    <row r="109" spans="1:23">
      <c r="A109">
        <v>255191</v>
      </c>
      <c r="B109">
        <v>1120</v>
      </c>
      <c r="C109" s="11" t="s">
        <v>129</v>
      </c>
      <c r="D109" s="11" t="s">
        <v>130</v>
      </c>
      <c r="E109" s="11" t="s">
        <v>25</v>
      </c>
      <c r="F109" s="12">
        <v>46122</v>
      </c>
      <c r="G109" s="11" t="s">
        <v>212</v>
      </c>
      <c r="H109">
        <v>1</v>
      </c>
      <c r="I109" s="11" t="s">
        <v>542</v>
      </c>
      <c r="M109" s="11" t="s">
        <v>40</v>
      </c>
      <c r="N109" s="11" t="s">
        <v>543</v>
      </c>
      <c r="O109" s="11" t="s">
        <v>544</v>
      </c>
      <c r="P109" s="11" t="s">
        <v>542</v>
      </c>
      <c r="Q109" s="11" t="s">
        <v>135</v>
      </c>
      <c r="U109" s="11" t="s">
        <v>216</v>
      </c>
      <c r="V109" s="11" t="s">
        <v>137</v>
      </c>
      <c r="W109" s="13">
        <v>46302.314618055556</v>
      </c>
    </row>
    <row r="110" spans="1:23">
      <c r="A110">
        <v>255192</v>
      </c>
      <c r="B110">
        <v>1121</v>
      </c>
      <c r="C110" s="11" t="s">
        <v>129</v>
      </c>
      <c r="D110" s="11" t="s">
        <v>130</v>
      </c>
      <c r="E110" s="11" t="s">
        <v>25</v>
      </c>
      <c r="F110" s="12">
        <v>46122</v>
      </c>
      <c r="G110" s="11" t="s">
        <v>217</v>
      </c>
      <c r="H110">
        <v>1</v>
      </c>
      <c r="I110" s="11" t="s">
        <v>545</v>
      </c>
      <c r="M110" s="11" t="s">
        <v>86</v>
      </c>
      <c r="N110" s="11" t="s">
        <v>546</v>
      </c>
      <c r="O110" s="11" t="s">
        <v>547</v>
      </c>
      <c r="P110" s="11" t="s">
        <v>545</v>
      </c>
      <c r="Q110" s="11" t="s">
        <v>135</v>
      </c>
      <c r="U110" s="11" t="s">
        <v>221</v>
      </c>
      <c r="V110" s="11" t="s">
        <v>137</v>
      </c>
      <c r="W110" s="13">
        <v>46302.314618055556</v>
      </c>
    </row>
    <row r="111" spans="1:23">
      <c r="A111">
        <v>255193</v>
      </c>
      <c r="B111">
        <v>1106</v>
      </c>
      <c r="C111" s="11" t="s">
        <v>129</v>
      </c>
      <c r="D111" s="11" t="s">
        <v>130</v>
      </c>
      <c r="E111" s="11" t="s">
        <v>25</v>
      </c>
      <c r="F111" s="12">
        <v>46122</v>
      </c>
      <c r="G111" s="11" t="s">
        <v>222</v>
      </c>
      <c r="H111">
        <v>1</v>
      </c>
      <c r="I111" s="11" t="s">
        <v>492</v>
      </c>
      <c r="M111" s="11" t="s">
        <v>90</v>
      </c>
      <c r="N111" s="11" t="s">
        <v>548</v>
      </c>
      <c r="O111" s="11" t="s">
        <v>224</v>
      </c>
      <c r="P111" s="11" t="s">
        <v>492</v>
      </c>
      <c r="Q111" s="11" t="s">
        <v>135</v>
      </c>
      <c r="R111">
        <v>1105</v>
      </c>
      <c r="U111" s="11" t="s">
        <v>225</v>
      </c>
      <c r="V111" s="11" t="s">
        <v>137</v>
      </c>
      <c r="W111" s="13">
        <v>46302.314618055556</v>
      </c>
    </row>
    <row r="112" spans="1:23">
      <c r="A112">
        <v>255869</v>
      </c>
      <c r="B112">
        <v>1136</v>
      </c>
      <c r="C112" s="11" t="s">
        <v>129</v>
      </c>
      <c r="D112" s="11" t="s">
        <v>130</v>
      </c>
      <c r="E112" s="11" t="s">
        <v>25</v>
      </c>
      <c r="F112" s="12">
        <v>46126</v>
      </c>
      <c r="G112" s="11" t="s">
        <v>131</v>
      </c>
      <c r="H112">
        <v>1</v>
      </c>
      <c r="I112" s="11" t="s">
        <v>549</v>
      </c>
      <c r="M112" s="11" t="s">
        <v>87</v>
      </c>
      <c r="N112" s="11" t="s">
        <v>550</v>
      </c>
      <c r="O112" s="11" t="s">
        <v>551</v>
      </c>
      <c r="P112" s="11" t="s">
        <v>549</v>
      </c>
      <c r="Q112" s="11" t="s">
        <v>135</v>
      </c>
      <c r="U112" s="11" t="s">
        <v>136</v>
      </c>
      <c r="V112" s="11" t="s">
        <v>137</v>
      </c>
      <c r="W112" s="13">
        <v>46302.314618055556</v>
      </c>
    </row>
    <row r="113" spans="1:23">
      <c r="A113">
        <v>255870</v>
      </c>
      <c r="B113">
        <v>1137</v>
      </c>
      <c r="C113" s="11" t="s">
        <v>129</v>
      </c>
      <c r="D113" s="11" t="s">
        <v>130</v>
      </c>
      <c r="E113" s="11" t="s">
        <v>25</v>
      </c>
      <c r="F113" s="12">
        <v>46126</v>
      </c>
      <c r="G113" s="11" t="s">
        <v>159</v>
      </c>
      <c r="H113">
        <v>1</v>
      </c>
      <c r="I113" s="11" t="s">
        <v>552</v>
      </c>
      <c r="M113" s="11" t="s">
        <v>95</v>
      </c>
      <c r="N113" s="11" t="s">
        <v>553</v>
      </c>
      <c r="O113" s="11" t="s">
        <v>554</v>
      </c>
      <c r="P113" s="11" t="s">
        <v>552</v>
      </c>
      <c r="Q113" s="11" t="s">
        <v>135</v>
      </c>
      <c r="U113" s="11" t="s">
        <v>163</v>
      </c>
      <c r="V113" s="11" t="s">
        <v>137</v>
      </c>
      <c r="W113" s="13">
        <v>46302.314618055556</v>
      </c>
    </row>
    <row r="114" spans="1:23">
      <c r="A114">
        <v>255871</v>
      </c>
      <c r="B114">
        <v>1138</v>
      </c>
      <c r="C114" s="11" t="s">
        <v>129</v>
      </c>
      <c r="D114" s="11" t="s">
        <v>130</v>
      </c>
      <c r="E114" s="11" t="s">
        <v>25</v>
      </c>
      <c r="F114" s="12">
        <v>46126</v>
      </c>
      <c r="G114" s="11" t="s">
        <v>131</v>
      </c>
      <c r="H114">
        <v>1</v>
      </c>
      <c r="I114" s="11" t="s">
        <v>555</v>
      </c>
      <c r="M114" s="11" t="s">
        <v>87</v>
      </c>
      <c r="N114" s="11" t="s">
        <v>556</v>
      </c>
      <c r="O114" s="11" t="s">
        <v>557</v>
      </c>
      <c r="P114" s="11" t="s">
        <v>555</v>
      </c>
      <c r="Q114" s="11" t="s">
        <v>135</v>
      </c>
      <c r="U114" s="11" t="s">
        <v>136</v>
      </c>
      <c r="V114" s="11" t="s">
        <v>137</v>
      </c>
      <c r="W114" s="13">
        <v>46302.314618055556</v>
      </c>
    </row>
    <row r="115" spans="1:23">
      <c r="A115">
        <v>255872</v>
      </c>
      <c r="B115">
        <v>1139</v>
      </c>
      <c r="C115" s="11" t="s">
        <v>129</v>
      </c>
      <c r="D115" s="11" t="s">
        <v>130</v>
      </c>
      <c r="E115" s="11" t="s">
        <v>25</v>
      </c>
      <c r="F115" s="12">
        <v>46126</v>
      </c>
      <c r="G115" s="11" t="s">
        <v>195</v>
      </c>
      <c r="H115">
        <v>1</v>
      </c>
      <c r="I115" s="11" t="s">
        <v>558</v>
      </c>
      <c r="M115" s="11" t="s">
        <v>68</v>
      </c>
      <c r="N115" s="11" t="s">
        <v>559</v>
      </c>
      <c r="O115" s="11" t="s">
        <v>560</v>
      </c>
      <c r="P115" s="11" t="s">
        <v>558</v>
      </c>
      <c r="Q115" s="11" t="s">
        <v>135</v>
      </c>
      <c r="U115" s="11" t="s">
        <v>199</v>
      </c>
      <c r="V115" s="11" t="s">
        <v>137</v>
      </c>
      <c r="W115" s="13">
        <v>46302.314618055556</v>
      </c>
    </row>
    <row r="116" spans="1:23">
      <c r="A116">
        <v>255873</v>
      </c>
      <c r="B116">
        <v>1140</v>
      </c>
      <c r="C116" s="11" t="s">
        <v>129</v>
      </c>
      <c r="D116" s="11" t="s">
        <v>130</v>
      </c>
      <c r="E116" s="11" t="s">
        <v>25</v>
      </c>
      <c r="F116" s="12">
        <v>46126</v>
      </c>
      <c r="G116" s="11" t="s">
        <v>195</v>
      </c>
      <c r="H116">
        <v>5</v>
      </c>
      <c r="I116" s="11" t="s">
        <v>561</v>
      </c>
      <c r="M116" s="11" t="s">
        <v>68</v>
      </c>
      <c r="N116" s="11" t="s">
        <v>562</v>
      </c>
      <c r="O116" s="11" t="s">
        <v>563</v>
      </c>
      <c r="P116" s="11" t="s">
        <v>564</v>
      </c>
      <c r="Q116" s="11" t="s">
        <v>565</v>
      </c>
      <c r="U116" s="11" t="s">
        <v>199</v>
      </c>
      <c r="V116" s="11" t="s">
        <v>137</v>
      </c>
      <c r="W116" s="13">
        <v>46302.314618055556</v>
      </c>
    </row>
    <row r="117" spans="1:23">
      <c r="A117">
        <v>255874</v>
      </c>
      <c r="B117">
        <v>1142</v>
      </c>
      <c r="C117" s="11" t="s">
        <v>129</v>
      </c>
      <c r="D117" s="11" t="s">
        <v>130</v>
      </c>
      <c r="E117" s="11" t="s">
        <v>25</v>
      </c>
      <c r="F117" s="12">
        <v>46126</v>
      </c>
      <c r="G117" s="11" t="s">
        <v>164</v>
      </c>
      <c r="H117">
        <v>1</v>
      </c>
      <c r="I117" s="11" t="s">
        <v>566</v>
      </c>
      <c r="M117" s="11" t="s">
        <v>62</v>
      </c>
      <c r="N117" s="11" t="s">
        <v>567</v>
      </c>
      <c r="O117" s="11" t="s">
        <v>568</v>
      </c>
      <c r="P117" s="11" t="s">
        <v>566</v>
      </c>
      <c r="Q117" s="11" t="s">
        <v>135</v>
      </c>
      <c r="U117" s="11" t="s">
        <v>168</v>
      </c>
      <c r="V117" s="11" t="s">
        <v>137</v>
      </c>
      <c r="W117" s="13">
        <v>46302.314618055556</v>
      </c>
    </row>
    <row r="118" spans="1:23">
      <c r="A118">
        <v>255875</v>
      </c>
      <c r="B118">
        <v>1143</v>
      </c>
      <c r="C118" s="11" t="s">
        <v>129</v>
      </c>
      <c r="D118" s="11" t="s">
        <v>130</v>
      </c>
      <c r="E118" s="11" t="s">
        <v>25</v>
      </c>
      <c r="F118" s="12">
        <v>46126</v>
      </c>
      <c r="G118" s="11" t="s">
        <v>174</v>
      </c>
      <c r="H118">
        <v>1</v>
      </c>
      <c r="I118" s="11" t="s">
        <v>569</v>
      </c>
      <c r="M118" s="11" t="s">
        <v>92</v>
      </c>
      <c r="N118" s="11" t="s">
        <v>570</v>
      </c>
      <c r="O118" s="11" t="s">
        <v>571</v>
      </c>
      <c r="P118" s="11" t="s">
        <v>569</v>
      </c>
      <c r="Q118" s="11" t="s">
        <v>135</v>
      </c>
      <c r="U118" s="11" t="s">
        <v>178</v>
      </c>
      <c r="V118" s="11" t="s">
        <v>137</v>
      </c>
      <c r="W118" s="13">
        <v>46302.314618055556</v>
      </c>
    </row>
    <row r="119" spans="1:23">
      <c r="A119">
        <v>255876</v>
      </c>
      <c r="B119">
        <v>1144</v>
      </c>
      <c r="C119" s="11" t="s">
        <v>129</v>
      </c>
      <c r="D119" s="11" t="s">
        <v>130</v>
      </c>
      <c r="E119" s="11" t="s">
        <v>25</v>
      </c>
      <c r="F119" s="12">
        <v>46126</v>
      </c>
      <c r="G119" s="11" t="s">
        <v>149</v>
      </c>
      <c r="H119">
        <v>1</v>
      </c>
      <c r="I119" s="11" t="s">
        <v>572</v>
      </c>
      <c r="M119" s="11" t="s">
        <v>77</v>
      </c>
      <c r="N119" s="11" t="s">
        <v>573</v>
      </c>
      <c r="O119" s="11" t="s">
        <v>574</v>
      </c>
      <c r="P119" s="11" t="s">
        <v>572</v>
      </c>
      <c r="Q119" s="11" t="s">
        <v>135</v>
      </c>
      <c r="U119" s="11" t="s">
        <v>153</v>
      </c>
      <c r="V119" s="11" t="s">
        <v>137</v>
      </c>
      <c r="W119" s="13">
        <v>46302.314618055556</v>
      </c>
    </row>
    <row r="120" spans="1:23">
      <c r="A120">
        <v>255877</v>
      </c>
      <c r="B120">
        <v>1145</v>
      </c>
      <c r="C120" s="11" t="s">
        <v>129</v>
      </c>
      <c r="D120" s="11" t="s">
        <v>130</v>
      </c>
      <c r="E120" s="11" t="s">
        <v>25</v>
      </c>
      <c r="F120" s="12">
        <v>46126</v>
      </c>
      <c r="G120" s="11" t="s">
        <v>154</v>
      </c>
      <c r="H120">
        <v>1</v>
      </c>
      <c r="I120" s="11" t="s">
        <v>317</v>
      </c>
      <c r="M120" s="11" t="s">
        <v>79</v>
      </c>
      <c r="N120" s="11" t="s">
        <v>575</v>
      </c>
      <c r="O120" s="11" t="s">
        <v>576</v>
      </c>
      <c r="P120" s="11" t="s">
        <v>317</v>
      </c>
      <c r="Q120" s="11" t="s">
        <v>135</v>
      </c>
      <c r="U120" s="11" t="s">
        <v>158</v>
      </c>
      <c r="V120" s="11" t="s">
        <v>137</v>
      </c>
      <c r="W120" s="13">
        <v>46302.314618055556</v>
      </c>
    </row>
    <row r="121" spans="1:23">
      <c r="A121">
        <v>255878</v>
      </c>
      <c r="B121">
        <v>1146</v>
      </c>
      <c r="C121" s="11" t="s">
        <v>129</v>
      </c>
      <c r="D121" s="11" t="s">
        <v>130</v>
      </c>
      <c r="E121" s="11" t="s">
        <v>25</v>
      </c>
      <c r="F121" s="12">
        <v>46126</v>
      </c>
      <c r="G121" s="11" t="s">
        <v>222</v>
      </c>
      <c r="H121">
        <v>1</v>
      </c>
      <c r="I121" s="11" t="s">
        <v>577</v>
      </c>
      <c r="M121" s="11" t="s">
        <v>90</v>
      </c>
      <c r="N121" s="11" t="s">
        <v>578</v>
      </c>
      <c r="O121" s="11" t="s">
        <v>579</v>
      </c>
      <c r="P121" s="11" t="s">
        <v>577</v>
      </c>
      <c r="Q121" s="11" t="s">
        <v>135</v>
      </c>
      <c r="U121" s="11" t="s">
        <v>225</v>
      </c>
      <c r="V121" s="11" t="s">
        <v>137</v>
      </c>
      <c r="W121" s="13">
        <v>46302.314618055556</v>
      </c>
    </row>
    <row r="122" spans="1:23">
      <c r="A122">
        <v>255879</v>
      </c>
      <c r="B122">
        <v>1147</v>
      </c>
      <c r="C122" s="11" t="s">
        <v>129</v>
      </c>
      <c r="D122" s="11" t="s">
        <v>130</v>
      </c>
      <c r="E122" s="11" t="s">
        <v>25</v>
      </c>
      <c r="F122" s="12">
        <v>46126</v>
      </c>
      <c r="G122" s="11" t="s">
        <v>528</v>
      </c>
      <c r="H122">
        <v>1</v>
      </c>
      <c r="I122" s="11" t="s">
        <v>580</v>
      </c>
      <c r="M122" s="11" t="s">
        <v>82</v>
      </c>
      <c r="N122" s="11" t="s">
        <v>581</v>
      </c>
      <c r="O122" s="11" t="s">
        <v>582</v>
      </c>
      <c r="P122" s="11" t="s">
        <v>580</v>
      </c>
      <c r="Q122" s="11" t="s">
        <v>135</v>
      </c>
      <c r="U122" s="11" t="s">
        <v>532</v>
      </c>
      <c r="V122" s="11" t="s">
        <v>137</v>
      </c>
      <c r="W122" s="13">
        <v>46302.314618055556</v>
      </c>
    </row>
    <row r="123" spans="1:23">
      <c r="A123">
        <v>255880</v>
      </c>
      <c r="B123">
        <v>1148</v>
      </c>
      <c r="C123" s="11" t="s">
        <v>129</v>
      </c>
      <c r="D123" s="11" t="s">
        <v>130</v>
      </c>
      <c r="E123" s="11" t="s">
        <v>25</v>
      </c>
      <c r="F123" s="12">
        <v>46126</v>
      </c>
      <c r="G123" s="11" t="s">
        <v>164</v>
      </c>
      <c r="H123">
        <v>2</v>
      </c>
      <c r="I123" s="11" t="s">
        <v>583</v>
      </c>
      <c r="M123" s="11" t="s">
        <v>62</v>
      </c>
      <c r="N123" s="11" t="s">
        <v>584</v>
      </c>
      <c r="O123" s="11" t="s">
        <v>585</v>
      </c>
      <c r="P123" s="11" t="s">
        <v>586</v>
      </c>
      <c r="Q123" s="11" t="s">
        <v>135</v>
      </c>
      <c r="U123" s="11" t="s">
        <v>168</v>
      </c>
      <c r="V123" s="11" t="s">
        <v>137</v>
      </c>
      <c r="W123" s="13">
        <v>46302.314618055556</v>
      </c>
    </row>
    <row r="124" spans="1:23">
      <c r="A124">
        <v>255881</v>
      </c>
      <c r="B124">
        <v>1149</v>
      </c>
      <c r="C124" s="11" t="s">
        <v>129</v>
      </c>
      <c r="D124" s="11" t="s">
        <v>130</v>
      </c>
      <c r="E124" s="11" t="s">
        <v>25</v>
      </c>
      <c r="F124" s="12">
        <v>46126</v>
      </c>
      <c r="G124" s="11" t="s">
        <v>217</v>
      </c>
      <c r="H124">
        <v>1</v>
      </c>
      <c r="I124" s="11" t="s">
        <v>587</v>
      </c>
      <c r="M124" s="11" t="s">
        <v>86</v>
      </c>
      <c r="N124" s="11" t="s">
        <v>588</v>
      </c>
      <c r="O124" s="11" t="s">
        <v>589</v>
      </c>
      <c r="P124" s="11" t="s">
        <v>587</v>
      </c>
      <c r="Q124" s="11" t="s">
        <v>135</v>
      </c>
      <c r="U124" s="11" t="s">
        <v>221</v>
      </c>
      <c r="V124" s="11" t="s">
        <v>137</v>
      </c>
      <c r="W124" s="13">
        <v>46302.314618055556</v>
      </c>
    </row>
    <row r="125" spans="1:23">
      <c r="A125">
        <v>255882</v>
      </c>
      <c r="B125">
        <v>1141</v>
      </c>
      <c r="C125" s="11" t="s">
        <v>129</v>
      </c>
      <c r="D125" s="11" t="s">
        <v>130</v>
      </c>
      <c r="E125" s="11" t="s">
        <v>25</v>
      </c>
      <c r="F125" s="12">
        <v>46126</v>
      </c>
      <c r="G125" s="11" t="s">
        <v>131</v>
      </c>
      <c r="H125">
        <v>1</v>
      </c>
      <c r="I125" s="11" t="s">
        <v>565</v>
      </c>
      <c r="M125" s="11" t="s">
        <v>87</v>
      </c>
      <c r="N125" s="11" t="s">
        <v>590</v>
      </c>
      <c r="O125" s="11" t="s">
        <v>591</v>
      </c>
      <c r="P125" s="11" t="s">
        <v>565</v>
      </c>
      <c r="Q125" s="11" t="s">
        <v>135</v>
      </c>
      <c r="R125">
        <v>1140</v>
      </c>
      <c r="U125" s="11" t="s">
        <v>136</v>
      </c>
      <c r="V125" s="11" t="s">
        <v>137</v>
      </c>
      <c r="W125" s="13">
        <v>46302.314618055556</v>
      </c>
    </row>
    <row r="126" spans="1:23">
      <c r="A126">
        <v>256169</v>
      </c>
      <c r="B126">
        <v>9642</v>
      </c>
      <c r="C126" s="11" t="s">
        <v>129</v>
      </c>
      <c r="D126" s="11" t="s">
        <v>130</v>
      </c>
      <c r="E126" s="11" t="s">
        <v>25</v>
      </c>
      <c r="F126" s="12">
        <v>46127</v>
      </c>
      <c r="G126" s="11" t="s">
        <v>131</v>
      </c>
      <c r="H126">
        <v>1</v>
      </c>
      <c r="I126" s="11" t="s">
        <v>592</v>
      </c>
      <c r="M126" s="11" t="s">
        <v>87</v>
      </c>
      <c r="N126" s="11" t="s">
        <v>593</v>
      </c>
      <c r="O126" s="11" t="s">
        <v>594</v>
      </c>
      <c r="P126" s="11" t="s">
        <v>592</v>
      </c>
      <c r="Q126" s="11" t="s">
        <v>135</v>
      </c>
      <c r="U126" s="11" t="s">
        <v>136</v>
      </c>
      <c r="V126" s="11" t="s">
        <v>137</v>
      </c>
      <c r="W126" s="13">
        <v>46302.314618055556</v>
      </c>
    </row>
    <row r="127" spans="1:23">
      <c r="A127">
        <v>256170</v>
      </c>
      <c r="B127">
        <v>9643</v>
      </c>
      <c r="C127" s="11" t="s">
        <v>129</v>
      </c>
      <c r="D127" s="11" t="s">
        <v>130</v>
      </c>
      <c r="E127" s="11" t="s">
        <v>25</v>
      </c>
      <c r="F127" s="12">
        <v>46127</v>
      </c>
      <c r="G127" s="11" t="s">
        <v>595</v>
      </c>
      <c r="H127">
        <v>1</v>
      </c>
      <c r="I127" s="11" t="s">
        <v>596</v>
      </c>
      <c r="M127" s="11" t="s">
        <v>36</v>
      </c>
      <c r="N127" s="11" t="s">
        <v>597</v>
      </c>
      <c r="O127" s="11" t="s">
        <v>598</v>
      </c>
      <c r="P127" s="11" t="s">
        <v>596</v>
      </c>
      <c r="Q127" s="11" t="s">
        <v>599</v>
      </c>
      <c r="U127" s="11" t="s">
        <v>600</v>
      </c>
      <c r="V127" s="11" t="s">
        <v>137</v>
      </c>
      <c r="W127" s="13">
        <v>46302.314618055556</v>
      </c>
    </row>
    <row r="128" spans="1:23">
      <c r="A128">
        <v>256171</v>
      </c>
      <c r="B128">
        <v>9645</v>
      </c>
      <c r="C128" s="11" t="s">
        <v>129</v>
      </c>
      <c r="D128" s="11" t="s">
        <v>130</v>
      </c>
      <c r="E128" s="11" t="s">
        <v>25</v>
      </c>
      <c r="F128" s="12">
        <v>46127</v>
      </c>
      <c r="G128" s="11" t="s">
        <v>164</v>
      </c>
      <c r="H128">
        <v>1</v>
      </c>
      <c r="I128" s="11" t="s">
        <v>601</v>
      </c>
      <c r="M128" s="11" t="s">
        <v>62</v>
      </c>
      <c r="N128" s="11" t="s">
        <v>602</v>
      </c>
      <c r="O128" s="11" t="s">
        <v>603</v>
      </c>
      <c r="P128" s="11" t="s">
        <v>601</v>
      </c>
      <c r="Q128" s="11" t="s">
        <v>135</v>
      </c>
      <c r="U128" s="11" t="s">
        <v>168</v>
      </c>
      <c r="V128" s="11" t="s">
        <v>137</v>
      </c>
      <c r="W128" s="13">
        <v>46302.314618055556</v>
      </c>
    </row>
    <row r="129" spans="1:23">
      <c r="A129">
        <v>256172</v>
      </c>
      <c r="B129">
        <v>9646</v>
      </c>
      <c r="C129" s="11" t="s">
        <v>129</v>
      </c>
      <c r="D129" s="11" t="s">
        <v>130</v>
      </c>
      <c r="E129" s="11" t="s">
        <v>25</v>
      </c>
      <c r="F129" s="12">
        <v>46127</v>
      </c>
      <c r="G129" s="11" t="s">
        <v>504</v>
      </c>
      <c r="H129">
        <v>1</v>
      </c>
      <c r="I129" s="11" t="s">
        <v>604</v>
      </c>
      <c r="M129" s="11" t="s">
        <v>53</v>
      </c>
      <c r="N129" s="11" t="s">
        <v>605</v>
      </c>
      <c r="O129" s="11" t="s">
        <v>606</v>
      </c>
      <c r="P129" s="11" t="s">
        <v>604</v>
      </c>
      <c r="Q129" s="11" t="s">
        <v>135</v>
      </c>
      <c r="U129" s="11" t="s">
        <v>508</v>
      </c>
      <c r="V129" s="11" t="s">
        <v>137</v>
      </c>
      <c r="W129" s="13">
        <v>46302.314618055556</v>
      </c>
    </row>
    <row r="130" spans="1:23">
      <c r="A130">
        <v>256173</v>
      </c>
      <c r="B130">
        <v>9647</v>
      </c>
      <c r="C130" s="11" t="s">
        <v>129</v>
      </c>
      <c r="D130" s="11" t="s">
        <v>130</v>
      </c>
      <c r="E130" s="11" t="s">
        <v>25</v>
      </c>
      <c r="F130" s="12">
        <v>46127</v>
      </c>
      <c r="G130" s="11" t="s">
        <v>607</v>
      </c>
      <c r="H130">
        <v>1</v>
      </c>
      <c r="I130" s="11" t="s">
        <v>608</v>
      </c>
      <c r="M130" s="11" t="s">
        <v>42</v>
      </c>
      <c r="N130" s="11" t="s">
        <v>609</v>
      </c>
      <c r="O130" s="11" t="s">
        <v>610</v>
      </c>
      <c r="P130" s="11" t="s">
        <v>608</v>
      </c>
      <c r="Q130" s="11" t="s">
        <v>135</v>
      </c>
      <c r="U130" s="11" t="s">
        <v>611</v>
      </c>
      <c r="V130" s="11" t="s">
        <v>137</v>
      </c>
      <c r="W130" s="13">
        <v>46302.314618055556</v>
      </c>
    </row>
    <row r="131" spans="1:23">
      <c r="A131">
        <v>256174</v>
      </c>
      <c r="B131">
        <v>9648</v>
      </c>
      <c r="C131" s="11" t="s">
        <v>129</v>
      </c>
      <c r="D131" s="11" t="s">
        <v>130</v>
      </c>
      <c r="E131" s="11" t="s">
        <v>25</v>
      </c>
      <c r="F131" s="12">
        <v>46127</v>
      </c>
      <c r="G131" s="11" t="s">
        <v>131</v>
      </c>
      <c r="H131">
        <v>1</v>
      </c>
      <c r="I131" s="11" t="s">
        <v>612</v>
      </c>
      <c r="M131" s="11" t="s">
        <v>87</v>
      </c>
      <c r="N131" s="11" t="s">
        <v>613</v>
      </c>
      <c r="O131" s="11" t="s">
        <v>614</v>
      </c>
      <c r="P131" s="11" t="s">
        <v>612</v>
      </c>
      <c r="Q131" s="11" t="s">
        <v>135</v>
      </c>
      <c r="U131" s="11" t="s">
        <v>136</v>
      </c>
      <c r="V131" s="11" t="s">
        <v>137</v>
      </c>
      <c r="W131" s="13">
        <v>46302.314618055556</v>
      </c>
    </row>
    <row r="132" spans="1:23">
      <c r="A132">
        <v>256175</v>
      </c>
      <c r="B132">
        <v>9649</v>
      </c>
      <c r="C132" s="11" t="s">
        <v>129</v>
      </c>
      <c r="D132" s="11" t="s">
        <v>130</v>
      </c>
      <c r="E132" s="11" t="s">
        <v>25</v>
      </c>
      <c r="F132" s="12">
        <v>46127</v>
      </c>
      <c r="G132" s="11" t="s">
        <v>504</v>
      </c>
      <c r="H132">
        <v>1</v>
      </c>
      <c r="I132" s="11" t="s">
        <v>615</v>
      </c>
      <c r="M132" s="11" t="s">
        <v>53</v>
      </c>
      <c r="N132" s="11" t="s">
        <v>616</v>
      </c>
      <c r="O132" s="11" t="s">
        <v>617</v>
      </c>
      <c r="P132" s="11" t="s">
        <v>615</v>
      </c>
      <c r="Q132" s="11" t="s">
        <v>135</v>
      </c>
      <c r="U132" s="11" t="s">
        <v>508</v>
      </c>
      <c r="V132" s="11" t="s">
        <v>137</v>
      </c>
      <c r="W132" s="13">
        <v>46302.314618055556</v>
      </c>
    </row>
    <row r="133" spans="1:23">
      <c r="A133">
        <v>256176</v>
      </c>
      <c r="B133">
        <v>9650</v>
      </c>
      <c r="C133" s="11" t="s">
        <v>129</v>
      </c>
      <c r="D133" s="11" t="s">
        <v>130</v>
      </c>
      <c r="E133" s="11" t="s">
        <v>25</v>
      </c>
      <c r="F133" s="12">
        <v>46127</v>
      </c>
      <c r="G133" s="11" t="s">
        <v>504</v>
      </c>
      <c r="H133">
        <v>1</v>
      </c>
      <c r="I133" s="11" t="s">
        <v>618</v>
      </c>
      <c r="M133" s="11" t="s">
        <v>53</v>
      </c>
      <c r="N133" s="11" t="s">
        <v>619</v>
      </c>
      <c r="O133" s="11" t="s">
        <v>620</v>
      </c>
      <c r="P133" s="11" t="s">
        <v>618</v>
      </c>
      <c r="Q133" s="11" t="s">
        <v>135</v>
      </c>
      <c r="U133" s="11" t="s">
        <v>508</v>
      </c>
      <c r="V133" s="11" t="s">
        <v>137</v>
      </c>
      <c r="W133" s="13">
        <v>46302.314618055556</v>
      </c>
    </row>
    <row r="134" spans="1:23">
      <c r="A134">
        <v>256177</v>
      </c>
      <c r="B134">
        <v>9651</v>
      </c>
      <c r="C134" s="11" t="s">
        <v>129</v>
      </c>
      <c r="D134" s="11" t="s">
        <v>130</v>
      </c>
      <c r="E134" s="11" t="s">
        <v>25</v>
      </c>
      <c r="F134" s="12">
        <v>46127</v>
      </c>
      <c r="G134" s="11" t="s">
        <v>607</v>
      </c>
      <c r="H134">
        <v>1</v>
      </c>
      <c r="I134" s="11" t="s">
        <v>621</v>
      </c>
      <c r="M134" s="11" t="s">
        <v>42</v>
      </c>
      <c r="N134" s="11" t="s">
        <v>622</v>
      </c>
      <c r="O134" s="11" t="s">
        <v>623</v>
      </c>
      <c r="P134" s="11" t="s">
        <v>621</v>
      </c>
      <c r="Q134" s="11" t="s">
        <v>135</v>
      </c>
      <c r="U134" s="11" t="s">
        <v>611</v>
      </c>
      <c r="V134" s="11" t="s">
        <v>137</v>
      </c>
      <c r="W134" s="13">
        <v>46302.314618055556</v>
      </c>
    </row>
    <row r="135" spans="1:23">
      <c r="A135">
        <v>256178</v>
      </c>
      <c r="B135">
        <v>9652</v>
      </c>
      <c r="C135" s="11" t="s">
        <v>129</v>
      </c>
      <c r="D135" s="11" t="s">
        <v>130</v>
      </c>
      <c r="E135" s="11" t="s">
        <v>25</v>
      </c>
      <c r="F135" s="12">
        <v>46127</v>
      </c>
      <c r="G135" s="11" t="s">
        <v>164</v>
      </c>
      <c r="H135">
        <v>1</v>
      </c>
      <c r="I135" s="11" t="s">
        <v>624</v>
      </c>
      <c r="M135" s="11" t="s">
        <v>62</v>
      </c>
      <c r="N135" s="11" t="s">
        <v>625</v>
      </c>
      <c r="O135" s="11" t="s">
        <v>626</v>
      </c>
      <c r="P135" s="11" t="s">
        <v>624</v>
      </c>
      <c r="Q135" s="11" t="s">
        <v>135</v>
      </c>
      <c r="U135" s="11" t="s">
        <v>168</v>
      </c>
      <c r="V135" s="11" t="s">
        <v>137</v>
      </c>
      <c r="W135" s="13">
        <v>46302.314618055556</v>
      </c>
    </row>
    <row r="136" spans="1:23">
      <c r="A136">
        <v>256179</v>
      </c>
      <c r="B136">
        <v>9653</v>
      </c>
      <c r="C136" s="11" t="s">
        <v>129</v>
      </c>
      <c r="D136" s="11" t="s">
        <v>130</v>
      </c>
      <c r="E136" s="11" t="s">
        <v>25</v>
      </c>
      <c r="F136" s="12">
        <v>46127</v>
      </c>
      <c r="G136" s="11" t="s">
        <v>504</v>
      </c>
      <c r="H136">
        <v>1</v>
      </c>
      <c r="I136" s="11" t="s">
        <v>627</v>
      </c>
      <c r="M136" s="11" t="s">
        <v>53</v>
      </c>
      <c r="N136" s="11" t="s">
        <v>628</v>
      </c>
      <c r="O136" s="11" t="s">
        <v>629</v>
      </c>
      <c r="P136" s="11" t="s">
        <v>627</v>
      </c>
      <c r="Q136" s="11" t="s">
        <v>135</v>
      </c>
      <c r="U136" s="11" t="s">
        <v>508</v>
      </c>
      <c r="V136" s="11" t="s">
        <v>137</v>
      </c>
      <c r="W136" s="13">
        <v>46302.314618055556</v>
      </c>
    </row>
    <row r="137" spans="1:23">
      <c r="A137">
        <v>256180</v>
      </c>
      <c r="B137">
        <v>9654</v>
      </c>
      <c r="C137" s="11" t="s">
        <v>129</v>
      </c>
      <c r="D137" s="11" t="s">
        <v>130</v>
      </c>
      <c r="E137" s="11" t="s">
        <v>25</v>
      </c>
      <c r="F137" s="12">
        <v>46127</v>
      </c>
      <c r="G137" s="11" t="s">
        <v>512</v>
      </c>
      <c r="H137">
        <v>1</v>
      </c>
      <c r="I137" s="11" t="s">
        <v>630</v>
      </c>
      <c r="M137" s="11" t="s">
        <v>44</v>
      </c>
      <c r="N137" s="11" t="s">
        <v>631</v>
      </c>
      <c r="O137" s="11" t="s">
        <v>632</v>
      </c>
      <c r="P137" s="11" t="s">
        <v>630</v>
      </c>
      <c r="Q137" s="11" t="s">
        <v>135</v>
      </c>
      <c r="U137" s="11" t="s">
        <v>516</v>
      </c>
      <c r="V137" s="11" t="s">
        <v>137</v>
      </c>
      <c r="W137" s="13">
        <v>46302.314618055556</v>
      </c>
    </row>
    <row r="138" spans="1:23">
      <c r="A138">
        <v>256181</v>
      </c>
      <c r="B138">
        <v>9655</v>
      </c>
      <c r="C138" s="11" t="s">
        <v>129</v>
      </c>
      <c r="D138" s="11" t="s">
        <v>130</v>
      </c>
      <c r="E138" s="11" t="s">
        <v>25</v>
      </c>
      <c r="F138" s="12">
        <v>46127</v>
      </c>
      <c r="G138" s="11" t="s">
        <v>159</v>
      </c>
      <c r="H138">
        <v>1</v>
      </c>
      <c r="I138" s="11" t="s">
        <v>633</v>
      </c>
      <c r="M138" s="11" t="s">
        <v>95</v>
      </c>
      <c r="N138" s="11" t="s">
        <v>634</v>
      </c>
      <c r="O138" s="11" t="s">
        <v>635</v>
      </c>
      <c r="P138" s="11" t="s">
        <v>633</v>
      </c>
      <c r="Q138" s="11" t="s">
        <v>135</v>
      </c>
      <c r="U138" s="11" t="s">
        <v>163</v>
      </c>
      <c r="V138" s="11" t="s">
        <v>137</v>
      </c>
      <c r="W138" s="13">
        <v>46302.314618055556</v>
      </c>
    </row>
    <row r="139" spans="1:23">
      <c r="A139">
        <v>256182</v>
      </c>
      <c r="B139">
        <v>9656</v>
      </c>
      <c r="C139" s="11" t="s">
        <v>129</v>
      </c>
      <c r="D139" s="11" t="s">
        <v>130</v>
      </c>
      <c r="E139" s="11" t="s">
        <v>25</v>
      </c>
      <c r="F139" s="12">
        <v>46127</v>
      </c>
      <c r="G139" s="11" t="s">
        <v>174</v>
      </c>
      <c r="H139">
        <v>1</v>
      </c>
      <c r="I139" s="11" t="s">
        <v>636</v>
      </c>
      <c r="M139" s="11" t="s">
        <v>92</v>
      </c>
      <c r="N139" s="11" t="s">
        <v>637</v>
      </c>
      <c r="O139" s="11" t="s">
        <v>638</v>
      </c>
      <c r="P139" s="11" t="s">
        <v>636</v>
      </c>
      <c r="Q139" s="11" t="s">
        <v>135</v>
      </c>
      <c r="U139" s="11" t="s">
        <v>178</v>
      </c>
      <c r="V139" s="11" t="s">
        <v>137</v>
      </c>
      <c r="W139" s="13">
        <v>46302.314618055556</v>
      </c>
    </row>
    <row r="140" spans="1:23">
      <c r="A140">
        <v>256183</v>
      </c>
      <c r="B140">
        <v>9657</v>
      </c>
      <c r="C140" s="11" t="s">
        <v>129</v>
      </c>
      <c r="D140" s="11" t="s">
        <v>130</v>
      </c>
      <c r="E140" s="11" t="s">
        <v>25</v>
      </c>
      <c r="F140" s="12">
        <v>46127</v>
      </c>
      <c r="G140" s="11" t="s">
        <v>179</v>
      </c>
      <c r="H140">
        <v>1</v>
      </c>
      <c r="I140" s="11" t="s">
        <v>639</v>
      </c>
      <c r="M140" s="11" t="s">
        <v>83</v>
      </c>
      <c r="N140" s="11" t="s">
        <v>640</v>
      </c>
      <c r="O140" s="11" t="s">
        <v>641</v>
      </c>
      <c r="P140" s="11" t="s">
        <v>639</v>
      </c>
      <c r="Q140" s="11" t="s">
        <v>135</v>
      </c>
      <c r="U140" s="11" t="s">
        <v>183</v>
      </c>
      <c r="V140" s="11" t="s">
        <v>137</v>
      </c>
      <c r="W140" s="13">
        <v>46302.314618055556</v>
      </c>
    </row>
    <row r="141" spans="1:23">
      <c r="A141">
        <v>256184</v>
      </c>
      <c r="B141">
        <v>9658</v>
      </c>
      <c r="C141" s="11" t="s">
        <v>129</v>
      </c>
      <c r="D141" s="11" t="s">
        <v>130</v>
      </c>
      <c r="E141" s="11" t="s">
        <v>25</v>
      </c>
      <c r="F141" s="12">
        <v>46127</v>
      </c>
      <c r="G141" s="11" t="s">
        <v>512</v>
      </c>
      <c r="H141">
        <v>1</v>
      </c>
      <c r="I141" s="11" t="s">
        <v>642</v>
      </c>
      <c r="M141" s="11" t="s">
        <v>44</v>
      </c>
      <c r="N141" s="11" t="s">
        <v>643</v>
      </c>
      <c r="O141" s="11" t="s">
        <v>644</v>
      </c>
      <c r="P141" s="11" t="s">
        <v>642</v>
      </c>
      <c r="Q141" s="11" t="s">
        <v>135</v>
      </c>
      <c r="U141" s="11" t="s">
        <v>516</v>
      </c>
      <c r="V141" s="11" t="s">
        <v>137</v>
      </c>
      <c r="W141" s="13">
        <v>46302.314618055556</v>
      </c>
    </row>
    <row r="142" spans="1:23">
      <c r="A142">
        <v>256185</v>
      </c>
      <c r="B142">
        <v>9659</v>
      </c>
      <c r="C142" s="11" t="s">
        <v>129</v>
      </c>
      <c r="D142" s="11" t="s">
        <v>130</v>
      </c>
      <c r="E142" s="11" t="s">
        <v>25</v>
      </c>
      <c r="F142" s="12">
        <v>46127</v>
      </c>
      <c r="G142" s="11" t="s">
        <v>195</v>
      </c>
      <c r="H142">
        <v>5</v>
      </c>
      <c r="I142" s="11" t="s">
        <v>645</v>
      </c>
      <c r="M142" s="11" t="s">
        <v>68</v>
      </c>
      <c r="N142" s="11" t="s">
        <v>646</v>
      </c>
      <c r="O142" s="11" t="s">
        <v>647</v>
      </c>
      <c r="P142" s="11" t="s">
        <v>648</v>
      </c>
      <c r="Q142" s="11" t="s">
        <v>135</v>
      </c>
      <c r="U142" s="11" t="s">
        <v>199</v>
      </c>
      <c r="V142" s="11" t="s">
        <v>137</v>
      </c>
      <c r="W142" s="13">
        <v>46302.314618055556</v>
      </c>
    </row>
    <row r="143" spans="1:23">
      <c r="A143">
        <v>256186</v>
      </c>
      <c r="B143">
        <v>9660</v>
      </c>
      <c r="C143" s="11" t="s">
        <v>129</v>
      </c>
      <c r="D143" s="11" t="s">
        <v>130</v>
      </c>
      <c r="E143" s="11" t="s">
        <v>25</v>
      </c>
      <c r="F143" s="12">
        <v>46127</v>
      </c>
      <c r="G143" s="11" t="s">
        <v>164</v>
      </c>
      <c r="H143">
        <v>3</v>
      </c>
      <c r="I143" s="11" t="s">
        <v>649</v>
      </c>
      <c r="M143" s="11" t="s">
        <v>62</v>
      </c>
      <c r="N143" s="11" t="s">
        <v>650</v>
      </c>
      <c r="O143" s="11" t="s">
        <v>651</v>
      </c>
      <c r="P143" s="11" t="s">
        <v>652</v>
      </c>
      <c r="Q143" s="11" t="s">
        <v>135</v>
      </c>
      <c r="U143" s="11" t="s">
        <v>168</v>
      </c>
      <c r="V143" s="11" t="s">
        <v>137</v>
      </c>
      <c r="W143" s="13">
        <v>46302.314618055556</v>
      </c>
    </row>
    <row r="144" spans="1:23">
      <c r="A144">
        <v>256187</v>
      </c>
      <c r="B144">
        <v>9661</v>
      </c>
      <c r="C144" s="11" t="s">
        <v>129</v>
      </c>
      <c r="D144" s="11" t="s">
        <v>130</v>
      </c>
      <c r="E144" s="11" t="s">
        <v>25</v>
      </c>
      <c r="F144" s="12">
        <v>46127</v>
      </c>
      <c r="G144" s="11" t="s">
        <v>653</v>
      </c>
      <c r="H144">
        <v>1</v>
      </c>
      <c r="I144" s="11" t="s">
        <v>654</v>
      </c>
      <c r="M144" s="11" t="s">
        <v>49</v>
      </c>
      <c r="N144" s="11" t="s">
        <v>655</v>
      </c>
      <c r="O144" s="11" t="s">
        <v>656</v>
      </c>
      <c r="P144" s="11" t="s">
        <v>654</v>
      </c>
      <c r="Q144" s="11" t="s">
        <v>135</v>
      </c>
      <c r="U144" s="11" t="s">
        <v>657</v>
      </c>
      <c r="V144" s="11" t="s">
        <v>137</v>
      </c>
      <c r="W144" s="13">
        <v>46302.314618055556</v>
      </c>
    </row>
    <row r="145" spans="1:23">
      <c r="A145">
        <v>256188</v>
      </c>
      <c r="B145">
        <v>9662</v>
      </c>
      <c r="C145" s="11" t="s">
        <v>129</v>
      </c>
      <c r="D145" s="11" t="s">
        <v>130</v>
      </c>
      <c r="E145" s="11" t="s">
        <v>25</v>
      </c>
      <c r="F145" s="12">
        <v>46127</v>
      </c>
      <c r="G145" s="11" t="s">
        <v>217</v>
      </c>
      <c r="H145">
        <v>1</v>
      </c>
      <c r="I145" s="11" t="s">
        <v>658</v>
      </c>
      <c r="M145" s="11" t="s">
        <v>86</v>
      </c>
      <c r="N145" s="11" t="s">
        <v>659</v>
      </c>
      <c r="O145" s="11" t="s">
        <v>660</v>
      </c>
      <c r="P145" s="11" t="s">
        <v>658</v>
      </c>
      <c r="Q145" s="11" t="s">
        <v>135</v>
      </c>
      <c r="U145" s="11" t="s">
        <v>221</v>
      </c>
      <c r="V145" s="11" t="s">
        <v>137</v>
      </c>
      <c r="W145" s="13">
        <v>46302.314618055556</v>
      </c>
    </row>
    <row r="146" spans="1:23">
      <c r="A146">
        <v>256189</v>
      </c>
      <c r="B146">
        <v>9644</v>
      </c>
      <c r="C146" s="11" t="s">
        <v>129</v>
      </c>
      <c r="D146" s="11" t="s">
        <v>130</v>
      </c>
      <c r="E146" s="11" t="s">
        <v>25</v>
      </c>
      <c r="F146" s="12">
        <v>46127</v>
      </c>
      <c r="G146" s="11" t="s">
        <v>222</v>
      </c>
      <c r="H146">
        <v>1</v>
      </c>
      <c r="I146" s="11" t="s">
        <v>599</v>
      </c>
      <c r="M146" s="11" t="s">
        <v>90</v>
      </c>
      <c r="N146" s="11" t="s">
        <v>661</v>
      </c>
      <c r="O146" s="11" t="s">
        <v>662</v>
      </c>
      <c r="P146" s="11" t="s">
        <v>599</v>
      </c>
      <c r="Q146" s="11" t="s">
        <v>135</v>
      </c>
      <c r="R146">
        <v>9643</v>
      </c>
      <c r="U146" s="11" t="s">
        <v>225</v>
      </c>
      <c r="V146" s="11" t="s">
        <v>137</v>
      </c>
      <c r="W146" s="13">
        <v>46302.314618055556</v>
      </c>
    </row>
    <row r="147" spans="1:23">
      <c r="A147">
        <v>256989</v>
      </c>
      <c r="B147">
        <v>9459</v>
      </c>
      <c r="C147" s="11" t="s">
        <v>129</v>
      </c>
      <c r="D147" s="11" t="s">
        <v>130</v>
      </c>
      <c r="E147" s="11" t="s">
        <v>25</v>
      </c>
      <c r="F147" s="12">
        <v>46129</v>
      </c>
      <c r="G147" s="11" t="s">
        <v>226</v>
      </c>
      <c r="H147">
        <v>1</v>
      </c>
      <c r="I147" s="11" t="s">
        <v>663</v>
      </c>
      <c r="M147" s="11" t="s">
        <v>87</v>
      </c>
      <c r="N147" s="11" t="s">
        <v>664</v>
      </c>
      <c r="O147" s="11" t="s">
        <v>665</v>
      </c>
      <c r="P147" s="11" t="s">
        <v>663</v>
      </c>
      <c r="Q147" s="11" t="s">
        <v>135</v>
      </c>
      <c r="U147" s="11" t="s">
        <v>231</v>
      </c>
      <c r="V147" s="11" t="s">
        <v>137</v>
      </c>
      <c r="W147" s="13">
        <v>46302.314618055556</v>
      </c>
    </row>
    <row r="148" spans="1:23">
      <c r="A148">
        <v>256990</v>
      </c>
      <c r="B148">
        <v>9460</v>
      </c>
      <c r="C148" s="11" t="s">
        <v>129</v>
      </c>
      <c r="D148" s="11" t="s">
        <v>130</v>
      </c>
      <c r="E148" s="11" t="s">
        <v>25</v>
      </c>
      <c r="F148" s="12">
        <v>46129</v>
      </c>
      <c r="G148" s="11" t="s">
        <v>666</v>
      </c>
      <c r="H148">
        <v>1</v>
      </c>
      <c r="I148" s="11" t="s">
        <v>667</v>
      </c>
      <c r="M148" s="11" t="s">
        <v>95</v>
      </c>
      <c r="N148" s="11" t="s">
        <v>668</v>
      </c>
      <c r="O148" s="11" t="s">
        <v>669</v>
      </c>
      <c r="P148" s="11" t="s">
        <v>667</v>
      </c>
      <c r="Q148" s="11" t="s">
        <v>670</v>
      </c>
      <c r="U148" s="11" t="s">
        <v>671</v>
      </c>
      <c r="V148" s="11" t="s">
        <v>137</v>
      </c>
      <c r="W148" s="13">
        <v>46302.314618055556</v>
      </c>
    </row>
    <row r="149" spans="1:23">
      <c r="A149">
        <v>256991</v>
      </c>
      <c r="B149">
        <v>9462</v>
      </c>
      <c r="C149" s="11" t="s">
        <v>129</v>
      </c>
      <c r="D149" s="11" t="s">
        <v>130</v>
      </c>
      <c r="E149" s="11" t="s">
        <v>25</v>
      </c>
      <c r="F149" s="12">
        <v>46129</v>
      </c>
      <c r="G149" s="11" t="s">
        <v>672</v>
      </c>
      <c r="H149">
        <v>2</v>
      </c>
      <c r="I149" s="11" t="s">
        <v>673</v>
      </c>
      <c r="M149" s="11" t="s">
        <v>72</v>
      </c>
      <c r="N149" s="11" t="s">
        <v>674</v>
      </c>
      <c r="O149" s="11" t="s">
        <v>675</v>
      </c>
      <c r="P149" s="11" t="s">
        <v>676</v>
      </c>
      <c r="Q149" s="11" t="s">
        <v>135</v>
      </c>
      <c r="U149" s="11" t="s">
        <v>677</v>
      </c>
      <c r="V149" s="11" t="s">
        <v>137</v>
      </c>
      <c r="W149" s="13">
        <v>46302.314618055556</v>
      </c>
    </row>
    <row r="150" spans="1:23">
      <c r="A150">
        <v>256992</v>
      </c>
      <c r="B150">
        <v>9463</v>
      </c>
      <c r="C150" s="11" t="s">
        <v>129</v>
      </c>
      <c r="D150" s="11" t="s">
        <v>130</v>
      </c>
      <c r="E150" s="11" t="s">
        <v>25</v>
      </c>
      <c r="F150" s="12">
        <v>46129</v>
      </c>
      <c r="G150" s="11" t="s">
        <v>226</v>
      </c>
      <c r="H150">
        <v>1</v>
      </c>
      <c r="I150" s="11" t="s">
        <v>486</v>
      </c>
      <c r="M150" s="11" t="s">
        <v>87</v>
      </c>
      <c r="N150" s="11" t="s">
        <v>678</v>
      </c>
      <c r="O150" s="11" t="s">
        <v>679</v>
      </c>
      <c r="P150" s="11" t="s">
        <v>486</v>
      </c>
      <c r="Q150" s="11" t="s">
        <v>135</v>
      </c>
      <c r="U150" s="11" t="s">
        <v>231</v>
      </c>
      <c r="V150" s="11" t="s">
        <v>137</v>
      </c>
      <c r="W150" s="13">
        <v>46302.314618055556</v>
      </c>
    </row>
    <row r="151" spans="1:23">
      <c r="A151">
        <v>256993</v>
      </c>
      <c r="B151">
        <v>9464</v>
      </c>
      <c r="C151" s="11" t="s">
        <v>129</v>
      </c>
      <c r="D151" s="11" t="s">
        <v>130</v>
      </c>
      <c r="E151" s="11" t="s">
        <v>25</v>
      </c>
      <c r="F151" s="12">
        <v>46129</v>
      </c>
      <c r="G151" s="11" t="s">
        <v>672</v>
      </c>
      <c r="H151">
        <v>3</v>
      </c>
      <c r="I151" s="11" t="s">
        <v>680</v>
      </c>
      <c r="M151" s="11" t="s">
        <v>72</v>
      </c>
      <c r="N151" s="11" t="s">
        <v>681</v>
      </c>
      <c r="O151" s="11" t="s">
        <v>682</v>
      </c>
      <c r="P151" s="11" t="s">
        <v>683</v>
      </c>
      <c r="Q151" s="11" t="s">
        <v>135</v>
      </c>
      <c r="U151" s="11" t="s">
        <v>677</v>
      </c>
      <c r="V151" s="11" t="s">
        <v>137</v>
      </c>
      <c r="W151" s="13">
        <v>46302.314618055556</v>
      </c>
    </row>
    <row r="152" spans="1:23">
      <c r="A152">
        <v>256994</v>
      </c>
      <c r="B152">
        <v>9465</v>
      </c>
      <c r="C152" s="11" t="s">
        <v>129</v>
      </c>
      <c r="D152" s="11" t="s">
        <v>130</v>
      </c>
      <c r="E152" s="11" t="s">
        <v>25</v>
      </c>
      <c r="F152" s="12">
        <v>46129</v>
      </c>
      <c r="G152" s="11" t="s">
        <v>226</v>
      </c>
      <c r="H152">
        <v>1</v>
      </c>
      <c r="I152" s="11" t="s">
        <v>542</v>
      </c>
      <c r="M152" s="11" t="s">
        <v>87</v>
      </c>
      <c r="N152" s="11" t="s">
        <v>684</v>
      </c>
      <c r="O152" s="11" t="s">
        <v>685</v>
      </c>
      <c r="P152" s="11" t="s">
        <v>542</v>
      </c>
      <c r="Q152" s="11" t="s">
        <v>135</v>
      </c>
      <c r="U152" s="11" t="s">
        <v>231</v>
      </c>
      <c r="V152" s="11" t="s">
        <v>137</v>
      </c>
      <c r="W152" s="13">
        <v>46302.314618055556</v>
      </c>
    </row>
    <row r="153" spans="1:23">
      <c r="A153">
        <v>256995</v>
      </c>
      <c r="B153">
        <v>9466</v>
      </c>
      <c r="C153" s="11" t="s">
        <v>129</v>
      </c>
      <c r="D153" s="11" t="s">
        <v>130</v>
      </c>
      <c r="E153" s="11" t="s">
        <v>25</v>
      </c>
      <c r="F153" s="12">
        <v>46129</v>
      </c>
      <c r="G153" s="11" t="s">
        <v>672</v>
      </c>
      <c r="H153">
        <v>1</v>
      </c>
      <c r="I153" s="11" t="s">
        <v>686</v>
      </c>
      <c r="M153" s="11" t="s">
        <v>72</v>
      </c>
      <c r="N153" s="11" t="s">
        <v>687</v>
      </c>
      <c r="O153" s="11" t="s">
        <v>688</v>
      </c>
      <c r="P153" s="11" t="s">
        <v>686</v>
      </c>
      <c r="Q153" s="11" t="s">
        <v>135</v>
      </c>
      <c r="U153" s="11" t="s">
        <v>677</v>
      </c>
      <c r="V153" s="11" t="s">
        <v>137</v>
      </c>
      <c r="W153" s="13">
        <v>46302.314618055556</v>
      </c>
    </row>
    <row r="154" spans="1:23">
      <c r="A154">
        <v>256996</v>
      </c>
      <c r="B154">
        <v>9467</v>
      </c>
      <c r="C154" s="11" t="s">
        <v>129</v>
      </c>
      <c r="D154" s="11" t="s">
        <v>130</v>
      </c>
      <c r="E154" s="11" t="s">
        <v>25</v>
      </c>
      <c r="F154" s="12">
        <v>46129</v>
      </c>
      <c r="G154" s="11" t="s">
        <v>263</v>
      </c>
      <c r="H154">
        <v>1</v>
      </c>
      <c r="I154" s="11" t="s">
        <v>689</v>
      </c>
      <c r="M154" s="11" t="s">
        <v>92</v>
      </c>
      <c r="N154" s="11" t="s">
        <v>690</v>
      </c>
      <c r="O154" s="11" t="s">
        <v>691</v>
      </c>
      <c r="P154" s="11" t="s">
        <v>689</v>
      </c>
      <c r="Q154" s="11" t="s">
        <v>135</v>
      </c>
      <c r="U154" s="11" t="s">
        <v>267</v>
      </c>
      <c r="V154" s="11" t="s">
        <v>137</v>
      </c>
      <c r="W154" s="13">
        <v>46302.314618055556</v>
      </c>
    </row>
    <row r="155" spans="1:23">
      <c r="A155">
        <v>256997</v>
      </c>
      <c r="B155">
        <v>9468</v>
      </c>
      <c r="C155" s="11" t="s">
        <v>129</v>
      </c>
      <c r="D155" s="11" t="s">
        <v>130</v>
      </c>
      <c r="E155" s="11" t="s">
        <v>25</v>
      </c>
      <c r="F155" s="12">
        <v>46129</v>
      </c>
      <c r="G155" s="11" t="s">
        <v>672</v>
      </c>
      <c r="H155">
        <v>1</v>
      </c>
      <c r="I155" s="11" t="s">
        <v>692</v>
      </c>
      <c r="M155" s="11" t="s">
        <v>72</v>
      </c>
      <c r="N155" s="11" t="s">
        <v>693</v>
      </c>
      <c r="O155" s="11" t="s">
        <v>694</v>
      </c>
      <c r="P155" s="11" t="s">
        <v>692</v>
      </c>
      <c r="Q155" s="11" t="s">
        <v>135</v>
      </c>
      <c r="U155" s="11" t="s">
        <v>677</v>
      </c>
      <c r="V155" s="11" t="s">
        <v>137</v>
      </c>
      <c r="W155" s="13">
        <v>46302.314618055556</v>
      </c>
    </row>
    <row r="156" spans="1:23">
      <c r="A156">
        <v>256998</v>
      </c>
      <c r="B156">
        <v>9469</v>
      </c>
      <c r="C156" s="11" t="s">
        <v>129</v>
      </c>
      <c r="D156" s="11" t="s">
        <v>130</v>
      </c>
      <c r="E156" s="11" t="s">
        <v>25</v>
      </c>
      <c r="F156" s="12">
        <v>46129</v>
      </c>
      <c r="G156" s="11" t="s">
        <v>226</v>
      </c>
      <c r="H156">
        <v>1</v>
      </c>
      <c r="I156" s="11" t="s">
        <v>695</v>
      </c>
      <c r="M156" s="11" t="s">
        <v>87</v>
      </c>
      <c r="N156" s="11" t="s">
        <v>696</v>
      </c>
      <c r="O156" s="11" t="s">
        <v>697</v>
      </c>
      <c r="P156" s="11" t="s">
        <v>695</v>
      </c>
      <c r="Q156" s="11" t="s">
        <v>135</v>
      </c>
      <c r="U156" s="11" t="s">
        <v>231</v>
      </c>
      <c r="V156" s="11" t="s">
        <v>137</v>
      </c>
      <c r="W156" s="13">
        <v>46302.314618055556</v>
      </c>
    </row>
    <row r="157" spans="1:23">
      <c r="A157">
        <v>256999</v>
      </c>
      <c r="B157">
        <v>9470</v>
      </c>
      <c r="C157" s="11" t="s">
        <v>129</v>
      </c>
      <c r="D157" s="11" t="s">
        <v>130</v>
      </c>
      <c r="E157" s="11" t="s">
        <v>25</v>
      </c>
      <c r="F157" s="12">
        <v>46129</v>
      </c>
      <c r="G157" s="11" t="s">
        <v>263</v>
      </c>
      <c r="H157">
        <v>1</v>
      </c>
      <c r="I157" s="11" t="s">
        <v>698</v>
      </c>
      <c r="M157" s="11" t="s">
        <v>92</v>
      </c>
      <c r="N157" s="11" t="s">
        <v>699</v>
      </c>
      <c r="O157" s="11" t="s">
        <v>700</v>
      </c>
      <c r="P157" s="11" t="s">
        <v>698</v>
      </c>
      <c r="Q157" s="11" t="s">
        <v>135</v>
      </c>
      <c r="U157" s="11" t="s">
        <v>267</v>
      </c>
      <c r="V157" s="11" t="s">
        <v>137</v>
      </c>
      <c r="W157" s="13">
        <v>46302.314618055556</v>
      </c>
    </row>
    <row r="158" spans="1:23">
      <c r="A158">
        <v>257000</v>
      </c>
      <c r="B158">
        <v>9471</v>
      </c>
      <c r="C158" s="11" t="s">
        <v>129</v>
      </c>
      <c r="D158" s="11" t="s">
        <v>130</v>
      </c>
      <c r="E158" s="11" t="s">
        <v>25</v>
      </c>
      <c r="F158" s="12">
        <v>46129</v>
      </c>
      <c r="G158" s="11" t="s">
        <v>672</v>
      </c>
      <c r="H158">
        <v>1</v>
      </c>
      <c r="I158" s="11" t="s">
        <v>218</v>
      </c>
      <c r="M158" s="11" t="s">
        <v>72</v>
      </c>
      <c r="N158" s="11" t="s">
        <v>449</v>
      </c>
      <c r="O158" s="11" t="s">
        <v>701</v>
      </c>
      <c r="P158" s="11" t="s">
        <v>218</v>
      </c>
      <c r="Q158" s="11" t="s">
        <v>135</v>
      </c>
      <c r="U158" s="11" t="s">
        <v>677</v>
      </c>
      <c r="V158" s="11" t="s">
        <v>137</v>
      </c>
      <c r="W158" s="13">
        <v>46302.314618055556</v>
      </c>
    </row>
    <row r="159" spans="1:23">
      <c r="A159">
        <v>257001</v>
      </c>
      <c r="B159">
        <v>9472</v>
      </c>
      <c r="C159" s="11" t="s">
        <v>129</v>
      </c>
      <c r="D159" s="11" t="s">
        <v>130</v>
      </c>
      <c r="E159" s="11" t="s">
        <v>25</v>
      </c>
      <c r="F159" s="12">
        <v>46129</v>
      </c>
      <c r="G159" s="11" t="s">
        <v>226</v>
      </c>
      <c r="H159">
        <v>1</v>
      </c>
      <c r="I159" s="11" t="s">
        <v>702</v>
      </c>
      <c r="M159" s="11" t="s">
        <v>87</v>
      </c>
      <c r="N159" s="11" t="s">
        <v>703</v>
      </c>
      <c r="O159" s="11" t="s">
        <v>704</v>
      </c>
      <c r="P159" s="11" t="s">
        <v>702</v>
      </c>
      <c r="Q159" s="11" t="s">
        <v>135</v>
      </c>
      <c r="U159" s="11" t="s">
        <v>231</v>
      </c>
      <c r="V159" s="11" t="s">
        <v>137</v>
      </c>
      <c r="W159" s="13">
        <v>46302.314618055556</v>
      </c>
    </row>
    <row r="160" spans="1:23">
      <c r="A160">
        <v>257002</v>
      </c>
      <c r="B160">
        <v>9473</v>
      </c>
      <c r="C160" s="11" t="s">
        <v>129</v>
      </c>
      <c r="D160" s="11" t="s">
        <v>130</v>
      </c>
      <c r="E160" s="11" t="s">
        <v>25</v>
      </c>
      <c r="F160" s="12">
        <v>46129</v>
      </c>
      <c r="G160" s="11" t="s">
        <v>439</v>
      </c>
      <c r="H160">
        <v>2</v>
      </c>
      <c r="I160" s="11" t="s">
        <v>705</v>
      </c>
      <c r="M160" s="11" t="s">
        <v>73</v>
      </c>
      <c r="N160" s="11" t="s">
        <v>706</v>
      </c>
      <c r="O160" s="11" t="s">
        <v>707</v>
      </c>
      <c r="P160" s="11" t="s">
        <v>708</v>
      </c>
      <c r="Q160" s="11" t="s">
        <v>135</v>
      </c>
      <c r="U160" s="11" t="s">
        <v>443</v>
      </c>
      <c r="V160" s="11" t="s">
        <v>137</v>
      </c>
      <c r="W160" s="13">
        <v>46302.314618055556</v>
      </c>
    </row>
    <row r="161" spans="1:23">
      <c r="A161">
        <v>257003</v>
      </c>
      <c r="B161">
        <v>9474</v>
      </c>
      <c r="C161" s="11" t="s">
        <v>129</v>
      </c>
      <c r="D161" s="11" t="s">
        <v>130</v>
      </c>
      <c r="E161" s="11" t="s">
        <v>25</v>
      </c>
      <c r="F161" s="12">
        <v>46129</v>
      </c>
      <c r="G161" s="11" t="s">
        <v>416</v>
      </c>
      <c r="H161">
        <v>1</v>
      </c>
      <c r="I161" s="11" t="s">
        <v>709</v>
      </c>
      <c r="M161" s="11" t="s">
        <v>75</v>
      </c>
      <c r="N161" s="11" t="s">
        <v>710</v>
      </c>
      <c r="O161" s="11" t="s">
        <v>711</v>
      </c>
      <c r="P161" s="11" t="s">
        <v>709</v>
      </c>
      <c r="Q161" s="11" t="s">
        <v>135</v>
      </c>
      <c r="U161" s="11" t="s">
        <v>420</v>
      </c>
      <c r="V161" s="11" t="s">
        <v>137</v>
      </c>
      <c r="W161" s="13">
        <v>46302.314618055556</v>
      </c>
    </row>
    <row r="162" spans="1:23">
      <c r="A162">
        <v>257004</v>
      </c>
      <c r="B162">
        <v>9475</v>
      </c>
      <c r="C162" s="11" t="s">
        <v>129</v>
      </c>
      <c r="D162" s="11" t="s">
        <v>130</v>
      </c>
      <c r="E162" s="11" t="s">
        <v>25</v>
      </c>
      <c r="F162" s="12">
        <v>46129</v>
      </c>
      <c r="G162" s="11" t="s">
        <v>237</v>
      </c>
      <c r="H162">
        <v>1</v>
      </c>
      <c r="I162" s="11" t="s">
        <v>712</v>
      </c>
      <c r="M162" s="11" t="s">
        <v>71</v>
      </c>
      <c r="N162" s="11" t="s">
        <v>713</v>
      </c>
      <c r="O162" s="11" t="s">
        <v>714</v>
      </c>
      <c r="P162" s="11" t="s">
        <v>712</v>
      </c>
      <c r="Q162" s="11" t="s">
        <v>135</v>
      </c>
      <c r="U162" s="11" t="s">
        <v>241</v>
      </c>
      <c r="V162" s="11" t="s">
        <v>137</v>
      </c>
      <c r="W162" s="13">
        <v>46302.314618055556</v>
      </c>
    </row>
    <row r="163" spans="1:23">
      <c r="A163">
        <v>257005</v>
      </c>
      <c r="B163">
        <v>9476</v>
      </c>
      <c r="C163" s="11" t="s">
        <v>129</v>
      </c>
      <c r="D163" s="11" t="s">
        <v>130</v>
      </c>
      <c r="E163" s="11" t="s">
        <v>25</v>
      </c>
      <c r="F163" s="12">
        <v>46129</v>
      </c>
      <c r="G163" s="11" t="s">
        <v>439</v>
      </c>
      <c r="H163">
        <v>1</v>
      </c>
      <c r="I163" s="11" t="s">
        <v>715</v>
      </c>
      <c r="M163" s="11" t="s">
        <v>73</v>
      </c>
      <c r="N163" s="11" t="s">
        <v>716</v>
      </c>
      <c r="O163" s="11" t="s">
        <v>717</v>
      </c>
      <c r="P163" s="11" t="s">
        <v>715</v>
      </c>
      <c r="Q163" s="11" t="s">
        <v>135</v>
      </c>
      <c r="U163" s="11" t="s">
        <v>443</v>
      </c>
      <c r="V163" s="11" t="s">
        <v>137</v>
      </c>
      <c r="W163" s="13">
        <v>46302.314618055556</v>
      </c>
    </row>
    <row r="164" spans="1:23">
      <c r="A164">
        <v>257006</v>
      </c>
      <c r="B164">
        <v>9477</v>
      </c>
      <c r="C164" s="11" t="s">
        <v>129</v>
      </c>
      <c r="D164" s="11" t="s">
        <v>130</v>
      </c>
      <c r="E164" s="11" t="s">
        <v>25</v>
      </c>
      <c r="F164" s="12">
        <v>46129</v>
      </c>
      <c r="G164" s="11" t="s">
        <v>232</v>
      </c>
      <c r="H164">
        <v>1</v>
      </c>
      <c r="I164" s="11" t="s">
        <v>718</v>
      </c>
      <c r="M164" s="11" t="s">
        <v>89</v>
      </c>
      <c r="N164" s="11" t="s">
        <v>719</v>
      </c>
      <c r="O164" s="11" t="s">
        <v>720</v>
      </c>
      <c r="P164" s="11" t="s">
        <v>718</v>
      </c>
      <c r="Q164" s="11" t="s">
        <v>135</v>
      </c>
      <c r="U164" s="11" t="s">
        <v>236</v>
      </c>
      <c r="V164" s="11" t="s">
        <v>137</v>
      </c>
      <c r="W164" s="13">
        <v>46302.314618055556</v>
      </c>
    </row>
    <row r="165" spans="1:23">
      <c r="A165">
        <v>257007</v>
      </c>
      <c r="B165">
        <v>9478</v>
      </c>
      <c r="C165" s="11" t="s">
        <v>129</v>
      </c>
      <c r="D165" s="11" t="s">
        <v>130</v>
      </c>
      <c r="E165" s="11" t="s">
        <v>25</v>
      </c>
      <c r="F165" s="12">
        <v>46129</v>
      </c>
      <c r="G165" s="11" t="s">
        <v>237</v>
      </c>
      <c r="H165">
        <v>1</v>
      </c>
      <c r="I165" s="11" t="s">
        <v>721</v>
      </c>
      <c r="M165" s="11" t="s">
        <v>71</v>
      </c>
      <c r="N165" s="11" t="s">
        <v>722</v>
      </c>
      <c r="O165" s="11" t="s">
        <v>723</v>
      </c>
      <c r="P165" s="11" t="s">
        <v>721</v>
      </c>
      <c r="Q165" s="11" t="s">
        <v>135</v>
      </c>
      <c r="U165" s="11" t="s">
        <v>241</v>
      </c>
      <c r="V165" s="11" t="s">
        <v>137</v>
      </c>
      <c r="W165" s="13">
        <v>46302.314618055556</v>
      </c>
    </row>
    <row r="166" spans="1:23">
      <c r="A166">
        <v>257008</v>
      </c>
      <c r="B166">
        <v>9479</v>
      </c>
      <c r="C166" s="11" t="s">
        <v>129</v>
      </c>
      <c r="D166" s="11" t="s">
        <v>130</v>
      </c>
      <c r="E166" s="11" t="s">
        <v>25</v>
      </c>
      <c r="F166" s="12">
        <v>46129</v>
      </c>
      <c r="G166" s="11" t="s">
        <v>237</v>
      </c>
      <c r="H166">
        <v>1</v>
      </c>
      <c r="I166" s="11" t="s">
        <v>724</v>
      </c>
      <c r="M166" s="11" t="s">
        <v>71</v>
      </c>
      <c r="N166" s="11" t="s">
        <v>725</v>
      </c>
      <c r="O166" s="11" t="s">
        <v>726</v>
      </c>
      <c r="P166" s="11" t="s">
        <v>724</v>
      </c>
      <c r="Q166" s="11" t="s">
        <v>135</v>
      </c>
      <c r="U166" s="11" t="s">
        <v>241</v>
      </c>
      <c r="V166" s="11" t="s">
        <v>137</v>
      </c>
      <c r="W166" s="13">
        <v>46302.314618055556</v>
      </c>
    </row>
    <row r="167" spans="1:23">
      <c r="A167">
        <v>257009</v>
      </c>
      <c r="B167">
        <v>9480</v>
      </c>
      <c r="C167" s="11" t="s">
        <v>129</v>
      </c>
      <c r="D167" s="11" t="s">
        <v>130</v>
      </c>
      <c r="E167" s="11" t="s">
        <v>25</v>
      </c>
      <c r="F167" s="12">
        <v>46129</v>
      </c>
      <c r="G167" s="11" t="s">
        <v>416</v>
      </c>
      <c r="H167">
        <v>1</v>
      </c>
      <c r="I167" s="11" t="s">
        <v>727</v>
      </c>
      <c r="M167" s="11" t="s">
        <v>75</v>
      </c>
      <c r="N167" s="11" t="s">
        <v>728</v>
      </c>
      <c r="O167" s="11" t="s">
        <v>729</v>
      </c>
      <c r="P167" s="11" t="s">
        <v>727</v>
      </c>
      <c r="Q167" s="11" t="s">
        <v>135</v>
      </c>
      <c r="U167" s="11" t="s">
        <v>420</v>
      </c>
      <c r="V167" s="11" t="s">
        <v>137</v>
      </c>
      <c r="W167" s="13">
        <v>46302.314618055556</v>
      </c>
    </row>
    <row r="168" spans="1:23">
      <c r="A168">
        <v>257010</v>
      </c>
      <c r="B168">
        <v>9481</v>
      </c>
      <c r="C168" s="11" t="s">
        <v>129</v>
      </c>
      <c r="D168" s="11" t="s">
        <v>130</v>
      </c>
      <c r="E168" s="11" t="s">
        <v>25</v>
      </c>
      <c r="F168" s="12">
        <v>46129</v>
      </c>
      <c r="G168" s="11" t="s">
        <v>242</v>
      </c>
      <c r="H168">
        <v>1</v>
      </c>
      <c r="I168" s="11" t="s">
        <v>730</v>
      </c>
      <c r="M168" s="11" t="s">
        <v>76</v>
      </c>
      <c r="N168" s="11" t="s">
        <v>731</v>
      </c>
      <c r="O168" s="11" t="s">
        <v>732</v>
      </c>
      <c r="P168" s="11" t="s">
        <v>730</v>
      </c>
      <c r="Q168" s="11" t="s">
        <v>135</v>
      </c>
      <c r="U168" s="11" t="s">
        <v>245</v>
      </c>
      <c r="V168" s="11" t="s">
        <v>137</v>
      </c>
      <c r="W168" s="13">
        <v>46302.314618055556</v>
      </c>
    </row>
    <row r="169" spans="1:23">
      <c r="A169">
        <v>257011</v>
      </c>
      <c r="B169">
        <v>9482</v>
      </c>
      <c r="C169" s="11" t="s">
        <v>129</v>
      </c>
      <c r="D169" s="11" t="s">
        <v>130</v>
      </c>
      <c r="E169" s="11" t="s">
        <v>25</v>
      </c>
      <c r="F169" s="12">
        <v>46129</v>
      </c>
      <c r="G169" s="11" t="s">
        <v>242</v>
      </c>
      <c r="H169">
        <v>1</v>
      </c>
      <c r="I169" s="11" t="s">
        <v>733</v>
      </c>
      <c r="M169" s="11" t="s">
        <v>76</v>
      </c>
      <c r="N169" s="11" t="s">
        <v>734</v>
      </c>
      <c r="O169" s="11" t="s">
        <v>735</v>
      </c>
      <c r="P169" s="11" t="s">
        <v>733</v>
      </c>
      <c r="Q169" s="11" t="s">
        <v>135</v>
      </c>
      <c r="U169" s="11" t="s">
        <v>245</v>
      </c>
      <c r="V169" s="11" t="s">
        <v>137</v>
      </c>
      <c r="W169" s="13">
        <v>46302.314618055556</v>
      </c>
    </row>
    <row r="170" spans="1:23">
      <c r="A170">
        <v>257012</v>
      </c>
      <c r="B170">
        <v>9483</v>
      </c>
      <c r="C170" s="11" t="s">
        <v>129</v>
      </c>
      <c r="D170" s="11" t="s">
        <v>130</v>
      </c>
      <c r="E170" s="11" t="s">
        <v>25</v>
      </c>
      <c r="F170" s="12">
        <v>46129</v>
      </c>
      <c r="G170" s="11" t="s">
        <v>312</v>
      </c>
      <c r="H170">
        <v>1</v>
      </c>
      <c r="I170" s="11" t="s">
        <v>249</v>
      </c>
      <c r="M170" s="11" t="s">
        <v>86</v>
      </c>
      <c r="N170" s="11" t="s">
        <v>736</v>
      </c>
      <c r="O170" s="11" t="s">
        <v>737</v>
      </c>
      <c r="P170" s="11" t="s">
        <v>249</v>
      </c>
      <c r="Q170" s="11" t="s">
        <v>135</v>
      </c>
      <c r="U170" s="11" t="s">
        <v>315</v>
      </c>
      <c r="V170" s="11" t="s">
        <v>137</v>
      </c>
      <c r="W170" s="13">
        <v>46302.314618055556</v>
      </c>
    </row>
    <row r="171" spans="1:23">
      <c r="A171">
        <v>257013</v>
      </c>
      <c r="B171">
        <v>9461</v>
      </c>
      <c r="C171" s="11" t="s">
        <v>129</v>
      </c>
      <c r="D171" s="11" t="s">
        <v>130</v>
      </c>
      <c r="E171" s="11" t="s">
        <v>25</v>
      </c>
      <c r="F171" s="12">
        <v>46129</v>
      </c>
      <c r="G171" s="11" t="s">
        <v>308</v>
      </c>
      <c r="H171">
        <v>1</v>
      </c>
      <c r="I171" s="11" t="s">
        <v>670</v>
      </c>
      <c r="M171" s="11" t="s">
        <v>90</v>
      </c>
      <c r="N171" s="11" t="s">
        <v>738</v>
      </c>
      <c r="O171" s="11" t="s">
        <v>739</v>
      </c>
      <c r="P171" s="11" t="s">
        <v>670</v>
      </c>
      <c r="Q171" s="11" t="s">
        <v>135</v>
      </c>
      <c r="R171">
        <v>9460</v>
      </c>
      <c r="U171" s="11" t="s">
        <v>311</v>
      </c>
      <c r="V171" s="11" t="s">
        <v>137</v>
      </c>
      <c r="W171" s="13">
        <v>46302.314618055556</v>
      </c>
    </row>
    <row r="172" spans="1:23">
      <c r="A172">
        <v>257365</v>
      </c>
      <c r="B172">
        <v>9702</v>
      </c>
      <c r="C172" s="11" t="s">
        <v>129</v>
      </c>
      <c r="D172" s="11" t="s">
        <v>130</v>
      </c>
      <c r="E172" s="11" t="s">
        <v>25</v>
      </c>
      <c r="F172" s="12">
        <v>46132</v>
      </c>
      <c r="G172" s="11" t="s">
        <v>131</v>
      </c>
      <c r="H172">
        <v>1</v>
      </c>
      <c r="I172" s="11" t="s">
        <v>740</v>
      </c>
      <c r="M172" s="11" t="s">
        <v>87</v>
      </c>
      <c r="N172" s="11" t="s">
        <v>741</v>
      </c>
      <c r="O172" s="11" t="s">
        <v>742</v>
      </c>
      <c r="P172" s="11" t="s">
        <v>740</v>
      </c>
      <c r="Q172" s="11" t="s">
        <v>135</v>
      </c>
      <c r="U172" s="11" t="s">
        <v>136</v>
      </c>
      <c r="V172" s="11" t="s">
        <v>137</v>
      </c>
      <c r="W172" s="13">
        <v>46302.314618055556</v>
      </c>
    </row>
    <row r="173" spans="1:23">
      <c r="A173">
        <v>257366</v>
      </c>
      <c r="B173">
        <v>9703</v>
      </c>
      <c r="C173" s="11" t="s">
        <v>129</v>
      </c>
      <c r="D173" s="11" t="s">
        <v>130</v>
      </c>
      <c r="E173" s="11" t="s">
        <v>25</v>
      </c>
      <c r="F173" s="12">
        <v>46132</v>
      </c>
      <c r="G173" s="11" t="s">
        <v>222</v>
      </c>
      <c r="H173">
        <v>1</v>
      </c>
      <c r="I173" s="11" t="s">
        <v>743</v>
      </c>
      <c r="M173" s="11" t="s">
        <v>90</v>
      </c>
      <c r="N173" s="11" t="s">
        <v>744</v>
      </c>
      <c r="O173" s="11" t="s">
        <v>745</v>
      </c>
      <c r="P173" s="11" t="s">
        <v>743</v>
      </c>
      <c r="Q173" s="11" t="s">
        <v>135</v>
      </c>
      <c r="U173" s="11" t="s">
        <v>225</v>
      </c>
      <c r="V173" s="11" t="s">
        <v>137</v>
      </c>
      <c r="W173" s="13">
        <v>46302.314618055556</v>
      </c>
    </row>
    <row r="174" spans="1:23">
      <c r="A174">
        <v>257367</v>
      </c>
      <c r="B174">
        <v>9704</v>
      </c>
      <c r="C174" s="11" t="s">
        <v>129</v>
      </c>
      <c r="D174" s="11" t="s">
        <v>130</v>
      </c>
      <c r="E174" s="11" t="s">
        <v>25</v>
      </c>
      <c r="F174" s="12">
        <v>46132</v>
      </c>
      <c r="G174" s="11" t="s">
        <v>504</v>
      </c>
      <c r="H174">
        <v>1</v>
      </c>
      <c r="I174" s="11" t="s">
        <v>746</v>
      </c>
      <c r="M174" s="11" t="s">
        <v>53</v>
      </c>
      <c r="N174" s="11" t="s">
        <v>747</v>
      </c>
      <c r="O174" s="11" t="s">
        <v>748</v>
      </c>
      <c r="P174" s="11" t="s">
        <v>746</v>
      </c>
      <c r="Q174" s="11" t="s">
        <v>135</v>
      </c>
      <c r="U174" s="11" t="s">
        <v>508</v>
      </c>
      <c r="V174" s="11" t="s">
        <v>137</v>
      </c>
      <c r="W174" s="13">
        <v>46302.314618055556</v>
      </c>
    </row>
    <row r="175" spans="1:23">
      <c r="A175">
        <v>257368</v>
      </c>
      <c r="B175">
        <v>9705</v>
      </c>
      <c r="C175" s="11" t="s">
        <v>129</v>
      </c>
      <c r="D175" s="11" t="s">
        <v>130</v>
      </c>
      <c r="E175" s="11" t="s">
        <v>25</v>
      </c>
      <c r="F175" s="12">
        <v>46132</v>
      </c>
      <c r="G175" s="11" t="s">
        <v>195</v>
      </c>
      <c r="H175">
        <v>8</v>
      </c>
      <c r="I175" s="11" t="s">
        <v>749</v>
      </c>
      <c r="M175" s="11" t="s">
        <v>68</v>
      </c>
      <c r="N175" s="11" t="s">
        <v>750</v>
      </c>
      <c r="O175" s="11" t="s">
        <v>751</v>
      </c>
      <c r="P175" s="11" t="s">
        <v>752</v>
      </c>
      <c r="Q175" s="11" t="s">
        <v>753</v>
      </c>
      <c r="U175" s="11" t="s">
        <v>199</v>
      </c>
      <c r="V175" s="11" t="s">
        <v>137</v>
      </c>
      <c r="W175" s="13">
        <v>46302.314618055556</v>
      </c>
    </row>
    <row r="176" spans="1:23">
      <c r="A176">
        <v>257369</v>
      </c>
      <c r="B176">
        <v>9707</v>
      </c>
      <c r="C176" s="11" t="s">
        <v>129</v>
      </c>
      <c r="D176" s="11" t="s">
        <v>130</v>
      </c>
      <c r="E176" s="11" t="s">
        <v>25</v>
      </c>
      <c r="F176" s="12">
        <v>46132</v>
      </c>
      <c r="G176" s="11" t="s">
        <v>174</v>
      </c>
      <c r="H176">
        <v>1</v>
      </c>
      <c r="I176" s="11" t="s">
        <v>754</v>
      </c>
      <c r="M176" s="11" t="s">
        <v>92</v>
      </c>
      <c r="N176" s="11" t="s">
        <v>755</v>
      </c>
      <c r="O176" s="11" t="s">
        <v>756</v>
      </c>
      <c r="P176" s="11" t="s">
        <v>754</v>
      </c>
      <c r="Q176" s="11" t="s">
        <v>135</v>
      </c>
      <c r="U176" s="11" t="s">
        <v>178</v>
      </c>
      <c r="V176" s="11" t="s">
        <v>137</v>
      </c>
      <c r="W176" s="13">
        <v>46302.314618055556</v>
      </c>
    </row>
    <row r="177" spans="1:23">
      <c r="A177">
        <v>257370</v>
      </c>
      <c r="B177">
        <v>9708</v>
      </c>
      <c r="C177" s="11" t="s">
        <v>129</v>
      </c>
      <c r="D177" s="11" t="s">
        <v>130</v>
      </c>
      <c r="E177" s="11" t="s">
        <v>25</v>
      </c>
      <c r="F177" s="12">
        <v>46132</v>
      </c>
      <c r="G177" s="11" t="s">
        <v>164</v>
      </c>
      <c r="H177">
        <v>2</v>
      </c>
      <c r="I177" s="11" t="s">
        <v>757</v>
      </c>
      <c r="M177" s="11" t="s">
        <v>62</v>
      </c>
      <c r="N177" s="11" t="s">
        <v>758</v>
      </c>
      <c r="O177" s="11" t="s">
        <v>759</v>
      </c>
      <c r="P177" s="11" t="s">
        <v>760</v>
      </c>
      <c r="Q177" s="11" t="s">
        <v>135</v>
      </c>
      <c r="U177" s="11" t="s">
        <v>168</v>
      </c>
      <c r="V177" s="11" t="s">
        <v>137</v>
      </c>
      <c r="W177" s="13">
        <v>46302.314618055556</v>
      </c>
    </row>
    <row r="178" spans="1:23">
      <c r="A178">
        <v>257371</v>
      </c>
      <c r="B178">
        <v>9709</v>
      </c>
      <c r="C178" s="11" t="s">
        <v>129</v>
      </c>
      <c r="D178" s="11" t="s">
        <v>130</v>
      </c>
      <c r="E178" s="11" t="s">
        <v>25</v>
      </c>
      <c r="F178" s="12">
        <v>46132</v>
      </c>
      <c r="G178" s="11" t="s">
        <v>131</v>
      </c>
      <c r="H178">
        <v>1</v>
      </c>
      <c r="I178" s="11" t="s">
        <v>761</v>
      </c>
      <c r="M178" s="11" t="s">
        <v>87</v>
      </c>
      <c r="N178" s="11" t="s">
        <v>762</v>
      </c>
      <c r="O178" s="11" t="s">
        <v>763</v>
      </c>
      <c r="P178" s="11" t="s">
        <v>761</v>
      </c>
      <c r="Q178" s="11" t="s">
        <v>135</v>
      </c>
      <c r="U178" s="11" t="s">
        <v>136</v>
      </c>
      <c r="V178" s="11" t="s">
        <v>137</v>
      </c>
      <c r="W178" s="13">
        <v>46302.314618055556</v>
      </c>
    </row>
    <row r="179" spans="1:23">
      <c r="A179">
        <v>257372</v>
      </c>
      <c r="B179">
        <v>9710</v>
      </c>
      <c r="C179" s="11" t="s">
        <v>129</v>
      </c>
      <c r="D179" s="11" t="s">
        <v>130</v>
      </c>
      <c r="E179" s="11" t="s">
        <v>25</v>
      </c>
      <c r="F179" s="12">
        <v>46132</v>
      </c>
      <c r="G179" s="11" t="s">
        <v>174</v>
      </c>
      <c r="H179">
        <v>1</v>
      </c>
      <c r="I179" s="11" t="s">
        <v>764</v>
      </c>
      <c r="M179" s="11" t="s">
        <v>92</v>
      </c>
      <c r="N179" s="11" t="s">
        <v>765</v>
      </c>
      <c r="O179" s="11" t="s">
        <v>766</v>
      </c>
      <c r="P179" s="11" t="s">
        <v>764</v>
      </c>
      <c r="Q179" s="11" t="s">
        <v>135</v>
      </c>
      <c r="U179" s="11" t="s">
        <v>178</v>
      </c>
      <c r="V179" s="11" t="s">
        <v>137</v>
      </c>
      <c r="W179" s="13">
        <v>46302.314618055556</v>
      </c>
    </row>
    <row r="180" spans="1:23">
      <c r="A180">
        <v>257373</v>
      </c>
      <c r="B180">
        <v>9711</v>
      </c>
      <c r="C180" s="11" t="s">
        <v>129</v>
      </c>
      <c r="D180" s="11" t="s">
        <v>130</v>
      </c>
      <c r="E180" s="11" t="s">
        <v>25</v>
      </c>
      <c r="F180" s="12">
        <v>46132</v>
      </c>
      <c r="G180" s="11" t="s">
        <v>149</v>
      </c>
      <c r="H180">
        <v>1</v>
      </c>
      <c r="I180" s="11" t="s">
        <v>767</v>
      </c>
      <c r="M180" s="11" t="s">
        <v>77</v>
      </c>
      <c r="N180" s="11" t="s">
        <v>768</v>
      </c>
      <c r="O180" s="11" t="s">
        <v>769</v>
      </c>
      <c r="P180" s="11" t="s">
        <v>767</v>
      </c>
      <c r="Q180" s="11" t="s">
        <v>135</v>
      </c>
      <c r="U180" s="11" t="s">
        <v>153</v>
      </c>
      <c r="V180" s="11" t="s">
        <v>137</v>
      </c>
      <c r="W180" s="13">
        <v>46302.314618055556</v>
      </c>
    </row>
    <row r="181" spans="1:23">
      <c r="A181">
        <v>257374</v>
      </c>
      <c r="B181">
        <v>9712</v>
      </c>
      <c r="C181" s="11" t="s">
        <v>129</v>
      </c>
      <c r="D181" s="11" t="s">
        <v>130</v>
      </c>
      <c r="E181" s="11" t="s">
        <v>25</v>
      </c>
      <c r="F181" s="12">
        <v>46132</v>
      </c>
      <c r="G181" s="11" t="s">
        <v>154</v>
      </c>
      <c r="H181">
        <v>1</v>
      </c>
      <c r="I181" s="11" t="s">
        <v>652</v>
      </c>
      <c r="M181" s="11" t="s">
        <v>79</v>
      </c>
      <c r="N181" s="11" t="s">
        <v>770</v>
      </c>
      <c r="O181" s="11" t="s">
        <v>771</v>
      </c>
      <c r="P181" s="11" t="s">
        <v>652</v>
      </c>
      <c r="Q181" s="11" t="s">
        <v>135</v>
      </c>
      <c r="U181" s="11" t="s">
        <v>158</v>
      </c>
      <c r="V181" s="11" t="s">
        <v>137</v>
      </c>
      <c r="W181" s="13">
        <v>46302.314618055556</v>
      </c>
    </row>
    <row r="182" spans="1:23">
      <c r="A182">
        <v>257375</v>
      </c>
      <c r="B182">
        <v>9713</v>
      </c>
      <c r="C182" s="11" t="s">
        <v>129</v>
      </c>
      <c r="D182" s="11" t="s">
        <v>130</v>
      </c>
      <c r="E182" s="11" t="s">
        <v>25</v>
      </c>
      <c r="F182" s="12">
        <v>46132</v>
      </c>
      <c r="G182" s="11" t="s">
        <v>179</v>
      </c>
      <c r="H182">
        <v>1</v>
      </c>
      <c r="I182" s="11" t="s">
        <v>772</v>
      </c>
      <c r="M182" s="11" t="s">
        <v>83</v>
      </c>
      <c r="N182" s="11" t="s">
        <v>773</v>
      </c>
      <c r="O182" s="11" t="s">
        <v>774</v>
      </c>
      <c r="P182" s="11" t="s">
        <v>772</v>
      </c>
      <c r="Q182" s="11" t="s">
        <v>135</v>
      </c>
      <c r="U182" s="11" t="s">
        <v>183</v>
      </c>
      <c r="V182" s="11" t="s">
        <v>137</v>
      </c>
      <c r="W182" s="13">
        <v>46302.314618055556</v>
      </c>
    </row>
    <row r="183" spans="1:23">
      <c r="A183">
        <v>257376</v>
      </c>
      <c r="B183">
        <v>9714</v>
      </c>
      <c r="C183" s="11" t="s">
        <v>129</v>
      </c>
      <c r="D183" s="11" t="s">
        <v>130</v>
      </c>
      <c r="E183" s="11" t="s">
        <v>25</v>
      </c>
      <c r="F183" s="12">
        <v>46132</v>
      </c>
      <c r="G183" s="11" t="s">
        <v>607</v>
      </c>
      <c r="H183">
        <v>1</v>
      </c>
      <c r="I183" s="11" t="s">
        <v>775</v>
      </c>
      <c r="M183" s="11" t="s">
        <v>42</v>
      </c>
      <c r="N183" s="11" t="s">
        <v>776</v>
      </c>
      <c r="O183" s="11" t="s">
        <v>777</v>
      </c>
      <c r="P183" s="11" t="s">
        <v>775</v>
      </c>
      <c r="Q183" s="11" t="s">
        <v>135</v>
      </c>
      <c r="U183" s="11" t="s">
        <v>611</v>
      </c>
      <c r="V183" s="11" t="s">
        <v>137</v>
      </c>
      <c r="W183" s="13">
        <v>46302.314618055556</v>
      </c>
    </row>
    <row r="184" spans="1:23">
      <c r="A184">
        <v>257377</v>
      </c>
      <c r="B184">
        <v>9715</v>
      </c>
      <c r="C184" s="11" t="s">
        <v>129</v>
      </c>
      <c r="D184" s="11" t="s">
        <v>130</v>
      </c>
      <c r="E184" s="11" t="s">
        <v>25</v>
      </c>
      <c r="F184" s="12">
        <v>46132</v>
      </c>
      <c r="G184" s="11" t="s">
        <v>131</v>
      </c>
      <c r="H184">
        <v>1</v>
      </c>
      <c r="I184" s="11" t="s">
        <v>778</v>
      </c>
      <c r="M184" s="11" t="s">
        <v>87</v>
      </c>
      <c r="N184" s="11" t="s">
        <v>779</v>
      </c>
      <c r="O184" s="11" t="s">
        <v>780</v>
      </c>
      <c r="P184" s="11" t="s">
        <v>778</v>
      </c>
      <c r="Q184" s="11" t="s">
        <v>135</v>
      </c>
      <c r="U184" s="11" t="s">
        <v>136</v>
      </c>
      <c r="V184" s="11" t="s">
        <v>137</v>
      </c>
      <c r="W184" s="13">
        <v>46302.314618055556</v>
      </c>
    </row>
    <row r="185" spans="1:23">
      <c r="A185">
        <v>257378</v>
      </c>
      <c r="B185">
        <v>9716</v>
      </c>
      <c r="C185" s="11" t="s">
        <v>129</v>
      </c>
      <c r="D185" s="11" t="s">
        <v>130</v>
      </c>
      <c r="E185" s="11" t="s">
        <v>25</v>
      </c>
      <c r="F185" s="12">
        <v>46132</v>
      </c>
      <c r="G185" s="11" t="s">
        <v>164</v>
      </c>
      <c r="H185">
        <v>1</v>
      </c>
      <c r="I185" s="11" t="s">
        <v>781</v>
      </c>
      <c r="M185" s="11" t="s">
        <v>62</v>
      </c>
      <c r="N185" s="11" t="s">
        <v>782</v>
      </c>
      <c r="O185" s="11" t="s">
        <v>783</v>
      </c>
      <c r="P185" s="11" t="s">
        <v>781</v>
      </c>
      <c r="Q185" s="11" t="s">
        <v>135</v>
      </c>
      <c r="U185" s="11" t="s">
        <v>168</v>
      </c>
      <c r="V185" s="11" t="s">
        <v>137</v>
      </c>
      <c r="W185" s="13">
        <v>46302.314618055556</v>
      </c>
    </row>
    <row r="186" spans="1:23">
      <c r="A186">
        <v>257379</v>
      </c>
      <c r="B186">
        <v>9717</v>
      </c>
      <c r="C186" s="11" t="s">
        <v>129</v>
      </c>
      <c r="D186" s="11" t="s">
        <v>130</v>
      </c>
      <c r="E186" s="11" t="s">
        <v>25</v>
      </c>
      <c r="F186" s="12">
        <v>46132</v>
      </c>
      <c r="G186" s="11" t="s">
        <v>131</v>
      </c>
      <c r="H186">
        <v>1</v>
      </c>
      <c r="I186" s="11" t="s">
        <v>784</v>
      </c>
      <c r="M186" s="11" t="s">
        <v>87</v>
      </c>
      <c r="N186" s="11" t="s">
        <v>785</v>
      </c>
      <c r="O186" s="11" t="s">
        <v>786</v>
      </c>
      <c r="P186" s="11" t="s">
        <v>784</v>
      </c>
      <c r="Q186" s="11" t="s">
        <v>135</v>
      </c>
      <c r="U186" s="11" t="s">
        <v>136</v>
      </c>
      <c r="V186" s="11" t="s">
        <v>137</v>
      </c>
      <c r="W186" s="13">
        <v>46302.314618055556</v>
      </c>
    </row>
    <row r="187" spans="1:23">
      <c r="A187">
        <v>257380</v>
      </c>
      <c r="B187">
        <v>9718</v>
      </c>
      <c r="C187" s="11" t="s">
        <v>129</v>
      </c>
      <c r="D187" s="11" t="s">
        <v>130</v>
      </c>
      <c r="E187" s="11" t="s">
        <v>25</v>
      </c>
      <c r="F187" s="12">
        <v>46132</v>
      </c>
      <c r="G187" s="11" t="s">
        <v>174</v>
      </c>
      <c r="H187">
        <v>1</v>
      </c>
      <c r="I187" s="11" t="s">
        <v>787</v>
      </c>
      <c r="M187" s="11" t="s">
        <v>92</v>
      </c>
      <c r="N187" s="11" t="s">
        <v>788</v>
      </c>
      <c r="O187" s="11" t="s">
        <v>789</v>
      </c>
      <c r="P187" s="11" t="s">
        <v>787</v>
      </c>
      <c r="Q187" s="11" t="s">
        <v>135</v>
      </c>
      <c r="U187" s="11" t="s">
        <v>178</v>
      </c>
      <c r="V187" s="11" t="s">
        <v>137</v>
      </c>
      <c r="W187" s="13">
        <v>46302.314618055556</v>
      </c>
    </row>
    <row r="188" spans="1:23">
      <c r="A188">
        <v>257381</v>
      </c>
      <c r="B188">
        <v>9719</v>
      </c>
      <c r="C188" s="11" t="s">
        <v>129</v>
      </c>
      <c r="D188" s="11" t="s">
        <v>130</v>
      </c>
      <c r="E188" s="11" t="s">
        <v>25</v>
      </c>
      <c r="F188" s="12">
        <v>46132</v>
      </c>
      <c r="G188" s="11" t="s">
        <v>217</v>
      </c>
      <c r="H188">
        <v>1</v>
      </c>
      <c r="I188" s="11" t="s">
        <v>790</v>
      </c>
      <c r="M188" s="11" t="s">
        <v>86</v>
      </c>
      <c r="N188" s="11" t="s">
        <v>791</v>
      </c>
      <c r="O188" s="11" t="s">
        <v>792</v>
      </c>
      <c r="P188" s="11" t="s">
        <v>790</v>
      </c>
      <c r="Q188" s="11" t="s">
        <v>135</v>
      </c>
      <c r="U188" s="11" t="s">
        <v>221</v>
      </c>
      <c r="V188" s="11" t="s">
        <v>137</v>
      </c>
      <c r="W188" s="13">
        <v>46302.314618055556</v>
      </c>
    </row>
    <row r="189" spans="1:23">
      <c r="A189">
        <v>257382</v>
      </c>
      <c r="B189">
        <v>9706</v>
      </c>
      <c r="C189" s="11" t="s">
        <v>129</v>
      </c>
      <c r="D189" s="11" t="s">
        <v>130</v>
      </c>
      <c r="E189" s="11" t="s">
        <v>25</v>
      </c>
      <c r="F189" s="12">
        <v>46132</v>
      </c>
      <c r="G189" s="11" t="s">
        <v>131</v>
      </c>
      <c r="H189">
        <v>1</v>
      </c>
      <c r="I189" s="11" t="s">
        <v>753</v>
      </c>
      <c r="M189" s="11" t="s">
        <v>87</v>
      </c>
      <c r="N189" s="11" t="s">
        <v>793</v>
      </c>
      <c r="O189" s="11" t="s">
        <v>794</v>
      </c>
      <c r="P189" s="11" t="s">
        <v>753</v>
      </c>
      <c r="Q189" s="11" t="s">
        <v>135</v>
      </c>
      <c r="R189">
        <v>9705</v>
      </c>
      <c r="U189" s="11" t="s">
        <v>136</v>
      </c>
      <c r="V189" s="11" t="s">
        <v>137</v>
      </c>
      <c r="W189" s="13">
        <v>46302.314618055556</v>
      </c>
    </row>
    <row r="190" spans="1:23">
      <c r="A190">
        <v>257754</v>
      </c>
      <c r="B190">
        <v>9908</v>
      </c>
      <c r="C190" s="11" t="s">
        <v>129</v>
      </c>
      <c r="D190" s="11" t="s">
        <v>130</v>
      </c>
      <c r="E190" s="11" t="s">
        <v>25</v>
      </c>
      <c r="F190" s="12">
        <v>46133</v>
      </c>
      <c r="G190" s="11" t="s">
        <v>226</v>
      </c>
      <c r="H190">
        <v>1</v>
      </c>
      <c r="I190" s="11" t="s">
        <v>795</v>
      </c>
      <c r="M190" s="11" t="s">
        <v>87</v>
      </c>
      <c r="N190" s="11" t="s">
        <v>796</v>
      </c>
      <c r="O190" s="11" t="s">
        <v>797</v>
      </c>
      <c r="P190" s="11" t="s">
        <v>795</v>
      </c>
      <c r="Q190" s="11" t="s">
        <v>135</v>
      </c>
      <c r="U190" s="11" t="s">
        <v>231</v>
      </c>
      <c r="V190" s="11" t="s">
        <v>137</v>
      </c>
      <c r="W190" s="13">
        <v>46302.314618055556</v>
      </c>
    </row>
    <row r="191" spans="1:23">
      <c r="A191">
        <v>257755</v>
      </c>
      <c r="B191">
        <v>9909</v>
      </c>
      <c r="C191" s="11" t="s">
        <v>129</v>
      </c>
      <c r="D191" s="11" t="s">
        <v>130</v>
      </c>
      <c r="E191" s="11" t="s">
        <v>25</v>
      </c>
      <c r="F191" s="12">
        <v>46133</v>
      </c>
      <c r="G191" s="11" t="s">
        <v>308</v>
      </c>
      <c r="H191">
        <v>1</v>
      </c>
      <c r="I191" s="11" t="s">
        <v>798</v>
      </c>
      <c r="M191" s="11" t="s">
        <v>90</v>
      </c>
      <c r="N191" s="11" t="s">
        <v>799</v>
      </c>
      <c r="O191" s="11" t="s">
        <v>800</v>
      </c>
      <c r="P191" s="11" t="s">
        <v>798</v>
      </c>
      <c r="Q191" s="11" t="s">
        <v>135</v>
      </c>
      <c r="U191" s="11" t="s">
        <v>311</v>
      </c>
      <c r="V191" s="11" t="s">
        <v>137</v>
      </c>
      <c r="W191" s="13">
        <v>46302.314618055556</v>
      </c>
    </row>
    <row r="192" spans="1:23">
      <c r="A192">
        <v>257756</v>
      </c>
      <c r="B192">
        <v>9910</v>
      </c>
      <c r="C192" s="11" t="s">
        <v>129</v>
      </c>
      <c r="D192" s="11" t="s">
        <v>130</v>
      </c>
      <c r="E192" s="11" t="s">
        <v>25</v>
      </c>
      <c r="F192" s="12">
        <v>46133</v>
      </c>
      <c r="G192" s="11" t="s">
        <v>232</v>
      </c>
      <c r="H192">
        <v>1</v>
      </c>
      <c r="I192" s="11" t="s">
        <v>801</v>
      </c>
      <c r="M192" s="11" t="s">
        <v>89</v>
      </c>
      <c r="N192" s="11" t="s">
        <v>802</v>
      </c>
      <c r="O192" s="11" t="s">
        <v>803</v>
      </c>
      <c r="P192" s="11" t="s">
        <v>801</v>
      </c>
      <c r="Q192" s="11" t="s">
        <v>135</v>
      </c>
      <c r="U192" s="11" t="s">
        <v>236</v>
      </c>
      <c r="V192" s="11" t="s">
        <v>137</v>
      </c>
      <c r="W192" s="13">
        <v>46302.314618055556</v>
      </c>
    </row>
    <row r="193" spans="1:23">
      <c r="A193">
        <v>257757</v>
      </c>
      <c r="B193">
        <v>9911</v>
      </c>
      <c r="C193" s="11" t="s">
        <v>129</v>
      </c>
      <c r="D193" s="11" t="s">
        <v>130</v>
      </c>
      <c r="E193" s="11" t="s">
        <v>25</v>
      </c>
      <c r="F193" s="12">
        <v>46133</v>
      </c>
      <c r="G193" s="11" t="s">
        <v>804</v>
      </c>
      <c r="H193">
        <v>1</v>
      </c>
      <c r="I193" s="11" t="s">
        <v>805</v>
      </c>
      <c r="M193" s="11" t="s">
        <v>76</v>
      </c>
      <c r="N193" s="11" t="s">
        <v>806</v>
      </c>
      <c r="O193" s="11" t="s">
        <v>807</v>
      </c>
      <c r="P193" s="11" t="s">
        <v>805</v>
      </c>
      <c r="Q193" s="11" t="s">
        <v>135</v>
      </c>
      <c r="U193" s="11" t="s">
        <v>808</v>
      </c>
      <c r="V193" s="11" t="s">
        <v>137</v>
      </c>
      <c r="W193" s="13">
        <v>46302.314618055556</v>
      </c>
    </row>
    <row r="194" spans="1:23">
      <c r="A194">
        <v>257758</v>
      </c>
      <c r="B194">
        <v>9912</v>
      </c>
      <c r="C194" s="11" t="s">
        <v>129</v>
      </c>
      <c r="D194" s="11" t="s">
        <v>130</v>
      </c>
      <c r="E194" s="11" t="s">
        <v>25</v>
      </c>
      <c r="F194" s="12">
        <v>46133</v>
      </c>
      <c r="G194" s="11" t="s">
        <v>226</v>
      </c>
      <c r="H194">
        <v>1</v>
      </c>
      <c r="I194" s="11" t="s">
        <v>809</v>
      </c>
      <c r="M194" s="11" t="s">
        <v>87</v>
      </c>
      <c r="N194" s="11" t="s">
        <v>810</v>
      </c>
      <c r="O194" s="11" t="s">
        <v>811</v>
      </c>
      <c r="P194" s="11" t="s">
        <v>809</v>
      </c>
      <c r="Q194" s="11" t="s">
        <v>135</v>
      </c>
      <c r="U194" s="11" t="s">
        <v>231</v>
      </c>
      <c r="V194" s="11" t="s">
        <v>137</v>
      </c>
      <c r="W194" s="13">
        <v>46302.314618055556</v>
      </c>
    </row>
    <row r="195" spans="1:23">
      <c r="A195">
        <v>257759</v>
      </c>
      <c r="B195">
        <v>9913</v>
      </c>
      <c r="C195" s="11" t="s">
        <v>129</v>
      </c>
      <c r="D195" s="11" t="s">
        <v>130</v>
      </c>
      <c r="E195" s="11" t="s">
        <v>25</v>
      </c>
      <c r="F195" s="12">
        <v>46133</v>
      </c>
      <c r="G195" s="11" t="s">
        <v>804</v>
      </c>
      <c r="H195">
        <v>1</v>
      </c>
      <c r="I195" s="11" t="s">
        <v>812</v>
      </c>
      <c r="M195" s="11" t="s">
        <v>76</v>
      </c>
      <c r="N195" s="11" t="s">
        <v>813</v>
      </c>
      <c r="O195" s="11" t="s">
        <v>814</v>
      </c>
      <c r="P195" s="11" t="s">
        <v>812</v>
      </c>
      <c r="Q195" s="11" t="s">
        <v>135</v>
      </c>
      <c r="U195" s="11" t="s">
        <v>808</v>
      </c>
      <c r="V195" s="11" t="s">
        <v>137</v>
      </c>
      <c r="W195" s="13">
        <v>46302.314618055556</v>
      </c>
    </row>
    <row r="196" spans="1:23">
      <c r="A196">
        <v>257760</v>
      </c>
      <c r="B196">
        <v>9914</v>
      </c>
      <c r="C196" s="11" t="s">
        <v>129</v>
      </c>
      <c r="D196" s="11" t="s">
        <v>130</v>
      </c>
      <c r="E196" s="11" t="s">
        <v>25</v>
      </c>
      <c r="F196" s="12">
        <v>46133</v>
      </c>
      <c r="G196" s="11" t="s">
        <v>804</v>
      </c>
      <c r="H196">
        <v>1</v>
      </c>
      <c r="I196" s="11" t="s">
        <v>815</v>
      </c>
      <c r="M196" s="11" t="s">
        <v>76</v>
      </c>
      <c r="N196" s="11" t="s">
        <v>816</v>
      </c>
      <c r="O196" s="11" t="s">
        <v>817</v>
      </c>
      <c r="P196" s="11" t="s">
        <v>815</v>
      </c>
      <c r="Q196" s="11" t="s">
        <v>135</v>
      </c>
      <c r="U196" s="11" t="s">
        <v>808</v>
      </c>
      <c r="V196" s="11" t="s">
        <v>137</v>
      </c>
      <c r="W196" s="13">
        <v>46302.314618055556</v>
      </c>
    </row>
    <row r="197" spans="1:23">
      <c r="A197">
        <v>257761</v>
      </c>
      <c r="B197">
        <v>9915</v>
      </c>
      <c r="C197" s="11" t="s">
        <v>129</v>
      </c>
      <c r="D197" s="11" t="s">
        <v>130</v>
      </c>
      <c r="E197" s="11" t="s">
        <v>25</v>
      </c>
      <c r="F197" s="12">
        <v>46133</v>
      </c>
      <c r="G197" s="11" t="s">
        <v>818</v>
      </c>
      <c r="H197">
        <v>1</v>
      </c>
      <c r="I197" s="11" t="s">
        <v>819</v>
      </c>
      <c r="M197" s="11" t="s">
        <v>75</v>
      </c>
      <c r="N197" s="11" t="s">
        <v>820</v>
      </c>
      <c r="O197" s="11" t="s">
        <v>821</v>
      </c>
      <c r="P197" s="11" t="s">
        <v>819</v>
      </c>
      <c r="Q197" s="11" t="s">
        <v>135</v>
      </c>
      <c r="U197" s="11" t="s">
        <v>822</v>
      </c>
      <c r="V197" s="11" t="s">
        <v>137</v>
      </c>
      <c r="W197" s="13">
        <v>46302.314618055556</v>
      </c>
    </row>
    <row r="198" spans="1:23">
      <c r="A198">
        <v>257762</v>
      </c>
      <c r="B198">
        <v>9916</v>
      </c>
      <c r="C198" s="11" t="s">
        <v>129</v>
      </c>
      <c r="D198" s="11" t="s">
        <v>130</v>
      </c>
      <c r="E198" s="11" t="s">
        <v>25</v>
      </c>
      <c r="F198" s="12">
        <v>46133</v>
      </c>
      <c r="G198" s="11" t="s">
        <v>823</v>
      </c>
      <c r="H198">
        <v>1</v>
      </c>
      <c r="I198" s="11" t="s">
        <v>824</v>
      </c>
      <c r="M198" s="11" t="s">
        <v>92</v>
      </c>
      <c r="N198" s="11" t="s">
        <v>825</v>
      </c>
      <c r="O198" s="11" t="s">
        <v>826</v>
      </c>
      <c r="P198" s="11" t="s">
        <v>824</v>
      </c>
      <c r="Q198" s="11" t="s">
        <v>135</v>
      </c>
      <c r="U198" s="11" t="s">
        <v>827</v>
      </c>
      <c r="V198" s="11" t="s">
        <v>137</v>
      </c>
      <c r="W198" s="13">
        <v>46302.314618055556</v>
      </c>
    </row>
    <row r="199" spans="1:23">
      <c r="A199">
        <v>257763</v>
      </c>
      <c r="B199">
        <v>9917</v>
      </c>
      <c r="C199" s="11" t="s">
        <v>129</v>
      </c>
      <c r="D199" s="11" t="s">
        <v>130</v>
      </c>
      <c r="E199" s="11" t="s">
        <v>25</v>
      </c>
      <c r="F199" s="12">
        <v>46133</v>
      </c>
      <c r="G199" s="11" t="s">
        <v>828</v>
      </c>
      <c r="H199">
        <v>1</v>
      </c>
      <c r="I199" s="11" t="s">
        <v>829</v>
      </c>
      <c r="M199" s="11" t="s">
        <v>70</v>
      </c>
      <c r="N199" s="11" t="s">
        <v>830</v>
      </c>
      <c r="O199" s="11" t="s">
        <v>831</v>
      </c>
      <c r="P199" s="11" t="s">
        <v>829</v>
      </c>
      <c r="Q199" s="11" t="s">
        <v>135</v>
      </c>
      <c r="U199" s="11" t="s">
        <v>832</v>
      </c>
      <c r="V199" s="11" t="s">
        <v>137</v>
      </c>
      <c r="W199" s="13">
        <v>46302.314618055556</v>
      </c>
    </row>
    <row r="200" spans="1:23">
      <c r="A200">
        <v>257764</v>
      </c>
      <c r="B200">
        <v>9918</v>
      </c>
      <c r="C200" s="11" t="s">
        <v>129</v>
      </c>
      <c r="D200" s="11" t="s">
        <v>130</v>
      </c>
      <c r="E200" s="11" t="s">
        <v>25</v>
      </c>
      <c r="F200" s="12">
        <v>46133</v>
      </c>
      <c r="G200" s="11" t="s">
        <v>823</v>
      </c>
      <c r="H200">
        <v>1</v>
      </c>
      <c r="I200" s="11" t="s">
        <v>833</v>
      </c>
      <c r="M200" s="11" t="s">
        <v>92</v>
      </c>
      <c r="N200" s="11" t="s">
        <v>834</v>
      </c>
      <c r="O200" s="11" t="s">
        <v>835</v>
      </c>
      <c r="P200" s="11" t="s">
        <v>833</v>
      </c>
      <c r="Q200" s="11" t="s">
        <v>135</v>
      </c>
      <c r="U200" s="11" t="s">
        <v>827</v>
      </c>
      <c r="V200" s="11" t="s">
        <v>137</v>
      </c>
      <c r="W200" s="13">
        <v>46302.314618055556</v>
      </c>
    </row>
    <row r="201" spans="1:23">
      <c r="A201">
        <v>257765</v>
      </c>
      <c r="B201">
        <v>9919</v>
      </c>
      <c r="C201" s="11" t="s">
        <v>129</v>
      </c>
      <c r="D201" s="11" t="s">
        <v>130</v>
      </c>
      <c r="E201" s="11" t="s">
        <v>25</v>
      </c>
      <c r="F201" s="12">
        <v>46133</v>
      </c>
      <c r="G201" s="11" t="s">
        <v>274</v>
      </c>
      <c r="H201">
        <v>1</v>
      </c>
      <c r="I201" s="11" t="s">
        <v>836</v>
      </c>
      <c r="M201" s="11" t="s">
        <v>77</v>
      </c>
      <c r="N201" s="11" t="s">
        <v>837</v>
      </c>
      <c r="O201" s="11" t="s">
        <v>838</v>
      </c>
      <c r="P201" s="11" t="s">
        <v>836</v>
      </c>
      <c r="Q201" s="11" t="s">
        <v>135</v>
      </c>
      <c r="U201" s="11" t="s">
        <v>278</v>
      </c>
      <c r="V201" s="11" t="s">
        <v>137</v>
      </c>
      <c r="W201" s="13">
        <v>46302.314618055556</v>
      </c>
    </row>
    <row r="202" spans="1:23">
      <c r="A202">
        <v>257766</v>
      </c>
      <c r="B202">
        <v>9920</v>
      </c>
      <c r="C202" s="11" t="s">
        <v>129</v>
      </c>
      <c r="D202" s="11" t="s">
        <v>130</v>
      </c>
      <c r="E202" s="11" t="s">
        <v>25</v>
      </c>
      <c r="F202" s="12">
        <v>46133</v>
      </c>
      <c r="G202" s="11" t="s">
        <v>284</v>
      </c>
      <c r="H202">
        <v>1</v>
      </c>
      <c r="I202" s="11" t="s">
        <v>839</v>
      </c>
      <c r="M202" s="11" t="s">
        <v>80</v>
      </c>
      <c r="N202" s="11" t="s">
        <v>840</v>
      </c>
      <c r="O202" s="11" t="s">
        <v>841</v>
      </c>
      <c r="P202" s="11" t="s">
        <v>839</v>
      </c>
      <c r="Q202" s="11" t="s">
        <v>135</v>
      </c>
      <c r="U202" s="11" t="s">
        <v>288</v>
      </c>
      <c r="V202" s="11" t="s">
        <v>137</v>
      </c>
      <c r="W202" s="13">
        <v>46302.314618055556</v>
      </c>
    </row>
    <row r="203" spans="1:23">
      <c r="A203">
        <v>257767</v>
      </c>
      <c r="B203">
        <v>9921</v>
      </c>
      <c r="C203" s="11" t="s">
        <v>129</v>
      </c>
      <c r="D203" s="11" t="s">
        <v>130</v>
      </c>
      <c r="E203" s="11" t="s">
        <v>25</v>
      </c>
      <c r="F203" s="12">
        <v>46133</v>
      </c>
      <c r="G203" s="11" t="s">
        <v>842</v>
      </c>
      <c r="H203">
        <v>1</v>
      </c>
      <c r="I203" s="11" t="s">
        <v>843</v>
      </c>
      <c r="M203" s="11" t="s">
        <v>71</v>
      </c>
      <c r="N203" s="11" t="s">
        <v>844</v>
      </c>
      <c r="O203" s="11" t="s">
        <v>845</v>
      </c>
      <c r="P203" s="11" t="s">
        <v>843</v>
      </c>
      <c r="Q203" s="11" t="s">
        <v>135</v>
      </c>
      <c r="U203" s="11" t="s">
        <v>846</v>
      </c>
      <c r="V203" s="11" t="s">
        <v>137</v>
      </c>
      <c r="W203" s="13">
        <v>46302.314618055556</v>
      </c>
    </row>
    <row r="204" spans="1:23">
      <c r="A204">
        <v>257768</v>
      </c>
      <c r="B204">
        <v>9922</v>
      </c>
      <c r="C204" s="11" t="s">
        <v>129</v>
      </c>
      <c r="D204" s="11" t="s">
        <v>130</v>
      </c>
      <c r="E204" s="11" t="s">
        <v>25</v>
      </c>
      <c r="F204" s="12">
        <v>46133</v>
      </c>
      <c r="G204" s="11" t="s">
        <v>842</v>
      </c>
      <c r="H204">
        <v>1</v>
      </c>
      <c r="I204" s="11" t="s">
        <v>847</v>
      </c>
      <c r="M204" s="11" t="s">
        <v>71</v>
      </c>
      <c r="N204" s="11" t="s">
        <v>848</v>
      </c>
      <c r="O204" s="11" t="s">
        <v>849</v>
      </c>
      <c r="P204" s="11" t="s">
        <v>847</v>
      </c>
      <c r="Q204" s="11" t="s">
        <v>135</v>
      </c>
      <c r="U204" s="11" t="s">
        <v>846</v>
      </c>
      <c r="V204" s="11" t="s">
        <v>137</v>
      </c>
      <c r="W204" s="13">
        <v>46302.314618055556</v>
      </c>
    </row>
    <row r="205" spans="1:23">
      <c r="A205">
        <v>257769</v>
      </c>
      <c r="B205">
        <v>9923</v>
      </c>
      <c r="C205" s="11" t="s">
        <v>129</v>
      </c>
      <c r="D205" s="11" t="s">
        <v>130</v>
      </c>
      <c r="E205" s="11" t="s">
        <v>25</v>
      </c>
      <c r="F205" s="12">
        <v>46133</v>
      </c>
      <c r="G205" s="11" t="s">
        <v>823</v>
      </c>
      <c r="H205">
        <v>1</v>
      </c>
      <c r="I205" s="11" t="s">
        <v>850</v>
      </c>
      <c r="M205" s="11" t="s">
        <v>92</v>
      </c>
      <c r="N205" s="11" t="s">
        <v>851</v>
      </c>
      <c r="O205" s="11" t="s">
        <v>852</v>
      </c>
      <c r="P205" s="11" t="s">
        <v>850</v>
      </c>
      <c r="Q205" s="11" t="s">
        <v>135</v>
      </c>
      <c r="U205" s="11" t="s">
        <v>827</v>
      </c>
      <c r="V205" s="11" t="s">
        <v>137</v>
      </c>
      <c r="W205" s="13">
        <v>46302.314618055556</v>
      </c>
    </row>
    <row r="206" spans="1:23">
      <c r="A206">
        <v>257770</v>
      </c>
      <c r="B206">
        <v>9924</v>
      </c>
      <c r="C206" s="11" t="s">
        <v>129</v>
      </c>
      <c r="D206" s="11" t="s">
        <v>130</v>
      </c>
      <c r="E206" s="11" t="s">
        <v>25</v>
      </c>
      <c r="F206" s="12">
        <v>46133</v>
      </c>
      <c r="G206" s="11" t="s">
        <v>312</v>
      </c>
      <c r="H206">
        <v>1</v>
      </c>
      <c r="I206" s="11" t="s">
        <v>853</v>
      </c>
      <c r="M206" s="11" t="s">
        <v>86</v>
      </c>
      <c r="N206" s="11" t="s">
        <v>854</v>
      </c>
      <c r="O206" s="11" t="s">
        <v>855</v>
      </c>
      <c r="P206" s="11" t="s">
        <v>853</v>
      </c>
      <c r="Q206" s="11" t="s">
        <v>135</v>
      </c>
      <c r="U206" s="11" t="s">
        <v>315</v>
      </c>
      <c r="V206" s="11" t="s">
        <v>137</v>
      </c>
      <c r="W206" s="13">
        <v>46302.314618055556</v>
      </c>
    </row>
    <row r="207" spans="1:23">
      <c r="A207">
        <v>258143</v>
      </c>
      <c r="B207">
        <v>1236</v>
      </c>
      <c r="C207" s="11" t="s">
        <v>129</v>
      </c>
      <c r="D207" s="11" t="s">
        <v>130</v>
      </c>
      <c r="E207" s="11" t="s">
        <v>25</v>
      </c>
      <c r="F207" s="12">
        <v>46134</v>
      </c>
      <c r="G207" s="11" t="s">
        <v>131</v>
      </c>
      <c r="H207">
        <v>1</v>
      </c>
      <c r="I207" s="11" t="s">
        <v>856</v>
      </c>
      <c r="M207" s="11" t="s">
        <v>87</v>
      </c>
      <c r="N207" s="11" t="s">
        <v>857</v>
      </c>
      <c r="O207" s="11" t="s">
        <v>858</v>
      </c>
      <c r="P207" s="11" t="s">
        <v>856</v>
      </c>
      <c r="Q207" s="11" t="s">
        <v>135</v>
      </c>
      <c r="U207" s="11" t="s">
        <v>136</v>
      </c>
      <c r="V207" s="11" t="s">
        <v>137</v>
      </c>
      <c r="W207" s="13">
        <v>46302.314618055556</v>
      </c>
    </row>
    <row r="208" spans="1:23">
      <c r="A208">
        <v>258144</v>
      </c>
      <c r="B208">
        <v>1237</v>
      </c>
      <c r="C208" s="11" t="s">
        <v>129</v>
      </c>
      <c r="D208" s="11" t="s">
        <v>130</v>
      </c>
      <c r="E208" s="11" t="s">
        <v>25</v>
      </c>
      <c r="F208" s="12">
        <v>46134</v>
      </c>
      <c r="G208" s="11" t="s">
        <v>195</v>
      </c>
      <c r="H208">
        <v>5</v>
      </c>
      <c r="I208" s="11" t="s">
        <v>859</v>
      </c>
      <c r="M208" s="11" t="s">
        <v>68</v>
      </c>
      <c r="N208" s="11" t="s">
        <v>860</v>
      </c>
      <c r="O208" s="11" t="s">
        <v>861</v>
      </c>
      <c r="P208" s="11" t="s">
        <v>862</v>
      </c>
      <c r="Q208" s="11" t="s">
        <v>863</v>
      </c>
      <c r="U208" s="11" t="s">
        <v>199</v>
      </c>
      <c r="V208" s="11" t="s">
        <v>137</v>
      </c>
      <c r="W208" s="13">
        <v>46302.314618055556</v>
      </c>
    </row>
    <row r="209" spans="1:23">
      <c r="A209">
        <v>258145</v>
      </c>
      <c r="B209">
        <v>1239</v>
      </c>
      <c r="C209" s="11" t="s">
        <v>129</v>
      </c>
      <c r="D209" s="11" t="s">
        <v>130</v>
      </c>
      <c r="E209" s="11" t="s">
        <v>25</v>
      </c>
      <c r="F209" s="12">
        <v>46134</v>
      </c>
      <c r="G209" s="11" t="s">
        <v>131</v>
      </c>
      <c r="H209">
        <v>1</v>
      </c>
      <c r="I209" s="11" t="s">
        <v>864</v>
      </c>
      <c r="M209" s="11" t="s">
        <v>87</v>
      </c>
      <c r="N209" s="11" t="s">
        <v>865</v>
      </c>
      <c r="O209" s="11" t="s">
        <v>866</v>
      </c>
      <c r="P209" s="11" t="s">
        <v>864</v>
      </c>
      <c r="Q209" s="11" t="s">
        <v>135</v>
      </c>
      <c r="U209" s="11" t="s">
        <v>136</v>
      </c>
      <c r="V209" s="11" t="s">
        <v>137</v>
      </c>
      <c r="W209" s="13">
        <v>46302.314618055556</v>
      </c>
    </row>
    <row r="210" spans="1:23">
      <c r="A210">
        <v>258146</v>
      </c>
      <c r="B210">
        <v>1240</v>
      </c>
      <c r="C210" s="11" t="s">
        <v>129</v>
      </c>
      <c r="D210" s="11" t="s">
        <v>130</v>
      </c>
      <c r="E210" s="11" t="s">
        <v>25</v>
      </c>
      <c r="F210" s="12">
        <v>46134</v>
      </c>
      <c r="G210" s="11" t="s">
        <v>164</v>
      </c>
      <c r="H210">
        <v>5</v>
      </c>
      <c r="I210" s="11" t="s">
        <v>867</v>
      </c>
      <c r="M210" s="11" t="s">
        <v>62</v>
      </c>
      <c r="N210" s="11" t="s">
        <v>868</v>
      </c>
      <c r="O210" s="11" t="s">
        <v>869</v>
      </c>
      <c r="P210" s="11" t="s">
        <v>870</v>
      </c>
      <c r="Q210" s="11" t="s">
        <v>135</v>
      </c>
      <c r="U210" s="11" t="s">
        <v>168</v>
      </c>
      <c r="V210" s="11" t="s">
        <v>137</v>
      </c>
      <c r="W210" s="13">
        <v>46302.314618055556</v>
      </c>
    </row>
    <row r="211" spans="1:23">
      <c r="A211">
        <v>258147</v>
      </c>
      <c r="B211">
        <v>1241</v>
      </c>
      <c r="C211" s="11" t="s">
        <v>129</v>
      </c>
      <c r="D211" s="11" t="s">
        <v>130</v>
      </c>
      <c r="E211" s="11" t="s">
        <v>25</v>
      </c>
      <c r="F211" s="12">
        <v>46134</v>
      </c>
      <c r="G211" s="11" t="s">
        <v>512</v>
      </c>
      <c r="H211">
        <v>1</v>
      </c>
      <c r="I211" s="11" t="s">
        <v>871</v>
      </c>
      <c r="M211" s="11" t="s">
        <v>44</v>
      </c>
      <c r="N211" s="11" t="s">
        <v>872</v>
      </c>
      <c r="O211" s="11" t="s">
        <v>873</v>
      </c>
      <c r="P211" s="11" t="s">
        <v>871</v>
      </c>
      <c r="Q211" s="11" t="s">
        <v>135</v>
      </c>
      <c r="U211" s="11" t="s">
        <v>516</v>
      </c>
      <c r="V211" s="11" t="s">
        <v>137</v>
      </c>
      <c r="W211" s="13">
        <v>46302.314618055556</v>
      </c>
    </row>
    <row r="212" spans="1:23">
      <c r="A212">
        <v>258148</v>
      </c>
      <c r="B212">
        <v>1242</v>
      </c>
      <c r="C212" s="11" t="s">
        <v>129</v>
      </c>
      <c r="D212" s="11" t="s">
        <v>130</v>
      </c>
      <c r="E212" s="11" t="s">
        <v>25</v>
      </c>
      <c r="F212" s="12">
        <v>46134</v>
      </c>
      <c r="G212" s="11" t="s">
        <v>164</v>
      </c>
      <c r="H212">
        <v>2</v>
      </c>
      <c r="I212" s="11" t="s">
        <v>874</v>
      </c>
      <c r="M212" s="11" t="s">
        <v>62</v>
      </c>
      <c r="N212" s="11" t="s">
        <v>875</v>
      </c>
      <c r="O212" s="11" t="s">
        <v>876</v>
      </c>
      <c r="P212" s="11" t="s">
        <v>877</v>
      </c>
      <c r="Q212" s="11" t="s">
        <v>135</v>
      </c>
      <c r="U212" s="11" t="s">
        <v>168</v>
      </c>
      <c r="V212" s="11" t="s">
        <v>137</v>
      </c>
      <c r="W212" s="13">
        <v>46302.314618055556</v>
      </c>
    </row>
    <row r="213" spans="1:23">
      <c r="A213">
        <v>258149</v>
      </c>
      <c r="B213">
        <v>1243</v>
      </c>
      <c r="C213" s="11" t="s">
        <v>129</v>
      </c>
      <c r="D213" s="11" t="s">
        <v>130</v>
      </c>
      <c r="E213" s="11" t="s">
        <v>25</v>
      </c>
      <c r="F213" s="12">
        <v>46134</v>
      </c>
      <c r="G213" s="11" t="s">
        <v>174</v>
      </c>
      <c r="H213">
        <v>1</v>
      </c>
      <c r="I213" s="11" t="s">
        <v>878</v>
      </c>
      <c r="M213" s="11" t="s">
        <v>92</v>
      </c>
      <c r="N213" s="11" t="s">
        <v>879</v>
      </c>
      <c r="O213" s="11" t="s">
        <v>880</v>
      </c>
      <c r="P213" s="11" t="s">
        <v>878</v>
      </c>
      <c r="Q213" s="11" t="s">
        <v>135</v>
      </c>
      <c r="U213" s="11" t="s">
        <v>178</v>
      </c>
      <c r="V213" s="11" t="s">
        <v>137</v>
      </c>
      <c r="W213" s="13">
        <v>46302.314618055556</v>
      </c>
    </row>
    <row r="214" spans="1:23">
      <c r="A214">
        <v>258150</v>
      </c>
      <c r="B214">
        <v>1244</v>
      </c>
      <c r="C214" s="11" t="s">
        <v>129</v>
      </c>
      <c r="D214" s="11" t="s">
        <v>130</v>
      </c>
      <c r="E214" s="11" t="s">
        <v>25</v>
      </c>
      <c r="F214" s="12">
        <v>46134</v>
      </c>
      <c r="G214" s="11" t="s">
        <v>131</v>
      </c>
      <c r="H214">
        <v>1</v>
      </c>
      <c r="I214" s="11" t="s">
        <v>881</v>
      </c>
      <c r="M214" s="11" t="s">
        <v>87</v>
      </c>
      <c r="N214" s="11" t="s">
        <v>882</v>
      </c>
      <c r="O214" s="11" t="s">
        <v>883</v>
      </c>
      <c r="P214" s="11" t="s">
        <v>881</v>
      </c>
      <c r="Q214" s="11" t="s">
        <v>135</v>
      </c>
      <c r="U214" s="11" t="s">
        <v>136</v>
      </c>
      <c r="V214" s="11" t="s">
        <v>137</v>
      </c>
      <c r="W214" s="13">
        <v>46302.314618055556</v>
      </c>
    </row>
    <row r="215" spans="1:23">
      <c r="A215">
        <v>258151</v>
      </c>
      <c r="B215">
        <v>1245</v>
      </c>
      <c r="C215" s="11" t="s">
        <v>129</v>
      </c>
      <c r="D215" s="11" t="s">
        <v>130</v>
      </c>
      <c r="E215" s="11" t="s">
        <v>25</v>
      </c>
      <c r="F215" s="12">
        <v>46134</v>
      </c>
      <c r="G215" s="11" t="s">
        <v>174</v>
      </c>
      <c r="H215">
        <v>1</v>
      </c>
      <c r="I215" s="11" t="s">
        <v>884</v>
      </c>
      <c r="M215" s="11" t="s">
        <v>92</v>
      </c>
      <c r="N215" s="11" t="s">
        <v>885</v>
      </c>
      <c r="O215" s="11" t="s">
        <v>886</v>
      </c>
      <c r="P215" s="11" t="s">
        <v>884</v>
      </c>
      <c r="Q215" s="11" t="s">
        <v>135</v>
      </c>
      <c r="U215" s="11" t="s">
        <v>178</v>
      </c>
      <c r="V215" s="11" t="s">
        <v>137</v>
      </c>
      <c r="W215" s="13">
        <v>46302.314618055556</v>
      </c>
    </row>
    <row r="216" spans="1:23">
      <c r="A216">
        <v>258152</v>
      </c>
      <c r="B216">
        <v>1246</v>
      </c>
      <c r="C216" s="11" t="s">
        <v>129</v>
      </c>
      <c r="D216" s="11" t="s">
        <v>130</v>
      </c>
      <c r="E216" s="11" t="s">
        <v>25</v>
      </c>
      <c r="F216" s="12">
        <v>46134</v>
      </c>
      <c r="G216" s="11" t="s">
        <v>149</v>
      </c>
      <c r="H216">
        <v>1</v>
      </c>
      <c r="I216" s="11" t="s">
        <v>887</v>
      </c>
      <c r="M216" s="11" t="s">
        <v>77</v>
      </c>
      <c r="N216" s="11" t="s">
        <v>888</v>
      </c>
      <c r="O216" s="11" t="s">
        <v>889</v>
      </c>
      <c r="P216" s="11" t="s">
        <v>887</v>
      </c>
      <c r="Q216" s="11" t="s">
        <v>135</v>
      </c>
      <c r="U216" s="11" t="s">
        <v>153</v>
      </c>
      <c r="V216" s="11" t="s">
        <v>137</v>
      </c>
      <c r="W216" s="13">
        <v>46302.314618055556</v>
      </c>
    </row>
    <row r="217" spans="1:23">
      <c r="A217">
        <v>258153</v>
      </c>
      <c r="B217">
        <v>1247</v>
      </c>
      <c r="C217" s="11" t="s">
        <v>129</v>
      </c>
      <c r="D217" s="11" t="s">
        <v>130</v>
      </c>
      <c r="E217" s="11" t="s">
        <v>25</v>
      </c>
      <c r="F217" s="12">
        <v>46134</v>
      </c>
      <c r="G217" s="11" t="s">
        <v>154</v>
      </c>
      <c r="H217">
        <v>1</v>
      </c>
      <c r="I217" s="11" t="s">
        <v>890</v>
      </c>
      <c r="M217" s="11" t="s">
        <v>79</v>
      </c>
      <c r="N217" s="11" t="s">
        <v>891</v>
      </c>
      <c r="O217" s="11" t="s">
        <v>892</v>
      </c>
      <c r="P217" s="11" t="s">
        <v>890</v>
      </c>
      <c r="Q217" s="11" t="s">
        <v>135</v>
      </c>
      <c r="U217" s="11" t="s">
        <v>158</v>
      </c>
      <c r="V217" s="11" t="s">
        <v>137</v>
      </c>
      <c r="W217" s="13">
        <v>46302.314618055556</v>
      </c>
    </row>
    <row r="218" spans="1:23">
      <c r="A218">
        <v>258154</v>
      </c>
      <c r="B218">
        <v>1248</v>
      </c>
      <c r="C218" s="11" t="s">
        <v>129</v>
      </c>
      <c r="D218" s="11" t="s">
        <v>130</v>
      </c>
      <c r="E218" s="11" t="s">
        <v>25</v>
      </c>
      <c r="F218" s="12">
        <v>46134</v>
      </c>
      <c r="G218" s="11" t="s">
        <v>528</v>
      </c>
      <c r="H218">
        <v>1</v>
      </c>
      <c r="I218" s="11" t="s">
        <v>893</v>
      </c>
      <c r="M218" s="11" t="s">
        <v>82</v>
      </c>
      <c r="N218" s="11" t="s">
        <v>894</v>
      </c>
      <c r="O218" s="11" t="s">
        <v>895</v>
      </c>
      <c r="P218" s="11" t="s">
        <v>893</v>
      </c>
      <c r="Q218" s="11" t="s">
        <v>135</v>
      </c>
      <c r="U218" s="11" t="s">
        <v>532</v>
      </c>
      <c r="V218" s="11" t="s">
        <v>137</v>
      </c>
      <c r="W218" s="13">
        <v>46302.314618055556</v>
      </c>
    </row>
    <row r="219" spans="1:23">
      <c r="A219">
        <v>258155</v>
      </c>
      <c r="B219">
        <v>1249</v>
      </c>
      <c r="C219" s="11" t="s">
        <v>129</v>
      </c>
      <c r="D219" s="11" t="s">
        <v>130</v>
      </c>
      <c r="E219" s="11" t="s">
        <v>25</v>
      </c>
      <c r="F219" s="12">
        <v>46134</v>
      </c>
      <c r="G219" s="11" t="s">
        <v>512</v>
      </c>
      <c r="H219">
        <v>1</v>
      </c>
      <c r="I219" s="11" t="s">
        <v>896</v>
      </c>
      <c r="M219" s="11" t="s">
        <v>44</v>
      </c>
      <c r="N219" s="11" t="s">
        <v>897</v>
      </c>
      <c r="O219" s="11" t="s">
        <v>898</v>
      </c>
      <c r="P219" s="11" t="s">
        <v>896</v>
      </c>
      <c r="Q219" s="11" t="s">
        <v>135</v>
      </c>
      <c r="U219" s="11" t="s">
        <v>516</v>
      </c>
      <c r="V219" s="11" t="s">
        <v>137</v>
      </c>
      <c r="W219" s="13">
        <v>46302.314618055556</v>
      </c>
    </row>
    <row r="220" spans="1:23">
      <c r="A220">
        <v>258156</v>
      </c>
      <c r="B220">
        <v>1250</v>
      </c>
      <c r="C220" s="11" t="s">
        <v>129</v>
      </c>
      <c r="D220" s="11" t="s">
        <v>130</v>
      </c>
      <c r="E220" s="11" t="s">
        <v>25</v>
      </c>
      <c r="F220" s="12">
        <v>46134</v>
      </c>
      <c r="G220" s="11" t="s">
        <v>607</v>
      </c>
      <c r="H220">
        <v>1</v>
      </c>
      <c r="I220" s="11" t="s">
        <v>899</v>
      </c>
      <c r="M220" s="11" t="s">
        <v>42</v>
      </c>
      <c r="N220" s="11" t="s">
        <v>900</v>
      </c>
      <c r="O220" s="11" t="s">
        <v>901</v>
      </c>
      <c r="P220" s="11" t="s">
        <v>899</v>
      </c>
      <c r="Q220" s="11" t="s">
        <v>135</v>
      </c>
      <c r="U220" s="11" t="s">
        <v>611</v>
      </c>
      <c r="V220" s="11" t="s">
        <v>137</v>
      </c>
      <c r="W220" s="13">
        <v>46302.314618055556</v>
      </c>
    </row>
    <row r="221" spans="1:23">
      <c r="A221">
        <v>258157</v>
      </c>
      <c r="B221">
        <v>1251</v>
      </c>
      <c r="C221" s="11" t="s">
        <v>129</v>
      </c>
      <c r="D221" s="11" t="s">
        <v>130</v>
      </c>
      <c r="E221" s="11" t="s">
        <v>25</v>
      </c>
      <c r="F221" s="12">
        <v>46134</v>
      </c>
      <c r="G221" s="11" t="s">
        <v>190</v>
      </c>
      <c r="H221">
        <v>1</v>
      </c>
      <c r="I221" s="11" t="s">
        <v>902</v>
      </c>
      <c r="M221" s="11" t="s">
        <v>52</v>
      </c>
      <c r="N221" s="11" t="s">
        <v>903</v>
      </c>
      <c r="O221" s="11" t="s">
        <v>904</v>
      </c>
      <c r="P221" s="11" t="s">
        <v>902</v>
      </c>
      <c r="Q221" s="11" t="s">
        <v>135</v>
      </c>
      <c r="U221" s="11" t="s">
        <v>194</v>
      </c>
      <c r="V221" s="11" t="s">
        <v>137</v>
      </c>
      <c r="W221" s="13">
        <v>46302.314618055556</v>
      </c>
    </row>
    <row r="222" spans="1:23">
      <c r="A222">
        <v>258158</v>
      </c>
      <c r="B222">
        <v>1252</v>
      </c>
      <c r="C222" s="11" t="s">
        <v>129</v>
      </c>
      <c r="D222" s="11" t="s">
        <v>130</v>
      </c>
      <c r="E222" s="11" t="s">
        <v>25</v>
      </c>
      <c r="F222" s="12">
        <v>46134</v>
      </c>
      <c r="G222" s="11" t="s">
        <v>512</v>
      </c>
      <c r="H222">
        <v>1</v>
      </c>
      <c r="I222" s="11" t="s">
        <v>905</v>
      </c>
      <c r="M222" s="11" t="s">
        <v>44</v>
      </c>
      <c r="N222" s="11" t="s">
        <v>906</v>
      </c>
      <c r="O222" s="11" t="s">
        <v>907</v>
      </c>
      <c r="P222" s="11" t="s">
        <v>905</v>
      </c>
      <c r="Q222" s="11" t="s">
        <v>135</v>
      </c>
      <c r="U222" s="11" t="s">
        <v>516</v>
      </c>
      <c r="V222" s="11" t="s">
        <v>137</v>
      </c>
      <c r="W222" s="13">
        <v>46302.314618055556</v>
      </c>
    </row>
    <row r="223" spans="1:23">
      <c r="A223">
        <v>258159</v>
      </c>
      <c r="B223">
        <v>1253</v>
      </c>
      <c r="C223" s="11" t="s">
        <v>129</v>
      </c>
      <c r="D223" s="11" t="s">
        <v>130</v>
      </c>
      <c r="E223" s="11" t="s">
        <v>25</v>
      </c>
      <c r="F223" s="12">
        <v>46134</v>
      </c>
      <c r="G223" s="11" t="s">
        <v>174</v>
      </c>
      <c r="H223">
        <v>1</v>
      </c>
      <c r="I223" s="11" t="s">
        <v>474</v>
      </c>
      <c r="M223" s="11" t="s">
        <v>92</v>
      </c>
      <c r="N223" s="11" t="s">
        <v>908</v>
      </c>
      <c r="O223" s="11" t="s">
        <v>909</v>
      </c>
      <c r="P223" s="11" t="s">
        <v>474</v>
      </c>
      <c r="Q223" s="11" t="s">
        <v>135</v>
      </c>
      <c r="U223" s="11" t="s">
        <v>178</v>
      </c>
      <c r="V223" s="11" t="s">
        <v>137</v>
      </c>
      <c r="W223" s="13">
        <v>46302.314618055556</v>
      </c>
    </row>
    <row r="224" spans="1:23">
      <c r="A224">
        <v>258160</v>
      </c>
      <c r="B224">
        <v>1254</v>
      </c>
      <c r="C224" s="11" t="s">
        <v>129</v>
      </c>
      <c r="D224" s="11" t="s">
        <v>130</v>
      </c>
      <c r="E224" s="11" t="s">
        <v>25</v>
      </c>
      <c r="F224" s="12">
        <v>46134</v>
      </c>
      <c r="G224" s="11" t="s">
        <v>607</v>
      </c>
      <c r="H224">
        <v>1</v>
      </c>
      <c r="I224" s="11" t="s">
        <v>910</v>
      </c>
      <c r="M224" s="11" t="s">
        <v>42</v>
      </c>
      <c r="N224" s="11" t="s">
        <v>911</v>
      </c>
      <c r="O224" s="11" t="s">
        <v>912</v>
      </c>
      <c r="P224" s="11" t="s">
        <v>910</v>
      </c>
      <c r="Q224" s="11" t="s">
        <v>135</v>
      </c>
      <c r="U224" s="11" t="s">
        <v>611</v>
      </c>
      <c r="V224" s="11" t="s">
        <v>137</v>
      </c>
      <c r="W224" s="13">
        <v>46302.314618055556</v>
      </c>
    </row>
    <row r="225" spans="1:23">
      <c r="A225">
        <v>258161</v>
      </c>
      <c r="B225">
        <v>1255</v>
      </c>
      <c r="C225" s="11" t="s">
        <v>129</v>
      </c>
      <c r="D225" s="11" t="s">
        <v>130</v>
      </c>
      <c r="E225" s="11" t="s">
        <v>25</v>
      </c>
      <c r="F225" s="12">
        <v>46134</v>
      </c>
      <c r="G225" s="11" t="s">
        <v>217</v>
      </c>
      <c r="H225">
        <v>1</v>
      </c>
      <c r="I225" s="11" t="s">
        <v>913</v>
      </c>
      <c r="M225" s="11" t="s">
        <v>86</v>
      </c>
      <c r="N225" s="11" t="s">
        <v>914</v>
      </c>
      <c r="O225" s="11" t="s">
        <v>915</v>
      </c>
      <c r="P225" s="11" t="s">
        <v>913</v>
      </c>
      <c r="Q225" s="11" t="s">
        <v>135</v>
      </c>
      <c r="U225" s="11" t="s">
        <v>221</v>
      </c>
      <c r="V225" s="11" t="s">
        <v>137</v>
      </c>
      <c r="W225" s="13">
        <v>46302.314618055556</v>
      </c>
    </row>
    <row r="226" spans="1:23">
      <c r="A226">
        <v>258162</v>
      </c>
      <c r="B226">
        <v>1238</v>
      </c>
      <c r="C226" s="11" t="s">
        <v>129</v>
      </c>
      <c r="D226" s="11" t="s">
        <v>130</v>
      </c>
      <c r="E226" s="11" t="s">
        <v>25</v>
      </c>
      <c r="F226" s="12">
        <v>46134</v>
      </c>
      <c r="G226" s="11" t="s">
        <v>222</v>
      </c>
      <c r="H226">
        <v>1</v>
      </c>
      <c r="I226" s="11" t="s">
        <v>863</v>
      </c>
      <c r="M226" s="11" t="s">
        <v>90</v>
      </c>
      <c r="N226" s="11" t="s">
        <v>916</v>
      </c>
      <c r="O226" s="11" t="s">
        <v>917</v>
      </c>
      <c r="P226" s="11" t="s">
        <v>863</v>
      </c>
      <c r="Q226" s="11" t="s">
        <v>135</v>
      </c>
      <c r="R226">
        <v>1237</v>
      </c>
      <c r="U226" s="11" t="s">
        <v>225</v>
      </c>
      <c r="V226" s="11" t="s">
        <v>137</v>
      </c>
      <c r="W226" s="13">
        <v>46302.314618055556</v>
      </c>
    </row>
    <row r="227" spans="1:23">
      <c r="A227">
        <v>258919</v>
      </c>
      <c r="B227">
        <v>1276</v>
      </c>
      <c r="C227" s="11" t="s">
        <v>129</v>
      </c>
      <c r="D227" s="11" t="s">
        <v>130</v>
      </c>
      <c r="E227" s="11" t="s">
        <v>25</v>
      </c>
      <c r="F227" s="12">
        <v>46136</v>
      </c>
      <c r="G227" s="11" t="s">
        <v>316</v>
      </c>
      <c r="H227">
        <v>1</v>
      </c>
      <c r="I227" s="11" t="s">
        <v>918</v>
      </c>
      <c r="M227" s="11" t="s">
        <v>87</v>
      </c>
      <c r="N227" s="11" t="s">
        <v>919</v>
      </c>
      <c r="O227" s="11" t="s">
        <v>920</v>
      </c>
      <c r="P227" s="11" t="s">
        <v>918</v>
      </c>
      <c r="Q227" s="11" t="s">
        <v>135</v>
      </c>
      <c r="U227" s="11" t="s">
        <v>320</v>
      </c>
      <c r="V227" s="11" t="s">
        <v>137</v>
      </c>
      <c r="W227" s="13">
        <v>46302.314618055556</v>
      </c>
    </row>
    <row r="228" spans="1:23">
      <c r="A228">
        <v>258920</v>
      </c>
      <c r="B228">
        <v>1277</v>
      </c>
      <c r="C228" s="11" t="s">
        <v>129</v>
      </c>
      <c r="D228" s="11" t="s">
        <v>130</v>
      </c>
      <c r="E228" s="11" t="s">
        <v>25</v>
      </c>
      <c r="F228" s="12">
        <v>46136</v>
      </c>
      <c r="G228" s="11" t="s">
        <v>921</v>
      </c>
      <c r="H228">
        <v>1</v>
      </c>
      <c r="I228" s="11" t="s">
        <v>922</v>
      </c>
      <c r="M228" s="11" t="s">
        <v>95</v>
      </c>
      <c r="N228" s="11" t="s">
        <v>923</v>
      </c>
      <c r="O228" s="11" t="s">
        <v>924</v>
      </c>
      <c r="P228" s="11" t="s">
        <v>922</v>
      </c>
      <c r="Q228" s="11" t="s">
        <v>135</v>
      </c>
      <c r="U228" s="11" t="s">
        <v>925</v>
      </c>
      <c r="V228" s="11" t="s">
        <v>137</v>
      </c>
      <c r="W228" s="13">
        <v>46302.314618055556</v>
      </c>
    </row>
    <row r="229" spans="1:23">
      <c r="A229">
        <v>258921</v>
      </c>
      <c r="B229">
        <v>1278</v>
      </c>
      <c r="C229" s="11" t="s">
        <v>129</v>
      </c>
      <c r="D229" s="11" t="s">
        <v>130</v>
      </c>
      <c r="E229" s="11" t="s">
        <v>25</v>
      </c>
      <c r="F229" s="12">
        <v>46136</v>
      </c>
      <c r="G229" s="11" t="s">
        <v>316</v>
      </c>
      <c r="H229">
        <v>1</v>
      </c>
      <c r="I229" s="11" t="s">
        <v>926</v>
      </c>
      <c r="M229" s="11" t="s">
        <v>87</v>
      </c>
      <c r="N229" s="11" t="s">
        <v>927</v>
      </c>
      <c r="O229" s="11" t="s">
        <v>928</v>
      </c>
      <c r="P229" s="11" t="s">
        <v>926</v>
      </c>
      <c r="Q229" s="11" t="s">
        <v>929</v>
      </c>
      <c r="U229" s="11" t="s">
        <v>320</v>
      </c>
      <c r="V229" s="11" t="s">
        <v>137</v>
      </c>
      <c r="W229" s="13">
        <v>46302.314618055556</v>
      </c>
    </row>
    <row r="230" spans="1:23">
      <c r="A230">
        <v>258922</v>
      </c>
      <c r="B230">
        <v>1280</v>
      </c>
      <c r="C230" s="11" t="s">
        <v>129</v>
      </c>
      <c r="D230" s="11" t="s">
        <v>130</v>
      </c>
      <c r="E230" s="11" t="s">
        <v>25</v>
      </c>
      <c r="F230" s="12">
        <v>46136</v>
      </c>
      <c r="G230" s="11" t="s">
        <v>930</v>
      </c>
      <c r="H230">
        <v>1</v>
      </c>
      <c r="I230" s="11" t="s">
        <v>931</v>
      </c>
      <c r="M230" s="11" t="s">
        <v>50</v>
      </c>
      <c r="N230" s="11" t="s">
        <v>932</v>
      </c>
      <c r="O230" s="11" t="s">
        <v>933</v>
      </c>
      <c r="P230" s="11" t="s">
        <v>931</v>
      </c>
      <c r="Q230" s="11" t="s">
        <v>135</v>
      </c>
      <c r="U230" s="11" t="s">
        <v>934</v>
      </c>
      <c r="V230" s="11" t="s">
        <v>137</v>
      </c>
      <c r="W230" s="13">
        <v>46302.314618055556</v>
      </c>
    </row>
    <row r="231" spans="1:23">
      <c r="A231">
        <v>258923</v>
      </c>
      <c r="B231">
        <v>1281</v>
      </c>
      <c r="C231" s="11" t="s">
        <v>129</v>
      </c>
      <c r="D231" s="11" t="s">
        <v>130</v>
      </c>
      <c r="E231" s="11" t="s">
        <v>25</v>
      </c>
      <c r="F231" s="12">
        <v>46136</v>
      </c>
      <c r="G231" s="11" t="s">
        <v>321</v>
      </c>
      <c r="H231">
        <v>1</v>
      </c>
      <c r="I231" s="11" t="s">
        <v>935</v>
      </c>
      <c r="M231" s="11" t="s">
        <v>67</v>
      </c>
      <c r="N231" s="11" t="s">
        <v>861</v>
      </c>
      <c r="O231" s="11" t="s">
        <v>936</v>
      </c>
      <c r="P231" s="11" t="s">
        <v>935</v>
      </c>
      <c r="Q231" s="11" t="s">
        <v>135</v>
      </c>
      <c r="U231" s="11" t="s">
        <v>327</v>
      </c>
      <c r="V231" s="11" t="s">
        <v>137</v>
      </c>
      <c r="W231" s="13">
        <v>46302.314618055556</v>
      </c>
    </row>
    <row r="232" spans="1:23">
      <c r="A232">
        <v>258924</v>
      </c>
      <c r="B232">
        <v>1282</v>
      </c>
      <c r="C232" s="11" t="s">
        <v>129</v>
      </c>
      <c r="D232" s="11" t="s">
        <v>130</v>
      </c>
      <c r="E232" s="11" t="s">
        <v>25</v>
      </c>
      <c r="F232" s="12">
        <v>46136</v>
      </c>
      <c r="G232" s="11" t="s">
        <v>930</v>
      </c>
      <c r="H232">
        <v>1</v>
      </c>
      <c r="I232" s="11" t="s">
        <v>937</v>
      </c>
      <c r="M232" s="11" t="s">
        <v>50</v>
      </c>
      <c r="N232" s="11" t="s">
        <v>938</v>
      </c>
      <c r="O232" s="11" t="s">
        <v>939</v>
      </c>
      <c r="P232" s="11" t="s">
        <v>937</v>
      </c>
      <c r="Q232" s="11" t="s">
        <v>135</v>
      </c>
      <c r="U232" s="11" t="s">
        <v>934</v>
      </c>
      <c r="V232" s="11" t="s">
        <v>137</v>
      </c>
      <c r="W232" s="13">
        <v>46302.314618055556</v>
      </c>
    </row>
    <row r="233" spans="1:23">
      <c r="A233">
        <v>258925</v>
      </c>
      <c r="B233">
        <v>1283</v>
      </c>
      <c r="C233" s="11" t="s">
        <v>129</v>
      </c>
      <c r="D233" s="11" t="s">
        <v>130</v>
      </c>
      <c r="E233" s="11" t="s">
        <v>25</v>
      </c>
      <c r="F233" s="12">
        <v>46136</v>
      </c>
      <c r="G233" s="11" t="s">
        <v>321</v>
      </c>
      <c r="H233">
        <v>1</v>
      </c>
      <c r="I233" s="11" t="s">
        <v>940</v>
      </c>
      <c r="M233" s="11" t="s">
        <v>67</v>
      </c>
      <c r="N233" s="11" t="s">
        <v>941</v>
      </c>
      <c r="O233" s="11" t="s">
        <v>942</v>
      </c>
      <c r="P233" s="11" t="s">
        <v>940</v>
      </c>
      <c r="Q233" s="11" t="s">
        <v>135</v>
      </c>
      <c r="U233" s="11" t="s">
        <v>327</v>
      </c>
      <c r="V233" s="11" t="s">
        <v>137</v>
      </c>
      <c r="W233" s="13">
        <v>46302.314618055556</v>
      </c>
    </row>
    <row r="234" spans="1:23">
      <c r="A234">
        <v>258926</v>
      </c>
      <c r="B234">
        <v>1284</v>
      </c>
      <c r="C234" s="11" t="s">
        <v>129</v>
      </c>
      <c r="D234" s="11" t="s">
        <v>130</v>
      </c>
      <c r="E234" s="11" t="s">
        <v>25</v>
      </c>
      <c r="F234" s="12">
        <v>46136</v>
      </c>
      <c r="G234" s="11" t="s">
        <v>930</v>
      </c>
      <c r="H234">
        <v>1</v>
      </c>
      <c r="I234" s="11" t="s">
        <v>943</v>
      </c>
      <c r="M234" s="11" t="s">
        <v>50</v>
      </c>
      <c r="N234" s="11" t="s">
        <v>944</v>
      </c>
      <c r="O234" s="11" t="s">
        <v>945</v>
      </c>
      <c r="P234" s="11" t="s">
        <v>943</v>
      </c>
      <c r="Q234" s="11" t="s">
        <v>135</v>
      </c>
      <c r="U234" s="11" t="s">
        <v>934</v>
      </c>
      <c r="V234" s="11" t="s">
        <v>137</v>
      </c>
      <c r="W234" s="13">
        <v>46302.314618055556</v>
      </c>
    </row>
    <row r="235" spans="1:23">
      <c r="A235">
        <v>258927</v>
      </c>
      <c r="B235">
        <v>1285</v>
      </c>
      <c r="C235" s="11" t="s">
        <v>129</v>
      </c>
      <c r="D235" s="11" t="s">
        <v>130</v>
      </c>
      <c r="E235" s="11" t="s">
        <v>25</v>
      </c>
      <c r="F235" s="12">
        <v>46136</v>
      </c>
      <c r="G235" s="11" t="s">
        <v>344</v>
      </c>
      <c r="H235">
        <v>1</v>
      </c>
      <c r="I235" s="11" t="s">
        <v>833</v>
      </c>
      <c r="M235" s="11" t="s">
        <v>65</v>
      </c>
      <c r="N235" s="11" t="s">
        <v>946</v>
      </c>
      <c r="O235" s="11" t="s">
        <v>947</v>
      </c>
      <c r="P235" s="11" t="s">
        <v>833</v>
      </c>
      <c r="Q235" s="11" t="s">
        <v>135</v>
      </c>
      <c r="U235" s="11" t="s">
        <v>348</v>
      </c>
      <c r="V235" s="11" t="s">
        <v>137</v>
      </c>
      <c r="W235" s="13">
        <v>46302.314618055556</v>
      </c>
    </row>
    <row r="236" spans="1:23">
      <c r="A236">
        <v>258928</v>
      </c>
      <c r="B236">
        <v>1286</v>
      </c>
      <c r="C236" s="11" t="s">
        <v>129</v>
      </c>
      <c r="D236" s="11" t="s">
        <v>130</v>
      </c>
      <c r="E236" s="11" t="s">
        <v>25</v>
      </c>
      <c r="F236" s="12">
        <v>46136</v>
      </c>
      <c r="G236" s="11" t="s">
        <v>344</v>
      </c>
      <c r="H236">
        <v>1</v>
      </c>
      <c r="I236" s="11" t="s">
        <v>948</v>
      </c>
      <c r="M236" s="11" t="s">
        <v>65</v>
      </c>
      <c r="N236" s="11" t="s">
        <v>949</v>
      </c>
      <c r="O236" s="11" t="s">
        <v>950</v>
      </c>
      <c r="P236" s="11" t="s">
        <v>948</v>
      </c>
      <c r="Q236" s="11" t="s">
        <v>135</v>
      </c>
      <c r="U236" s="11" t="s">
        <v>348</v>
      </c>
      <c r="V236" s="11" t="s">
        <v>137</v>
      </c>
      <c r="W236" s="13">
        <v>46302.314618055556</v>
      </c>
    </row>
    <row r="237" spans="1:23">
      <c r="A237">
        <v>258929</v>
      </c>
      <c r="B237">
        <v>1287</v>
      </c>
      <c r="C237" s="11" t="s">
        <v>129</v>
      </c>
      <c r="D237" s="11" t="s">
        <v>130</v>
      </c>
      <c r="E237" s="11" t="s">
        <v>25</v>
      </c>
      <c r="F237" s="12">
        <v>46136</v>
      </c>
      <c r="G237" s="11" t="s">
        <v>339</v>
      </c>
      <c r="H237">
        <v>1</v>
      </c>
      <c r="I237" s="11" t="s">
        <v>951</v>
      </c>
      <c r="M237" s="11" t="s">
        <v>92</v>
      </c>
      <c r="N237" s="11" t="s">
        <v>952</v>
      </c>
      <c r="O237" s="11" t="s">
        <v>953</v>
      </c>
      <c r="P237" s="11" t="s">
        <v>951</v>
      </c>
      <c r="Q237" s="11" t="s">
        <v>135</v>
      </c>
      <c r="U237" s="11" t="s">
        <v>343</v>
      </c>
      <c r="V237" s="11" t="s">
        <v>137</v>
      </c>
      <c r="W237" s="13">
        <v>46302.314618055556</v>
      </c>
    </row>
    <row r="238" spans="1:23">
      <c r="A238">
        <v>258930</v>
      </c>
      <c r="B238">
        <v>1288</v>
      </c>
      <c r="C238" s="11" t="s">
        <v>129</v>
      </c>
      <c r="D238" s="11" t="s">
        <v>130</v>
      </c>
      <c r="E238" s="11" t="s">
        <v>25</v>
      </c>
      <c r="F238" s="12">
        <v>46136</v>
      </c>
      <c r="G238" s="11" t="s">
        <v>195</v>
      </c>
      <c r="H238">
        <v>1</v>
      </c>
      <c r="I238" s="11" t="s">
        <v>954</v>
      </c>
      <c r="M238" s="11" t="s">
        <v>68</v>
      </c>
      <c r="N238" s="11" t="s">
        <v>955</v>
      </c>
      <c r="O238" s="11" t="s">
        <v>956</v>
      </c>
      <c r="P238" s="11" t="s">
        <v>954</v>
      </c>
      <c r="Q238" s="11" t="s">
        <v>135</v>
      </c>
      <c r="U238" s="11" t="s">
        <v>199</v>
      </c>
      <c r="V238" s="11" t="s">
        <v>137</v>
      </c>
      <c r="W238" s="13">
        <v>46302.314618055556</v>
      </c>
    </row>
    <row r="239" spans="1:23">
      <c r="A239">
        <v>258931</v>
      </c>
      <c r="B239">
        <v>1289</v>
      </c>
      <c r="C239" s="11" t="s">
        <v>129</v>
      </c>
      <c r="D239" s="11" t="s">
        <v>130</v>
      </c>
      <c r="E239" s="11" t="s">
        <v>25</v>
      </c>
      <c r="F239" s="12">
        <v>46136</v>
      </c>
      <c r="G239" s="11" t="s">
        <v>195</v>
      </c>
      <c r="H239">
        <v>1</v>
      </c>
      <c r="I239" s="11" t="s">
        <v>862</v>
      </c>
      <c r="M239" s="11" t="s">
        <v>68</v>
      </c>
      <c r="N239" s="11" t="s">
        <v>957</v>
      </c>
      <c r="O239" s="11" t="s">
        <v>958</v>
      </c>
      <c r="P239" s="11" t="s">
        <v>862</v>
      </c>
      <c r="Q239" s="11" t="s">
        <v>135</v>
      </c>
      <c r="U239" s="11" t="s">
        <v>199</v>
      </c>
      <c r="V239" s="11" t="s">
        <v>137</v>
      </c>
      <c r="W239" s="13">
        <v>46302.314618055556</v>
      </c>
    </row>
    <row r="240" spans="1:23">
      <c r="A240">
        <v>258932</v>
      </c>
      <c r="B240">
        <v>1290</v>
      </c>
      <c r="C240" s="11" t="s">
        <v>129</v>
      </c>
      <c r="D240" s="11" t="s">
        <v>130</v>
      </c>
      <c r="E240" s="11" t="s">
        <v>25</v>
      </c>
      <c r="F240" s="12">
        <v>46136</v>
      </c>
      <c r="G240" s="11" t="s">
        <v>174</v>
      </c>
      <c r="H240">
        <v>1</v>
      </c>
      <c r="I240" s="11" t="s">
        <v>959</v>
      </c>
      <c r="M240" s="11" t="s">
        <v>92</v>
      </c>
      <c r="N240" s="11" t="s">
        <v>960</v>
      </c>
      <c r="O240" s="11" t="s">
        <v>961</v>
      </c>
      <c r="P240" s="11" t="s">
        <v>959</v>
      </c>
      <c r="Q240" s="11" t="s">
        <v>135</v>
      </c>
      <c r="U240" s="11" t="s">
        <v>178</v>
      </c>
      <c r="V240" s="11" t="s">
        <v>137</v>
      </c>
      <c r="W240" s="13">
        <v>46302.314618055556</v>
      </c>
    </row>
    <row r="241" spans="1:23">
      <c r="A241">
        <v>258933</v>
      </c>
      <c r="B241">
        <v>1291</v>
      </c>
      <c r="C241" s="11" t="s">
        <v>129</v>
      </c>
      <c r="D241" s="11" t="s">
        <v>130</v>
      </c>
      <c r="E241" s="11" t="s">
        <v>25</v>
      </c>
      <c r="F241" s="12">
        <v>46136</v>
      </c>
      <c r="G241" s="11" t="s">
        <v>149</v>
      </c>
      <c r="H241">
        <v>1</v>
      </c>
      <c r="I241" s="11" t="s">
        <v>962</v>
      </c>
      <c r="M241" s="11" t="s">
        <v>77</v>
      </c>
      <c r="N241" s="11" t="s">
        <v>963</v>
      </c>
      <c r="O241" s="11" t="s">
        <v>964</v>
      </c>
      <c r="P241" s="11" t="s">
        <v>962</v>
      </c>
      <c r="Q241" s="11" t="s">
        <v>135</v>
      </c>
      <c r="U241" s="11" t="s">
        <v>153</v>
      </c>
      <c r="V241" s="11" t="s">
        <v>137</v>
      </c>
      <c r="W241" s="13">
        <v>46302.314618055556</v>
      </c>
    </row>
    <row r="242" spans="1:23">
      <c r="A242">
        <v>258934</v>
      </c>
      <c r="B242">
        <v>1292</v>
      </c>
      <c r="C242" s="11" t="s">
        <v>129</v>
      </c>
      <c r="D242" s="11" t="s">
        <v>130</v>
      </c>
      <c r="E242" s="11" t="s">
        <v>25</v>
      </c>
      <c r="F242" s="12">
        <v>46136</v>
      </c>
      <c r="G242" s="11" t="s">
        <v>528</v>
      </c>
      <c r="H242">
        <v>1</v>
      </c>
      <c r="I242" s="11" t="s">
        <v>965</v>
      </c>
      <c r="M242" s="11" t="s">
        <v>82</v>
      </c>
      <c r="N242" s="11" t="s">
        <v>966</v>
      </c>
      <c r="O242" s="11" t="s">
        <v>967</v>
      </c>
      <c r="P242" s="11" t="s">
        <v>965</v>
      </c>
      <c r="Q242" s="11" t="s">
        <v>135</v>
      </c>
      <c r="U242" s="11" t="s">
        <v>532</v>
      </c>
      <c r="V242" s="11" t="s">
        <v>137</v>
      </c>
      <c r="W242" s="13">
        <v>46302.314618055556</v>
      </c>
    </row>
    <row r="243" spans="1:23">
      <c r="A243">
        <v>258935</v>
      </c>
      <c r="B243">
        <v>1293</v>
      </c>
      <c r="C243" s="11" t="s">
        <v>129</v>
      </c>
      <c r="D243" s="11" t="s">
        <v>130</v>
      </c>
      <c r="E243" s="11" t="s">
        <v>25</v>
      </c>
      <c r="F243" s="12">
        <v>46136</v>
      </c>
      <c r="G243" s="11" t="s">
        <v>164</v>
      </c>
      <c r="H243">
        <v>4</v>
      </c>
      <c r="I243" s="11" t="s">
        <v>968</v>
      </c>
      <c r="M243" s="11" t="s">
        <v>62</v>
      </c>
      <c r="N243" s="11" t="s">
        <v>969</v>
      </c>
      <c r="O243" s="11" t="s">
        <v>970</v>
      </c>
      <c r="P243" s="11" t="s">
        <v>971</v>
      </c>
      <c r="Q243" s="11" t="s">
        <v>135</v>
      </c>
      <c r="U243" s="11" t="s">
        <v>168</v>
      </c>
      <c r="V243" s="11" t="s">
        <v>137</v>
      </c>
      <c r="W243" s="13">
        <v>46302.314618055556</v>
      </c>
    </row>
    <row r="244" spans="1:23">
      <c r="A244">
        <v>258936</v>
      </c>
      <c r="B244">
        <v>1294</v>
      </c>
      <c r="C244" s="11" t="s">
        <v>129</v>
      </c>
      <c r="D244" s="11" t="s">
        <v>130</v>
      </c>
      <c r="E244" s="11" t="s">
        <v>25</v>
      </c>
      <c r="F244" s="12">
        <v>46136</v>
      </c>
      <c r="G244" s="11" t="s">
        <v>607</v>
      </c>
      <c r="H244">
        <v>1</v>
      </c>
      <c r="I244" s="11" t="s">
        <v>972</v>
      </c>
      <c r="M244" s="11" t="s">
        <v>42</v>
      </c>
      <c r="N244" s="11" t="s">
        <v>973</v>
      </c>
      <c r="O244" s="11" t="s">
        <v>974</v>
      </c>
      <c r="P244" s="11" t="s">
        <v>972</v>
      </c>
      <c r="Q244" s="11" t="s">
        <v>135</v>
      </c>
      <c r="U244" s="11" t="s">
        <v>611</v>
      </c>
      <c r="V244" s="11" t="s">
        <v>137</v>
      </c>
      <c r="W244" s="13">
        <v>46302.314618055556</v>
      </c>
    </row>
    <row r="245" spans="1:23">
      <c r="A245">
        <v>258937</v>
      </c>
      <c r="B245">
        <v>1295</v>
      </c>
      <c r="C245" s="11" t="s">
        <v>129</v>
      </c>
      <c r="D245" s="11" t="s">
        <v>130</v>
      </c>
      <c r="E245" s="11" t="s">
        <v>25</v>
      </c>
      <c r="F245" s="12">
        <v>46136</v>
      </c>
      <c r="G245" s="11" t="s">
        <v>217</v>
      </c>
      <c r="H245">
        <v>1</v>
      </c>
      <c r="I245" s="11" t="s">
        <v>975</v>
      </c>
      <c r="M245" s="11" t="s">
        <v>86</v>
      </c>
      <c r="N245" s="11" t="s">
        <v>976</v>
      </c>
      <c r="O245" s="11" t="s">
        <v>977</v>
      </c>
      <c r="P245" s="11" t="s">
        <v>975</v>
      </c>
      <c r="Q245" s="11" t="s">
        <v>135</v>
      </c>
      <c r="U245" s="11" t="s">
        <v>221</v>
      </c>
      <c r="V245" s="11" t="s">
        <v>137</v>
      </c>
      <c r="W245" s="13">
        <v>46302.314618055556</v>
      </c>
    </row>
    <row r="246" spans="1:23">
      <c r="A246">
        <v>258938</v>
      </c>
      <c r="B246">
        <v>1279</v>
      </c>
      <c r="C246" s="11" t="s">
        <v>129</v>
      </c>
      <c r="D246" s="11" t="s">
        <v>130</v>
      </c>
      <c r="E246" s="11" t="s">
        <v>25</v>
      </c>
      <c r="F246" s="12">
        <v>46136</v>
      </c>
      <c r="G246" s="11" t="s">
        <v>401</v>
      </c>
      <c r="H246">
        <v>1</v>
      </c>
      <c r="I246" s="11" t="s">
        <v>929</v>
      </c>
      <c r="M246" s="11" t="s">
        <v>90</v>
      </c>
      <c r="N246" s="11" t="s">
        <v>978</v>
      </c>
      <c r="O246" s="11" t="s">
        <v>979</v>
      </c>
      <c r="P246" s="11" t="s">
        <v>929</v>
      </c>
      <c r="Q246" s="11" t="s">
        <v>135</v>
      </c>
      <c r="R246">
        <v>1278</v>
      </c>
      <c r="U246" s="11" t="s">
        <v>404</v>
      </c>
      <c r="V246" s="11" t="s">
        <v>137</v>
      </c>
      <c r="W246" s="13">
        <v>46302.314618055556</v>
      </c>
    </row>
    <row r="247" spans="1:23">
      <c r="A247">
        <v>259364</v>
      </c>
      <c r="B247">
        <v>1296</v>
      </c>
      <c r="C247" s="11" t="s">
        <v>129</v>
      </c>
      <c r="D247" s="11" t="s">
        <v>130</v>
      </c>
      <c r="E247" s="11" t="s">
        <v>25</v>
      </c>
      <c r="F247" s="12">
        <v>46139</v>
      </c>
      <c r="G247" s="11" t="s">
        <v>131</v>
      </c>
      <c r="H247">
        <v>1</v>
      </c>
      <c r="I247" s="11" t="s">
        <v>980</v>
      </c>
      <c r="M247" s="11" t="s">
        <v>87</v>
      </c>
      <c r="N247" s="11" t="s">
        <v>981</v>
      </c>
      <c r="O247" s="11" t="s">
        <v>982</v>
      </c>
      <c r="P247" s="11" t="s">
        <v>980</v>
      </c>
      <c r="Q247" s="11" t="s">
        <v>135</v>
      </c>
      <c r="U247" s="11" t="s">
        <v>136</v>
      </c>
      <c r="V247" s="11" t="s">
        <v>137</v>
      </c>
      <c r="W247" s="13">
        <v>46302.314618055556</v>
      </c>
    </row>
    <row r="248" spans="1:23">
      <c r="A248">
        <v>259365</v>
      </c>
      <c r="B248">
        <v>1297</v>
      </c>
      <c r="C248" s="11" t="s">
        <v>129</v>
      </c>
      <c r="D248" s="11" t="s">
        <v>130</v>
      </c>
      <c r="E248" s="11" t="s">
        <v>25</v>
      </c>
      <c r="F248" s="12">
        <v>46139</v>
      </c>
      <c r="G248" s="11" t="s">
        <v>195</v>
      </c>
      <c r="H248">
        <v>6</v>
      </c>
      <c r="I248" s="11" t="s">
        <v>983</v>
      </c>
      <c r="M248" s="11" t="s">
        <v>68</v>
      </c>
      <c r="N248" s="11" t="s">
        <v>984</v>
      </c>
      <c r="O248" s="11" t="s">
        <v>985</v>
      </c>
      <c r="P248" s="11" t="s">
        <v>986</v>
      </c>
      <c r="Q248" s="11" t="s">
        <v>987</v>
      </c>
      <c r="U248" s="11" t="s">
        <v>199</v>
      </c>
      <c r="V248" s="11" t="s">
        <v>137</v>
      </c>
      <c r="W248" s="13">
        <v>46302.314618055556</v>
      </c>
    </row>
    <row r="249" spans="1:23">
      <c r="A249">
        <v>259366</v>
      </c>
      <c r="B249">
        <v>1299</v>
      </c>
      <c r="C249" s="11" t="s">
        <v>129</v>
      </c>
      <c r="D249" s="11" t="s">
        <v>130</v>
      </c>
      <c r="E249" s="11" t="s">
        <v>25</v>
      </c>
      <c r="F249" s="12">
        <v>46139</v>
      </c>
      <c r="G249" s="11" t="s">
        <v>164</v>
      </c>
      <c r="H249">
        <v>1</v>
      </c>
      <c r="I249" s="11" t="s">
        <v>988</v>
      </c>
      <c r="M249" s="11" t="s">
        <v>62</v>
      </c>
      <c r="N249" s="11" t="s">
        <v>989</v>
      </c>
      <c r="O249" s="11" t="s">
        <v>990</v>
      </c>
      <c r="P249" s="11" t="s">
        <v>988</v>
      </c>
      <c r="Q249" s="11" t="s">
        <v>135</v>
      </c>
      <c r="U249" s="11" t="s">
        <v>168</v>
      </c>
      <c r="V249" s="11" t="s">
        <v>137</v>
      </c>
      <c r="W249" s="13">
        <v>46302.314618055556</v>
      </c>
    </row>
    <row r="250" spans="1:23">
      <c r="A250">
        <v>259367</v>
      </c>
      <c r="B250">
        <v>1300</v>
      </c>
      <c r="C250" s="11" t="s">
        <v>129</v>
      </c>
      <c r="D250" s="11" t="s">
        <v>130</v>
      </c>
      <c r="E250" s="11" t="s">
        <v>25</v>
      </c>
      <c r="F250" s="12">
        <v>46139</v>
      </c>
      <c r="G250" s="11" t="s">
        <v>512</v>
      </c>
      <c r="H250">
        <v>1</v>
      </c>
      <c r="I250" s="11" t="s">
        <v>991</v>
      </c>
      <c r="M250" s="11" t="s">
        <v>44</v>
      </c>
      <c r="N250" s="11" t="s">
        <v>992</v>
      </c>
      <c r="O250" s="11" t="s">
        <v>993</v>
      </c>
      <c r="P250" s="11" t="s">
        <v>991</v>
      </c>
      <c r="Q250" s="11" t="s">
        <v>135</v>
      </c>
      <c r="U250" s="11" t="s">
        <v>516</v>
      </c>
      <c r="V250" s="11" t="s">
        <v>137</v>
      </c>
      <c r="W250" s="13">
        <v>46302.314618055556</v>
      </c>
    </row>
    <row r="251" spans="1:23">
      <c r="A251">
        <v>259368</v>
      </c>
      <c r="B251">
        <v>1301</v>
      </c>
      <c r="C251" s="11" t="s">
        <v>129</v>
      </c>
      <c r="D251" s="11" t="s">
        <v>130</v>
      </c>
      <c r="E251" s="11" t="s">
        <v>25</v>
      </c>
      <c r="F251" s="12">
        <v>46139</v>
      </c>
      <c r="G251" s="11" t="s">
        <v>595</v>
      </c>
      <c r="H251">
        <v>1</v>
      </c>
      <c r="I251" s="11" t="s">
        <v>268</v>
      </c>
      <c r="M251" s="11" t="s">
        <v>36</v>
      </c>
      <c r="N251" s="11" t="s">
        <v>994</v>
      </c>
      <c r="O251" s="11" t="s">
        <v>995</v>
      </c>
      <c r="P251" s="11" t="s">
        <v>268</v>
      </c>
      <c r="Q251" s="11" t="s">
        <v>135</v>
      </c>
      <c r="U251" s="11" t="s">
        <v>600</v>
      </c>
      <c r="V251" s="11" t="s">
        <v>137</v>
      </c>
      <c r="W251" s="13">
        <v>46302.314618055556</v>
      </c>
    </row>
    <row r="252" spans="1:23">
      <c r="A252">
        <v>259369</v>
      </c>
      <c r="B252">
        <v>1302</v>
      </c>
      <c r="C252" s="11" t="s">
        <v>129</v>
      </c>
      <c r="D252" s="11" t="s">
        <v>130</v>
      </c>
      <c r="E252" s="11" t="s">
        <v>25</v>
      </c>
      <c r="F252" s="12">
        <v>46139</v>
      </c>
      <c r="G252" s="11" t="s">
        <v>174</v>
      </c>
      <c r="H252">
        <v>1</v>
      </c>
      <c r="I252" s="11" t="s">
        <v>335</v>
      </c>
      <c r="M252" s="11" t="s">
        <v>92</v>
      </c>
      <c r="N252" s="11" t="s">
        <v>996</v>
      </c>
      <c r="O252" s="11" t="s">
        <v>442</v>
      </c>
      <c r="P252" s="11" t="s">
        <v>335</v>
      </c>
      <c r="Q252" s="11" t="s">
        <v>135</v>
      </c>
      <c r="U252" s="11" t="s">
        <v>178</v>
      </c>
      <c r="V252" s="11" t="s">
        <v>137</v>
      </c>
      <c r="W252" s="13">
        <v>46302.314618055556</v>
      </c>
    </row>
    <row r="253" spans="1:23">
      <c r="A253">
        <v>259370</v>
      </c>
      <c r="B253">
        <v>1303</v>
      </c>
      <c r="C253" s="11" t="s">
        <v>129</v>
      </c>
      <c r="D253" s="11" t="s">
        <v>130</v>
      </c>
      <c r="E253" s="11" t="s">
        <v>25</v>
      </c>
      <c r="F253" s="12">
        <v>46139</v>
      </c>
      <c r="G253" s="11" t="s">
        <v>131</v>
      </c>
      <c r="H253">
        <v>1</v>
      </c>
      <c r="I253" s="11" t="s">
        <v>411</v>
      </c>
      <c r="M253" s="11" t="s">
        <v>87</v>
      </c>
      <c r="N253" s="11" t="s">
        <v>997</v>
      </c>
      <c r="O253" s="11" t="s">
        <v>998</v>
      </c>
      <c r="P253" s="11" t="s">
        <v>411</v>
      </c>
      <c r="Q253" s="11" t="s">
        <v>135</v>
      </c>
      <c r="U253" s="11" t="s">
        <v>136</v>
      </c>
      <c r="V253" s="11" t="s">
        <v>137</v>
      </c>
      <c r="W253" s="13">
        <v>46302.314618055556</v>
      </c>
    </row>
    <row r="254" spans="1:23">
      <c r="A254">
        <v>259371</v>
      </c>
      <c r="B254">
        <v>1304</v>
      </c>
      <c r="C254" s="11" t="s">
        <v>129</v>
      </c>
      <c r="D254" s="11" t="s">
        <v>130</v>
      </c>
      <c r="E254" s="11" t="s">
        <v>25</v>
      </c>
      <c r="F254" s="12">
        <v>46139</v>
      </c>
      <c r="G254" s="11" t="s">
        <v>174</v>
      </c>
      <c r="H254">
        <v>1</v>
      </c>
      <c r="I254" s="11" t="s">
        <v>999</v>
      </c>
      <c r="M254" s="11" t="s">
        <v>92</v>
      </c>
      <c r="N254" s="11" t="s">
        <v>1000</v>
      </c>
      <c r="O254" s="11" t="s">
        <v>1001</v>
      </c>
      <c r="P254" s="11" t="s">
        <v>999</v>
      </c>
      <c r="Q254" s="11" t="s">
        <v>135</v>
      </c>
      <c r="U254" s="11" t="s">
        <v>178</v>
      </c>
      <c r="V254" s="11" t="s">
        <v>137</v>
      </c>
      <c r="W254" s="13">
        <v>46302.314618055556</v>
      </c>
    </row>
    <row r="255" spans="1:23">
      <c r="A255">
        <v>259372</v>
      </c>
      <c r="B255">
        <v>1305</v>
      </c>
      <c r="C255" s="11" t="s">
        <v>129</v>
      </c>
      <c r="D255" s="11" t="s">
        <v>130</v>
      </c>
      <c r="E255" s="11" t="s">
        <v>25</v>
      </c>
      <c r="F255" s="12">
        <v>46139</v>
      </c>
      <c r="G255" s="11" t="s">
        <v>149</v>
      </c>
      <c r="H255">
        <v>1</v>
      </c>
      <c r="I255" s="11" t="s">
        <v>1002</v>
      </c>
      <c r="M255" s="11" t="s">
        <v>77</v>
      </c>
      <c r="N255" s="11" t="s">
        <v>1003</v>
      </c>
      <c r="O255" s="11" t="s">
        <v>1004</v>
      </c>
      <c r="P255" s="11" t="s">
        <v>1002</v>
      </c>
      <c r="Q255" s="11" t="s">
        <v>135</v>
      </c>
      <c r="U255" s="11" t="s">
        <v>153</v>
      </c>
      <c r="V255" s="11" t="s">
        <v>137</v>
      </c>
      <c r="W255" s="13">
        <v>46302.314618055556</v>
      </c>
    </row>
    <row r="256" spans="1:23">
      <c r="A256">
        <v>259373</v>
      </c>
      <c r="B256">
        <v>1306</v>
      </c>
      <c r="C256" s="11" t="s">
        <v>129</v>
      </c>
      <c r="D256" s="11" t="s">
        <v>130</v>
      </c>
      <c r="E256" s="11" t="s">
        <v>25</v>
      </c>
      <c r="F256" s="12">
        <v>46139</v>
      </c>
      <c r="G256" s="11" t="s">
        <v>154</v>
      </c>
      <c r="H256">
        <v>1</v>
      </c>
      <c r="I256" s="11" t="s">
        <v>1005</v>
      </c>
      <c r="M256" s="11" t="s">
        <v>79</v>
      </c>
      <c r="N256" s="11" t="s">
        <v>1006</v>
      </c>
      <c r="O256" s="11" t="s">
        <v>1007</v>
      </c>
      <c r="P256" s="11" t="s">
        <v>1005</v>
      </c>
      <c r="Q256" s="11" t="s">
        <v>135</v>
      </c>
      <c r="U256" s="11" t="s">
        <v>158</v>
      </c>
      <c r="V256" s="11" t="s">
        <v>137</v>
      </c>
      <c r="W256" s="13">
        <v>46302.314618055556</v>
      </c>
    </row>
    <row r="257" spans="1:23">
      <c r="A257">
        <v>259374</v>
      </c>
      <c r="B257">
        <v>1307</v>
      </c>
      <c r="C257" s="11" t="s">
        <v>129</v>
      </c>
      <c r="D257" s="11" t="s">
        <v>130</v>
      </c>
      <c r="E257" s="11" t="s">
        <v>25</v>
      </c>
      <c r="F257" s="12">
        <v>46139</v>
      </c>
      <c r="G257" s="11" t="s">
        <v>528</v>
      </c>
      <c r="H257">
        <v>1</v>
      </c>
      <c r="I257" s="11" t="s">
        <v>1008</v>
      </c>
      <c r="M257" s="11" t="s">
        <v>82</v>
      </c>
      <c r="N257" s="11" t="s">
        <v>1009</v>
      </c>
      <c r="O257" s="11" t="s">
        <v>1010</v>
      </c>
      <c r="P257" s="11" t="s">
        <v>1008</v>
      </c>
      <c r="Q257" s="11" t="s">
        <v>135</v>
      </c>
      <c r="U257" s="11" t="s">
        <v>532</v>
      </c>
      <c r="V257" s="11" t="s">
        <v>137</v>
      </c>
      <c r="W257" s="13">
        <v>46302.314618055556</v>
      </c>
    </row>
    <row r="258" spans="1:23">
      <c r="A258">
        <v>259375</v>
      </c>
      <c r="B258">
        <v>1308</v>
      </c>
      <c r="C258" s="11" t="s">
        <v>129</v>
      </c>
      <c r="D258" s="11" t="s">
        <v>130</v>
      </c>
      <c r="E258" s="11" t="s">
        <v>25</v>
      </c>
      <c r="F258" s="12">
        <v>46139</v>
      </c>
      <c r="G258" s="11" t="s">
        <v>131</v>
      </c>
      <c r="H258">
        <v>1</v>
      </c>
      <c r="I258" s="11" t="s">
        <v>1011</v>
      </c>
      <c r="M258" s="11" t="s">
        <v>87</v>
      </c>
      <c r="N258" s="11" t="s">
        <v>1012</v>
      </c>
      <c r="O258" s="11" t="s">
        <v>1013</v>
      </c>
      <c r="P258" s="11" t="s">
        <v>1011</v>
      </c>
      <c r="Q258" s="11" t="s">
        <v>135</v>
      </c>
      <c r="U258" s="11" t="s">
        <v>136</v>
      </c>
      <c r="V258" s="11" t="s">
        <v>137</v>
      </c>
      <c r="W258" s="13">
        <v>46302.314618055556</v>
      </c>
    </row>
    <row r="259" spans="1:23">
      <c r="A259">
        <v>259376</v>
      </c>
      <c r="B259">
        <v>1309</v>
      </c>
      <c r="C259" s="11" t="s">
        <v>129</v>
      </c>
      <c r="D259" s="11" t="s">
        <v>130</v>
      </c>
      <c r="E259" s="11" t="s">
        <v>25</v>
      </c>
      <c r="F259" s="12">
        <v>46139</v>
      </c>
      <c r="G259" s="11" t="s">
        <v>607</v>
      </c>
      <c r="H259">
        <v>1</v>
      </c>
      <c r="I259" s="11" t="s">
        <v>1014</v>
      </c>
      <c r="M259" s="11" t="s">
        <v>42</v>
      </c>
      <c r="N259" s="11" t="s">
        <v>1015</v>
      </c>
      <c r="O259" s="11" t="s">
        <v>1016</v>
      </c>
      <c r="P259" s="11" t="s">
        <v>1014</v>
      </c>
      <c r="Q259" s="11" t="s">
        <v>135</v>
      </c>
      <c r="U259" s="11" t="s">
        <v>611</v>
      </c>
      <c r="V259" s="11" t="s">
        <v>137</v>
      </c>
      <c r="W259" s="13">
        <v>46302.314618055556</v>
      </c>
    </row>
    <row r="260" spans="1:23">
      <c r="A260">
        <v>259377</v>
      </c>
      <c r="B260">
        <v>1310</v>
      </c>
      <c r="C260" s="11" t="s">
        <v>129</v>
      </c>
      <c r="D260" s="11" t="s">
        <v>130</v>
      </c>
      <c r="E260" s="11" t="s">
        <v>25</v>
      </c>
      <c r="F260" s="12">
        <v>46139</v>
      </c>
      <c r="G260" s="11" t="s">
        <v>212</v>
      </c>
      <c r="H260">
        <v>1</v>
      </c>
      <c r="I260" s="11" t="s">
        <v>1017</v>
      </c>
      <c r="M260" s="11" t="s">
        <v>40</v>
      </c>
      <c r="N260" s="11" t="s">
        <v>1018</v>
      </c>
      <c r="O260" s="11" t="s">
        <v>1019</v>
      </c>
      <c r="P260" s="11" t="s">
        <v>1017</v>
      </c>
      <c r="Q260" s="11" t="s">
        <v>135</v>
      </c>
      <c r="U260" s="11" t="s">
        <v>216</v>
      </c>
      <c r="V260" s="11" t="s">
        <v>137</v>
      </c>
      <c r="W260" s="13">
        <v>46302.314618055556</v>
      </c>
    </row>
    <row r="261" spans="1:23">
      <c r="A261">
        <v>259378</v>
      </c>
      <c r="B261">
        <v>1311</v>
      </c>
      <c r="C261" s="11" t="s">
        <v>129</v>
      </c>
      <c r="D261" s="11" t="s">
        <v>130</v>
      </c>
      <c r="E261" s="11" t="s">
        <v>25</v>
      </c>
      <c r="F261" s="12">
        <v>46139</v>
      </c>
      <c r="G261" s="11" t="s">
        <v>131</v>
      </c>
      <c r="H261">
        <v>1</v>
      </c>
      <c r="I261" s="11" t="s">
        <v>1020</v>
      </c>
      <c r="M261" s="11" t="s">
        <v>87</v>
      </c>
      <c r="N261" s="11" t="s">
        <v>1021</v>
      </c>
      <c r="O261" s="11" t="s">
        <v>1022</v>
      </c>
      <c r="P261" s="11" t="s">
        <v>1020</v>
      </c>
      <c r="Q261" s="11" t="s">
        <v>135</v>
      </c>
      <c r="U261" s="11" t="s">
        <v>136</v>
      </c>
      <c r="V261" s="11" t="s">
        <v>137</v>
      </c>
      <c r="W261" s="13">
        <v>46302.314618055556</v>
      </c>
    </row>
    <row r="262" spans="1:23">
      <c r="A262">
        <v>259379</v>
      </c>
      <c r="B262">
        <v>1312</v>
      </c>
      <c r="C262" s="11" t="s">
        <v>129</v>
      </c>
      <c r="D262" s="11" t="s">
        <v>130</v>
      </c>
      <c r="E262" s="11" t="s">
        <v>25</v>
      </c>
      <c r="F262" s="12">
        <v>46139</v>
      </c>
      <c r="G262" s="11" t="s">
        <v>653</v>
      </c>
      <c r="H262">
        <v>1</v>
      </c>
      <c r="I262" s="11" t="s">
        <v>453</v>
      </c>
      <c r="M262" s="11" t="s">
        <v>49</v>
      </c>
      <c r="N262" s="11" t="s">
        <v>1023</v>
      </c>
      <c r="O262" s="11" t="s">
        <v>1024</v>
      </c>
      <c r="P262" s="11" t="s">
        <v>453</v>
      </c>
      <c r="Q262" s="11" t="s">
        <v>135</v>
      </c>
      <c r="U262" s="11" t="s">
        <v>657</v>
      </c>
      <c r="V262" s="11" t="s">
        <v>137</v>
      </c>
      <c r="W262" s="13">
        <v>46302.314618055556</v>
      </c>
    </row>
    <row r="263" spans="1:23">
      <c r="A263">
        <v>259380</v>
      </c>
      <c r="B263">
        <v>1313</v>
      </c>
      <c r="C263" s="11" t="s">
        <v>129</v>
      </c>
      <c r="D263" s="11" t="s">
        <v>130</v>
      </c>
      <c r="E263" s="11" t="s">
        <v>25</v>
      </c>
      <c r="F263" s="12">
        <v>46139</v>
      </c>
      <c r="G263" s="11" t="s">
        <v>217</v>
      </c>
      <c r="H263">
        <v>1</v>
      </c>
      <c r="I263" s="11" t="s">
        <v>1025</v>
      </c>
      <c r="M263" s="11" t="s">
        <v>86</v>
      </c>
      <c r="N263" s="11" t="s">
        <v>1026</v>
      </c>
      <c r="O263" s="11" t="s">
        <v>1027</v>
      </c>
      <c r="P263" s="11" t="s">
        <v>1025</v>
      </c>
      <c r="Q263" s="11" t="s">
        <v>135</v>
      </c>
      <c r="U263" s="11" t="s">
        <v>221</v>
      </c>
      <c r="V263" s="11" t="s">
        <v>137</v>
      </c>
      <c r="W263" s="13">
        <v>46302.314618055556</v>
      </c>
    </row>
    <row r="264" spans="1:23">
      <c r="A264">
        <v>259381</v>
      </c>
      <c r="B264">
        <v>1298</v>
      </c>
      <c r="C264" s="11" t="s">
        <v>129</v>
      </c>
      <c r="D264" s="11" t="s">
        <v>130</v>
      </c>
      <c r="E264" s="11" t="s">
        <v>25</v>
      </c>
      <c r="F264" s="12">
        <v>46139</v>
      </c>
      <c r="G264" s="11" t="s">
        <v>401</v>
      </c>
      <c r="H264">
        <v>1</v>
      </c>
      <c r="I264" s="11" t="s">
        <v>987</v>
      </c>
      <c r="M264" s="11" t="s">
        <v>90</v>
      </c>
      <c r="N264" s="11" t="s">
        <v>744</v>
      </c>
      <c r="O264" s="11" t="s">
        <v>1028</v>
      </c>
      <c r="P264" s="11" t="s">
        <v>987</v>
      </c>
      <c r="Q264" s="11" t="s">
        <v>135</v>
      </c>
      <c r="R264">
        <v>1297</v>
      </c>
      <c r="U264" s="11" t="s">
        <v>404</v>
      </c>
      <c r="V264" s="11" t="s">
        <v>137</v>
      </c>
      <c r="W264" s="13">
        <v>46302.314618055556</v>
      </c>
    </row>
    <row r="265" spans="1:23">
      <c r="A265">
        <v>259820</v>
      </c>
      <c r="B265">
        <v>9563</v>
      </c>
      <c r="C265" s="11" t="s">
        <v>129</v>
      </c>
      <c r="D265" s="11" t="s">
        <v>130</v>
      </c>
      <c r="E265" s="11" t="s">
        <v>25</v>
      </c>
      <c r="F265" s="12">
        <v>46140</v>
      </c>
      <c r="G265" s="11" t="s">
        <v>226</v>
      </c>
      <c r="H265">
        <v>1</v>
      </c>
      <c r="I265" s="11" t="s">
        <v>1029</v>
      </c>
      <c r="M265" s="11" t="s">
        <v>87</v>
      </c>
      <c r="N265" s="11" t="s">
        <v>1030</v>
      </c>
      <c r="O265" s="11" t="s">
        <v>1031</v>
      </c>
      <c r="P265" s="11" t="s">
        <v>1029</v>
      </c>
      <c r="Q265" s="11" t="s">
        <v>135</v>
      </c>
      <c r="U265" s="11" t="s">
        <v>231</v>
      </c>
      <c r="V265" s="11" t="s">
        <v>137</v>
      </c>
      <c r="W265" s="13">
        <v>46302.314618055556</v>
      </c>
    </row>
    <row r="266" spans="1:23">
      <c r="A266">
        <v>259821</v>
      </c>
      <c r="B266">
        <v>9564</v>
      </c>
      <c r="C266" s="11" t="s">
        <v>129</v>
      </c>
      <c r="D266" s="11" t="s">
        <v>130</v>
      </c>
      <c r="E266" s="11" t="s">
        <v>25</v>
      </c>
      <c r="F266" s="12">
        <v>46140</v>
      </c>
      <c r="G266" s="11" t="s">
        <v>672</v>
      </c>
      <c r="H266">
        <v>5</v>
      </c>
      <c r="I266" s="11" t="s">
        <v>1032</v>
      </c>
      <c r="M266" s="11" t="s">
        <v>72</v>
      </c>
      <c r="N266" s="11" t="s">
        <v>1033</v>
      </c>
      <c r="O266" s="11" t="s">
        <v>1034</v>
      </c>
      <c r="P266" s="11" t="s">
        <v>1035</v>
      </c>
      <c r="Q266" s="11" t="s">
        <v>1036</v>
      </c>
      <c r="U266" s="11" t="s">
        <v>677</v>
      </c>
      <c r="V266" s="11" t="s">
        <v>137</v>
      </c>
      <c r="W266" s="13">
        <v>46302.314618055556</v>
      </c>
    </row>
    <row r="267" spans="1:23">
      <c r="A267">
        <v>259822</v>
      </c>
      <c r="B267">
        <v>9566</v>
      </c>
      <c r="C267" s="11" t="s">
        <v>129</v>
      </c>
      <c r="D267" s="11" t="s">
        <v>130</v>
      </c>
      <c r="E267" s="11" t="s">
        <v>25</v>
      </c>
      <c r="F267" s="12">
        <v>46140</v>
      </c>
      <c r="G267" s="11" t="s">
        <v>672</v>
      </c>
      <c r="H267">
        <v>1</v>
      </c>
      <c r="I267" s="11" t="s">
        <v>1037</v>
      </c>
      <c r="M267" s="11" t="s">
        <v>72</v>
      </c>
      <c r="N267" s="11" t="s">
        <v>1038</v>
      </c>
      <c r="O267" s="11" t="s">
        <v>1039</v>
      </c>
      <c r="P267" s="11" t="s">
        <v>1037</v>
      </c>
      <c r="Q267" s="11" t="s">
        <v>135</v>
      </c>
      <c r="U267" s="11" t="s">
        <v>677</v>
      </c>
      <c r="V267" s="11" t="s">
        <v>137</v>
      </c>
      <c r="W267" s="13">
        <v>46302.314618055556</v>
      </c>
    </row>
    <row r="268" spans="1:23">
      <c r="A268">
        <v>259823</v>
      </c>
      <c r="B268">
        <v>9567</v>
      </c>
      <c r="C268" s="11" t="s">
        <v>129</v>
      </c>
      <c r="D268" s="11" t="s">
        <v>130</v>
      </c>
      <c r="E268" s="11" t="s">
        <v>25</v>
      </c>
      <c r="F268" s="12">
        <v>46140</v>
      </c>
      <c r="G268" s="11" t="s">
        <v>226</v>
      </c>
      <c r="H268">
        <v>1</v>
      </c>
      <c r="I268" s="11" t="s">
        <v>1040</v>
      </c>
      <c r="M268" s="11" t="s">
        <v>87</v>
      </c>
      <c r="N268" s="11" t="s">
        <v>1041</v>
      </c>
      <c r="O268" s="11" t="s">
        <v>1042</v>
      </c>
      <c r="P268" s="11" t="s">
        <v>1040</v>
      </c>
      <c r="Q268" s="11" t="s">
        <v>135</v>
      </c>
      <c r="U268" s="11" t="s">
        <v>231</v>
      </c>
      <c r="V268" s="11" t="s">
        <v>137</v>
      </c>
      <c r="W268" s="13">
        <v>46302.314618055556</v>
      </c>
    </row>
    <row r="269" spans="1:23">
      <c r="A269">
        <v>259824</v>
      </c>
      <c r="B269">
        <v>9568</v>
      </c>
      <c r="C269" s="11" t="s">
        <v>129</v>
      </c>
      <c r="D269" s="11" t="s">
        <v>130</v>
      </c>
      <c r="E269" s="11" t="s">
        <v>25</v>
      </c>
      <c r="F269" s="12">
        <v>46140</v>
      </c>
      <c r="G269" s="11" t="s">
        <v>672</v>
      </c>
      <c r="H269">
        <v>2</v>
      </c>
      <c r="I269" s="11" t="s">
        <v>1043</v>
      </c>
      <c r="M269" s="11" t="s">
        <v>72</v>
      </c>
      <c r="N269" s="11" t="s">
        <v>1044</v>
      </c>
      <c r="O269" s="11" t="s">
        <v>1045</v>
      </c>
      <c r="P269" s="11" t="s">
        <v>1046</v>
      </c>
      <c r="Q269" s="11" t="s">
        <v>135</v>
      </c>
      <c r="U269" s="11" t="s">
        <v>677</v>
      </c>
      <c r="V269" s="11" t="s">
        <v>137</v>
      </c>
      <c r="W269" s="13">
        <v>46302.314618055556</v>
      </c>
    </row>
    <row r="270" spans="1:23">
      <c r="A270">
        <v>259825</v>
      </c>
      <c r="B270">
        <v>9569</v>
      </c>
      <c r="C270" s="11" t="s">
        <v>129</v>
      </c>
      <c r="D270" s="11" t="s">
        <v>130</v>
      </c>
      <c r="E270" s="11" t="s">
        <v>25</v>
      </c>
      <c r="F270" s="12">
        <v>46140</v>
      </c>
      <c r="G270" s="11" t="s">
        <v>439</v>
      </c>
      <c r="H270">
        <v>1</v>
      </c>
      <c r="I270" s="11" t="s">
        <v>1047</v>
      </c>
      <c r="M270" s="11" t="s">
        <v>73</v>
      </c>
      <c r="N270" s="11" t="s">
        <v>1048</v>
      </c>
      <c r="O270" s="11" t="s">
        <v>765</v>
      </c>
      <c r="P270" s="11" t="s">
        <v>1047</v>
      </c>
      <c r="Q270" s="11" t="s">
        <v>135</v>
      </c>
      <c r="U270" s="11" t="s">
        <v>443</v>
      </c>
      <c r="V270" s="11" t="s">
        <v>137</v>
      </c>
      <c r="W270" s="13">
        <v>46302.314618055556</v>
      </c>
    </row>
    <row r="271" spans="1:23">
      <c r="A271">
        <v>259826</v>
      </c>
      <c r="B271">
        <v>9570</v>
      </c>
      <c r="C271" s="11" t="s">
        <v>129</v>
      </c>
      <c r="D271" s="11" t="s">
        <v>130</v>
      </c>
      <c r="E271" s="11" t="s">
        <v>25</v>
      </c>
      <c r="F271" s="12">
        <v>46140</v>
      </c>
      <c r="G271" s="11" t="s">
        <v>263</v>
      </c>
      <c r="H271">
        <v>1</v>
      </c>
      <c r="I271" s="11" t="s">
        <v>1049</v>
      </c>
      <c r="M271" s="11" t="s">
        <v>92</v>
      </c>
      <c r="N271" s="11" t="s">
        <v>1050</v>
      </c>
      <c r="O271" s="11" t="s">
        <v>1051</v>
      </c>
      <c r="P271" s="11" t="s">
        <v>1049</v>
      </c>
      <c r="Q271" s="11" t="s">
        <v>135</v>
      </c>
      <c r="U271" s="11" t="s">
        <v>267</v>
      </c>
      <c r="V271" s="11" t="s">
        <v>137</v>
      </c>
      <c r="W271" s="13">
        <v>46302.314618055556</v>
      </c>
    </row>
    <row r="272" spans="1:23">
      <c r="A272">
        <v>259827</v>
      </c>
      <c r="B272">
        <v>9571</v>
      </c>
      <c r="C272" s="11" t="s">
        <v>129</v>
      </c>
      <c r="D272" s="11" t="s">
        <v>130</v>
      </c>
      <c r="E272" s="11" t="s">
        <v>25</v>
      </c>
      <c r="F272" s="12">
        <v>46140</v>
      </c>
      <c r="G272" s="11" t="s">
        <v>1052</v>
      </c>
      <c r="H272">
        <v>1</v>
      </c>
      <c r="I272" s="11" t="s">
        <v>1053</v>
      </c>
      <c r="M272" s="11" t="s">
        <v>84</v>
      </c>
      <c r="N272" s="11" t="s">
        <v>1054</v>
      </c>
      <c r="O272" s="11" t="s">
        <v>1055</v>
      </c>
      <c r="P272" s="11" t="s">
        <v>1053</v>
      </c>
      <c r="Q272" s="11" t="s">
        <v>135</v>
      </c>
      <c r="U272" s="11" t="s">
        <v>1056</v>
      </c>
      <c r="V272" s="11" t="s">
        <v>137</v>
      </c>
      <c r="W272" s="13">
        <v>46302.314618055556</v>
      </c>
    </row>
    <row r="273" spans="1:23">
      <c r="A273">
        <v>259828</v>
      </c>
      <c r="B273">
        <v>9572</v>
      </c>
      <c r="C273" s="11" t="s">
        <v>129</v>
      </c>
      <c r="D273" s="11" t="s">
        <v>130</v>
      </c>
      <c r="E273" s="11" t="s">
        <v>25</v>
      </c>
      <c r="F273" s="12">
        <v>46140</v>
      </c>
      <c r="G273" s="11" t="s">
        <v>439</v>
      </c>
      <c r="H273">
        <v>1</v>
      </c>
      <c r="I273" s="11" t="s">
        <v>870</v>
      </c>
      <c r="M273" s="11" t="s">
        <v>73</v>
      </c>
      <c r="N273" s="11" t="s">
        <v>1057</v>
      </c>
      <c r="O273" s="11" t="s">
        <v>1058</v>
      </c>
      <c r="P273" s="11" t="s">
        <v>870</v>
      </c>
      <c r="Q273" s="11" t="s">
        <v>135</v>
      </c>
      <c r="U273" s="11" t="s">
        <v>443</v>
      </c>
      <c r="V273" s="11" t="s">
        <v>137</v>
      </c>
      <c r="W273" s="13">
        <v>46302.314618055556</v>
      </c>
    </row>
    <row r="274" spans="1:23">
      <c r="A274">
        <v>259829</v>
      </c>
      <c r="B274">
        <v>9573</v>
      </c>
      <c r="C274" s="11" t="s">
        <v>129</v>
      </c>
      <c r="D274" s="11" t="s">
        <v>130</v>
      </c>
      <c r="E274" s="11" t="s">
        <v>25</v>
      </c>
      <c r="F274" s="12">
        <v>46140</v>
      </c>
      <c r="G274" s="11" t="s">
        <v>237</v>
      </c>
      <c r="H274">
        <v>1</v>
      </c>
      <c r="I274" s="11" t="s">
        <v>1059</v>
      </c>
      <c r="M274" s="11" t="s">
        <v>71</v>
      </c>
      <c r="N274" s="11" t="s">
        <v>1060</v>
      </c>
      <c r="O274" s="11" t="s">
        <v>1061</v>
      </c>
      <c r="P274" s="11" t="s">
        <v>1059</v>
      </c>
      <c r="Q274" s="11" t="s">
        <v>135</v>
      </c>
      <c r="U274" s="11" t="s">
        <v>241</v>
      </c>
      <c r="V274" s="11" t="s">
        <v>137</v>
      </c>
      <c r="W274" s="13">
        <v>46302.314618055556</v>
      </c>
    </row>
    <row r="275" spans="1:23">
      <c r="A275">
        <v>259830</v>
      </c>
      <c r="B275">
        <v>9574</v>
      </c>
      <c r="C275" s="11" t="s">
        <v>129</v>
      </c>
      <c r="D275" s="11" t="s">
        <v>130</v>
      </c>
      <c r="E275" s="11" t="s">
        <v>25</v>
      </c>
      <c r="F275" s="12">
        <v>46140</v>
      </c>
      <c r="G275" s="11" t="s">
        <v>439</v>
      </c>
      <c r="H275">
        <v>1</v>
      </c>
      <c r="I275" s="11" t="s">
        <v>1062</v>
      </c>
      <c r="M275" s="11" t="s">
        <v>73</v>
      </c>
      <c r="N275" s="11" t="s">
        <v>1063</v>
      </c>
      <c r="O275" s="11" t="s">
        <v>1064</v>
      </c>
      <c r="P275" s="11" t="s">
        <v>1062</v>
      </c>
      <c r="Q275" s="11" t="s">
        <v>135</v>
      </c>
      <c r="U275" s="11" t="s">
        <v>443</v>
      </c>
      <c r="V275" s="11" t="s">
        <v>137</v>
      </c>
      <c r="W275" s="13">
        <v>46302.314618055556</v>
      </c>
    </row>
    <row r="276" spans="1:23">
      <c r="A276">
        <v>259831</v>
      </c>
      <c r="B276">
        <v>9575</v>
      </c>
      <c r="C276" s="11" t="s">
        <v>129</v>
      </c>
      <c r="D276" s="11" t="s">
        <v>130</v>
      </c>
      <c r="E276" s="11" t="s">
        <v>25</v>
      </c>
      <c r="F276" s="12">
        <v>46140</v>
      </c>
      <c r="G276" s="11" t="s">
        <v>439</v>
      </c>
      <c r="H276">
        <v>1</v>
      </c>
      <c r="I276" s="11" t="s">
        <v>1065</v>
      </c>
      <c r="M276" s="11" t="s">
        <v>73</v>
      </c>
      <c r="N276" s="11" t="s">
        <v>1066</v>
      </c>
      <c r="O276" s="11" t="s">
        <v>1067</v>
      </c>
      <c r="P276" s="11" t="s">
        <v>1065</v>
      </c>
      <c r="Q276" s="11" t="s">
        <v>135</v>
      </c>
      <c r="U276" s="11" t="s">
        <v>443</v>
      </c>
      <c r="V276" s="11" t="s">
        <v>137</v>
      </c>
      <c r="W276" s="13">
        <v>46302.314618055556</v>
      </c>
    </row>
    <row r="277" spans="1:23">
      <c r="A277">
        <v>259832</v>
      </c>
      <c r="B277">
        <v>9576</v>
      </c>
      <c r="C277" s="11" t="s">
        <v>129</v>
      </c>
      <c r="D277" s="11" t="s">
        <v>130</v>
      </c>
      <c r="E277" s="11" t="s">
        <v>25</v>
      </c>
      <c r="F277" s="12">
        <v>46140</v>
      </c>
      <c r="G277" s="11" t="s">
        <v>672</v>
      </c>
      <c r="H277">
        <v>1</v>
      </c>
      <c r="I277" s="11" t="s">
        <v>1068</v>
      </c>
      <c r="M277" s="11" t="s">
        <v>72</v>
      </c>
      <c r="N277" s="11" t="s">
        <v>1069</v>
      </c>
      <c r="O277" s="11" t="s">
        <v>1070</v>
      </c>
      <c r="P277" s="11" t="s">
        <v>1068</v>
      </c>
      <c r="Q277" s="11" t="s">
        <v>135</v>
      </c>
      <c r="U277" s="11" t="s">
        <v>677</v>
      </c>
      <c r="V277" s="11" t="s">
        <v>137</v>
      </c>
      <c r="W277" s="13">
        <v>46302.314618055556</v>
      </c>
    </row>
    <row r="278" spans="1:23">
      <c r="A278">
        <v>259833</v>
      </c>
      <c r="B278">
        <v>9577</v>
      </c>
      <c r="C278" s="11" t="s">
        <v>129</v>
      </c>
      <c r="D278" s="11" t="s">
        <v>130</v>
      </c>
      <c r="E278" s="11" t="s">
        <v>25</v>
      </c>
      <c r="F278" s="12">
        <v>46140</v>
      </c>
      <c r="G278" s="11" t="s">
        <v>226</v>
      </c>
      <c r="H278">
        <v>1</v>
      </c>
      <c r="I278" s="11" t="s">
        <v>555</v>
      </c>
      <c r="M278" s="11" t="s">
        <v>87</v>
      </c>
      <c r="N278" s="11" t="s">
        <v>1071</v>
      </c>
      <c r="O278" s="11" t="s">
        <v>1072</v>
      </c>
      <c r="P278" s="11" t="s">
        <v>555</v>
      </c>
      <c r="Q278" s="11" t="s">
        <v>135</v>
      </c>
      <c r="U278" s="11" t="s">
        <v>231</v>
      </c>
      <c r="V278" s="11" t="s">
        <v>137</v>
      </c>
      <c r="W278" s="13">
        <v>46302.314618055556</v>
      </c>
    </row>
    <row r="279" spans="1:23">
      <c r="A279">
        <v>259834</v>
      </c>
      <c r="B279">
        <v>9578</v>
      </c>
      <c r="C279" s="11" t="s">
        <v>129</v>
      </c>
      <c r="D279" s="11" t="s">
        <v>130</v>
      </c>
      <c r="E279" s="11" t="s">
        <v>25</v>
      </c>
      <c r="F279" s="12">
        <v>46140</v>
      </c>
      <c r="G279" s="11" t="s">
        <v>439</v>
      </c>
      <c r="H279">
        <v>1</v>
      </c>
      <c r="I279" s="11" t="s">
        <v>1073</v>
      </c>
      <c r="M279" s="11" t="s">
        <v>73</v>
      </c>
      <c r="N279" s="11" t="s">
        <v>1074</v>
      </c>
      <c r="O279" s="11" t="s">
        <v>1075</v>
      </c>
      <c r="P279" s="11" t="s">
        <v>1073</v>
      </c>
      <c r="Q279" s="11" t="s">
        <v>135</v>
      </c>
      <c r="U279" s="11" t="s">
        <v>443</v>
      </c>
      <c r="V279" s="11" t="s">
        <v>137</v>
      </c>
      <c r="W279" s="13">
        <v>46302.314618055556</v>
      </c>
    </row>
    <row r="280" spans="1:23">
      <c r="A280">
        <v>259835</v>
      </c>
      <c r="B280">
        <v>9579</v>
      </c>
      <c r="C280" s="11" t="s">
        <v>129</v>
      </c>
      <c r="D280" s="11" t="s">
        <v>130</v>
      </c>
      <c r="E280" s="11" t="s">
        <v>25</v>
      </c>
      <c r="F280" s="12">
        <v>46140</v>
      </c>
      <c r="G280" s="11" t="s">
        <v>312</v>
      </c>
      <c r="H280">
        <v>1</v>
      </c>
      <c r="I280" s="11" t="s">
        <v>1076</v>
      </c>
      <c r="M280" s="11" t="s">
        <v>86</v>
      </c>
      <c r="N280" s="11" t="s">
        <v>1077</v>
      </c>
      <c r="O280" s="11" t="s">
        <v>1078</v>
      </c>
      <c r="P280" s="11" t="s">
        <v>1076</v>
      </c>
      <c r="Q280" s="11" t="s">
        <v>135</v>
      </c>
      <c r="U280" s="11" t="s">
        <v>315</v>
      </c>
      <c r="V280" s="11" t="s">
        <v>137</v>
      </c>
      <c r="W280" s="13">
        <v>46302.314618055556</v>
      </c>
    </row>
    <row r="281" spans="1:23">
      <c r="A281">
        <v>259836</v>
      </c>
      <c r="B281">
        <v>9565</v>
      </c>
      <c r="C281" s="11" t="s">
        <v>129</v>
      </c>
      <c r="D281" s="11" t="s">
        <v>130</v>
      </c>
      <c r="E281" s="11" t="s">
        <v>25</v>
      </c>
      <c r="F281" s="12">
        <v>46140</v>
      </c>
      <c r="G281" s="11" t="s">
        <v>308</v>
      </c>
      <c r="H281">
        <v>1</v>
      </c>
      <c r="I281" s="11" t="s">
        <v>1036</v>
      </c>
      <c r="M281" s="11" t="s">
        <v>90</v>
      </c>
      <c r="N281" s="11" t="s">
        <v>1079</v>
      </c>
      <c r="O281" s="11" t="s">
        <v>1080</v>
      </c>
      <c r="P281" s="11" t="s">
        <v>1036</v>
      </c>
      <c r="Q281" s="11" t="s">
        <v>135</v>
      </c>
      <c r="R281">
        <v>9564</v>
      </c>
      <c r="U281" s="11" t="s">
        <v>311</v>
      </c>
      <c r="V281" s="11" t="s">
        <v>137</v>
      </c>
      <c r="W281" s="13">
        <v>46302.314618055556</v>
      </c>
    </row>
    <row r="282" spans="1:23">
      <c r="A282">
        <v>260492</v>
      </c>
      <c r="B282">
        <v>9861</v>
      </c>
      <c r="C282" s="11" t="s">
        <v>129</v>
      </c>
      <c r="D282" s="11" t="s">
        <v>130</v>
      </c>
      <c r="E282" s="11" t="s">
        <v>25</v>
      </c>
      <c r="F282" s="12">
        <v>46143</v>
      </c>
      <c r="G282" s="11" t="s">
        <v>312</v>
      </c>
      <c r="H282">
        <v>1</v>
      </c>
      <c r="I282" s="11" t="s">
        <v>805</v>
      </c>
      <c r="M282" s="11" t="s">
        <v>86</v>
      </c>
      <c r="N282" s="11" t="s">
        <v>1081</v>
      </c>
      <c r="O282" s="11" t="s">
        <v>1082</v>
      </c>
      <c r="P282" s="11" t="s">
        <v>805</v>
      </c>
      <c r="Q282" s="11" t="s">
        <v>135</v>
      </c>
      <c r="U282" s="11" t="s">
        <v>315</v>
      </c>
      <c r="V282" s="11" t="s">
        <v>137</v>
      </c>
      <c r="W282" s="13">
        <v>46302.314618055556</v>
      </c>
    </row>
    <row r="283" spans="1:23">
      <c r="A283">
        <v>260493</v>
      </c>
      <c r="B283">
        <v>9846</v>
      </c>
      <c r="C283" s="11" t="s">
        <v>129</v>
      </c>
      <c r="D283" s="11" t="s">
        <v>130</v>
      </c>
      <c r="E283" s="11" t="s">
        <v>25</v>
      </c>
      <c r="F283" s="12">
        <v>46143</v>
      </c>
      <c r="G283" s="11" t="s">
        <v>226</v>
      </c>
      <c r="H283">
        <v>1</v>
      </c>
      <c r="I283" s="11" t="s">
        <v>1083</v>
      </c>
      <c r="M283" s="11" t="s">
        <v>87</v>
      </c>
      <c r="N283" s="11" t="s">
        <v>1084</v>
      </c>
      <c r="O283" s="11" t="s">
        <v>1085</v>
      </c>
      <c r="P283" s="11" t="s">
        <v>1083</v>
      </c>
      <c r="Q283" s="11" t="s">
        <v>135</v>
      </c>
      <c r="U283" s="11" t="s">
        <v>231</v>
      </c>
      <c r="V283" s="11" t="s">
        <v>137</v>
      </c>
      <c r="W283" s="13">
        <v>46302.314618055556</v>
      </c>
    </row>
    <row r="284" spans="1:23">
      <c r="A284">
        <v>260494</v>
      </c>
      <c r="B284">
        <v>9847</v>
      </c>
      <c r="C284" s="11" t="s">
        <v>129</v>
      </c>
      <c r="D284" s="11" t="s">
        <v>130</v>
      </c>
      <c r="E284" s="11" t="s">
        <v>25</v>
      </c>
      <c r="F284" s="12">
        <v>46143</v>
      </c>
      <c r="G284" s="11" t="s">
        <v>232</v>
      </c>
      <c r="H284">
        <v>1</v>
      </c>
      <c r="I284" s="11" t="s">
        <v>1086</v>
      </c>
      <c r="M284" s="11" t="s">
        <v>89</v>
      </c>
      <c r="N284" s="11" t="s">
        <v>1087</v>
      </c>
      <c r="O284" s="11" t="s">
        <v>1088</v>
      </c>
      <c r="P284" s="11" t="s">
        <v>1086</v>
      </c>
      <c r="Q284" s="11" t="s">
        <v>135</v>
      </c>
      <c r="U284" s="11" t="s">
        <v>236</v>
      </c>
      <c r="V284" s="11" t="s">
        <v>137</v>
      </c>
      <c r="W284" s="13">
        <v>46302.314618055556</v>
      </c>
    </row>
    <row r="285" spans="1:23">
      <c r="A285">
        <v>260495</v>
      </c>
      <c r="B285">
        <v>9848</v>
      </c>
      <c r="C285" s="11" t="s">
        <v>129</v>
      </c>
      <c r="D285" s="11" t="s">
        <v>130</v>
      </c>
      <c r="E285" s="11" t="s">
        <v>25</v>
      </c>
      <c r="F285" s="12">
        <v>46143</v>
      </c>
      <c r="G285" s="11" t="s">
        <v>226</v>
      </c>
      <c r="H285">
        <v>1</v>
      </c>
      <c r="I285" s="11" t="s">
        <v>1089</v>
      </c>
      <c r="M285" s="11" t="s">
        <v>87</v>
      </c>
      <c r="N285" s="11" t="s">
        <v>1090</v>
      </c>
      <c r="O285" s="11" t="s">
        <v>1091</v>
      </c>
      <c r="P285" s="11" t="s">
        <v>1089</v>
      </c>
      <c r="Q285" s="11" t="s">
        <v>135</v>
      </c>
      <c r="U285" s="11" t="s">
        <v>231</v>
      </c>
      <c r="V285" s="11" t="s">
        <v>137</v>
      </c>
      <c r="W285" s="13">
        <v>46302.314618055556</v>
      </c>
    </row>
    <row r="286" spans="1:23">
      <c r="A286">
        <v>260496</v>
      </c>
      <c r="B286">
        <v>9849</v>
      </c>
      <c r="C286" s="11" t="s">
        <v>129</v>
      </c>
      <c r="D286" s="11" t="s">
        <v>130</v>
      </c>
      <c r="E286" s="11" t="s">
        <v>25</v>
      </c>
      <c r="F286" s="12">
        <v>46143</v>
      </c>
      <c r="G286" s="11" t="s">
        <v>308</v>
      </c>
      <c r="H286">
        <v>1</v>
      </c>
      <c r="I286" s="11" t="s">
        <v>1092</v>
      </c>
      <c r="M286" s="11" t="s">
        <v>90</v>
      </c>
      <c r="N286" s="11" t="s">
        <v>1093</v>
      </c>
      <c r="O286" s="11" t="s">
        <v>1094</v>
      </c>
      <c r="P286" s="11" t="s">
        <v>1092</v>
      </c>
      <c r="Q286" s="11" t="s">
        <v>135</v>
      </c>
      <c r="U286" s="11" t="s">
        <v>311</v>
      </c>
      <c r="V286" s="11" t="s">
        <v>137</v>
      </c>
      <c r="W286" s="13">
        <v>46302.314618055556</v>
      </c>
    </row>
    <row r="287" spans="1:23">
      <c r="A287">
        <v>260497</v>
      </c>
      <c r="B287">
        <v>9850</v>
      </c>
      <c r="C287" s="11" t="s">
        <v>129</v>
      </c>
      <c r="D287" s="11" t="s">
        <v>130</v>
      </c>
      <c r="E287" s="11" t="s">
        <v>25</v>
      </c>
      <c r="F287" s="12">
        <v>46143</v>
      </c>
      <c r="G287" s="11" t="s">
        <v>672</v>
      </c>
      <c r="H287">
        <v>7</v>
      </c>
      <c r="I287" s="11" t="s">
        <v>1095</v>
      </c>
      <c r="M287" s="11" t="s">
        <v>72</v>
      </c>
      <c r="N287" s="11" t="s">
        <v>1096</v>
      </c>
      <c r="O287" s="11" t="s">
        <v>1097</v>
      </c>
      <c r="P287" s="11" t="s">
        <v>1098</v>
      </c>
      <c r="Q287" s="11" t="s">
        <v>135</v>
      </c>
      <c r="U287" s="11" t="s">
        <v>677</v>
      </c>
      <c r="V287" s="11" t="s">
        <v>137</v>
      </c>
      <c r="W287" s="13">
        <v>46302.314618055556</v>
      </c>
    </row>
    <row r="288" spans="1:23">
      <c r="A288">
        <v>260498</v>
      </c>
      <c r="B288">
        <v>9851</v>
      </c>
      <c r="C288" s="11" t="s">
        <v>129</v>
      </c>
      <c r="D288" s="11" t="s">
        <v>130</v>
      </c>
      <c r="E288" s="11" t="s">
        <v>25</v>
      </c>
      <c r="F288" s="12">
        <v>46143</v>
      </c>
      <c r="G288" s="11" t="s">
        <v>226</v>
      </c>
      <c r="H288">
        <v>1</v>
      </c>
      <c r="I288" s="11" t="s">
        <v>1099</v>
      </c>
      <c r="M288" s="11" t="s">
        <v>87</v>
      </c>
      <c r="N288" s="11" t="s">
        <v>1100</v>
      </c>
      <c r="O288" s="11" t="s">
        <v>1101</v>
      </c>
      <c r="P288" s="11" t="s">
        <v>1099</v>
      </c>
      <c r="Q288" s="11" t="s">
        <v>135</v>
      </c>
      <c r="U288" s="11" t="s">
        <v>231</v>
      </c>
      <c r="V288" s="11" t="s">
        <v>137</v>
      </c>
      <c r="W288" s="13">
        <v>46302.314618055556</v>
      </c>
    </row>
    <row r="289" spans="1:23">
      <c r="A289">
        <v>260499</v>
      </c>
      <c r="B289">
        <v>9852</v>
      </c>
      <c r="C289" s="11" t="s">
        <v>129</v>
      </c>
      <c r="D289" s="11" t="s">
        <v>130</v>
      </c>
      <c r="E289" s="11" t="s">
        <v>25</v>
      </c>
      <c r="F289" s="12">
        <v>46143</v>
      </c>
      <c r="G289" s="11" t="s">
        <v>237</v>
      </c>
      <c r="H289">
        <v>1</v>
      </c>
      <c r="I289" s="11" t="s">
        <v>1102</v>
      </c>
      <c r="M289" s="11" t="s">
        <v>71</v>
      </c>
      <c r="N289" s="11" t="s">
        <v>1103</v>
      </c>
      <c r="O289" s="11" t="s">
        <v>1104</v>
      </c>
      <c r="P289" s="11" t="s">
        <v>1102</v>
      </c>
      <c r="Q289" s="11" t="s">
        <v>135</v>
      </c>
      <c r="U289" s="11" t="s">
        <v>241</v>
      </c>
      <c r="V289" s="11" t="s">
        <v>137</v>
      </c>
      <c r="W289" s="13">
        <v>46302.314618055556</v>
      </c>
    </row>
    <row r="290" spans="1:23">
      <c r="A290">
        <v>260500</v>
      </c>
      <c r="B290">
        <v>9853</v>
      </c>
      <c r="C290" s="11" t="s">
        <v>129</v>
      </c>
      <c r="D290" s="11" t="s">
        <v>130</v>
      </c>
      <c r="E290" s="11" t="s">
        <v>25</v>
      </c>
      <c r="F290" s="12">
        <v>46143</v>
      </c>
      <c r="G290" s="11" t="s">
        <v>226</v>
      </c>
      <c r="H290">
        <v>1</v>
      </c>
      <c r="I290" s="11" t="s">
        <v>1105</v>
      </c>
      <c r="M290" s="11" t="s">
        <v>87</v>
      </c>
      <c r="N290" s="11" t="s">
        <v>1106</v>
      </c>
      <c r="O290" s="11" t="s">
        <v>1107</v>
      </c>
      <c r="P290" s="11" t="s">
        <v>1105</v>
      </c>
      <c r="Q290" s="11" t="s">
        <v>135</v>
      </c>
      <c r="U290" s="11" t="s">
        <v>231</v>
      </c>
      <c r="V290" s="11" t="s">
        <v>137</v>
      </c>
      <c r="W290" s="13">
        <v>46302.314618055556</v>
      </c>
    </row>
    <row r="291" spans="1:23">
      <c r="A291">
        <v>260501</v>
      </c>
      <c r="B291">
        <v>9854</v>
      </c>
      <c r="C291" s="11" t="s">
        <v>129</v>
      </c>
      <c r="D291" s="11" t="s">
        <v>130</v>
      </c>
      <c r="E291" s="11" t="s">
        <v>25</v>
      </c>
      <c r="F291" s="12">
        <v>46143</v>
      </c>
      <c r="G291" s="11" t="s">
        <v>263</v>
      </c>
      <c r="H291">
        <v>1</v>
      </c>
      <c r="I291" s="11" t="s">
        <v>1108</v>
      </c>
      <c r="M291" s="11" t="s">
        <v>92</v>
      </c>
      <c r="N291" s="11" t="s">
        <v>1109</v>
      </c>
      <c r="O291" s="11" t="s">
        <v>1110</v>
      </c>
      <c r="P291" s="11" t="s">
        <v>1108</v>
      </c>
      <c r="Q291" s="11" t="s">
        <v>135</v>
      </c>
      <c r="U291" s="11" t="s">
        <v>267</v>
      </c>
      <c r="V291" s="11" t="s">
        <v>137</v>
      </c>
      <c r="W291" s="13">
        <v>46302.314618055556</v>
      </c>
    </row>
    <row r="292" spans="1:23">
      <c r="A292">
        <v>260502</v>
      </c>
      <c r="B292">
        <v>9855</v>
      </c>
      <c r="C292" s="11" t="s">
        <v>129</v>
      </c>
      <c r="D292" s="11" t="s">
        <v>130</v>
      </c>
      <c r="E292" s="11" t="s">
        <v>25</v>
      </c>
      <c r="F292" s="12">
        <v>46143</v>
      </c>
      <c r="G292" s="11" t="s">
        <v>274</v>
      </c>
      <c r="H292">
        <v>1</v>
      </c>
      <c r="I292" s="11" t="s">
        <v>1111</v>
      </c>
      <c r="M292" s="11" t="s">
        <v>77</v>
      </c>
      <c r="N292" s="11" t="s">
        <v>1112</v>
      </c>
      <c r="O292" s="11" t="s">
        <v>1113</v>
      </c>
      <c r="P292" s="11" t="s">
        <v>1111</v>
      </c>
      <c r="Q292" s="11" t="s">
        <v>135</v>
      </c>
      <c r="U292" s="11" t="s">
        <v>278</v>
      </c>
      <c r="V292" s="11" t="s">
        <v>137</v>
      </c>
      <c r="W292" s="13">
        <v>46302.314618055556</v>
      </c>
    </row>
    <row r="293" spans="1:23">
      <c r="A293">
        <v>260503</v>
      </c>
      <c r="B293">
        <v>9856</v>
      </c>
      <c r="C293" s="11" t="s">
        <v>129</v>
      </c>
      <c r="D293" s="11" t="s">
        <v>130</v>
      </c>
      <c r="E293" s="11" t="s">
        <v>25</v>
      </c>
      <c r="F293" s="12">
        <v>46143</v>
      </c>
      <c r="G293" s="11" t="s">
        <v>284</v>
      </c>
      <c r="H293">
        <v>1</v>
      </c>
      <c r="I293" s="11" t="s">
        <v>636</v>
      </c>
      <c r="M293" s="11" t="s">
        <v>80</v>
      </c>
      <c r="N293" s="11" t="s">
        <v>1114</v>
      </c>
      <c r="O293" s="11" t="s">
        <v>1057</v>
      </c>
      <c r="P293" s="11" t="s">
        <v>636</v>
      </c>
      <c r="Q293" s="11" t="s">
        <v>135</v>
      </c>
      <c r="U293" s="11" t="s">
        <v>288</v>
      </c>
      <c r="V293" s="11" t="s">
        <v>137</v>
      </c>
      <c r="W293" s="13">
        <v>46302.314618055556</v>
      </c>
    </row>
    <row r="294" spans="1:23">
      <c r="A294">
        <v>260504</v>
      </c>
      <c r="B294">
        <v>9857</v>
      </c>
      <c r="C294" s="11" t="s">
        <v>129</v>
      </c>
      <c r="D294" s="11" t="s">
        <v>130</v>
      </c>
      <c r="E294" s="11" t="s">
        <v>25</v>
      </c>
      <c r="F294" s="12">
        <v>46143</v>
      </c>
      <c r="G294" s="11" t="s">
        <v>439</v>
      </c>
      <c r="H294">
        <v>5</v>
      </c>
      <c r="I294" s="11" t="s">
        <v>1115</v>
      </c>
      <c r="M294" s="11" t="s">
        <v>73</v>
      </c>
      <c r="N294" s="11" t="s">
        <v>1116</v>
      </c>
      <c r="O294" s="11" t="s">
        <v>1117</v>
      </c>
      <c r="P294" s="11" t="s">
        <v>1118</v>
      </c>
      <c r="Q294" s="11" t="s">
        <v>135</v>
      </c>
      <c r="U294" s="11" t="s">
        <v>443</v>
      </c>
      <c r="V294" s="11" t="s">
        <v>137</v>
      </c>
      <c r="W294" s="13">
        <v>46302.314618055556</v>
      </c>
    </row>
    <row r="295" spans="1:23">
      <c r="A295">
        <v>260505</v>
      </c>
      <c r="B295">
        <v>9858</v>
      </c>
      <c r="C295" s="11" t="s">
        <v>129</v>
      </c>
      <c r="D295" s="11" t="s">
        <v>130</v>
      </c>
      <c r="E295" s="11" t="s">
        <v>25</v>
      </c>
      <c r="F295" s="12">
        <v>46143</v>
      </c>
      <c r="G295" s="11" t="s">
        <v>263</v>
      </c>
      <c r="H295">
        <v>1</v>
      </c>
      <c r="I295" s="11" t="s">
        <v>456</v>
      </c>
      <c r="M295" s="11" t="s">
        <v>92</v>
      </c>
      <c r="N295" s="11" t="s">
        <v>1119</v>
      </c>
      <c r="O295" s="11" t="s">
        <v>1120</v>
      </c>
      <c r="P295" s="11" t="s">
        <v>456</v>
      </c>
      <c r="Q295" s="11" t="s">
        <v>135</v>
      </c>
      <c r="U295" s="11" t="s">
        <v>267</v>
      </c>
      <c r="V295" s="11" t="s">
        <v>137</v>
      </c>
      <c r="W295" s="13">
        <v>46302.314618055556</v>
      </c>
    </row>
    <row r="296" spans="1:23">
      <c r="A296">
        <v>260506</v>
      </c>
      <c r="B296">
        <v>9859</v>
      </c>
      <c r="C296" s="11" t="s">
        <v>129</v>
      </c>
      <c r="D296" s="11" t="s">
        <v>130</v>
      </c>
      <c r="E296" s="11" t="s">
        <v>25</v>
      </c>
      <c r="F296" s="12">
        <v>46143</v>
      </c>
      <c r="G296" s="11" t="s">
        <v>666</v>
      </c>
      <c r="H296">
        <v>1</v>
      </c>
      <c r="I296" s="11" t="s">
        <v>1121</v>
      </c>
      <c r="M296" s="11" t="s">
        <v>95</v>
      </c>
      <c r="N296" s="11" t="s">
        <v>1122</v>
      </c>
      <c r="O296" s="11" t="s">
        <v>1123</v>
      </c>
      <c r="P296" s="11" t="s">
        <v>1121</v>
      </c>
      <c r="Q296" s="11" t="s">
        <v>135</v>
      </c>
      <c r="U296" s="11" t="s">
        <v>671</v>
      </c>
      <c r="V296" s="11" t="s">
        <v>137</v>
      </c>
      <c r="W296" s="13">
        <v>46302.314618055556</v>
      </c>
    </row>
    <row r="297" spans="1:23">
      <c r="A297">
        <v>260507</v>
      </c>
      <c r="B297">
        <v>9860</v>
      </c>
      <c r="C297" s="11" t="s">
        <v>129</v>
      </c>
      <c r="D297" s="11" t="s">
        <v>130</v>
      </c>
      <c r="E297" s="11" t="s">
        <v>25</v>
      </c>
      <c r="F297" s="12">
        <v>46143</v>
      </c>
      <c r="G297" s="11" t="s">
        <v>242</v>
      </c>
      <c r="H297">
        <v>1</v>
      </c>
      <c r="I297" s="11" t="s">
        <v>1124</v>
      </c>
      <c r="M297" s="11" t="s">
        <v>76</v>
      </c>
      <c r="N297" s="11" t="s">
        <v>1125</v>
      </c>
      <c r="O297" s="11" t="s">
        <v>1126</v>
      </c>
      <c r="P297" s="11" t="s">
        <v>1124</v>
      </c>
      <c r="Q297" s="11" t="s">
        <v>135</v>
      </c>
      <c r="U297" s="11" t="s">
        <v>245</v>
      </c>
      <c r="V297" s="11" t="s">
        <v>137</v>
      </c>
      <c r="W297" s="13">
        <v>46302.314618055556</v>
      </c>
    </row>
    <row r="298" spans="1:23">
      <c r="A298">
        <v>261168</v>
      </c>
      <c r="B298">
        <v>9878</v>
      </c>
      <c r="C298" s="11" t="s">
        <v>129</v>
      </c>
      <c r="D298" s="11" t="s">
        <v>130</v>
      </c>
      <c r="E298" s="11" t="s">
        <v>25</v>
      </c>
      <c r="F298" s="12">
        <v>46150</v>
      </c>
      <c r="G298" s="11" t="s">
        <v>226</v>
      </c>
      <c r="H298">
        <v>1</v>
      </c>
      <c r="I298" s="11" t="s">
        <v>1127</v>
      </c>
      <c r="M298" s="11" t="s">
        <v>87</v>
      </c>
      <c r="N298" s="11" t="s">
        <v>1128</v>
      </c>
      <c r="O298" s="11" t="s">
        <v>661</v>
      </c>
      <c r="P298" s="11" t="s">
        <v>1127</v>
      </c>
      <c r="Q298" s="11" t="s">
        <v>135</v>
      </c>
      <c r="U298" s="11" t="s">
        <v>231</v>
      </c>
      <c r="V298" s="11" t="s">
        <v>137</v>
      </c>
      <c r="W298" s="13">
        <v>46302.314618055556</v>
      </c>
    </row>
    <row r="299" spans="1:23">
      <c r="A299">
        <v>261169</v>
      </c>
      <c r="B299">
        <v>9879</v>
      </c>
      <c r="C299" s="11" t="s">
        <v>129</v>
      </c>
      <c r="D299" s="11" t="s">
        <v>130</v>
      </c>
      <c r="E299" s="11" t="s">
        <v>25</v>
      </c>
      <c r="F299" s="12">
        <v>46150</v>
      </c>
      <c r="G299" s="11" t="s">
        <v>308</v>
      </c>
      <c r="H299">
        <v>1</v>
      </c>
      <c r="I299" s="11" t="s">
        <v>1129</v>
      </c>
      <c r="M299" s="11" t="s">
        <v>90</v>
      </c>
      <c r="N299" s="11" t="s">
        <v>1130</v>
      </c>
      <c r="O299" s="11" t="s">
        <v>1131</v>
      </c>
      <c r="P299" s="11" t="s">
        <v>1129</v>
      </c>
      <c r="Q299" s="11" t="s">
        <v>135</v>
      </c>
      <c r="U299" s="11" t="s">
        <v>311</v>
      </c>
      <c r="V299" s="11" t="s">
        <v>137</v>
      </c>
      <c r="W299" s="13">
        <v>46302.314618055556</v>
      </c>
    </row>
    <row r="300" spans="1:23">
      <c r="A300">
        <v>261170</v>
      </c>
      <c r="B300">
        <v>9880</v>
      </c>
      <c r="C300" s="11" t="s">
        <v>129</v>
      </c>
      <c r="D300" s="11" t="s">
        <v>130</v>
      </c>
      <c r="E300" s="11" t="s">
        <v>25</v>
      </c>
      <c r="F300" s="12">
        <v>46150</v>
      </c>
      <c r="G300" s="11" t="s">
        <v>226</v>
      </c>
      <c r="H300">
        <v>1</v>
      </c>
      <c r="I300" s="11" t="s">
        <v>587</v>
      </c>
      <c r="M300" s="11" t="s">
        <v>87</v>
      </c>
      <c r="N300" s="11" t="s">
        <v>1132</v>
      </c>
      <c r="O300" s="11" t="s">
        <v>1133</v>
      </c>
      <c r="P300" s="11" t="s">
        <v>587</v>
      </c>
      <c r="Q300" s="11" t="s">
        <v>135</v>
      </c>
      <c r="U300" s="11" t="s">
        <v>231</v>
      </c>
      <c r="V300" s="11" t="s">
        <v>137</v>
      </c>
      <c r="W300" s="13">
        <v>46302.314618055556</v>
      </c>
    </row>
    <row r="301" spans="1:23">
      <c r="A301">
        <v>261171</v>
      </c>
      <c r="B301">
        <v>9881</v>
      </c>
      <c r="C301" s="11" t="s">
        <v>129</v>
      </c>
      <c r="D301" s="11" t="s">
        <v>130</v>
      </c>
      <c r="E301" s="11" t="s">
        <v>25</v>
      </c>
      <c r="F301" s="12">
        <v>46150</v>
      </c>
      <c r="G301" s="11" t="s">
        <v>804</v>
      </c>
      <c r="H301">
        <v>1</v>
      </c>
      <c r="I301" s="11" t="s">
        <v>1134</v>
      </c>
      <c r="M301" s="11" t="s">
        <v>76</v>
      </c>
      <c r="N301" s="11" t="s">
        <v>1135</v>
      </c>
      <c r="O301" s="11" t="s">
        <v>1136</v>
      </c>
      <c r="P301" s="11" t="s">
        <v>1134</v>
      </c>
      <c r="Q301" s="11" t="s">
        <v>135</v>
      </c>
      <c r="U301" s="11" t="s">
        <v>808</v>
      </c>
      <c r="V301" s="11" t="s">
        <v>137</v>
      </c>
      <c r="W301" s="13">
        <v>46302.314618055556</v>
      </c>
    </row>
    <row r="302" spans="1:23">
      <c r="A302">
        <v>261172</v>
      </c>
      <c r="B302">
        <v>9882</v>
      </c>
      <c r="C302" s="11" t="s">
        <v>129</v>
      </c>
      <c r="D302" s="11" t="s">
        <v>130</v>
      </c>
      <c r="E302" s="11" t="s">
        <v>25</v>
      </c>
      <c r="F302" s="12">
        <v>46150</v>
      </c>
      <c r="G302" s="11" t="s">
        <v>237</v>
      </c>
      <c r="H302">
        <v>1</v>
      </c>
      <c r="I302" s="11" t="s">
        <v>1137</v>
      </c>
      <c r="M302" s="11" t="s">
        <v>71</v>
      </c>
      <c r="N302" s="11" t="s">
        <v>1138</v>
      </c>
      <c r="O302" s="11" t="s">
        <v>1139</v>
      </c>
      <c r="P302" s="11" t="s">
        <v>1137</v>
      </c>
      <c r="Q302" s="11" t="s">
        <v>135</v>
      </c>
      <c r="U302" s="11" t="s">
        <v>241</v>
      </c>
      <c r="V302" s="11" t="s">
        <v>137</v>
      </c>
      <c r="W302" s="13">
        <v>46302.314618055556</v>
      </c>
    </row>
    <row r="303" spans="1:23">
      <c r="A303">
        <v>261173</v>
      </c>
      <c r="B303">
        <v>9883</v>
      </c>
      <c r="C303" s="11" t="s">
        <v>129</v>
      </c>
      <c r="D303" s="11" t="s">
        <v>130</v>
      </c>
      <c r="E303" s="11" t="s">
        <v>25</v>
      </c>
      <c r="F303" s="12">
        <v>46150</v>
      </c>
      <c r="G303" s="11" t="s">
        <v>439</v>
      </c>
      <c r="H303">
        <v>1</v>
      </c>
      <c r="I303" s="11" t="s">
        <v>200</v>
      </c>
      <c r="M303" s="11" t="s">
        <v>73</v>
      </c>
      <c r="N303" s="11" t="s">
        <v>1140</v>
      </c>
      <c r="O303" s="11" t="s">
        <v>1141</v>
      </c>
      <c r="P303" s="11" t="s">
        <v>200</v>
      </c>
      <c r="Q303" s="11" t="s">
        <v>135</v>
      </c>
      <c r="U303" s="11" t="s">
        <v>443</v>
      </c>
      <c r="V303" s="11" t="s">
        <v>137</v>
      </c>
      <c r="W303" s="13">
        <v>46302.314618055556</v>
      </c>
    </row>
    <row r="304" spans="1:23">
      <c r="A304">
        <v>261174</v>
      </c>
      <c r="B304">
        <v>9884</v>
      </c>
      <c r="C304" s="11" t="s">
        <v>129</v>
      </c>
      <c r="D304" s="11" t="s">
        <v>130</v>
      </c>
      <c r="E304" s="11" t="s">
        <v>25</v>
      </c>
      <c r="F304" s="12">
        <v>46150</v>
      </c>
      <c r="G304" s="11" t="s">
        <v>439</v>
      </c>
      <c r="H304">
        <v>1</v>
      </c>
      <c r="I304" s="11" t="s">
        <v>1142</v>
      </c>
      <c r="M304" s="11" t="s">
        <v>73</v>
      </c>
      <c r="N304" s="11" t="s">
        <v>1143</v>
      </c>
      <c r="O304" s="11" t="s">
        <v>1144</v>
      </c>
      <c r="P304" s="11" t="s">
        <v>1142</v>
      </c>
      <c r="Q304" s="11" t="s">
        <v>135</v>
      </c>
      <c r="U304" s="11" t="s">
        <v>443</v>
      </c>
      <c r="V304" s="11" t="s">
        <v>137</v>
      </c>
      <c r="W304" s="13">
        <v>46302.314618055556</v>
      </c>
    </row>
    <row r="305" spans="1:23">
      <c r="A305">
        <v>261175</v>
      </c>
      <c r="B305">
        <v>9885</v>
      </c>
      <c r="C305" s="11" t="s">
        <v>129</v>
      </c>
      <c r="D305" s="11" t="s">
        <v>130</v>
      </c>
      <c r="E305" s="11" t="s">
        <v>25</v>
      </c>
      <c r="F305" s="12">
        <v>46150</v>
      </c>
      <c r="G305" s="11" t="s">
        <v>439</v>
      </c>
      <c r="H305">
        <v>1</v>
      </c>
      <c r="I305" s="11" t="s">
        <v>1145</v>
      </c>
      <c r="M305" s="11" t="s">
        <v>73</v>
      </c>
      <c r="N305" s="11" t="s">
        <v>1146</v>
      </c>
      <c r="O305" s="11" t="s">
        <v>1147</v>
      </c>
      <c r="P305" s="11" t="s">
        <v>1145</v>
      </c>
      <c r="Q305" s="11" t="s">
        <v>135</v>
      </c>
      <c r="U305" s="11" t="s">
        <v>443</v>
      </c>
      <c r="V305" s="11" t="s">
        <v>137</v>
      </c>
      <c r="W305" s="13">
        <v>46302.314618055556</v>
      </c>
    </row>
    <row r="306" spans="1:23">
      <c r="A306">
        <v>261176</v>
      </c>
      <c r="B306">
        <v>9886</v>
      </c>
      <c r="C306" s="11" t="s">
        <v>129</v>
      </c>
      <c r="D306" s="11" t="s">
        <v>130</v>
      </c>
      <c r="E306" s="11" t="s">
        <v>25</v>
      </c>
      <c r="F306" s="12">
        <v>46150</v>
      </c>
      <c r="G306" s="11" t="s">
        <v>263</v>
      </c>
      <c r="H306">
        <v>1</v>
      </c>
      <c r="I306" s="11" t="s">
        <v>1148</v>
      </c>
      <c r="M306" s="11" t="s">
        <v>92</v>
      </c>
      <c r="N306" s="11" t="s">
        <v>1149</v>
      </c>
      <c r="O306" s="11" t="s">
        <v>625</v>
      </c>
      <c r="P306" s="11" t="s">
        <v>1148</v>
      </c>
      <c r="Q306" s="11" t="s">
        <v>135</v>
      </c>
      <c r="U306" s="11" t="s">
        <v>267</v>
      </c>
      <c r="V306" s="11" t="s">
        <v>137</v>
      </c>
      <c r="W306" s="13">
        <v>46302.314618055556</v>
      </c>
    </row>
    <row r="307" spans="1:23">
      <c r="A307">
        <v>261177</v>
      </c>
      <c r="B307">
        <v>9887</v>
      </c>
      <c r="C307" s="11" t="s">
        <v>129</v>
      </c>
      <c r="D307" s="11" t="s">
        <v>130</v>
      </c>
      <c r="E307" s="11" t="s">
        <v>25</v>
      </c>
      <c r="F307" s="12">
        <v>46150</v>
      </c>
      <c r="G307" s="11" t="s">
        <v>439</v>
      </c>
      <c r="H307">
        <v>1</v>
      </c>
      <c r="I307" s="11" t="s">
        <v>1150</v>
      </c>
      <c r="M307" s="11" t="s">
        <v>73</v>
      </c>
      <c r="N307" s="11" t="s">
        <v>1151</v>
      </c>
      <c r="O307" s="11" t="s">
        <v>1152</v>
      </c>
      <c r="P307" s="11" t="s">
        <v>1150</v>
      </c>
      <c r="Q307" s="11" t="s">
        <v>135</v>
      </c>
      <c r="U307" s="11" t="s">
        <v>443</v>
      </c>
      <c r="V307" s="11" t="s">
        <v>137</v>
      </c>
      <c r="W307" s="13">
        <v>46302.314618055556</v>
      </c>
    </row>
    <row r="308" spans="1:23">
      <c r="A308">
        <v>261178</v>
      </c>
      <c r="B308">
        <v>9888</v>
      </c>
      <c r="C308" s="11" t="s">
        <v>129</v>
      </c>
      <c r="D308" s="11" t="s">
        <v>130</v>
      </c>
      <c r="E308" s="11" t="s">
        <v>25</v>
      </c>
      <c r="F308" s="12">
        <v>46150</v>
      </c>
      <c r="G308" s="11" t="s">
        <v>439</v>
      </c>
      <c r="H308">
        <v>1</v>
      </c>
      <c r="I308" s="11" t="s">
        <v>1153</v>
      </c>
      <c r="M308" s="11" t="s">
        <v>73</v>
      </c>
      <c r="N308" s="11" t="s">
        <v>1154</v>
      </c>
      <c r="O308" s="11" t="s">
        <v>1155</v>
      </c>
      <c r="P308" s="11" t="s">
        <v>1153</v>
      </c>
      <c r="Q308" s="11" t="s">
        <v>135</v>
      </c>
      <c r="U308" s="11" t="s">
        <v>443</v>
      </c>
      <c r="V308" s="11" t="s">
        <v>137</v>
      </c>
      <c r="W308" s="13">
        <v>46302.314618055556</v>
      </c>
    </row>
    <row r="309" spans="1:23">
      <c r="A309">
        <v>261179</v>
      </c>
      <c r="B309">
        <v>9889</v>
      </c>
      <c r="C309" s="11" t="s">
        <v>129</v>
      </c>
      <c r="D309" s="11" t="s">
        <v>130</v>
      </c>
      <c r="E309" s="11" t="s">
        <v>25</v>
      </c>
      <c r="F309" s="12">
        <v>46150</v>
      </c>
      <c r="G309" s="11" t="s">
        <v>263</v>
      </c>
      <c r="H309">
        <v>1</v>
      </c>
      <c r="I309" s="11" t="s">
        <v>1156</v>
      </c>
      <c r="M309" s="11" t="s">
        <v>92</v>
      </c>
      <c r="N309" s="11" t="s">
        <v>1157</v>
      </c>
      <c r="O309" s="11" t="s">
        <v>1158</v>
      </c>
      <c r="P309" s="11" t="s">
        <v>1156</v>
      </c>
      <c r="Q309" s="11" t="s">
        <v>135</v>
      </c>
      <c r="U309" s="11" t="s">
        <v>267</v>
      </c>
      <c r="V309" s="11" t="s">
        <v>137</v>
      </c>
      <c r="W309" s="13">
        <v>46302.314618055556</v>
      </c>
    </row>
    <row r="310" spans="1:23">
      <c r="A310">
        <v>261180</v>
      </c>
      <c r="B310">
        <v>9890</v>
      </c>
      <c r="C310" s="11" t="s">
        <v>129</v>
      </c>
      <c r="D310" s="11" t="s">
        <v>130</v>
      </c>
      <c r="E310" s="11" t="s">
        <v>25</v>
      </c>
      <c r="F310" s="12">
        <v>46150</v>
      </c>
      <c r="G310" s="11" t="s">
        <v>1159</v>
      </c>
      <c r="H310">
        <v>1</v>
      </c>
      <c r="I310" s="11" t="s">
        <v>1160</v>
      </c>
      <c r="M310" s="11" t="s">
        <v>83</v>
      </c>
      <c r="N310" s="11" t="s">
        <v>1161</v>
      </c>
      <c r="O310" s="11" t="s">
        <v>1162</v>
      </c>
      <c r="P310" s="11" t="s">
        <v>1160</v>
      </c>
      <c r="Q310" s="11" t="s">
        <v>135</v>
      </c>
      <c r="U310" s="11" t="s">
        <v>1163</v>
      </c>
      <c r="V310" s="11" t="s">
        <v>137</v>
      </c>
      <c r="W310" s="13">
        <v>46302.314618055556</v>
      </c>
    </row>
    <row r="311" spans="1:23">
      <c r="A311">
        <v>261181</v>
      </c>
      <c r="B311">
        <v>9891</v>
      </c>
      <c r="C311" s="11" t="s">
        <v>129</v>
      </c>
      <c r="D311" s="11" t="s">
        <v>130</v>
      </c>
      <c r="E311" s="11" t="s">
        <v>25</v>
      </c>
      <c r="F311" s="12">
        <v>46150</v>
      </c>
      <c r="G311" s="11" t="s">
        <v>439</v>
      </c>
      <c r="H311">
        <v>1</v>
      </c>
      <c r="I311" s="11" t="s">
        <v>1164</v>
      </c>
      <c r="M311" s="11" t="s">
        <v>73</v>
      </c>
      <c r="N311" s="11" t="s">
        <v>1165</v>
      </c>
      <c r="O311" s="11" t="s">
        <v>1166</v>
      </c>
      <c r="P311" s="11" t="s">
        <v>1164</v>
      </c>
      <c r="Q311" s="11" t="s">
        <v>135</v>
      </c>
      <c r="U311" s="11" t="s">
        <v>443</v>
      </c>
      <c r="V311" s="11" t="s">
        <v>137</v>
      </c>
      <c r="W311" s="13">
        <v>46302.314618055556</v>
      </c>
    </row>
    <row r="312" spans="1:23">
      <c r="A312">
        <v>261182</v>
      </c>
      <c r="B312">
        <v>9892</v>
      </c>
      <c r="C312" s="11" t="s">
        <v>129</v>
      </c>
      <c r="D312" s="11" t="s">
        <v>130</v>
      </c>
      <c r="E312" s="11" t="s">
        <v>25</v>
      </c>
      <c r="F312" s="12">
        <v>46150</v>
      </c>
      <c r="G312" s="11" t="s">
        <v>439</v>
      </c>
      <c r="H312">
        <v>1</v>
      </c>
      <c r="I312" s="11" t="s">
        <v>577</v>
      </c>
      <c r="M312" s="11" t="s">
        <v>73</v>
      </c>
      <c r="N312" s="11" t="s">
        <v>1167</v>
      </c>
      <c r="O312" s="11" t="s">
        <v>1168</v>
      </c>
      <c r="P312" s="11" t="s">
        <v>577</v>
      </c>
      <c r="Q312" s="11" t="s">
        <v>135</v>
      </c>
      <c r="U312" s="11" t="s">
        <v>443</v>
      </c>
      <c r="V312" s="11" t="s">
        <v>137</v>
      </c>
      <c r="W312" s="13">
        <v>46302.314618055556</v>
      </c>
    </row>
    <row r="313" spans="1:23">
      <c r="A313">
        <v>261183</v>
      </c>
      <c r="B313">
        <v>9893</v>
      </c>
      <c r="C313" s="11" t="s">
        <v>129</v>
      </c>
      <c r="D313" s="11" t="s">
        <v>130</v>
      </c>
      <c r="E313" s="11" t="s">
        <v>25</v>
      </c>
      <c r="F313" s="12">
        <v>46150</v>
      </c>
      <c r="G313" s="11" t="s">
        <v>439</v>
      </c>
      <c r="H313">
        <v>1</v>
      </c>
      <c r="I313" s="11" t="s">
        <v>1169</v>
      </c>
      <c r="M313" s="11" t="s">
        <v>73</v>
      </c>
      <c r="N313" s="11" t="s">
        <v>1170</v>
      </c>
      <c r="O313" s="11" t="s">
        <v>1171</v>
      </c>
      <c r="P313" s="11" t="s">
        <v>1169</v>
      </c>
      <c r="Q313" s="11" t="s">
        <v>135</v>
      </c>
      <c r="U313" s="11" t="s">
        <v>443</v>
      </c>
      <c r="V313" s="11" t="s">
        <v>137</v>
      </c>
      <c r="W313" s="13">
        <v>46302.314618055556</v>
      </c>
    </row>
    <row r="314" spans="1:23">
      <c r="A314">
        <v>261184</v>
      </c>
      <c r="B314">
        <v>9894</v>
      </c>
      <c r="C314" s="11" t="s">
        <v>129</v>
      </c>
      <c r="D314" s="11" t="s">
        <v>130</v>
      </c>
      <c r="E314" s="11" t="s">
        <v>25</v>
      </c>
      <c r="F314" s="12">
        <v>46150</v>
      </c>
      <c r="G314" s="11" t="s">
        <v>226</v>
      </c>
      <c r="H314">
        <v>1</v>
      </c>
      <c r="I314" s="11" t="s">
        <v>1172</v>
      </c>
      <c r="M314" s="11" t="s">
        <v>87</v>
      </c>
      <c r="N314" s="11" t="s">
        <v>1173</v>
      </c>
      <c r="O314" s="11" t="s">
        <v>1174</v>
      </c>
      <c r="P314" s="11" t="s">
        <v>1172</v>
      </c>
      <c r="Q314" s="11" t="s">
        <v>135</v>
      </c>
      <c r="U314" s="11" t="s">
        <v>231</v>
      </c>
      <c r="V314" s="11" t="s">
        <v>137</v>
      </c>
      <c r="W314" s="13">
        <v>46302.314618055556</v>
      </c>
    </row>
    <row r="315" spans="1:23">
      <c r="A315">
        <v>261185</v>
      </c>
      <c r="B315">
        <v>9895</v>
      </c>
      <c r="C315" s="11" t="s">
        <v>129</v>
      </c>
      <c r="D315" s="11" t="s">
        <v>130</v>
      </c>
      <c r="E315" s="11" t="s">
        <v>25</v>
      </c>
      <c r="F315" s="12">
        <v>46150</v>
      </c>
      <c r="G315" s="11" t="s">
        <v>672</v>
      </c>
      <c r="H315">
        <v>4</v>
      </c>
      <c r="I315" s="11" t="s">
        <v>1175</v>
      </c>
      <c r="M315" s="11" t="s">
        <v>72</v>
      </c>
      <c r="N315" s="11" t="s">
        <v>1176</v>
      </c>
      <c r="O315" s="11" t="s">
        <v>1177</v>
      </c>
      <c r="P315" s="11" t="s">
        <v>480</v>
      </c>
      <c r="Q315" s="11" t="s">
        <v>135</v>
      </c>
      <c r="U315" s="11" t="s">
        <v>677</v>
      </c>
      <c r="V315" s="11" t="s">
        <v>137</v>
      </c>
      <c r="W315" s="13">
        <v>46302.314618055556</v>
      </c>
    </row>
    <row r="316" spans="1:23">
      <c r="A316">
        <v>261186</v>
      </c>
      <c r="B316">
        <v>9896</v>
      </c>
      <c r="C316" s="11" t="s">
        <v>129</v>
      </c>
      <c r="D316" s="11" t="s">
        <v>130</v>
      </c>
      <c r="E316" s="11" t="s">
        <v>25</v>
      </c>
      <c r="F316" s="12">
        <v>46150</v>
      </c>
      <c r="G316" s="11" t="s">
        <v>263</v>
      </c>
      <c r="H316">
        <v>1</v>
      </c>
      <c r="I316" s="11" t="s">
        <v>1178</v>
      </c>
      <c r="M316" s="11" t="s">
        <v>92</v>
      </c>
      <c r="N316" s="11" t="s">
        <v>1179</v>
      </c>
      <c r="O316" s="11" t="s">
        <v>1180</v>
      </c>
      <c r="P316" s="11" t="s">
        <v>1178</v>
      </c>
      <c r="Q316" s="11" t="s">
        <v>135</v>
      </c>
      <c r="U316" s="11" t="s">
        <v>267</v>
      </c>
      <c r="V316" s="11" t="s">
        <v>137</v>
      </c>
      <c r="W316" s="13">
        <v>46302.314618055556</v>
      </c>
    </row>
    <row r="317" spans="1:23">
      <c r="A317">
        <v>261187</v>
      </c>
      <c r="B317">
        <v>9897</v>
      </c>
      <c r="C317" s="11" t="s">
        <v>129</v>
      </c>
      <c r="D317" s="11" t="s">
        <v>130</v>
      </c>
      <c r="E317" s="11" t="s">
        <v>25</v>
      </c>
      <c r="F317" s="12">
        <v>46150</v>
      </c>
      <c r="G317" s="11" t="s">
        <v>226</v>
      </c>
      <c r="H317">
        <v>1</v>
      </c>
      <c r="I317" s="11" t="s">
        <v>1129</v>
      </c>
      <c r="M317" s="11" t="s">
        <v>87</v>
      </c>
      <c r="N317" s="11" t="s">
        <v>1181</v>
      </c>
      <c r="O317" s="11" t="s">
        <v>1182</v>
      </c>
      <c r="P317" s="11" t="s">
        <v>1129</v>
      </c>
      <c r="Q317" s="11" t="s">
        <v>135</v>
      </c>
      <c r="U317" s="11" t="s">
        <v>231</v>
      </c>
      <c r="V317" s="11" t="s">
        <v>137</v>
      </c>
      <c r="W317" s="13">
        <v>46302.314618055556</v>
      </c>
    </row>
    <row r="318" spans="1:23">
      <c r="A318">
        <v>261188</v>
      </c>
      <c r="B318">
        <v>9898</v>
      </c>
      <c r="C318" s="11" t="s">
        <v>129</v>
      </c>
      <c r="D318" s="11" t="s">
        <v>130</v>
      </c>
      <c r="E318" s="11" t="s">
        <v>25</v>
      </c>
      <c r="F318" s="12">
        <v>46150</v>
      </c>
      <c r="G318" s="11" t="s">
        <v>312</v>
      </c>
      <c r="H318">
        <v>1</v>
      </c>
      <c r="I318" s="11" t="s">
        <v>971</v>
      </c>
      <c r="M318" s="11" t="s">
        <v>86</v>
      </c>
      <c r="N318" s="11" t="s">
        <v>1183</v>
      </c>
      <c r="O318" s="11" t="s">
        <v>1184</v>
      </c>
      <c r="P318" s="11" t="s">
        <v>971</v>
      </c>
      <c r="Q318" s="11" t="s">
        <v>135</v>
      </c>
      <c r="U318" s="11" t="s">
        <v>315</v>
      </c>
      <c r="V318" s="11" t="s">
        <v>137</v>
      </c>
      <c r="W318" s="13">
        <v>46302.314618055556</v>
      </c>
    </row>
    <row r="319" spans="1:23">
      <c r="A319">
        <v>261562</v>
      </c>
      <c r="B319">
        <v>9899</v>
      </c>
      <c r="C319" s="11" t="s">
        <v>129</v>
      </c>
      <c r="D319" s="11" t="s">
        <v>130</v>
      </c>
      <c r="E319" s="11" t="s">
        <v>25</v>
      </c>
      <c r="F319" s="12">
        <v>46153</v>
      </c>
      <c r="G319" s="11" t="s">
        <v>131</v>
      </c>
      <c r="H319">
        <v>1</v>
      </c>
      <c r="I319" s="11" t="s">
        <v>1185</v>
      </c>
      <c r="M319" s="11" t="s">
        <v>87</v>
      </c>
      <c r="N319" s="11" t="s">
        <v>1186</v>
      </c>
      <c r="O319" s="11" t="s">
        <v>1187</v>
      </c>
      <c r="P319" s="11" t="s">
        <v>1185</v>
      </c>
      <c r="Q319" s="11" t="s">
        <v>135</v>
      </c>
      <c r="U319" s="11" t="s">
        <v>136</v>
      </c>
      <c r="V319" s="11" t="s">
        <v>137</v>
      </c>
      <c r="W319" s="13">
        <v>46302.314618055556</v>
      </c>
    </row>
    <row r="320" spans="1:23">
      <c r="A320">
        <v>261563</v>
      </c>
      <c r="B320">
        <v>9900</v>
      </c>
      <c r="C320" s="11" t="s">
        <v>129</v>
      </c>
      <c r="D320" s="11" t="s">
        <v>130</v>
      </c>
      <c r="E320" s="11" t="s">
        <v>25</v>
      </c>
      <c r="F320" s="12">
        <v>46153</v>
      </c>
      <c r="G320" s="11" t="s">
        <v>222</v>
      </c>
      <c r="H320">
        <v>1</v>
      </c>
      <c r="I320" s="11" t="s">
        <v>1188</v>
      </c>
      <c r="M320" s="11" t="s">
        <v>90</v>
      </c>
      <c r="N320" s="11" t="s">
        <v>1189</v>
      </c>
      <c r="O320" s="11" t="s">
        <v>1190</v>
      </c>
      <c r="P320" s="11" t="s">
        <v>1188</v>
      </c>
      <c r="Q320" s="11" t="s">
        <v>135</v>
      </c>
      <c r="U320" s="11" t="s">
        <v>225</v>
      </c>
      <c r="V320" s="11" t="s">
        <v>137</v>
      </c>
      <c r="W320" s="13">
        <v>46302.314618055556</v>
      </c>
    </row>
    <row r="321" spans="1:23">
      <c r="A321">
        <v>261564</v>
      </c>
      <c r="B321">
        <v>9901</v>
      </c>
      <c r="C321" s="11" t="s">
        <v>129</v>
      </c>
      <c r="D321" s="11" t="s">
        <v>130</v>
      </c>
      <c r="E321" s="11" t="s">
        <v>25</v>
      </c>
      <c r="F321" s="12">
        <v>46153</v>
      </c>
      <c r="G321" s="11" t="s">
        <v>1191</v>
      </c>
      <c r="H321">
        <v>1</v>
      </c>
      <c r="I321" s="11" t="s">
        <v>1192</v>
      </c>
      <c r="M321" s="11" t="s">
        <v>93</v>
      </c>
      <c r="N321" s="11" t="s">
        <v>1193</v>
      </c>
      <c r="O321" s="11" t="s">
        <v>1194</v>
      </c>
      <c r="P321" s="11" t="s">
        <v>1192</v>
      </c>
      <c r="Q321" s="11" t="s">
        <v>135</v>
      </c>
      <c r="U321" s="11" t="s">
        <v>1195</v>
      </c>
      <c r="V321" s="11" t="s">
        <v>137</v>
      </c>
      <c r="W321" s="13">
        <v>46302.314618055556</v>
      </c>
    </row>
    <row r="322" spans="1:23">
      <c r="A322">
        <v>261565</v>
      </c>
      <c r="B322">
        <v>9902</v>
      </c>
      <c r="C322" s="11" t="s">
        <v>129</v>
      </c>
      <c r="D322" s="11" t="s">
        <v>130</v>
      </c>
      <c r="E322" s="11" t="s">
        <v>25</v>
      </c>
      <c r="F322" s="12">
        <v>46153</v>
      </c>
      <c r="G322" s="11" t="s">
        <v>164</v>
      </c>
      <c r="H322">
        <v>3</v>
      </c>
      <c r="I322" s="11" t="s">
        <v>1196</v>
      </c>
      <c r="M322" s="11" t="s">
        <v>62</v>
      </c>
      <c r="N322" s="11" t="s">
        <v>1197</v>
      </c>
      <c r="O322" s="11" t="s">
        <v>1198</v>
      </c>
      <c r="P322" s="11" t="s">
        <v>1199</v>
      </c>
      <c r="Q322" s="11" t="s">
        <v>135</v>
      </c>
      <c r="U322" s="11" t="s">
        <v>168</v>
      </c>
      <c r="V322" s="11" t="s">
        <v>137</v>
      </c>
      <c r="W322" s="13">
        <v>46302.314618055556</v>
      </c>
    </row>
    <row r="323" spans="1:23">
      <c r="A323">
        <v>261566</v>
      </c>
      <c r="B323">
        <v>9903</v>
      </c>
      <c r="C323" s="11" t="s">
        <v>129</v>
      </c>
      <c r="D323" s="11" t="s">
        <v>130</v>
      </c>
      <c r="E323" s="11" t="s">
        <v>25</v>
      </c>
      <c r="F323" s="12">
        <v>46153</v>
      </c>
      <c r="G323" s="11" t="s">
        <v>131</v>
      </c>
      <c r="H323">
        <v>1</v>
      </c>
      <c r="I323" s="11" t="s">
        <v>1200</v>
      </c>
      <c r="M323" s="11" t="s">
        <v>87</v>
      </c>
      <c r="N323" s="11" t="s">
        <v>1201</v>
      </c>
      <c r="O323" s="11" t="s">
        <v>1202</v>
      </c>
      <c r="P323" s="11" t="s">
        <v>1200</v>
      </c>
      <c r="Q323" s="11" t="s">
        <v>135</v>
      </c>
      <c r="U323" s="11" t="s">
        <v>136</v>
      </c>
      <c r="V323" s="11" t="s">
        <v>137</v>
      </c>
      <c r="W323" s="13">
        <v>46302.314618055556</v>
      </c>
    </row>
    <row r="324" spans="1:23">
      <c r="A324">
        <v>261567</v>
      </c>
      <c r="B324">
        <v>9904</v>
      </c>
      <c r="C324" s="11" t="s">
        <v>129</v>
      </c>
      <c r="D324" s="11" t="s">
        <v>130</v>
      </c>
      <c r="E324" s="11" t="s">
        <v>25</v>
      </c>
      <c r="F324" s="12">
        <v>46153</v>
      </c>
      <c r="G324" s="11" t="s">
        <v>512</v>
      </c>
      <c r="H324">
        <v>1</v>
      </c>
      <c r="I324" s="11" t="s">
        <v>1203</v>
      </c>
      <c r="M324" s="11" t="s">
        <v>44</v>
      </c>
      <c r="N324" s="11" t="s">
        <v>426</v>
      </c>
      <c r="O324" s="11" t="s">
        <v>1204</v>
      </c>
      <c r="P324" s="11" t="s">
        <v>1203</v>
      </c>
      <c r="Q324" s="11" t="s">
        <v>135</v>
      </c>
      <c r="U324" s="11" t="s">
        <v>516</v>
      </c>
      <c r="V324" s="11" t="s">
        <v>137</v>
      </c>
      <c r="W324" s="13">
        <v>46302.314618055556</v>
      </c>
    </row>
    <row r="325" spans="1:23">
      <c r="A325">
        <v>261568</v>
      </c>
      <c r="B325">
        <v>9905</v>
      </c>
      <c r="C325" s="11" t="s">
        <v>129</v>
      </c>
      <c r="D325" s="11" t="s">
        <v>130</v>
      </c>
      <c r="E325" s="11" t="s">
        <v>25</v>
      </c>
      <c r="F325" s="12">
        <v>46153</v>
      </c>
      <c r="G325" s="11" t="s">
        <v>504</v>
      </c>
      <c r="H325">
        <v>1</v>
      </c>
      <c r="I325" s="11" t="s">
        <v>1205</v>
      </c>
      <c r="M325" s="11" t="s">
        <v>53</v>
      </c>
      <c r="N325" s="11" t="s">
        <v>1206</v>
      </c>
      <c r="O325" s="11" t="s">
        <v>1207</v>
      </c>
      <c r="P325" s="11" t="s">
        <v>1205</v>
      </c>
      <c r="Q325" s="11" t="s">
        <v>135</v>
      </c>
      <c r="U325" s="11" t="s">
        <v>508</v>
      </c>
      <c r="V325" s="11" t="s">
        <v>137</v>
      </c>
      <c r="W325" s="13">
        <v>46302.314618055556</v>
      </c>
    </row>
    <row r="326" spans="1:23">
      <c r="A326">
        <v>261569</v>
      </c>
      <c r="B326">
        <v>9906</v>
      </c>
      <c r="C326" s="11" t="s">
        <v>129</v>
      </c>
      <c r="D326" s="11" t="s">
        <v>130</v>
      </c>
      <c r="E326" s="11" t="s">
        <v>25</v>
      </c>
      <c r="F326" s="12">
        <v>46153</v>
      </c>
      <c r="G326" s="11" t="s">
        <v>179</v>
      </c>
      <c r="H326">
        <v>1</v>
      </c>
      <c r="I326" s="11" t="s">
        <v>1208</v>
      </c>
      <c r="M326" s="11" t="s">
        <v>83</v>
      </c>
      <c r="N326" s="11" t="s">
        <v>1209</v>
      </c>
      <c r="O326" s="11" t="s">
        <v>1210</v>
      </c>
      <c r="P326" s="11" t="s">
        <v>1208</v>
      </c>
      <c r="Q326" s="11" t="s">
        <v>135</v>
      </c>
      <c r="U326" s="11" t="s">
        <v>183</v>
      </c>
      <c r="V326" s="11" t="s">
        <v>137</v>
      </c>
      <c r="W326" s="13">
        <v>46302.314618055556</v>
      </c>
    </row>
    <row r="327" spans="1:23">
      <c r="A327">
        <v>261570</v>
      </c>
      <c r="B327">
        <v>9907</v>
      </c>
      <c r="C327" s="11" t="s">
        <v>129</v>
      </c>
      <c r="D327" s="11" t="s">
        <v>130</v>
      </c>
      <c r="E327" s="11" t="s">
        <v>25</v>
      </c>
      <c r="F327" s="12">
        <v>46153</v>
      </c>
      <c r="G327" s="11" t="s">
        <v>174</v>
      </c>
      <c r="H327">
        <v>1</v>
      </c>
      <c r="I327" s="11" t="s">
        <v>1211</v>
      </c>
      <c r="M327" s="11" t="s">
        <v>92</v>
      </c>
      <c r="N327" s="11" t="s">
        <v>1212</v>
      </c>
      <c r="O327" s="11" t="s">
        <v>1213</v>
      </c>
      <c r="P327" s="11" t="s">
        <v>1211</v>
      </c>
      <c r="Q327" s="11" t="s">
        <v>135</v>
      </c>
      <c r="U327" s="11" t="s">
        <v>178</v>
      </c>
      <c r="V327" s="11" t="s">
        <v>137</v>
      </c>
      <c r="W327" s="13">
        <v>46302.314618055556</v>
      </c>
    </row>
    <row r="328" spans="1:23">
      <c r="A328">
        <v>261571</v>
      </c>
      <c r="B328">
        <v>9908</v>
      </c>
      <c r="C328" s="11" t="s">
        <v>129</v>
      </c>
      <c r="D328" s="11" t="s">
        <v>130</v>
      </c>
      <c r="E328" s="11" t="s">
        <v>25</v>
      </c>
      <c r="F328" s="12">
        <v>46153</v>
      </c>
      <c r="G328" s="11" t="s">
        <v>179</v>
      </c>
      <c r="H328">
        <v>1</v>
      </c>
      <c r="I328" s="11" t="s">
        <v>1214</v>
      </c>
      <c r="M328" s="11" t="s">
        <v>83</v>
      </c>
      <c r="N328" s="11" t="s">
        <v>1215</v>
      </c>
      <c r="O328" s="11" t="s">
        <v>1216</v>
      </c>
      <c r="P328" s="11" t="s">
        <v>1214</v>
      </c>
      <c r="Q328" s="11" t="s">
        <v>135</v>
      </c>
      <c r="U328" s="11" t="s">
        <v>183</v>
      </c>
      <c r="V328" s="11" t="s">
        <v>137</v>
      </c>
      <c r="W328" s="13">
        <v>46302.314618055556</v>
      </c>
    </row>
    <row r="329" spans="1:23">
      <c r="A329">
        <v>261572</v>
      </c>
      <c r="B329">
        <v>9909</v>
      </c>
      <c r="C329" s="11" t="s">
        <v>129</v>
      </c>
      <c r="D329" s="11" t="s">
        <v>130</v>
      </c>
      <c r="E329" s="11" t="s">
        <v>25</v>
      </c>
      <c r="F329" s="12">
        <v>46153</v>
      </c>
      <c r="G329" s="11" t="s">
        <v>217</v>
      </c>
      <c r="H329">
        <v>1</v>
      </c>
      <c r="I329" s="11" t="s">
        <v>1217</v>
      </c>
      <c r="M329" s="11" t="s">
        <v>86</v>
      </c>
      <c r="N329" s="11" t="s">
        <v>1218</v>
      </c>
      <c r="O329" s="11" t="s">
        <v>1219</v>
      </c>
      <c r="P329" s="11" t="s">
        <v>1217</v>
      </c>
      <c r="Q329" s="11" t="s">
        <v>135</v>
      </c>
      <c r="U329" s="11" t="s">
        <v>221</v>
      </c>
      <c r="V329" s="11" t="s">
        <v>137</v>
      </c>
      <c r="W329" s="13">
        <v>46302.314618055556</v>
      </c>
    </row>
    <row r="330" spans="1:23">
      <c r="A330">
        <v>261573</v>
      </c>
      <c r="B330">
        <v>9910</v>
      </c>
      <c r="C330" s="11" t="s">
        <v>129</v>
      </c>
      <c r="D330" s="11" t="s">
        <v>130</v>
      </c>
      <c r="E330" s="11" t="s">
        <v>25</v>
      </c>
      <c r="F330" s="12">
        <v>46153</v>
      </c>
      <c r="G330" s="11" t="s">
        <v>159</v>
      </c>
      <c r="H330">
        <v>1</v>
      </c>
      <c r="I330" s="11" t="s">
        <v>1220</v>
      </c>
      <c r="M330" s="11" t="s">
        <v>95</v>
      </c>
      <c r="N330" s="11" t="s">
        <v>1221</v>
      </c>
      <c r="O330" s="11" t="s">
        <v>1222</v>
      </c>
      <c r="P330" s="11" t="s">
        <v>1220</v>
      </c>
      <c r="Q330" s="11" t="s">
        <v>135</v>
      </c>
      <c r="U330" s="11" t="s">
        <v>163</v>
      </c>
      <c r="V330" s="11" t="s">
        <v>137</v>
      </c>
      <c r="W330" s="13">
        <v>46302.314618055556</v>
      </c>
    </row>
    <row r="331" spans="1:23">
      <c r="A331">
        <v>261912</v>
      </c>
      <c r="B331">
        <v>9911</v>
      </c>
      <c r="C331" s="11" t="s">
        <v>129</v>
      </c>
      <c r="D331" s="11" t="s">
        <v>130</v>
      </c>
      <c r="E331" s="11" t="s">
        <v>25</v>
      </c>
      <c r="F331" s="12">
        <v>46154</v>
      </c>
      <c r="G331" s="11" t="s">
        <v>131</v>
      </c>
      <c r="H331">
        <v>1</v>
      </c>
      <c r="I331" s="11" t="s">
        <v>1223</v>
      </c>
      <c r="M331" s="11" t="s">
        <v>87</v>
      </c>
      <c r="N331" s="11" t="s">
        <v>1224</v>
      </c>
      <c r="O331" s="11" t="s">
        <v>1225</v>
      </c>
      <c r="P331" s="11" t="s">
        <v>1223</v>
      </c>
      <c r="Q331" s="11" t="s">
        <v>135</v>
      </c>
      <c r="U331" s="11" t="s">
        <v>136</v>
      </c>
      <c r="V331" s="11" t="s">
        <v>137</v>
      </c>
      <c r="W331" s="13">
        <v>46302.314618055556</v>
      </c>
    </row>
    <row r="332" spans="1:23">
      <c r="A332">
        <v>261913</v>
      </c>
      <c r="B332">
        <v>9912</v>
      </c>
      <c r="C332" s="11" t="s">
        <v>129</v>
      </c>
      <c r="D332" s="11" t="s">
        <v>130</v>
      </c>
      <c r="E332" s="11" t="s">
        <v>25</v>
      </c>
      <c r="F332" s="12">
        <v>46154</v>
      </c>
      <c r="G332" s="11" t="s">
        <v>179</v>
      </c>
      <c r="H332">
        <v>1</v>
      </c>
      <c r="I332" s="11" t="s">
        <v>686</v>
      </c>
      <c r="M332" s="11" t="s">
        <v>83</v>
      </c>
      <c r="N332" s="11" t="s">
        <v>1226</v>
      </c>
      <c r="O332" s="11" t="s">
        <v>916</v>
      </c>
      <c r="P332" s="11" t="s">
        <v>686</v>
      </c>
      <c r="Q332" s="11" t="s">
        <v>135</v>
      </c>
      <c r="U332" s="11" t="s">
        <v>183</v>
      </c>
      <c r="V332" s="11" t="s">
        <v>137</v>
      </c>
      <c r="W332" s="13">
        <v>46302.314618055556</v>
      </c>
    </row>
    <row r="333" spans="1:23">
      <c r="A333">
        <v>261914</v>
      </c>
      <c r="B333">
        <v>9913</v>
      </c>
      <c r="C333" s="11" t="s">
        <v>129</v>
      </c>
      <c r="D333" s="11" t="s">
        <v>130</v>
      </c>
      <c r="E333" s="11" t="s">
        <v>25</v>
      </c>
      <c r="F333" s="12">
        <v>46154</v>
      </c>
      <c r="G333" s="11" t="s">
        <v>222</v>
      </c>
      <c r="H333">
        <v>1</v>
      </c>
      <c r="I333" s="11" t="s">
        <v>1227</v>
      </c>
      <c r="M333" s="11" t="s">
        <v>90</v>
      </c>
      <c r="N333" s="11" t="s">
        <v>1079</v>
      </c>
      <c r="O333" s="11" t="s">
        <v>1228</v>
      </c>
      <c r="P333" s="11" t="s">
        <v>1227</v>
      </c>
      <c r="Q333" s="11" t="s">
        <v>135</v>
      </c>
      <c r="U333" s="11" t="s">
        <v>225</v>
      </c>
      <c r="V333" s="11" t="s">
        <v>137</v>
      </c>
      <c r="W333" s="13">
        <v>46302.314618055556</v>
      </c>
    </row>
    <row r="334" spans="1:23">
      <c r="A334">
        <v>261915</v>
      </c>
      <c r="B334">
        <v>9914</v>
      </c>
      <c r="C334" s="11" t="s">
        <v>129</v>
      </c>
      <c r="D334" s="11" t="s">
        <v>130</v>
      </c>
      <c r="E334" s="11" t="s">
        <v>25</v>
      </c>
      <c r="F334" s="12">
        <v>46154</v>
      </c>
      <c r="G334" s="11" t="s">
        <v>179</v>
      </c>
      <c r="H334">
        <v>1</v>
      </c>
      <c r="I334" s="11" t="s">
        <v>1229</v>
      </c>
      <c r="M334" s="11" t="s">
        <v>83</v>
      </c>
      <c r="N334" s="11" t="s">
        <v>1230</v>
      </c>
      <c r="O334" s="11" t="s">
        <v>1231</v>
      </c>
      <c r="P334" s="11" t="s">
        <v>1229</v>
      </c>
      <c r="Q334" s="11" t="s">
        <v>135</v>
      </c>
      <c r="U334" s="11" t="s">
        <v>183</v>
      </c>
      <c r="V334" s="11" t="s">
        <v>137</v>
      </c>
      <c r="W334" s="13">
        <v>46302.314618055556</v>
      </c>
    </row>
    <row r="335" spans="1:23">
      <c r="A335">
        <v>261916</v>
      </c>
      <c r="B335">
        <v>9915</v>
      </c>
      <c r="C335" s="11" t="s">
        <v>129</v>
      </c>
      <c r="D335" s="11" t="s">
        <v>130</v>
      </c>
      <c r="E335" s="11" t="s">
        <v>25</v>
      </c>
      <c r="F335" s="12">
        <v>46154</v>
      </c>
      <c r="G335" s="11" t="s">
        <v>174</v>
      </c>
      <c r="H335">
        <v>1</v>
      </c>
      <c r="I335" s="11" t="s">
        <v>1232</v>
      </c>
      <c r="M335" s="11" t="s">
        <v>92</v>
      </c>
      <c r="N335" s="11" t="s">
        <v>1233</v>
      </c>
      <c r="O335" s="11" t="s">
        <v>1234</v>
      </c>
      <c r="P335" s="11" t="s">
        <v>1232</v>
      </c>
      <c r="Q335" s="11" t="s">
        <v>135</v>
      </c>
      <c r="U335" s="11" t="s">
        <v>178</v>
      </c>
      <c r="V335" s="11" t="s">
        <v>137</v>
      </c>
      <c r="W335" s="13">
        <v>46302.314618055556</v>
      </c>
    </row>
    <row r="336" spans="1:23">
      <c r="A336">
        <v>261917</v>
      </c>
      <c r="B336">
        <v>9916</v>
      </c>
      <c r="C336" s="11" t="s">
        <v>129</v>
      </c>
      <c r="D336" s="11" t="s">
        <v>130</v>
      </c>
      <c r="E336" s="11" t="s">
        <v>25</v>
      </c>
      <c r="F336" s="12">
        <v>46154</v>
      </c>
      <c r="G336" s="11" t="s">
        <v>131</v>
      </c>
      <c r="H336">
        <v>1</v>
      </c>
      <c r="I336" s="11" t="s">
        <v>1235</v>
      </c>
      <c r="M336" s="11" t="s">
        <v>87</v>
      </c>
      <c r="N336" s="11" t="s">
        <v>1236</v>
      </c>
      <c r="O336" s="11" t="s">
        <v>1237</v>
      </c>
      <c r="P336" s="11" t="s">
        <v>1235</v>
      </c>
      <c r="Q336" s="11" t="s">
        <v>135</v>
      </c>
      <c r="U336" s="11" t="s">
        <v>136</v>
      </c>
      <c r="V336" s="11" t="s">
        <v>137</v>
      </c>
      <c r="W336" s="13">
        <v>46302.314618055556</v>
      </c>
    </row>
    <row r="337" spans="1:23">
      <c r="A337">
        <v>261918</v>
      </c>
      <c r="B337">
        <v>9917</v>
      </c>
      <c r="C337" s="11" t="s">
        <v>129</v>
      </c>
      <c r="D337" s="11" t="s">
        <v>130</v>
      </c>
      <c r="E337" s="11" t="s">
        <v>25</v>
      </c>
      <c r="F337" s="12">
        <v>46154</v>
      </c>
      <c r="G337" s="11" t="s">
        <v>174</v>
      </c>
      <c r="H337">
        <v>1</v>
      </c>
      <c r="I337" s="11" t="s">
        <v>1238</v>
      </c>
      <c r="M337" s="11" t="s">
        <v>92</v>
      </c>
      <c r="N337" s="11" t="s">
        <v>1239</v>
      </c>
      <c r="O337" s="11" t="s">
        <v>1240</v>
      </c>
      <c r="P337" s="11" t="s">
        <v>1238</v>
      </c>
      <c r="Q337" s="11" t="s">
        <v>135</v>
      </c>
      <c r="U337" s="11" t="s">
        <v>178</v>
      </c>
      <c r="V337" s="11" t="s">
        <v>137</v>
      </c>
      <c r="W337" s="13">
        <v>46302.314618055556</v>
      </c>
    </row>
    <row r="338" spans="1:23">
      <c r="A338">
        <v>261919</v>
      </c>
      <c r="B338">
        <v>9918</v>
      </c>
      <c r="C338" s="11" t="s">
        <v>129</v>
      </c>
      <c r="D338" s="11" t="s">
        <v>130</v>
      </c>
      <c r="E338" s="11" t="s">
        <v>25</v>
      </c>
      <c r="F338" s="12">
        <v>46154</v>
      </c>
      <c r="G338" s="11" t="s">
        <v>131</v>
      </c>
      <c r="H338">
        <v>1</v>
      </c>
      <c r="I338" s="11" t="s">
        <v>1241</v>
      </c>
      <c r="M338" s="11" t="s">
        <v>87</v>
      </c>
      <c r="N338" s="11" t="s">
        <v>1242</v>
      </c>
      <c r="O338" s="11" t="s">
        <v>1243</v>
      </c>
      <c r="P338" s="11" t="s">
        <v>1241</v>
      </c>
      <c r="Q338" s="11" t="s">
        <v>135</v>
      </c>
      <c r="U338" s="11" t="s">
        <v>136</v>
      </c>
      <c r="V338" s="11" t="s">
        <v>137</v>
      </c>
      <c r="W338" s="13">
        <v>46302.314618055556</v>
      </c>
    </row>
    <row r="339" spans="1:23">
      <c r="A339">
        <v>261920</v>
      </c>
      <c r="B339">
        <v>9919</v>
      </c>
      <c r="C339" s="11" t="s">
        <v>129</v>
      </c>
      <c r="D339" s="11" t="s">
        <v>130</v>
      </c>
      <c r="E339" s="11" t="s">
        <v>25</v>
      </c>
      <c r="F339" s="12">
        <v>46154</v>
      </c>
      <c r="G339" s="11" t="s">
        <v>164</v>
      </c>
      <c r="H339">
        <v>2</v>
      </c>
      <c r="I339" s="11" t="s">
        <v>1244</v>
      </c>
      <c r="M339" s="11" t="s">
        <v>62</v>
      </c>
      <c r="N339" s="11" t="s">
        <v>1245</v>
      </c>
      <c r="O339" s="11" t="s">
        <v>1246</v>
      </c>
      <c r="P339" s="11" t="s">
        <v>1247</v>
      </c>
      <c r="Q339" s="11" t="s">
        <v>135</v>
      </c>
      <c r="U339" s="11" t="s">
        <v>168</v>
      </c>
      <c r="V339" s="11" t="s">
        <v>137</v>
      </c>
      <c r="W339" s="13">
        <v>46302.314618055556</v>
      </c>
    </row>
    <row r="340" spans="1:23">
      <c r="A340">
        <v>261921</v>
      </c>
      <c r="B340">
        <v>9920</v>
      </c>
      <c r="C340" s="11" t="s">
        <v>129</v>
      </c>
      <c r="D340" s="11" t="s">
        <v>130</v>
      </c>
      <c r="E340" s="11" t="s">
        <v>25</v>
      </c>
      <c r="F340" s="12">
        <v>46154</v>
      </c>
      <c r="G340" s="11" t="s">
        <v>195</v>
      </c>
      <c r="H340">
        <v>1</v>
      </c>
      <c r="I340" s="11" t="s">
        <v>1248</v>
      </c>
      <c r="M340" s="11" t="s">
        <v>68</v>
      </c>
      <c r="N340" s="11" t="s">
        <v>1249</v>
      </c>
      <c r="O340" s="11" t="s">
        <v>1250</v>
      </c>
      <c r="P340" s="11" t="s">
        <v>1248</v>
      </c>
      <c r="Q340" s="11" t="s">
        <v>135</v>
      </c>
      <c r="U340" s="11" t="s">
        <v>199</v>
      </c>
      <c r="V340" s="11" t="s">
        <v>137</v>
      </c>
      <c r="W340" s="13">
        <v>46302.314618055556</v>
      </c>
    </row>
    <row r="341" spans="1:23">
      <c r="A341">
        <v>261922</v>
      </c>
      <c r="B341">
        <v>9921</v>
      </c>
      <c r="C341" s="11" t="s">
        <v>129</v>
      </c>
      <c r="D341" s="11" t="s">
        <v>130</v>
      </c>
      <c r="E341" s="11" t="s">
        <v>25</v>
      </c>
      <c r="F341" s="12">
        <v>46154</v>
      </c>
      <c r="G341" s="11" t="s">
        <v>512</v>
      </c>
      <c r="H341">
        <v>1</v>
      </c>
      <c r="I341" s="11" t="s">
        <v>1251</v>
      </c>
      <c r="M341" s="11" t="s">
        <v>44</v>
      </c>
      <c r="N341" s="11" t="s">
        <v>1252</v>
      </c>
      <c r="O341" s="11" t="s">
        <v>1253</v>
      </c>
      <c r="P341" s="11" t="s">
        <v>1251</v>
      </c>
      <c r="Q341" s="11" t="s">
        <v>135</v>
      </c>
      <c r="U341" s="11" t="s">
        <v>516</v>
      </c>
      <c r="V341" s="11" t="s">
        <v>137</v>
      </c>
      <c r="W341" s="13">
        <v>46302.314618055556</v>
      </c>
    </row>
    <row r="342" spans="1:23">
      <c r="A342">
        <v>261923</v>
      </c>
      <c r="B342">
        <v>9922</v>
      </c>
      <c r="C342" s="11" t="s">
        <v>129</v>
      </c>
      <c r="D342" s="11" t="s">
        <v>130</v>
      </c>
      <c r="E342" s="11" t="s">
        <v>25</v>
      </c>
      <c r="F342" s="12">
        <v>46154</v>
      </c>
      <c r="G342" s="11" t="s">
        <v>131</v>
      </c>
      <c r="H342">
        <v>1</v>
      </c>
      <c r="I342" s="11" t="s">
        <v>1254</v>
      </c>
      <c r="M342" s="11" t="s">
        <v>87</v>
      </c>
      <c r="N342" s="11" t="s">
        <v>1255</v>
      </c>
      <c r="O342" s="11" t="s">
        <v>1256</v>
      </c>
      <c r="P342" s="11" t="s">
        <v>1254</v>
      </c>
      <c r="Q342" s="11" t="s">
        <v>135</v>
      </c>
      <c r="U342" s="11" t="s">
        <v>136</v>
      </c>
      <c r="V342" s="11" t="s">
        <v>137</v>
      </c>
      <c r="W342" s="13">
        <v>46302.314618055556</v>
      </c>
    </row>
    <row r="343" spans="1:23">
      <c r="A343">
        <v>261924</v>
      </c>
      <c r="B343">
        <v>9923</v>
      </c>
      <c r="C343" s="11" t="s">
        <v>129</v>
      </c>
      <c r="D343" s="11" t="s">
        <v>130</v>
      </c>
      <c r="E343" s="11" t="s">
        <v>25</v>
      </c>
      <c r="F343" s="12">
        <v>46154</v>
      </c>
      <c r="G343" s="11" t="s">
        <v>512</v>
      </c>
      <c r="H343">
        <v>1</v>
      </c>
      <c r="I343" s="11" t="s">
        <v>1257</v>
      </c>
      <c r="M343" s="11" t="s">
        <v>44</v>
      </c>
      <c r="N343" s="11" t="s">
        <v>1258</v>
      </c>
      <c r="O343" s="11" t="s">
        <v>1259</v>
      </c>
      <c r="P343" s="11" t="s">
        <v>1257</v>
      </c>
      <c r="Q343" s="11" t="s">
        <v>135</v>
      </c>
      <c r="U343" s="11" t="s">
        <v>516</v>
      </c>
      <c r="V343" s="11" t="s">
        <v>137</v>
      </c>
      <c r="W343" s="13">
        <v>46302.314618055556</v>
      </c>
    </row>
    <row r="344" spans="1:23">
      <c r="A344">
        <v>261925</v>
      </c>
      <c r="B344">
        <v>9924</v>
      </c>
      <c r="C344" s="11" t="s">
        <v>129</v>
      </c>
      <c r="D344" s="11" t="s">
        <v>130</v>
      </c>
      <c r="E344" s="11" t="s">
        <v>25</v>
      </c>
      <c r="F344" s="12">
        <v>46154</v>
      </c>
      <c r="G344" s="11" t="s">
        <v>512</v>
      </c>
      <c r="H344">
        <v>1</v>
      </c>
      <c r="I344" s="11" t="s">
        <v>1260</v>
      </c>
      <c r="M344" s="11" t="s">
        <v>44</v>
      </c>
      <c r="N344" s="11" t="s">
        <v>1261</v>
      </c>
      <c r="O344" s="11" t="s">
        <v>1262</v>
      </c>
      <c r="P344" s="11" t="s">
        <v>1260</v>
      </c>
      <c r="Q344" s="11" t="s">
        <v>135</v>
      </c>
      <c r="U344" s="11" t="s">
        <v>516</v>
      </c>
      <c r="V344" s="11" t="s">
        <v>137</v>
      </c>
      <c r="W344" s="13">
        <v>46302.314618055556</v>
      </c>
    </row>
    <row r="345" spans="1:23">
      <c r="A345">
        <v>261926</v>
      </c>
      <c r="B345">
        <v>9925</v>
      </c>
      <c r="C345" s="11" t="s">
        <v>129</v>
      </c>
      <c r="D345" s="11" t="s">
        <v>130</v>
      </c>
      <c r="E345" s="11" t="s">
        <v>25</v>
      </c>
      <c r="F345" s="12">
        <v>46154</v>
      </c>
      <c r="G345" s="11" t="s">
        <v>528</v>
      </c>
      <c r="H345">
        <v>1</v>
      </c>
      <c r="I345" s="11" t="s">
        <v>1263</v>
      </c>
      <c r="M345" s="11" t="s">
        <v>82</v>
      </c>
      <c r="N345" s="11" t="s">
        <v>1264</v>
      </c>
      <c r="O345" s="11" t="s">
        <v>1265</v>
      </c>
      <c r="P345" s="11" t="s">
        <v>1263</v>
      </c>
      <c r="Q345" s="11" t="s">
        <v>135</v>
      </c>
      <c r="U345" s="11" t="s">
        <v>532</v>
      </c>
      <c r="V345" s="11" t="s">
        <v>137</v>
      </c>
      <c r="W345" s="13">
        <v>46302.314618055556</v>
      </c>
    </row>
    <row r="346" spans="1:23">
      <c r="A346">
        <v>261927</v>
      </c>
      <c r="B346">
        <v>9926</v>
      </c>
      <c r="C346" s="11" t="s">
        <v>129</v>
      </c>
      <c r="D346" s="11" t="s">
        <v>130</v>
      </c>
      <c r="E346" s="11" t="s">
        <v>25</v>
      </c>
      <c r="F346" s="12">
        <v>46154</v>
      </c>
      <c r="G346" s="11" t="s">
        <v>138</v>
      </c>
      <c r="H346">
        <v>1</v>
      </c>
      <c r="I346" s="11" t="s">
        <v>1266</v>
      </c>
      <c r="M346" s="11" t="s">
        <v>89</v>
      </c>
      <c r="N346" s="11" t="s">
        <v>1267</v>
      </c>
      <c r="O346" s="11" t="s">
        <v>1268</v>
      </c>
      <c r="P346" s="11" t="s">
        <v>1266</v>
      </c>
      <c r="Q346" s="11" t="s">
        <v>135</v>
      </c>
      <c r="U346" s="11" t="s">
        <v>142</v>
      </c>
      <c r="V346" s="11" t="s">
        <v>137</v>
      </c>
      <c r="W346" s="13">
        <v>46302.314618055556</v>
      </c>
    </row>
    <row r="347" spans="1:23">
      <c r="A347">
        <v>261928</v>
      </c>
      <c r="B347">
        <v>9927</v>
      </c>
      <c r="C347" s="11" t="s">
        <v>129</v>
      </c>
      <c r="D347" s="11" t="s">
        <v>130</v>
      </c>
      <c r="E347" s="11" t="s">
        <v>25</v>
      </c>
      <c r="F347" s="12">
        <v>46154</v>
      </c>
      <c r="G347" s="11" t="s">
        <v>174</v>
      </c>
      <c r="H347">
        <v>1</v>
      </c>
      <c r="I347" s="11" t="s">
        <v>1269</v>
      </c>
      <c r="M347" s="11" t="s">
        <v>92</v>
      </c>
      <c r="N347" s="11" t="s">
        <v>1270</v>
      </c>
      <c r="O347" s="11" t="s">
        <v>1271</v>
      </c>
      <c r="P347" s="11" t="s">
        <v>1269</v>
      </c>
      <c r="Q347" s="11" t="s">
        <v>135</v>
      </c>
      <c r="U347" s="11" t="s">
        <v>178</v>
      </c>
      <c r="V347" s="11" t="s">
        <v>137</v>
      </c>
      <c r="W347" s="13">
        <v>46302.314618055556</v>
      </c>
    </row>
    <row r="348" spans="1:23">
      <c r="A348">
        <v>261929</v>
      </c>
      <c r="B348">
        <v>9928</v>
      </c>
      <c r="C348" s="11" t="s">
        <v>129</v>
      </c>
      <c r="D348" s="11" t="s">
        <v>130</v>
      </c>
      <c r="E348" s="11" t="s">
        <v>25</v>
      </c>
      <c r="F348" s="12">
        <v>46154</v>
      </c>
      <c r="G348" s="11" t="s">
        <v>217</v>
      </c>
      <c r="H348">
        <v>1</v>
      </c>
      <c r="I348" s="11" t="s">
        <v>1272</v>
      </c>
      <c r="M348" s="11" t="s">
        <v>86</v>
      </c>
      <c r="N348" s="11" t="s">
        <v>1273</v>
      </c>
      <c r="O348" s="11" t="s">
        <v>1274</v>
      </c>
      <c r="P348" s="11" t="s">
        <v>1272</v>
      </c>
      <c r="Q348" s="11" t="s">
        <v>135</v>
      </c>
      <c r="U348" s="11" t="s">
        <v>221</v>
      </c>
      <c r="V348" s="11" t="s">
        <v>137</v>
      </c>
      <c r="W348" s="13">
        <v>46302.314618055556</v>
      </c>
    </row>
    <row r="349" spans="1:23">
      <c r="A349">
        <v>262254</v>
      </c>
      <c r="B349">
        <v>10158</v>
      </c>
      <c r="C349" s="11" t="s">
        <v>129</v>
      </c>
      <c r="D349" s="11" t="s">
        <v>130</v>
      </c>
      <c r="E349" s="11" t="s">
        <v>25</v>
      </c>
      <c r="F349" s="12">
        <v>46155</v>
      </c>
      <c r="G349" s="11" t="s">
        <v>226</v>
      </c>
      <c r="H349">
        <v>1</v>
      </c>
      <c r="I349" s="11" t="s">
        <v>1275</v>
      </c>
      <c r="M349" s="11" t="s">
        <v>87</v>
      </c>
      <c r="N349" s="11" t="s">
        <v>1276</v>
      </c>
      <c r="O349" s="11" t="s">
        <v>1277</v>
      </c>
      <c r="P349" s="11" t="s">
        <v>1275</v>
      </c>
      <c r="Q349" s="11" t="s">
        <v>135</v>
      </c>
      <c r="U349" s="11" t="s">
        <v>231</v>
      </c>
      <c r="V349" s="11" t="s">
        <v>137</v>
      </c>
      <c r="W349" s="13">
        <v>46302.314618055556</v>
      </c>
    </row>
    <row r="350" spans="1:23">
      <c r="A350">
        <v>262255</v>
      </c>
      <c r="B350">
        <v>10159</v>
      </c>
      <c r="C350" s="11" t="s">
        <v>129</v>
      </c>
      <c r="D350" s="11" t="s">
        <v>130</v>
      </c>
      <c r="E350" s="11" t="s">
        <v>25</v>
      </c>
      <c r="F350" s="12">
        <v>46155</v>
      </c>
      <c r="G350" s="11" t="s">
        <v>1278</v>
      </c>
      <c r="H350">
        <v>1</v>
      </c>
      <c r="I350" s="11" t="s">
        <v>1279</v>
      </c>
      <c r="M350" s="11" t="s">
        <v>93</v>
      </c>
      <c r="N350" s="11" t="s">
        <v>1280</v>
      </c>
      <c r="O350" s="11" t="s">
        <v>1281</v>
      </c>
      <c r="P350" s="11" t="s">
        <v>1279</v>
      </c>
      <c r="Q350" s="11" t="s">
        <v>1282</v>
      </c>
      <c r="U350" s="11" t="s">
        <v>1283</v>
      </c>
      <c r="V350" s="11" t="s">
        <v>137</v>
      </c>
      <c r="W350" s="13">
        <v>46302.314618055556</v>
      </c>
    </row>
    <row r="351" spans="1:23">
      <c r="A351">
        <v>262256</v>
      </c>
      <c r="B351">
        <v>10161</v>
      </c>
      <c r="C351" s="11" t="s">
        <v>129</v>
      </c>
      <c r="D351" s="11" t="s">
        <v>130</v>
      </c>
      <c r="E351" s="11" t="s">
        <v>25</v>
      </c>
      <c r="F351" s="12">
        <v>46155</v>
      </c>
      <c r="G351" s="11" t="s">
        <v>226</v>
      </c>
      <c r="H351">
        <v>1</v>
      </c>
      <c r="I351" s="11" t="s">
        <v>1284</v>
      </c>
      <c r="M351" s="11" t="s">
        <v>87</v>
      </c>
      <c r="N351" s="11" t="s">
        <v>1285</v>
      </c>
      <c r="O351" s="11" t="s">
        <v>1286</v>
      </c>
      <c r="P351" s="11" t="s">
        <v>1284</v>
      </c>
      <c r="Q351" s="11" t="s">
        <v>135</v>
      </c>
      <c r="U351" s="11" t="s">
        <v>231</v>
      </c>
      <c r="V351" s="11" t="s">
        <v>137</v>
      </c>
      <c r="W351" s="13">
        <v>46302.314618055556</v>
      </c>
    </row>
    <row r="352" spans="1:23">
      <c r="A352">
        <v>262257</v>
      </c>
      <c r="B352">
        <v>10162</v>
      </c>
      <c r="C352" s="11" t="s">
        <v>129</v>
      </c>
      <c r="D352" s="11" t="s">
        <v>130</v>
      </c>
      <c r="E352" s="11" t="s">
        <v>25</v>
      </c>
      <c r="F352" s="12">
        <v>46155</v>
      </c>
      <c r="G352" s="11" t="s">
        <v>672</v>
      </c>
      <c r="H352">
        <v>1</v>
      </c>
      <c r="I352" s="11" t="s">
        <v>218</v>
      </c>
      <c r="M352" s="11" t="s">
        <v>72</v>
      </c>
      <c r="N352" s="11" t="s">
        <v>1287</v>
      </c>
      <c r="O352" s="11" t="s">
        <v>1288</v>
      </c>
      <c r="P352" s="11" t="s">
        <v>218</v>
      </c>
      <c r="Q352" s="11" t="s">
        <v>135</v>
      </c>
      <c r="U352" s="11" t="s">
        <v>677</v>
      </c>
      <c r="V352" s="11" t="s">
        <v>137</v>
      </c>
      <c r="W352" s="13">
        <v>46302.314618055556</v>
      </c>
    </row>
    <row r="353" spans="1:23">
      <c r="A353">
        <v>262258</v>
      </c>
      <c r="B353">
        <v>10163</v>
      </c>
      <c r="C353" s="11" t="s">
        <v>129</v>
      </c>
      <c r="D353" s="11" t="s">
        <v>130</v>
      </c>
      <c r="E353" s="11" t="s">
        <v>25</v>
      </c>
      <c r="F353" s="12">
        <v>46155</v>
      </c>
      <c r="G353" s="11" t="s">
        <v>672</v>
      </c>
      <c r="H353">
        <v>2</v>
      </c>
      <c r="I353" s="11" t="s">
        <v>1289</v>
      </c>
      <c r="M353" s="11" t="s">
        <v>72</v>
      </c>
      <c r="N353" s="11" t="s">
        <v>1290</v>
      </c>
      <c r="O353" s="11" t="s">
        <v>1291</v>
      </c>
      <c r="P353" s="11" t="s">
        <v>1292</v>
      </c>
      <c r="Q353" s="11" t="s">
        <v>135</v>
      </c>
      <c r="U353" s="11" t="s">
        <v>677</v>
      </c>
      <c r="V353" s="11" t="s">
        <v>137</v>
      </c>
      <c r="W353" s="13">
        <v>46302.314618055556</v>
      </c>
    </row>
    <row r="354" spans="1:23">
      <c r="A354">
        <v>262259</v>
      </c>
      <c r="B354">
        <v>10164</v>
      </c>
      <c r="C354" s="11" t="s">
        <v>129</v>
      </c>
      <c r="D354" s="11" t="s">
        <v>130</v>
      </c>
      <c r="E354" s="11" t="s">
        <v>25</v>
      </c>
      <c r="F354" s="12">
        <v>46155</v>
      </c>
      <c r="G354" s="11" t="s">
        <v>226</v>
      </c>
      <c r="H354">
        <v>1</v>
      </c>
      <c r="I354" s="11" t="s">
        <v>1293</v>
      </c>
      <c r="M354" s="11" t="s">
        <v>87</v>
      </c>
      <c r="N354" s="11" t="s">
        <v>1294</v>
      </c>
      <c r="O354" s="11" t="s">
        <v>1295</v>
      </c>
      <c r="P354" s="11" t="s">
        <v>1293</v>
      </c>
      <c r="Q354" s="11" t="s">
        <v>135</v>
      </c>
      <c r="U354" s="11" t="s">
        <v>231</v>
      </c>
      <c r="V354" s="11" t="s">
        <v>137</v>
      </c>
      <c r="W354" s="13">
        <v>46302.314618055556</v>
      </c>
    </row>
    <row r="355" spans="1:23">
      <c r="A355">
        <v>262260</v>
      </c>
      <c r="B355">
        <v>10165</v>
      </c>
      <c r="C355" s="11" t="s">
        <v>129</v>
      </c>
      <c r="D355" s="11" t="s">
        <v>130</v>
      </c>
      <c r="E355" s="11" t="s">
        <v>25</v>
      </c>
      <c r="F355" s="12">
        <v>46155</v>
      </c>
      <c r="G355" s="11" t="s">
        <v>439</v>
      </c>
      <c r="H355">
        <v>1</v>
      </c>
      <c r="I355" s="11" t="s">
        <v>1296</v>
      </c>
      <c r="M355" s="11" t="s">
        <v>73</v>
      </c>
      <c r="N355" s="11" t="s">
        <v>1297</v>
      </c>
      <c r="O355" s="11" t="s">
        <v>1298</v>
      </c>
      <c r="P355" s="11" t="s">
        <v>1296</v>
      </c>
      <c r="Q355" s="11" t="s">
        <v>135</v>
      </c>
      <c r="U355" s="11" t="s">
        <v>443</v>
      </c>
      <c r="V355" s="11" t="s">
        <v>137</v>
      </c>
      <c r="W355" s="13">
        <v>46302.314618055556</v>
      </c>
    </row>
    <row r="356" spans="1:23">
      <c r="A356">
        <v>262261</v>
      </c>
      <c r="B356">
        <v>10166</v>
      </c>
      <c r="C356" s="11" t="s">
        <v>129</v>
      </c>
      <c r="D356" s="11" t="s">
        <v>130</v>
      </c>
      <c r="E356" s="11" t="s">
        <v>25</v>
      </c>
      <c r="F356" s="12">
        <v>46155</v>
      </c>
      <c r="G356" s="11" t="s">
        <v>439</v>
      </c>
      <c r="H356">
        <v>1</v>
      </c>
      <c r="I356" s="11" t="s">
        <v>1299</v>
      </c>
      <c r="M356" s="11" t="s">
        <v>73</v>
      </c>
      <c r="N356" s="11" t="s">
        <v>1300</v>
      </c>
      <c r="O356" s="11" t="s">
        <v>1301</v>
      </c>
      <c r="P356" s="11" t="s">
        <v>1299</v>
      </c>
      <c r="Q356" s="11" t="s">
        <v>135</v>
      </c>
      <c r="U356" s="11" t="s">
        <v>443</v>
      </c>
      <c r="V356" s="11" t="s">
        <v>137</v>
      </c>
      <c r="W356" s="13">
        <v>46302.314618055556</v>
      </c>
    </row>
    <row r="357" spans="1:23">
      <c r="A357">
        <v>262262</v>
      </c>
      <c r="B357">
        <v>10167</v>
      </c>
      <c r="C357" s="11" t="s">
        <v>129</v>
      </c>
      <c r="D357" s="11" t="s">
        <v>130</v>
      </c>
      <c r="E357" s="11" t="s">
        <v>25</v>
      </c>
      <c r="F357" s="12">
        <v>46155</v>
      </c>
      <c r="G357" s="11" t="s">
        <v>672</v>
      </c>
      <c r="H357">
        <v>2</v>
      </c>
      <c r="I357" s="11" t="s">
        <v>1302</v>
      </c>
      <c r="M357" s="11" t="s">
        <v>72</v>
      </c>
      <c r="N357" s="11" t="s">
        <v>1303</v>
      </c>
      <c r="O357" s="11" t="s">
        <v>1304</v>
      </c>
      <c r="P357" s="11" t="s">
        <v>1305</v>
      </c>
      <c r="Q357" s="11" t="s">
        <v>135</v>
      </c>
      <c r="U357" s="11" t="s">
        <v>677</v>
      </c>
      <c r="V357" s="11" t="s">
        <v>137</v>
      </c>
      <c r="W357" s="13">
        <v>46302.314618055556</v>
      </c>
    </row>
    <row r="358" spans="1:23">
      <c r="A358">
        <v>262263</v>
      </c>
      <c r="B358">
        <v>10168</v>
      </c>
      <c r="C358" s="11" t="s">
        <v>129</v>
      </c>
      <c r="D358" s="11" t="s">
        <v>130</v>
      </c>
      <c r="E358" s="11" t="s">
        <v>25</v>
      </c>
      <c r="F358" s="12">
        <v>46155</v>
      </c>
      <c r="G358" s="11" t="s">
        <v>226</v>
      </c>
      <c r="H358">
        <v>1</v>
      </c>
      <c r="I358" s="11" t="s">
        <v>1306</v>
      </c>
      <c r="M358" s="11" t="s">
        <v>87</v>
      </c>
      <c r="N358" s="11" t="s">
        <v>1307</v>
      </c>
      <c r="O358" s="11" t="s">
        <v>1308</v>
      </c>
      <c r="P358" s="11" t="s">
        <v>1306</v>
      </c>
      <c r="Q358" s="11" t="s">
        <v>135</v>
      </c>
      <c r="U358" s="11" t="s">
        <v>231</v>
      </c>
      <c r="V358" s="11" t="s">
        <v>137</v>
      </c>
      <c r="W358" s="13">
        <v>46302.314618055556</v>
      </c>
    </row>
    <row r="359" spans="1:23">
      <c r="A359">
        <v>262264</v>
      </c>
      <c r="B359">
        <v>10169</v>
      </c>
      <c r="C359" s="11" t="s">
        <v>129</v>
      </c>
      <c r="D359" s="11" t="s">
        <v>130</v>
      </c>
      <c r="E359" s="11" t="s">
        <v>25</v>
      </c>
      <c r="F359" s="12">
        <v>46155</v>
      </c>
      <c r="G359" s="11" t="s">
        <v>274</v>
      </c>
      <c r="H359">
        <v>1</v>
      </c>
      <c r="I359" s="11" t="s">
        <v>1309</v>
      </c>
      <c r="M359" s="11" t="s">
        <v>77</v>
      </c>
      <c r="N359" s="11" t="s">
        <v>1310</v>
      </c>
      <c r="O359" s="11" t="s">
        <v>1311</v>
      </c>
      <c r="P359" s="11" t="s">
        <v>1309</v>
      </c>
      <c r="Q359" s="11" t="s">
        <v>135</v>
      </c>
      <c r="U359" s="11" t="s">
        <v>278</v>
      </c>
      <c r="V359" s="11" t="s">
        <v>137</v>
      </c>
      <c r="W359" s="13">
        <v>46302.314618055556</v>
      </c>
    </row>
    <row r="360" spans="1:23">
      <c r="A360">
        <v>262265</v>
      </c>
      <c r="B360">
        <v>10170</v>
      </c>
      <c r="C360" s="11" t="s">
        <v>129</v>
      </c>
      <c r="D360" s="11" t="s">
        <v>130</v>
      </c>
      <c r="E360" s="11" t="s">
        <v>25</v>
      </c>
      <c r="F360" s="12">
        <v>46155</v>
      </c>
      <c r="G360" s="11" t="s">
        <v>284</v>
      </c>
      <c r="H360">
        <v>1</v>
      </c>
      <c r="I360" s="11" t="s">
        <v>1312</v>
      </c>
      <c r="M360" s="11" t="s">
        <v>80</v>
      </c>
      <c r="N360" s="11" t="s">
        <v>1313</v>
      </c>
      <c r="O360" s="11" t="s">
        <v>1314</v>
      </c>
      <c r="P360" s="11" t="s">
        <v>1312</v>
      </c>
      <c r="Q360" s="11" t="s">
        <v>135</v>
      </c>
      <c r="U360" s="11" t="s">
        <v>288</v>
      </c>
      <c r="V360" s="11" t="s">
        <v>137</v>
      </c>
      <c r="W360" s="13">
        <v>46302.314618055556</v>
      </c>
    </row>
    <row r="361" spans="1:23">
      <c r="A361">
        <v>262266</v>
      </c>
      <c r="B361">
        <v>10171</v>
      </c>
      <c r="C361" s="11" t="s">
        <v>129</v>
      </c>
      <c r="D361" s="11" t="s">
        <v>130</v>
      </c>
      <c r="E361" s="11" t="s">
        <v>25</v>
      </c>
      <c r="F361" s="12">
        <v>46155</v>
      </c>
      <c r="G361" s="11" t="s">
        <v>439</v>
      </c>
      <c r="H361">
        <v>1</v>
      </c>
      <c r="I361" s="11" t="s">
        <v>1150</v>
      </c>
      <c r="M361" s="11" t="s">
        <v>73</v>
      </c>
      <c r="N361" s="11" t="s">
        <v>1315</v>
      </c>
      <c r="O361" s="11" t="s">
        <v>1316</v>
      </c>
      <c r="P361" s="11" t="s">
        <v>1150</v>
      </c>
      <c r="Q361" s="11" t="s">
        <v>135</v>
      </c>
      <c r="U361" s="11" t="s">
        <v>443</v>
      </c>
      <c r="V361" s="11" t="s">
        <v>137</v>
      </c>
      <c r="W361" s="13">
        <v>46302.314618055556</v>
      </c>
    </row>
    <row r="362" spans="1:23">
      <c r="A362">
        <v>262267</v>
      </c>
      <c r="B362">
        <v>10172</v>
      </c>
      <c r="C362" s="11" t="s">
        <v>129</v>
      </c>
      <c r="D362" s="11" t="s">
        <v>130</v>
      </c>
      <c r="E362" s="11" t="s">
        <v>25</v>
      </c>
      <c r="F362" s="12">
        <v>46155</v>
      </c>
      <c r="G362" s="11" t="s">
        <v>416</v>
      </c>
      <c r="H362">
        <v>1</v>
      </c>
      <c r="I362" s="11" t="s">
        <v>1317</v>
      </c>
      <c r="M362" s="11" t="s">
        <v>75</v>
      </c>
      <c r="N362" s="11" t="s">
        <v>1318</v>
      </c>
      <c r="O362" s="11" t="s">
        <v>1319</v>
      </c>
      <c r="P362" s="11" t="s">
        <v>1317</v>
      </c>
      <c r="Q362" s="11" t="s">
        <v>135</v>
      </c>
      <c r="U362" s="11" t="s">
        <v>420</v>
      </c>
      <c r="V362" s="11" t="s">
        <v>137</v>
      </c>
      <c r="W362" s="13">
        <v>46302.314618055556</v>
      </c>
    </row>
    <row r="363" spans="1:23">
      <c r="A363">
        <v>262268</v>
      </c>
      <c r="B363">
        <v>10173</v>
      </c>
      <c r="C363" s="11" t="s">
        <v>129</v>
      </c>
      <c r="D363" s="11" t="s">
        <v>130</v>
      </c>
      <c r="E363" s="11" t="s">
        <v>25</v>
      </c>
      <c r="F363" s="12">
        <v>46155</v>
      </c>
      <c r="G363" s="11" t="s">
        <v>226</v>
      </c>
      <c r="H363">
        <v>1</v>
      </c>
      <c r="I363" s="11" t="s">
        <v>1320</v>
      </c>
      <c r="M363" s="11" t="s">
        <v>87</v>
      </c>
      <c r="N363" s="11" t="s">
        <v>1321</v>
      </c>
      <c r="O363" s="11" t="s">
        <v>1322</v>
      </c>
      <c r="P363" s="11" t="s">
        <v>1320</v>
      </c>
      <c r="Q363" s="11" t="s">
        <v>135</v>
      </c>
      <c r="U363" s="11" t="s">
        <v>231</v>
      </c>
      <c r="V363" s="11" t="s">
        <v>137</v>
      </c>
      <c r="W363" s="13">
        <v>46302.314618055556</v>
      </c>
    </row>
    <row r="364" spans="1:23">
      <c r="A364">
        <v>262269</v>
      </c>
      <c r="B364">
        <v>10174</v>
      </c>
      <c r="C364" s="11" t="s">
        <v>129</v>
      </c>
      <c r="D364" s="11" t="s">
        <v>130</v>
      </c>
      <c r="E364" s="11" t="s">
        <v>25</v>
      </c>
      <c r="F364" s="12">
        <v>46155</v>
      </c>
      <c r="G364" s="11" t="s">
        <v>439</v>
      </c>
      <c r="H364">
        <v>2</v>
      </c>
      <c r="I364" s="11" t="s">
        <v>1323</v>
      </c>
      <c r="M364" s="11" t="s">
        <v>73</v>
      </c>
      <c r="N364" s="11" t="s">
        <v>1324</v>
      </c>
      <c r="O364" s="11" t="s">
        <v>1325</v>
      </c>
      <c r="P364" s="11" t="s">
        <v>1326</v>
      </c>
      <c r="Q364" s="11" t="s">
        <v>135</v>
      </c>
      <c r="U364" s="11" t="s">
        <v>443</v>
      </c>
      <c r="V364" s="11" t="s">
        <v>137</v>
      </c>
      <c r="W364" s="13">
        <v>46302.314618055556</v>
      </c>
    </row>
    <row r="365" spans="1:23">
      <c r="A365">
        <v>262270</v>
      </c>
      <c r="B365">
        <v>10175</v>
      </c>
      <c r="C365" s="11" t="s">
        <v>129</v>
      </c>
      <c r="D365" s="11" t="s">
        <v>130</v>
      </c>
      <c r="E365" s="11" t="s">
        <v>25</v>
      </c>
      <c r="F365" s="12">
        <v>46155</v>
      </c>
      <c r="G365" s="11" t="s">
        <v>672</v>
      </c>
      <c r="H365">
        <v>1</v>
      </c>
      <c r="I365" s="11" t="s">
        <v>1327</v>
      </c>
      <c r="M365" s="11" t="s">
        <v>72</v>
      </c>
      <c r="N365" s="11" t="s">
        <v>1328</v>
      </c>
      <c r="O365" s="11" t="s">
        <v>1329</v>
      </c>
      <c r="P365" s="11" t="s">
        <v>1327</v>
      </c>
      <c r="Q365" s="11" t="s">
        <v>135</v>
      </c>
      <c r="U365" s="11" t="s">
        <v>677</v>
      </c>
      <c r="V365" s="11" t="s">
        <v>137</v>
      </c>
      <c r="W365" s="13">
        <v>46302.314618055556</v>
      </c>
    </row>
    <row r="366" spans="1:23">
      <c r="A366">
        <v>262271</v>
      </c>
      <c r="B366">
        <v>10176</v>
      </c>
      <c r="C366" s="11" t="s">
        <v>129</v>
      </c>
      <c r="D366" s="11" t="s">
        <v>130</v>
      </c>
      <c r="E366" s="11" t="s">
        <v>25</v>
      </c>
      <c r="F366" s="12">
        <v>46155</v>
      </c>
      <c r="G366" s="11" t="s">
        <v>263</v>
      </c>
      <c r="H366">
        <v>1</v>
      </c>
      <c r="I366" s="11" t="s">
        <v>1330</v>
      </c>
      <c r="M366" s="11" t="s">
        <v>92</v>
      </c>
      <c r="N366" s="11" t="s">
        <v>1331</v>
      </c>
      <c r="O366" s="11" t="s">
        <v>1332</v>
      </c>
      <c r="P366" s="11" t="s">
        <v>1330</v>
      </c>
      <c r="Q366" s="11" t="s">
        <v>135</v>
      </c>
      <c r="U366" s="11" t="s">
        <v>267</v>
      </c>
      <c r="V366" s="11" t="s">
        <v>137</v>
      </c>
      <c r="W366" s="13">
        <v>46302.314618055556</v>
      </c>
    </row>
    <row r="367" spans="1:23">
      <c r="A367">
        <v>262272</v>
      </c>
      <c r="B367">
        <v>10177</v>
      </c>
      <c r="C367" s="11" t="s">
        <v>129</v>
      </c>
      <c r="D367" s="11" t="s">
        <v>130</v>
      </c>
      <c r="E367" s="11" t="s">
        <v>25</v>
      </c>
      <c r="F367" s="12">
        <v>46155</v>
      </c>
      <c r="G367" s="11" t="s">
        <v>672</v>
      </c>
      <c r="H367">
        <v>1</v>
      </c>
      <c r="I367" s="11" t="s">
        <v>1089</v>
      </c>
      <c r="M367" s="11" t="s">
        <v>72</v>
      </c>
      <c r="N367" s="11" t="s">
        <v>1333</v>
      </c>
      <c r="O367" s="11" t="s">
        <v>1334</v>
      </c>
      <c r="P367" s="11" t="s">
        <v>1089</v>
      </c>
      <c r="Q367" s="11" t="s">
        <v>135</v>
      </c>
      <c r="U367" s="11" t="s">
        <v>677</v>
      </c>
      <c r="V367" s="11" t="s">
        <v>137</v>
      </c>
      <c r="W367" s="13">
        <v>46302.314618055556</v>
      </c>
    </row>
    <row r="368" spans="1:23">
      <c r="A368">
        <v>262273</v>
      </c>
      <c r="B368">
        <v>10178</v>
      </c>
      <c r="C368" s="11" t="s">
        <v>129</v>
      </c>
      <c r="D368" s="11" t="s">
        <v>130</v>
      </c>
      <c r="E368" s="11" t="s">
        <v>25</v>
      </c>
      <c r="F368" s="12">
        <v>46155</v>
      </c>
      <c r="G368" s="11" t="s">
        <v>312</v>
      </c>
      <c r="H368">
        <v>1</v>
      </c>
      <c r="I368" s="11" t="s">
        <v>1335</v>
      </c>
      <c r="M368" s="11" t="s">
        <v>86</v>
      </c>
      <c r="N368" s="11" t="s">
        <v>1336</v>
      </c>
      <c r="O368" s="11" t="s">
        <v>1337</v>
      </c>
      <c r="P368" s="11" t="s">
        <v>1335</v>
      </c>
      <c r="Q368" s="11" t="s">
        <v>135</v>
      </c>
      <c r="U368" s="11" t="s">
        <v>315</v>
      </c>
      <c r="V368" s="11" t="s">
        <v>137</v>
      </c>
      <c r="W368" s="13">
        <v>46302.314618055556</v>
      </c>
    </row>
    <row r="369" spans="1:23">
      <c r="A369">
        <v>262274</v>
      </c>
      <c r="B369">
        <v>10179</v>
      </c>
      <c r="C369" s="11" t="s">
        <v>129</v>
      </c>
      <c r="D369" s="11" t="s">
        <v>130</v>
      </c>
      <c r="E369" s="11" t="s">
        <v>25</v>
      </c>
      <c r="F369" s="12">
        <v>46155</v>
      </c>
      <c r="G369" s="11" t="s">
        <v>226</v>
      </c>
      <c r="H369">
        <v>1</v>
      </c>
      <c r="I369" s="11" t="s">
        <v>1338</v>
      </c>
      <c r="M369" s="11" t="s">
        <v>87</v>
      </c>
      <c r="N369" s="11" t="s">
        <v>1339</v>
      </c>
      <c r="O369" s="11" t="s">
        <v>1340</v>
      </c>
      <c r="P369" s="11" t="s">
        <v>1338</v>
      </c>
      <c r="Q369" s="11" t="s">
        <v>135</v>
      </c>
      <c r="U369" s="11" t="s">
        <v>231</v>
      </c>
      <c r="V369" s="11" t="s">
        <v>137</v>
      </c>
      <c r="W369" s="13">
        <v>46302.314618055556</v>
      </c>
    </row>
    <row r="370" spans="1:23">
      <c r="A370">
        <v>262275</v>
      </c>
      <c r="B370">
        <v>10160</v>
      </c>
      <c r="C370" s="11" t="s">
        <v>129</v>
      </c>
      <c r="D370" s="11" t="s">
        <v>130</v>
      </c>
      <c r="E370" s="11" t="s">
        <v>25</v>
      </c>
      <c r="F370" s="12">
        <v>46155</v>
      </c>
      <c r="G370" s="11" t="s">
        <v>308</v>
      </c>
      <c r="H370">
        <v>1</v>
      </c>
      <c r="I370" s="11" t="s">
        <v>1282</v>
      </c>
      <c r="M370" s="11" t="s">
        <v>90</v>
      </c>
      <c r="N370" s="11" t="s">
        <v>744</v>
      </c>
      <c r="O370" s="11" t="s">
        <v>802</v>
      </c>
      <c r="P370" s="11" t="s">
        <v>1282</v>
      </c>
      <c r="Q370" s="11" t="s">
        <v>135</v>
      </c>
      <c r="R370">
        <v>10159</v>
      </c>
      <c r="U370" s="11" t="s">
        <v>311</v>
      </c>
      <c r="V370" s="11" t="s">
        <v>137</v>
      </c>
      <c r="W370" s="13">
        <v>46302.314618055556</v>
      </c>
    </row>
    <row r="371" spans="1:23">
      <c r="A371">
        <v>263041</v>
      </c>
      <c r="B371">
        <v>1467</v>
      </c>
      <c r="C371" s="11" t="s">
        <v>129</v>
      </c>
      <c r="D371" s="11" t="s">
        <v>130</v>
      </c>
      <c r="E371" s="11" t="s">
        <v>25</v>
      </c>
      <c r="F371" s="12">
        <v>46157</v>
      </c>
      <c r="G371" s="11" t="s">
        <v>131</v>
      </c>
      <c r="H371">
        <v>1</v>
      </c>
      <c r="I371" s="11" t="s">
        <v>1341</v>
      </c>
      <c r="M371" s="11" t="s">
        <v>87</v>
      </c>
      <c r="N371" s="11" t="s">
        <v>1342</v>
      </c>
      <c r="O371" s="11" t="s">
        <v>1343</v>
      </c>
      <c r="P371" s="11" t="s">
        <v>1341</v>
      </c>
      <c r="Q371" s="11" t="s">
        <v>135</v>
      </c>
      <c r="U371" s="11" t="s">
        <v>136</v>
      </c>
      <c r="V371" s="11" t="s">
        <v>137</v>
      </c>
      <c r="W371" s="13">
        <v>46302.314618055556</v>
      </c>
    </row>
    <row r="372" spans="1:23">
      <c r="A372">
        <v>263042</v>
      </c>
      <c r="B372">
        <v>1468</v>
      </c>
      <c r="C372" s="11" t="s">
        <v>129</v>
      </c>
      <c r="D372" s="11" t="s">
        <v>130</v>
      </c>
      <c r="E372" s="11" t="s">
        <v>25</v>
      </c>
      <c r="F372" s="12">
        <v>46157</v>
      </c>
      <c r="G372" s="11" t="s">
        <v>164</v>
      </c>
      <c r="H372">
        <v>1</v>
      </c>
      <c r="I372" s="11" t="s">
        <v>1344</v>
      </c>
      <c r="M372" s="11" t="s">
        <v>62</v>
      </c>
      <c r="N372" s="11" t="s">
        <v>924</v>
      </c>
      <c r="O372" s="11" t="s">
        <v>1345</v>
      </c>
      <c r="P372" s="11" t="s">
        <v>1344</v>
      </c>
      <c r="Q372" s="11" t="s">
        <v>1346</v>
      </c>
      <c r="U372" s="11" t="s">
        <v>168</v>
      </c>
      <c r="V372" s="11" t="s">
        <v>137</v>
      </c>
      <c r="W372" s="13">
        <v>46302.314618055556</v>
      </c>
    </row>
    <row r="373" spans="1:23">
      <c r="A373">
        <v>263043</v>
      </c>
      <c r="B373">
        <v>1470</v>
      </c>
      <c r="C373" s="11" t="s">
        <v>129</v>
      </c>
      <c r="D373" s="11" t="s">
        <v>130</v>
      </c>
      <c r="E373" s="11" t="s">
        <v>25</v>
      </c>
      <c r="F373" s="12">
        <v>46157</v>
      </c>
      <c r="G373" s="11" t="s">
        <v>131</v>
      </c>
      <c r="H373">
        <v>1</v>
      </c>
      <c r="I373" s="11" t="s">
        <v>784</v>
      </c>
      <c r="M373" s="11" t="s">
        <v>87</v>
      </c>
      <c r="N373" s="11" t="s">
        <v>1347</v>
      </c>
      <c r="O373" s="11" t="s">
        <v>1348</v>
      </c>
      <c r="P373" s="11" t="s">
        <v>784</v>
      </c>
      <c r="Q373" s="11" t="s">
        <v>135</v>
      </c>
      <c r="U373" s="11" t="s">
        <v>136</v>
      </c>
      <c r="V373" s="11" t="s">
        <v>137</v>
      </c>
      <c r="W373" s="13">
        <v>46302.314618055556</v>
      </c>
    </row>
    <row r="374" spans="1:23">
      <c r="A374">
        <v>263044</v>
      </c>
      <c r="B374">
        <v>1471</v>
      </c>
      <c r="C374" s="11" t="s">
        <v>129</v>
      </c>
      <c r="D374" s="11" t="s">
        <v>130</v>
      </c>
      <c r="E374" s="11" t="s">
        <v>25</v>
      </c>
      <c r="F374" s="12">
        <v>46157</v>
      </c>
      <c r="G374" s="11" t="s">
        <v>164</v>
      </c>
      <c r="H374">
        <v>1</v>
      </c>
      <c r="I374" s="11" t="s">
        <v>1349</v>
      </c>
      <c r="M374" s="11" t="s">
        <v>62</v>
      </c>
      <c r="N374" s="11" t="s">
        <v>1350</v>
      </c>
      <c r="O374" s="11" t="s">
        <v>1351</v>
      </c>
      <c r="P374" s="11" t="s">
        <v>1349</v>
      </c>
      <c r="Q374" s="11" t="s">
        <v>135</v>
      </c>
      <c r="U374" s="11" t="s">
        <v>168</v>
      </c>
      <c r="V374" s="11" t="s">
        <v>137</v>
      </c>
      <c r="W374" s="13">
        <v>46302.314618055556</v>
      </c>
    </row>
    <row r="375" spans="1:23">
      <c r="A375">
        <v>263045</v>
      </c>
      <c r="B375">
        <v>1472</v>
      </c>
      <c r="C375" s="11" t="s">
        <v>129</v>
      </c>
      <c r="D375" s="11" t="s">
        <v>130</v>
      </c>
      <c r="E375" s="11" t="s">
        <v>25</v>
      </c>
      <c r="F375" s="12">
        <v>46157</v>
      </c>
      <c r="G375" s="11" t="s">
        <v>195</v>
      </c>
      <c r="H375">
        <v>1</v>
      </c>
      <c r="I375" s="11" t="s">
        <v>1352</v>
      </c>
      <c r="M375" s="11" t="s">
        <v>68</v>
      </c>
      <c r="N375" s="11" t="s">
        <v>1353</v>
      </c>
      <c r="O375" s="11" t="s">
        <v>1354</v>
      </c>
      <c r="P375" s="11" t="s">
        <v>1352</v>
      </c>
      <c r="Q375" s="11" t="s">
        <v>135</v>
      </c>
      <c r="U375" s="11" t="s">
        <v>199</v>
      </c>
      <c r="V375" s="11" t="s">
        <v>137</v>
      </c>
      <c r="W375" s="13">
        <v>46302.314618055556</v>
      </c>
    </row>
    <row r="376" spans="1:23">
      <c r="A376">
        <v>263046</v>
      </c>
      <c r="B376">
        <v>1473</v>
      </c>
      <c r="C376" s="11" t="s">
        <v>129</v>
      </c>
      <c r="D376" s="11" t="s">
        <v>130</v>
      </c>
      <c r="E376" s="11" t="s">
        <v>25</v>
      </c>
      <c r="F376" s="12">
        <v>46157</v>
      </c>
      <c r="G376" s="11" t="s">
        <v>212</v>
      </c>
      <c r="H376">
        <v>1</v>
      </c>
      <c r="I376" s="11" t="s">
        <v>1355</v>
      </c>
      <c r="M376" s="11" t="s">
        <v>40</v>
      </c>
      <c r="N376" s="11" t="s">
        <v>1356</v>
      </c>
      <c r="O376" s="11" t="s">
        <v>1357</v>
      </c>
      <c r="P376" s="11" t="s">
        <v>1355</v>
      </c>
      <c r="Q376" s="11" t="s">
        <v>135</v>
      </c>
      <c r="U376" s="11" t="s">
        <v>216</v>
      </c>
      <c r="V376" s="11" t="s">
        <v>137</v>
      </c>
      <c r="W376" s="13">
        <v>46302.314618055556</v>
      </c>
    </row>
    <row r="377" spans="1:23">
      <c r="A377">
        <v>263047</v>
      </c>
      <c r="B377">
        <v>1474</v>
      </c>
      <c r="C377" s="11" t="s">
        <v>129</v>
      </c>
      <c r="D377" s="11" t="s">
        <v>130</v>
      </c>
      <c r="E377" s="11" t="s">
        <v>25</v>
      </c>
      <c r="F377" s="12">
        <v>46157</v>
      </c>
      <c r="G377" s="11" t="s">
        <v>131</v>
      </c>
      <c r="H377">
        <v>1</v>
      </c>
      <c r="I377" s="11" t="s">
        <v>1358</v>
      </c>
      <c r="M377" s="11" t="s">
        <v>87</v>
      </c>
      <c r="N377" s="11" t="s">
        <v>1359</v>
      </c>
      <c r="O377" s="11" t="s">
        <v>1360</v>
      </c>
      <c r="P377" s="11" t="s">
        <v>1358</v>
      </c>
      <c r="Q377" s="11" t="s">
        <v>135</v>
      </c>
      <c r="U377" s="11" t="s">
        <v>136</v>
      </c>
      <c r="V377" s="11" t="s">
        <v>137</v>
      </c>
      <c r="W377" s="13">
        <v>46302.314618055556</v>
      </c>
    </row>
    <row r="378" spans="1:23">
      <c r="A378">
        <v>263048</v>
      </c>
      <c r="B378">
        <v>1475</v>
      </c>
      <c r="C378" s="11" t="s">
        <v>129</v>
      </c>
      <c r="D378" s="11" t="s">
        <v>130</v>
      </c>
      <c r="E378" s="11" t="s">
        <v>25</v>
      </c>
      <c r="F378" s="12">
        <v>46157</v>
      </c>
      <c r="G378" s="11" t="s">
        <v>1361</v>
      </c>
      <c r="H378">
        <v>1</v>
      </c>
      <c r="I378" s="11" t="s">
        <v>1362</v>
      </c>
      <c r="M378" s="11" t="s">
        <v>58</v>
      </c>
      <c r="N378" s="11" t="s">
        <v>1363</v>
      </c>
      <c r="O378" s="11" t="s">
        <v>1364</v>
      </c>
      <c r="P378" s="11" t="s">
        <v>1362</v>
      </c>
      <c r="Q378" s="11" t="s">
        <v>135</v>
      </c>
      <c r="U378" s="11" t="s">
        <v>1365</v>
      </c>
      <c r="V378" s="11" t="s">
        <v>137</v>
      </c>
      <c r="W378" s="13">
        <v>46302.314618055556</v>
      </c>
    </row>
    <row r="379" spans="1:23">
      <c r="A379">
        <v>263049</v>
      </c>
      <c r="B379">
        <v>1476</v>
      </c>
      <c r="C379" s="11" t="s">
        <v>129</v>
      </c>
      <c r="D379" s="11" t="s">
        <v>130</v>
      </c>
      <c r="E379" s="11" t="s">
        <v>25</v>
      </c>
      <c r="F379" s="12">
        <v>46157</v>
      </c>
      <c r="G379" s="11" t="s">
        <v>131</v>
      </c>
      <c r="H379">
        <v>1</v>
      </c>
      <c r="I379" s="11" t="s">
        <v>1366</v>
      </c>
      <c r="M379" s="11" t="s">
        <v>87</v>
      </c>
      <c r="N379" s="11" t="s">
        <v>1367</v>
      </c>
      <c r="O379" s="11" t="s">
        <v>1368</v>
      </c>
      <c r="P379" s="11" t="s">
        <v>1366</v>
      </c>
      <c r="Q379" s="11" t="s">
        <v>135</v>
      </c>
      <c r="U379" s="11" t="s">
        <v>136</v>
      </c>
      <c r="V379" s="11" t="s">
        <v>137</v>
      </c>
      <c r="W379" s="13">
        <v>46302.314618055556</v>
      </c>
    </row>
    <row r="380" spans="1:23">
      <c r="A380">
        <v>263050</v>
      </c>
      <c r="B380">
        <v>1477</v>
      </c>
      <c r="C380" s="11" t="s">
        <v>129</v>
      </c>
      <c r="D380" s="11" t="s">
        <v>130</v>
      </c>
      <c r="E380" s="11" t="s">
        <v>25</v>
      </c>
      <c r="F380" s="12">
        <v>46157</v>
      </c>
      <c r="G380" s="11" t="s">
        <v>504</v>
      </c>
      <c r="H380">
        <v>1</v>
      </c>
      <c r="I380" s="11" t="s">
        <v>1369</v>
      </c>
      <c r="M380" s="11" t="s">
        <v>53</v>
      </c>
      <c r="N380" s="11" t="s">
        <v>1370</v>
      </c>
      <c r="O380" s="11" t="s">
        <v>1371</v>
      </c>
      <c r="P380" s="11" t="s">
        <v>1369</v>
      </c>
      <c r="Q380" s="11" t="s">
        <v>135</v>
      </c>
      <c r="U380" s="11" t="s">
        <v>508</v>
      </c>
      <c r="V380" s="11" t="s">
        <v>137</v>
      </c>
      <c r="W380" s="13">
        <v>46302.314618055556</v>
      </c>
    </row>
    <row r="381" spans="1:23">
      <c r="A381">
        <v>263051</v>
      </c>
      <c r="B381">
        <v>1478</v>
      </c>
      <c r="C381" s="11" t="s">
        <v>129</v>
      </c>
      <c r="D381" s="11" t="s">
        <v>130</v>
      </c>
      <c r="E381" s="11" t="s">
        <v>25</v>
      </c>
      <c r="F381" s="12">
        <v>46157</v>
      </c>
      <c r="G381" s="11" t="s">
        <v>212</v>
      </c>
      <c r="H381">
        <v>1</v>
      </c>
      <c r="I381" s="11" t="s">
        <v>1372</v>
      </c>
      <c r="M381" s="11" t="s">
        <v>40</v>
      </c>
      <c r="N381" s="11" t="s">
        <v>1373</v>
      </c>
      <c r="O381" s="11" t="s">
        <v>1374</v>
      </c>
      <c r="P381" s="11" t="s">
        <v>1372</v>
      </c>
      <c r="Q381" s="11" t="s">
        <v>135</v>
      </c>
      <c r="U381" s="11" t="s">
        <v>216</v>
      </c>
      <c r="V381" s="11" t="s">
        <v>137</v>
      </c>
      <c r="W381" s="13">
        <v>46302.314618055556</v>
      </c>
    </row>
    <row r="382" spans="1:23">
      <c r="A382">
        <v>263052</v>
      </c>
      <c r="B382">
        <v>1479</v>
      </c>
      <c r="C382" s="11" t="s">
        <v>129</v>
      </c>
      <c r="D382" s="11" t="s">
        <v>130</v>
      </c>
      <c r="E382" s="11" t="s">
        <v>25</v>
      </c>
      <c r="F382" s="12">
        <v>46157</v>
      </c>
      <c r="G382" s="11" t="s">
        <v>174</v>
      </c>
      <c r="H382">
        <v>1</v>
      </c>
      <c r="I382" s="11" t="s">
        <v>1375</v>
      </c>
      <c r="M382" s="11" t="s">
        <v>92</v>
      </c>
      <c r="N382" s="11" t="s">
        <v>1376</v>
      </c>
      <c r="O382" s="11" t="s">
        <v>1377</v>
      </c>
      <c r="P382" s="11" t="s">
        <v>1375</v>
      </c>
      <c r="Q382" s="11" t="s">
        <v>135</v>
      </c>
      <c r="U382" s="11" t="s">
        <v>178</v>
      </c>
      <c r="V382" s="11" t="s">
        <v>137</v>
      </c>
      <c r="W382" s="13">
        <v>46302.314618055556</v>
      </c>
    </row>
    <row r="383" spans="1:23">
      <c r="A383">
        <v>263053</v>
      </c>
      <c r="B383">
        <v>1480</v>
      </c>
      <c r="C383" s="11" t="s">
        <v>129</v>
      </c>
      <c r="D383" s="11" t="s">
        <v>130</v>
      </c>
      <c r="E383" s="11" t="s">
        <v>25</v>
      </c>
      <c r="F383" s="12">
        <v>46157</v>
      </c>
      <c r="G383" s="11" t="s">
        <v>131</v>
      </c>
      <c r="H383">
        <v>1</v>
      </c>
      <c r="I383" s="11" t="s">
        <v>1378</v>
      </c>
      <c r="M383" s="11" t="s">
        <v>87</v>
      </c>
      <c r="N383" s="11" t="s">
        <v>1379</v>
      </c>
      <c r="O383" s="11" t="s">
        <v>1380</v>
      </c>
      <c r="P383" s="11" t="s">
        <v>1378</v>
      </c>
      <c r="Q383" s="11" t="s">
        <v>135</v>
      </c>
      <c r="U383" s="11" t="s">
        <v>136</v>
      </c>
      <c r="V383" s="11" t="s">
        <v>137</v>
      </c>
      <c r="W383" s="13">
        <v>46302.314618055556</v>
      </c>
    </row>
    <row r="384" spans="1:23">
      <c r="A384">
        <v>263054</v>
      </c>
      <c r="B384">
        <v>1481</v>
      </c>
      <c r="C384" s="11" t="s">
        <v>129</v>
      </c>
      <c r="D384" s="11" t="s">
        <v>130</v>
      </c>
      <c r="E384" s="11" t="s">
        <v>25</v>
      </c>
      <c r="F384" s="12">
        <v>46157</v>
      </c>
      <c r="G384" s="11" t="s">
        <v>607</v>
      </c>
      <c r="H384">
        <v>1</v>
      </c>
      <c r="I384" s="11" t="s">
        <v>1381</v>
      </c>
      <c r="M384" s="11" t="s">
        <v>42</v>
      </c>
      <c r="N384" s="11" t="s">
        <v>1382</v>
      </c>
      <c r="O384" s="11" t="s">
        <v>1383</v>
      </c>
      <c r="P384" s="11" t="s">
        <v>1381</v>
      </c>
      <c r="Q384" s="11" t="s">
        <v>135</v>
      </c>
      <c r="U384" s="11" t="s">
        <v>611</v>
      </c>
      <c r="V384" s="11" t="s">
        <v>137</v>
      </c>
      <c r="W384" s="13">
        <v>46302.314618055556</v>
      </c>
    </row>
    <row r="385" spans="1:23">
      <c r="A385">
        <v>263055</v>
      </c>
      <c r="B385">
        <v>1482</v>
      </c>
      <c r="C385" s="11" t="s">
        <v>129</v>
      </c>
      <c r="D385" s="11" t="s">
        <v>130</v>
      </c>
      <c r="E385" s="11" t="s">
        <v>25</v>
      </c>
      <c r="F385" s="12">
        <v>46157</v>
      </c>
      <c r="G385" s="11" t="s">
        <v>174</v>
      </c>
      <c r="H385">
        <v>1</v>
      </c>
      <c r="I385" s="11" t="s">
        <v>1384</v>
      </c>
      <c r="M385" s="11" t="s">
        <v>92</v>
      </c>
      <c r="N385" s="11" t="s">
        <v>1385</v>
      </c>
      <c r="O385" s="11" t="s">
        <v>1386</v>
      </c>
      <c r="P385" s="11" t="s">
        <v>1384</v>
      </c>
      <c r="Q385" s="11" t="s">
        <v>135</v>
      </c>
      <c r="U385" s="11" t="s">
        <v>178</v>
      </c>
      <c r="V385" s="11" t="s">
        <v>137</v>
      </c>
      <c r="W385" s="13">
        <v>46302.314618055556</v>
      </c>
    </row>
    <row r="386" spans="1:23">
      <c r="A386">
        <v>263056</v>
      </c>
      <c r="B386">
        <v>1483</v>
      </c>
      <c r="C386" s="11" t="s">
        <v>129</v>
      </c>
      <c r="D386" s="11" t="s">
        <v>130</v>
      </c>
      <c r="E386" s="11" t="s">
        <v>25</v>
      </c>
      <c r="F386" s="12">
        <v>46157</v>
      </c>
      <c r="G386" s="11" t="s">
        <v>149</v>
      </c>
      <c r="H386">
        <v>1</v>
      </c>
      <c r="I386" s="11" t="s">
        <v>1387</v>
      </c>
      <c r="M386" s="11" t="s">
        <v>77</v>
      </c>
      <c r="N386" s="11" t="s">
        <v>1388</v>
      </c>
      <c r="O386" s="11" t="s">
        <v>1389</v>
      </c>
      <c r="P386" s="11" t="s">
        <v>1387</v>
      </c>
      <c r="Q386" s="11" t="s">
        <v>135</v>
      </c>
      <c r="U386" s="11" t="s">
        <v>153</v>
      </c>
      <c r="V386" s="11" t="s">
        <v>137</v>
      </c>
      <c r="W386" s="13">
        <v>46302.314618055556</v>
      </c>
    </row>
    <row r="387" spans="1:23">
      <c r="A387">
        <v>263057</v>
      </c>
      <c r="B387">
        <v>1484</v>
      </c>
      <c r="C387" s="11" t="s">
        <v>129</v>
      </c>
      <c r="D387" s="11" t="s">
        <v>130</v>
      </c>
      <c r="E387" s="11" t="s">
        <v>25</v>
      </c>
      <c r="F387" s="12">
        <v>46157</v>
      </c>
      <c r="G387" s="11" t="s">
        <v>154</v>
      </c>
      <c r="H387">
        <v>1</v>
      </c>
      <c r="I387" s="11" t="s">
        <v>1390</v>
      </c>
      <c r="M387" s="11" t="s">
        <v>79</v>
      </c>
      <c r="N387" s="11" t="s">
        <v>1391</v>
      </c>
      <c r="O387" s="11" t="s">
        <v>1392</v>
      </c>
      <c r="P387" s="11" t="s">
        <v>1390</v>
      </c>
      <c r="Q387" s="11" t="s">
        <v>1393</v>
      </c>
      <c r="U387" s="11" t="s">
        <v>158</v>
      </c>
      <c r="V387" s="11" t="s">
        <v>137</v>
      </c>
      <c r="W387" s="13">
        <v>46302.314618055556</v>
      </c>
    </row>
    <row r="388" spans="1:23">
      <c r="A388">
        <v>263058</v>
      </c>
      <c r="B388">
        <v>1486</v>
      </c>
      <c r="C388" s="11" t="s">
        <v>129</v>
      </c>
      <c r="D388" s="11" t="s">
        <v>130</v>
      </c>
      <c r="E388" s="11" t="s">
        <v>25</v>
      </c>
      <c r="F388" s="12">
        <v>46157</v>
      </c>
      <c r="G388" s="11" t="s">
        <v>504</v>
      </c>
      <c r="H388">
        <v>1</v>
      </c>
      <c r="I388" s="11" t="s">
        <v>1394</v>
      </c>
      <c r="M388" s="11" t="s">
        <v>53</v>
      </c>
      <c r="N388" s="11" t="s">
        <v>1395</v>
      </c>
      <c r="O388" s="11" t="s">
        <v>1396</v>
      </c>
      <c r="P388" s="11" t="s">
        <v>1394</v>
      </c>
      <c r="Q388" s="11" t="s">
        <v>135</v>
      </c>
      <c r="U388" s="11" t="s">
        <v>508</v>
      </c>
      <c r="V388" s="11" t="s">
        <v>137</v>
      </c>
      <c r="W388" s="13">
        <v>46302.314618055556</v>
      </c>
    </row>
    <row r="389" spans="1:23">
      <c r="A389">
        <v>263059</v>
      </c>
      <c r="B389">
        <v>1487</v>
      </c>
      <c r="C389" s="11" t="s">
        <v>129</v>
      </c>
      <c r="D389" s="11" t="s">
        <v>130</v>
      </c>
      <c r="E389" s="11" t="s">
        <v>25</v>
      </c>
      <c r="F389" s="12">
        <v>46157</v>
      </c>
      <c r="G389" s="11" t="s">
        <v>131</v>
      </c>
      <c r="H389">
        <v>1</v>
      </c>
      <c r="I389" s="11" t="s">
        <v>1397</v>
      </c>
      <c r="M389" s="11" t="s">
        <v>87</v>
      </c>
      <c r="N389" s="11" t="s">
        <v>1398</v>
      </c>
      <c r="O389" s="11" t="s">
        <v>1399</v>
      </c>
      <c r="P389" s="11" t="s">
        <v>1397</v>
      </c>
      <c r="Q389" s="11" t="s">
        <v>135</v>
      </c>
      <c r="U389" s="11" t="s">
        <v>136</v>
      </c>
      <c r="V389" s="11" t="s">
        <v>137</v>
      </c>
      <c r="W389" s="13">
        <v>46302.314618055556</v>
      </c>
    </row>
    <row r="390" spans="1:23">
      <c r="A390">
        <v>263060</v>
      </c>
      <c r="B390">
        <v>1488</v>
      </c>
      <c r="C390" s="11" t="s">
        <v>129</v>
      </c>
      <c r="D390" s="11" t="s">
        <v>130</v>
      </c>
      <c r="E390" s="11" t="s">
        <v>25</v>
      </c>
      <c r="F390" s="12">
        <v>46157</v>
      </c>
      <c r="G390" s="11" t="s">
        <v>504</v>
      </c>
      <c r="H390">
        <v>1</v>
      </c>
      <c r="I390" s="11" t="s">
        <v>1400</v>
      </c>
      <c r="M390" s="11" t="s">
        <v>53</v>
      </c>
      <c r="N390" s="11" t="s">
        <v>1401</v>
      </c>
      <c r="O390" s="11" t="s">
        <v>1402</v>
      </c>
      <c r="P390" s="11" t="s">
        <v>1400</v>
      </c>
      <c r="Q390" s="11" t="s">
        <v>135</v>
      </c>
      <c r="U390" s="11" t="s">
        <v>508</v>
      </c>
      <c r="V390" s="11" t="s">
        <v>137</v>
      </c>
      <c r="W390" s="13">
        <v>46302.314618055556</v>
      </c>
    </row>
    <row r="391" spans="1:23">
      <c r="A391">
        <v>263061</v>
      </c>
      <c r="B391">
        <v>1489</v>
      </c>
      <c r="C391" s="11" t="s">
        <v>129</v>
      </c>
      <c r="D391" s="11" t="s">
        <v>130</v>
      </c>
      <c r="E391" s="11" t="s">
        <v>25</v>
      </c>
      <c r="F391" s="12">
        <v>46157</v>
      </c>
      <c r="G391" s="11" t="s">
        <v>217</v>
      </c>
      <c r="H391">
        <v>1</v>
      </c>
      <c r="I391" s="11" t="s">
        <v>1403</v>
      </c>
      <c r="M391" s="11" t="s">
        <v>86</v>
      </c>
      <c r="N391" s="11" t="s">
        <v>1404</v>
      </c>
      <c r="O391" s="11" t="s">
        <v>1405</v>
      </c>
      <c r="P391" s="11" t="s">
        <v>1403</v>
      </c>
      <c r="Q391" s="11" t="s">
        <v>135</v>
      </c>
      <c r="U391" s="11" t="s">
        <v>221</v>
      </c>
      <c r="V391" s="11" t="s">
        <v>137</v>
      </c>
      <c r="W391" s="13">
        <v>46302.314618055556</v>
      </c>
    </row>
    <row r="392" spans="1:23">
      <c r="A392">
        <v>263062</v>
      </c>
      <c r="B392">
        <v>1469</v>
      </c>
      <c r="C392" s="11" t="s">
        <v>129</v>
      </c>
      <c r="D392" s="11" t="s">
        <v>130</v>
      </c>
      <c r="E392" s="11" t="s">
        <v>25</v>
      </c>
      <c r="F392" s="12">
        <v>46157</v>
      </c>
      <c r="G392" s="11" t="s">
        <v>222</v>
      </c>
      <c r="H392">
        <v>1</v>
      </c>
      <c r="I392" s="11" t="s">
        <v>1346</v>
      </c>
      <c r="M392" s="11" t="s">
        <v>90</v>
      </c>
      <c r="N392" s="11" t="s">
        <v>917</v>
      </c>
      <c r="O392" s="11" t="s">
        <v>1406</v>
      </c>
      <c r="P392" s="11" t="s">
        <v>1346</v>
      </c>
      <c r="Q392" s="11" t="s">
        <v>135</v>
      </c>
      <c r="R392">
        <v>1468</v>
      </c>
      <c r="U392" s="11" t="s">
        <v>225</v>
      </c>
      <c r="V392" s="11" t="s">
        <v>137</v>
      </c>
      <c r="W392" s="13">
        <v>46302.314618055556</v>
      </c>
    </row>
    <row r="393" spans="1:23">
      <c r="A393">
        <v>263063</v>
      </c>
      <c r="B393">
        <v>1485</v>
      </c>
      <c r="C393" s="11" t="s">
        <v>129</v>
      </c>
      <c r="D393" s="11" t="s">
        <v>130</v>
      </c>
      <c r="E393" s="11" t="s">
        <v>25</v>
      </c>
      <c r="F393" s="12">
        <v>46157</v>
      </c>
      <c r="G393" s="11" t="s">
        <v>222</v>
      </c>
      <c r="H393">
        <v>1</v>
      </c>
      <c r="I393" s="11" t="s">
        <v>1393</v>
      </c>
      <c r="M393" s="11" t="s">
        <v>90</v>
      </c>
      <c r="N393" s="11" t="s">
        <v>1407</v>
      </c>
      <c r="O393" s="11" t="s">
        <v>1408</v>
      </c>
      <c r="P393" s="11" t="s">
        <v>1393</v>
      </c>
      <c r="Q393" s="11" t="s">
        <v>135</v>
      </c>
      <c r="R393">
        <v>1484</v>
      </c>
      <c r="U393" s="11" t="s">
        <v>225</v>
      </c>
      <c r="V393" s="11" t="s">
        <v>137</v>
      </c>
      <c r="W393" s="13">
        <v>46302.314618055556</v>
      </c>
    </row>
    <row r="394" spans="1:23">
      <c r="A394">
        <v>263488</v>
      </c>
      <c r="B394">
        <v>10020</v>
      </c>
      <c r="C394" s="11" t="s">
        <v>129</v>
      </c>
      <c r="D394" s="11" t="s">
        <v>130</v>
      </c>
      <c r="E394" s="11" t="s">
        <v>25</v>
      </c>
      <c r="F394" s="12">
        <v>46160</v>
      </c>
      <c r="G394" s="11" t="s">
        <v>226</v>
      </c>
      <c r="H394">
        <v>1</v>
      </c>
      <c r="I394" s="11" t="s">
        <v>1409</v>
      </c>
      <c r="M394" s="11" t="s">
        <v>87</v>
      </c>
      <c r="N394" s="11" t="s">
        <v>1410</v>
      </c>
      <c r="O394" s="11" t="s">
        <v>1411</v>
      </c>
      <c r="P394" s="11" t="s">
        <v>1409</v>
      </c>
      <c r="Q394" s="11" t="s">
        <v>135</v>
      </c>
      <c r="U394" s="11" t="s">
        <v>231</v>
      </c>
      <c r="V394" s="11" t="s">
        <v>137</v>
      </c>
      <c r="W394" s="13">
        <v>46302.314618055556</v>
      </c>
    </row>
    <row r="395" spans="1:23">
      <c r="A395">
        <v>263489</v>
      </c>
      <c r="B395">
        <v>10021</v>
      </c>
      <c r="C395" s="11" t="s">
        <v>129</v>
      </c>
      <c r="D395" s="11" t="s">
        <v>130</v>
      </c>
      <c r="E395" s="11" t="s">
        <v>25</v>
      </c>
      <c r="F395" s="12">
        <v>46160</v>
      </c>
      <c r="G395" s="11" t="s">
        <v>308</v>
      </c>
      <c r="H395">
        <v>1</v>
      </c>
      <c r="I395" s="11" t="s">
        <v>905</v>
      </c>
      <c r="M395" s="11" t="s">
        <v>90</v>
      </c>
      <c r="N395" s="11" t="s">
        <v>1412</v>
      </c>
      <c r="O395" s="11" t="s">
        <v>1413</v>
      </c>
      <c r="P395" s="11" t="s">
        <v>905</v>
      </c>
      <c r="Q395" s="11" t="s">
        <v>135</v>
      </c>
      <c r="U395" s="11" t="s">
        <v>311</v>
      </c>
      <c r="V395" s="11" t="s">
        <v>137</v>
      </c>
      <c r="W395" s="13">
        <v>46302.314618055556</v>
      </c>
    </row>
    <row r="396" spans="1:23">
      <c r="A396">
        <v>263490</v>
      </c>
      <c r="B396">
        <v>10022</v>
      </c>
      <c r="C396" s="11" t="s">
        <v>129</v>
      </c>
      <c r="D396" s="11" t="s">
        <v>130</v>
      </c>
      <c r="E396" s="11" t="s">
        <v>25</v>
      </c>
      <c r="F396" s="12">
        <v>46160</v>
      </c>
      <c r="G396" s="11" t="s">
        <v>804</v>
      </c>
      <c r="H396">
        <v>2</v>
      </c>
      <c r="I396" s="11" t="s">
        <v>1414</v>
      </c>
      <c r="M396" s="11" t="s">
        <v>76</v>
      </c>
      <c r="N396" s="11" t="s">
        <v>1415</v>
      </c>
      <c r="O396" s="11" t="s">
        <v>1416</v>
      </c>
      <c r="P396" s="11" t="s">
        <v>1417</v>
      </c>
      <c r="Q396" s="11" t="s">
        <v>135</v>
      </c>
      <c r="U396" s="11" t="s">
        <v>808</v>
      </c>
      <c r="V396" s="11" t="s">
        <v>137</v>
      </c>
      <c r="W396" s="13">
        <v>46302.314618055556</v>
      </c>
    </row>
    <row r="397" spans="1:23">
      <c r="A397">
        <v>263491</v>
      </c>
      <c r="B397">
        <v>10023</v>
      </c>
      <c r="C397" s="11" t="s">
        <v>129</v>
      </c>
      <c r="D397" s="11" t="s">
        <v>130</v>
      </c>
      <c r="E397" s="11" t="s">
        <v>25</v>
      </c>
      <c r="F397" s="12">
        <v>46160</v>
      </c>
      <c r="G397" s="11" t="s">
        <v>804</v>
      </c>
      <c r="H397">
        <v>2</v>
      </c>
      <c r="I397" s="11" t="s">
        <v>1418</v>
      </c>
      <c r="M397" s="11" t="s">
        <v>76</v>
      </c>
      <c r="N397" s="11" t="s">
        <v>1419</v>
      </c>
      <c r="O397" s="11" t="s">
        <v>1420</v>
      </c>
      <c r="P397" s="11" t="s">
        <v>1421</v>
      </c>
      <c r="Q397" s="11" t="s">
        <v>135</v>
      </c>
      <c r="U397" s="11" t="s">
        <v>808</v>
      </c>
      <c r="V397" s="11" t="s">
        <v>137</v>
      </c>
      <c r="W397" s="13">
        <v>46302.314618055556</v>
      </c>
    </row>
    <row r="398" spans="1:23">
      <c r="A398">
        <v>263492</v>
      </c>
      <c r="B398">
        <v>10024</v>
      </c>
      <c r="C398" s="11" t="s">
        <v>129</v>
      </c>
      <c r="D398" s="11" t="s">
        <v>130</v>
      </c>
      <c r="E398" s="11" t="s">
        <v>25</v>
      </c>
      <c r="F398" s="12">
        <v>46160</v>
      </c>
      <c r="G398" s="11" t="s">
        <v>804</v>
      </c>
      <c r="H398">
        <v>2</v>
      </c>
      <c r="I398" s="11" t="s">
        <v>1422</v>
      </c>
      <c r="M398" s="11" t="s">
        <v>76</v>
      </c>
      <c r="N398" s="11" t="s">
        <v>1423</v>
      </c>
      <c r="O398" s="11" t="s">
        <v>1424</v>
      </c>
      <c r="P398" s="11" t="s">
        <v>856</v>
      </c>
      <c r="Q398" s="11" t="s">
        <v>135</v>
      </c>
      <c r="U398" s="11" t="s">
        <v>808</v>
      </c>
      <c r="V398" s="11" t="s">
        <v>137</v>
      </c>
      <c r="W398" s="13">
        <v>46302.314618055556</v>
      </c>
    </row>
    <row r="399" spans="1:23">
      <c r="A399">
        <v>263493</v>
      </c>
      <c r="B399">
        <v>10025</v>
      </c>
      <c r="C399" s="11" t="s">
        <v>129</v>
      </c>
      <c r="D399" s="11" t="s">
        <v>130</v>
      </c>
      <c r="E399" s="11" t="s">
        <v>25</v>
      </c>
      <c r="F399" s="12">
        <v>46160</v>
      </c>
      <c r="G399" s="11" t="s">
        <v>226</v>
      </c>
      <c r="H399">
        <v>1</v>
      </c>
      <c r="I399" s="11" t="s">
        <v>1425</v>
      </c>
      <c r="M399" s="11" t="s">
        <v>87</v>
      </c>
      <c r="N399" s="11" t="s">
        <v>1426</v>
      </c>
      <c r="O399" s="11" t="s">
        <v>1427</v>
      </c>
      <c r="P399" s="11" t="s">
        <v>1425</v>
      </c>
      <c r="Q399" s="11" t="s">
        <v>135</v>
      </c>
      <c r="U399" s="11" t="s">
        <v>231</v>
      </c>
      <c r="V399" s="11" t="s">
        <v>137</v>
      </c>
      <c r="W399" s="13">
        <v>46302.314618055556</v>
      </c>
    </row>
    <row r="400" spans="1:23">
      <c r="A400">
        <v>263494</v>
      </c>
      <c r="B400">
        <v>10026</v>
      </c>
      <c r="C400" s="11" t="s">
        <v>129</v>
      </c>
      <c r="D400" s="11" t="s">
        <v>130</v>
      </c>
      <c r="E400" s="11" t="s">
        <v>25</v>
      </c>
      <c r="F400" s="12">
        <v>46160</v>
      </c>
      <c r="G400" s="11" t="s">
        <v>263</v>
      </c>
      <c r="H400">
        <v>1</v>
      </c>
      <c r="I400" s="11" t="s">
        <v>1428</v>
      </c>
      <c r="M400" s="11" t="s">
        <v>92</v>
      </c>
      <c r="N400" s="11" t="s">
        <v>1429</v>
      </c>
      <c r="O400" s="11" t="s">
        <v>1430</v>
      </c>
      <c r="P400" s="11" t="s">
        <v>1428</v>
      </c>
      <c r="Q400" s="11" t="s">
        <v>135</v>
      </c>
      <c r="U400" s="11" t="s">
        <v>267</v>
      </c>
      <c r="V400" s="11" t="s">
        <v>137</v>
      </c>
      <c r="W400" s="13">
        <v>46302.314618055556</v>
      </c>
    </row>
    <row r="401" spans="1:23">
      <c r="A401">
        <v>263495</v>
      </c>
      <c r="B401">
        <v>10027</v>
      </c>
      <c r="C401" s="11" t="s">
        <v>129</v>
      </c>
      <c r="D401" s="11" t="s">
        <v>130</v>
      </c>
      <c r="E401" s="11" t="s">
        <v>25</v>
      </c>
      <c r="F401" s="12">
        <v>46160</v>
      </c>
      <c r="G401" s="11" t="s">
        <v>226</v>
      </c>
      <c r="H401">
        <v>1</v>
      </c>
      <c r="I401" s="11" t="s">
        <v>558</v>
      </c>
      <c r="M401" s="11" t="s">
        <v>87</v>
      </c>
      <c r="N401" s="11" t="s">
        <v>1431</v>
      </c>
      <c r="O401" s="11" t="s">
        <v>1432</v>
      </c>
      <c r="P401" s="11" t="s">
        <v>558</v>
      </c>
      <c r="Q401" s="11" t="s">
        <v>135</v>
      </c>
      <c r="U401" s="11" t="s">
        <v>231</v>
      </c>
      <c r="V401" s="11" t="s">
        <v>137</v>
      </c>
      <c r="W401" s="13">
        <v>46302.314618055556</v>
      </c>
    </row>
    <row r="402" spans="1:23">
      <c r="A402">
        <v>263496</v>
      </c>
      <c r="B402">
        <v>10028</v>
      </c>
      <c r="C402" s="11" t="s">
        <v>129</v>
      </c>
      <c r="D402" s="11" t="s">
        <v>130</v>
      </c>
      <c r="E402" s="11" t="s">
        <v>25</v>
      </c>
      <c r="F402" s="12">
        <v>46160</v>
      </c>
      <c r="G402" s="11" t="s">
        <v>804</v>
      </c>
      <c r="H402">
        <v>3</v>
      </c>
      <c r="I402" s="11" t="s">
        <v>1433</v>
      </c>
      <c r="M402" s="11" t="s">
        <v>76</v>
      </c>
      <c r="N402" s="11" t="s">
        <v>1434</v>
      </c>
      <c r="O402" s="11" t="s">
        <v>1435</v>
      </c>
      <c r="P402" s="11" t="s">
        <v>1436</v>
      </c>
      <c r="Q402" s="11" t="s">
        <v>135</v>
      </c>
      <c r="U402" s="11" t="s">
        <v>808</v>
      </c>
      <c r="V402" s="11" t="s">
        <v>137</v>
      </c>
      <c r="W402" s="13">
        <v>46302.314618055556</v>
      </c>
    </row>
    <row r="403" spans="1:23">
      <c r="A403">
        <v>263497</v>
      </c>
      <c r="B403">
        <v>10029</v>
      </c>
      <c r="C403" s="11" t="s">
        <v>129</v>
      </c>
      <c r="D403" s="11" t="s">
        <v>130</v>
      </c>
      <c r="E403" s="11" t="s">
        <v>25</v>
      </c>
      <c r="F403" s="12">
        <v>46160</v>
      </c>
      <c r="G403" s="11" t="s">
        <v>666</v>
      </c>
      <c r="H403">
        <v>1</v>
      </c>
      <c r="I403" s="11" t="s">
        <v>1437</v>
      </c>
      <c r="M403" s="11" t="s">
        <v>95</v>
      </c>
      <c r="N403" s="11" t="s">
        <v>1438</v>
      </c>
      <c r="O403" s="11" t="s">
        <v>1439</v>
      </c>
      <c r="P403" s="11" t="s">
        <v>1437</v>
      </c>
      <c r="Q403" s="11" t="s">
        <v>135</v>
      </c>
      <c r="U403" s="11" t="s">
        <v>671</v>
      </c>
      <c r="V403" s="11" t="s">
        <v>137</v>
      </c>
      <c r="W403" s="13">
        <v>46302.314618055556</v>
      </c>
    </row>
    <row r="404" spans="1:23">
      <c r="A404">
        <v>263498</v>
      </c>
      <c r="B404">
        <v>10030</v>
      </c>
      <c r="C404" s="11" t="s">
        <v>129</v>
      </c>
      <c r="D404" s="11" t="s">
        <v>130</v>
      </c>
      <c r="E404" s="11" t="s">
        <v>25</v>
      </c>
      <c r="F404" s="12">
        <v>46160</v>
      </c>
      <c r="G404" s="11" t="s">
        <v>242</v>
      </c>
      <c r="H404">
        <v>5</v>
      </c>
      <c r="I404" s="11" t="s">
        <v>1440</v>
      </c>
      <c r="M404" s="11" t="s">
        <v>76</v>
      </c>
      <c r="N404" s="11" t="s">
        <v>1441</v>
      </c>
      <c r="O404" s="11" t="s">
        <v>1442</v>
      </c>
      <c r="P404" s="11" t="s">
        <v>1443</v>
      </c>
      <c r="Q404" s="11" t="s">
        <v>135</v>
      </c>
      <c r="U404" s="11" t="s">
        <v>245</v>
      </c>
      <c r="V404" s="11" t="s">
        <v>137</v>
      </c>
      <c r="W404" s="13">
        <v>46302.314618055556</v>
      </c>
    </row>
    <row r="405" spans="1:23">
      <c r="A405">
        <v>263499</v>
      </c>
      <c r="B405">
        <v>10031</v>
      </c>
      <c r="C405" s="11" t="s">
        <v>129</v>
      </c>
      <c r="D405" s="11" t="s">
        <v>130</v>
      </c>
      <c r="E405" s="11" t="s">
        <v>25</v>
      </c>
      <c r="F405" s="12">
        <v>46160</v>
      </c>
      <c r="G405" s="11" t="s">
        <v>263</v>
      </c>
      <c r="H405">
        <v>1</v>
      </c>
      <c r="I405" s="11" t="s">
        <v>1444</v>
      </c>
      <c r="M405" s="11" t="s">
        <v>92</v>
      </c>
      <c r="N405" s="11" t="s">
        <v>1445</v>
      </c>
      <c r="O405" s="11" t="s">
        <v>1446</v>
      </c>
      <c r="P405" s="11" t="s">
        <v>1444</v>
      </c>
      <c r="Q405" s="11" t="s">
        <v>135</v>
      </c>
      <c r="U405" s="11" t="s">
        <v>267</v>
      </c>
      <c r="V405" s="11" t="s">
        <v>137</v>
      </c>
      <c r="W405" s="13">
        <v>46302.314618055556</v>
      </c>
    </row>
    <row r="406" spans="1:23">
      <c r="A406">
        <v>263500</v>
      </c>
      <c r="B406">
        <v>10032</v>
      </c>
      <c r="C406" s="11" t="s">
        <v>129</v>
      </c>
      <c r="D406" s="11" t="s">
        <v>130</v>
      </c>
      <c r="E406" s="11" t="s">
        <v>25</v>
      </c>
      <c r="F406" s="12">
        <v>46160</v>
      </c>
      <c r="G406" s="11" t="s">
        <v>242</v>
      </c>
      <c r="H406">
        <v>2</v>
      </c>
      <c r="I406" s="11" t="s">
        <v>1447</v>
      </c>
      <c r="M406" s="11" t="s">
        <v>76</v>
      </c>
      <c r="N406" s="11" t="s">
        <v>1448</v>
      </c>
      <c r="O406" s="11" t="s">
        <v>1449</v>
      </c>
      <c r="P406" s="11" t="s">
        <v>1450</v>
      </c>
      <c r="Q406" s="11" t="s">
        <v>135</v>
      </c>
      <c r="U406" s="11" t="s">
        <v>245</v>
      </c>
      <c r="V406" s="11" t="s">
        <v>137</v>
      </c>
      <c r="W406" s="13">
        <v>46302.314618055556</v>
      </c>
    </row>
    <row r="407" spans="1:23">
      <c r="A407">
        <v>263501</v>
      </c>
      <c r="B407">
        <v>10033</v>
      </c>
      <c r="C407" s="11" t="s">
        <v>129</v>
      </c>
      <c r="D407" s="11" t="s">
        <v>130</v>
      </c>
      <c r="E407" s="11" t="s">
        <v>25</v>
      </c>
      <c r="F407" s="12">
        <v>46160</v>
      </c>
      <c r="G407" s="11" t="s">
        <v>226</v>
      </c>
      <c r="H407">
        <v>1</v>
      </c>
      <c r="I407" s="11" t="s">
        <v>1451</v>
      </c>
      <c r="M407" s="11" t="s">
        <v>87</v>
      </c>
      <c r="N407" s="11" t="s">
        <v>1452</v>
      </c>
      <c r="O407" s="11" t="s">
        <v>1453</v>
      </c>
      <c r="P407" s="11" t="s">
        <v>1451</v>
      </c>
      <c r="Q407" s="11" t="s">
        <v>135</v>
      </c>
      <c r="U407" s="11" t="s">
        <v>231</v>
      </c>
      <c r="V407" s="11" t="s">
        <v>137</v>
      </c>
      <c r="W407" s="13">
        <v>46302.314618055556</v>
      </c>
    </row>
    <row r="408" spans="1:23">
      <c r="A408">
        <v>263910</v>
      </c>
      <c r="B408">
        <v>9663</v>
      </c>
      <c r="C408" s="11" t="s">
        <v>129</v>
      </c>
      <c r="D408" s="11" t="s">
        <v>130</v>
      </c>
      <c r="E408" s="11" t="s">
        <v>25</v>
      </c>
      <c r="F408" s="12">
        <v>46161</v>
      </c>
      <c r="G408" s="11" t="s">
        <v>131</v>
      </c>
      <c r="H408">
        <v>1</v>
      </c>
      <c r="I408" s="11" t="s">
        <v>1454</v>
      </c>
      <c r="M408" s="11" t="s">
        <v>87</v>
      </c>
      <c r="N408" s="11" t="s">
        <v>1455</v>
      </c>
      <c r="O408" s="11" t="s">
        <v>1456</v>
      </c>
      <c r="P408" s="11" t="s">
        <v>1454</v>
      </c>
      <c r="Q408" s="11" t="s">
        <v>135</v>
      </c>
      <c r="U408" s="11" t="s">
        <v>136</v>
      </c>
      <c r="V408" s="11" t="s">
        <v>137</v>
      </c>
      <c r="W408" s="13">
        <v>46302.314618055556</v>
      </c>
    </row>
    <row r="409" spans="1:23">
      <c r="A409">
        <v>263911</v>
      </c>
      <c r="B409">
        <v>9664</v>
      </c>
      <c r="C409" s="11" t="s">
        <v>129</v>
      </c>
      <c r="D409" s="11" t="s">
        <v>130</v>
      </c>
      <c r="E409" s="11" t="s">
        <v>25</v>
      </c>
      <c r="F409" s="12">
        <v>46161</v>
      </c>
      <c r="G409" s="11" t="s">
        <v>1457</v>
      </c>
      <c r="H409">
        <v>1</v>
      </c>
      <c r="I409" s="11" t="s">
        <v>1458</v>
      </c>
      <c r="M409" s="11" t="s">
        <v>88</v>
      </c>
      <c r="N409" s="11" t="s">
        <v>1459</v>
      </c>
      <c r="O409" s="11" t="s">
        <v>1460</v>
      </c>
      <c r="P409" s="11" t="s">
        <v>1458</v>
      </c>
      <c r="Q409" s="11" t="s">
        <v>135</v>
      </c>
      <c r="U409" s="11" t="s">
        <v>1461</v>
      </c>
      <c r="V409" s="11" t="s">
        <v>137</v>
      </c>
      <c r="W409" s="13">
        <v>46302.314618055556</v>
      </c>
    </row>
    <row r="410" spans="1:23">
      <c r="A410">
        <v>263912</v>
      </c>
      <c r="B410">
        <v>9665</v>
      </c>
      <c r="C410" s="11" t="s">
        <v>129</v>
      </c>
      <c r="D410" s="11" t="s">
        <v>130</v>
      </c>
      <c r="E410" s="11" t="s">
        <v>25</v>
      </c>
      <c r="F410" s="12">
        <v>46161</v>
      </c>
      <c r="G410" s="11" t="s">
        <v>131</v>
      </c>
      <c r="H410">
        <v>1</v>
      </c>
      <c r="I410" s="11" t="s">
        <v>1462</v>
      </c>
      <c r="M410" s="11" t="s">
        <v>87</v>
      </c>
      <c r="N410" s="11" t="s">
        <v>1463</v>
      </c>
      <c r="O410" s="11" t="s">
        <v>1464</v>
      </c>
      <c r="P410" s="11" t="s">
        <v>1462</v>
      </c>
      <c r="Q410" s="11" t="s">
        <v>135</v>
      </c>
      <c r="U410" s="11" t="s">
        <v>136</v>
      </c>
      <c r="V410" s="11" t="s">
        <v>137</v>
      </c>
      <c r="W410" s="13">
        <v>46302.314618055556</v>
      </c>
    </row>
    <row r="411" spans="1:23">
      <c r="A411">
        <v>263913</v>
      </c>
      <c r="B411">
        <v>9666</v>
      </c>
      <c r="C411" s="11" t="s">
        <v>129</v>
      </c>
      <c r="D411" s="11" t="s">
        <v>130</v>
      </c>
      <c r="E411" s="11" t="s">
        <v>25</v>
      </c>
      <c r="F411" s="12">
        <v>46161</v>
      </c>
      <c r="G411" s="11" t="s">
        <v>222</v>
      </c>
      <c r="H411">
        <v>1</v>
      </c>
      <c r="I411" s="11" t="s">
        <v>1465</v>
      </c>
      <c r="M411" s="11" t="s">
        <v>90</v>
      </c>
      <c r="N411" s="11" t="s">
        <v>1466</v>
      </c>
      <c r="O411" s="11" t="s">
        <v>1467</v>
      </c>
      <c r="P411" s="11" t="s">
        <v>1465</v>
      </c>
      <c r="Q411" s="11" t="s">
        <v>135</v>
      </c>
      <c r="U411" s="11" t="s">
        <v>225</v>
      </c>
      <c r="V411" s="11" t="s">
        <v>137</v>
      </c>
      <c r="W411" s="13">
        <v>46302.314618055556</v>
      </c>
    </row>
    <row r="412" spans="1:23">
      <c r="A412">
        <v>263914</v>
      </c>
      <c r="B412">
        <v>9667</v>
      </c>
      <c r="C412" s="11" t="s">
        <v>129</v>
      </c>
      <c r="D412" s="11" t="s">
        <v>130</v>
      </c>
      <c r="E412" s="11" t="s">
        <v>25</v>
      </c>
      <c r="F412" s="12">
        <v>46161</v>
      </c>
      <c r="G412" s="11" t="s">
        <v>131</v>
      </c>
      <c r="H412">
        <v>1</v>
      </c>
      <c r="I412" s="11" t="s">
        <v>1468</v>
      </c>
      <c r="M412" s="11" t="s">
        <v>87</v>
      </c>
      <c r="N412" s="11" t="s">
        <v>1469</v>
      </c>
      <c r="O412" s="11" t="s">
        <v>1470</v>
      </c>
      <c r="P412" s="11" t="s">
        <v>1468</v>
      </c>
      <c r="Q412" s="11" t="s">
        <v>135</v>
      </c>
      <c r="U412" s="11" t="s">
        <v>136</v>
      </c>
      <c r="V412" s="11" t="s">
        <v>137</v>
      </c>
      <c r="W412" s="13">
        <v>46302.314618055556</v>
      </c>
    </row>
    <row r="413" spans="1:23">
      <c r="A413">
        <v>263915</v>
      </c>
      <c r="B413">
        <v>9668</v>
      </c>
      <c r="C413" s="11" t="s">
        <v>129</v>
      </c>
      <c r="D413" s="11" t="s">
        <v>130</v>
      </c>
      <c r="E413" s="11" t="s">
        <v>25</v>
      </c>
      <c r="F413" s="12">
        <v>46161</v>
      </c>
      <c r="G413" s="11" t="s">
        <v>164</v>
      </c>
      <c r="H413">
        <v>4</v>
      </c>
      <c r="I413" s="11" t="s">
        <v>1471</v>
      </c>
      <c r="M413" s="11" t="s">
        <v>62</v>
      </c>
      <c r="N413" s="11" t="s">
        <v>1472</v>
      </c>
      <c r="O413" s="11" t="s">
        <v>1473</v>
      </c>
      <c r="P413" s="11" t="s">
        <v>815</v>
      </c>
      <c r="Q413" s="11" t="s">
        <v>135</v>
      </c>
      <c r="U413" s="11" t="s">
        <v>168</v>
      </c>
      <c r="V413" s="11" t="s">
        <v>137</v>
      </c>
      <c r="W413" s="13">
        <v>46302.314618055556</v>
      </c>
    </row>
    <row r="414" spans="1:23">
      <c r="A414">
        <v>263916</v>
      </c>
      <c r="B414">
        <v>9669</v>
      </c>
      <c r="C414" s="11" t="s">
        <v>129</v>
      </c>
      <c r="D414" s="11" t="s">
        <v>130</v>
      </c>
      <c r="E414" s="11" t="s">
        <v>25</v>
      </c>
      <c r="F414" s="12">
        <v>46161</v>
      </c>
      <c r="G414" s="11" t="s">
        <v>512</v>
      </c>
      <c r="H414">
        <v>1</v>
      </c>
      <c r="I414" s="11" t="s">
        <v>1474</v>
      </c>
      <c r="M414" s="11" t="s">
        <v>44</v>
      </c>
      <c r="N414" s="11" t="s">
        <v>1475</v>
      </c>
      <c r="O414" s="11" t="s">
        <v>1476</v>
      </c>
      <c r="P414" s="11" t="s">
        <v>1474</v>
      </c>
      <c r="Q414" s="11" t="s">
        <v>135</v>
      </c>
      <c r="U414" s="11" t="s">
        <v>516</v>
      </c>
      <c r="V414" s="11" t="s">
        <v>137</v>
      </c>
      <c r="W414" s="13">
        <v>46302.314618055556</v>
      </c>
    </row>
    <row r="415" spans="1:23">
      <c r="A415">
        <v>263917</v>
      </c>
      <c r="B415">
        <v>9670</v>
      </c>
      <c r="C415" s="11" t="s">
        <v>129</v>
      </c>
      <c r="D415" s="11" t="s">
        <v>130</v>
      </c>
      <c r="E415" s="11" t="s">
        <v>25</v>
      </c>
      <c r="F415" s="12">
        <v>46161</v>
      </c>
      <c r="G415" s="11" t="s">
        <v>174</v>
      </c>
      <c r="H415">
        <v>1</v>
      </c>
      <c r="I415" s="11" t="s">
        <v>1477</v>
      </c>
      <c r="M415" s="11" t="s">
        <v>92</v>
      </c>
      <c r="N415" s="11" t="s">
        <v>1478</v>
      </c>
      <c r="O415" s="11" t="s">
        <v>1479</v>
      </c>
      <c r="P415" s="11" t="s">
        <v>1477</v>
      </c>
      <c r="Q415" s="11" t="s">
        <v>135</v>
      </c>
      <c r="U415" s="11" t="s">
        <v>178</v>
      </c>
      <c r="V415" s="11" t="s">
        <v>137</v>
      </c>
      <c r="W415" s="13">
        <v>46302.314618055556</v>
      </c>
    </row>
    <row r="416" spans="1:23">
      <c r="A416">
        <v>263918</v>
      </c>
      <c r="B416">
        <v>9671</v>
      </c>
      <c r="C416" s="11" t="s">
        <v>129</v>
      </c>
      <c r="D416" s="11" t="s">
        <v>130</v>
      </c>
      <c r="E416" s="11" t="s">
        <v>25</v>
      </c>
      <c r="F416" s="12">
        <v>46161</v>
      </c>
      <c r="G416" s="11" t="s">
        <v>607</v>
      </c>
      <c r="H416">
        <v>1</v>
      </c>
      <c r="I416" s="11" t="s">
        <v>1480</v>
      </c>
      <c r="M416" s="11" t="s">
        <v>42</v>
      </c>
      <c r="N416" s="11" t="s">
        <v>1481</v>
      </c>
      <c r="O416" s="11" t="s">
        <v>952</v>
      </c>
      <c r="P416" s="11" t="s">
        <v>1480</v>
      </c>
      <c r="Q416" s="11" t="s">
        <v>135</v>
      </c>
      <c r="U416" s="11" t="s">
        <v>611</v>
      </c>
      <c r="V416" s="11" t="s">
        <v>137</v>
      </c>
      <c r="W416" s="13">
        <v>46302.314618055556</v>
      </c>
    </row>
    <row r="417" spans="1:23">
      <c r="A417">
        <v>263919</v>
      </c>
      <c r="B417">
        <v>9672</v>
      </c>
      <c r="C417" s="11" t="s">
        <v>129</v>
      </c>
      <c r="D417" s="11" t="s">
        <v>130</v>
      </c>
      <c r="E417" s="11" t="s">
        <v>25</v>
      </c>
      <c r="F417" s="12">
        <v>46161</v>
      </c>
      <c r="G417" s="11" t="s">
        <v>131</v>
      </c>
      <c r="H417">
        <v>1</v>
      </c>
      <c r="I417" s="11" t="s">
        <v>1346</v>
      </c>
      <c r="M417" s="11" t="s">
        <v>87</v>
      </c>
      <c r="N417" s="11" t="s">
        <v>1482</v>
      </c>
      <c r="O417" s="11" t="s">
        <v>1483</v>
      </c>
      <c r="P417" s="11" t="s">
        <v>1346</v>
      </c>
      <c r="Q417" s="11" t="s">
        <v>135</v>
      </c>
      <c r="U417" s="11" t="s">
        <v>136</v>
      </c>
      <c r="V417" s="11" t="s">
        <v>137</v>
      </c>
      <c r="W417" s="13">
        <v>46302.314618055556</v>
      </c>
    </row>
    <row r="418" spans="1:23">
      <c r="A418">
        <v>263920</v>
      </c>
      <c r="B418">
        <v>9673</v>
      </c>
      <c r="C418" s="11" t="s">
        <v>129</v>
      </c>
      <c r="D418" s="11" t="s">
        <v>130</v>
      </c>
      <c r="E418" s="11" t="s">
        <v>25</v>
      </c>
      <c r="F418" s="12">
        <v>46161</v>
      </c>
      <c r="G418" s="11" t="s">
        <v>1484</v>
      </c>
      <c r="H418">
        <v>1</v>
      </c>
      <c r="I418" s="11" t="s">
        <v>1485</v>
      </c>
      <c r="M418" s="11" t="s">
        <v>48</v>
      </c>
      <c r="N418" s="11" t="s">
        <v>1486</v>
      </c>
      <c r="O418" s="11" t="s">
        <v>1487</v>
      </c>
      <c r="P418" s="11" t="s">
        <v>1485</v>
      </c>
      <c r="Q418" s="11" t="s">
        <v>135</v>
      </c>
      <c r="U418" s="11" t="s">
        <v>1488</v>
      </c>
      <c r="V418" s="11" t="s">
        <v>137</v>
      </c>
      <c r="W418" s="13">
        <v>46302.314618055556</v>
      </c>
    </row>
    <row r="419" spans="1:23">
      <c r="A419">
        <v>263921</v>
      </c>
      <c r="B419">
        <v>9674</v>
      </c>
      <c r="C419" s="11" t="s">
        <v>129</v>
      </c>
      <c r="D419" s="11" t="s">
        <v>130</v>
      </c>
      <c r="E419" s="11" t="s">
        <v>25</v>
      </c>
      <c r="F419" s="12">
        <v>46161</v>
      </c>
      <c r="G419" s="11" t="s">
        <v>174</v>
      </c>
      <c r="H419">
        <v>1</v>
      </c>
      <c r="I419" s="11" t="s">
        <v>1489</v>
      </c>
      <c r="M419" s="11" t="s">
        <v>92</v>
      </c>
      <c r="N419" s="11" t="s">
        <v>1490</v>
      </c>
      <c r="O419" s="11" t="s">
        <v>1491</v>
      </c>
      <c r="P419" s="11" t="s">
        <v>1489</v>
      </c>
      <c r="Q419" s="11" t="s">
        <v>135</v>
      </c>
      <c r="U419" s="11" t="s">
        <v>178</v>
      </c>
      <c r="V419" s="11" t="s">
        <v>137</v>
      </c>
      <c r="W419" s="13">
        <v>46302.314618055556</v>
      </c>
    </row>
    <row r="420" spans="1:23">
      <c r="A420">
        <v>263922</v>
      </c>
      <c r="B420">
        <v>9675</v>
      </c>
      <c r="C420" s="11" t="s">
        <v>129</v>
      </c>
      <c r="D420" s="11" t="s">
        <v>130</v>
      </c>
      <c r="E420" s="11" t="s">
        <v>25</v>
      </c>
      <c r="F420" s="12">
        <v>46161</v>
      </c>
      <c r="G420" s="11" t="s">
        <v>179</v>
      </c>
      <c r="H420">
        <v>1</v>
      </c>
      <c r="I420" s="11" t="s">
        <v>1492</v>
      </c>
      <c r="M420" s="11" t="s">
        <v>83</v>
      </c>
      <c r="N420" s="11" t="s">
        <v>1493</v>
      </c>
      <c r="O420" s="11" t="s">
        <v>1494</v>
      </c>
      <c r="P420" s="11" t="s">
        <v>1492</v>
      </c>
      <c r="Q420" s="11" t="s">
        <v>135</v>
      </c>
      <c r="U420" s="11" t="s">
        <v>183</v>
      </c>
      <c r="V420" s="11" t="s">
        <v>137</v>
      </c>
      <c r="W420" s="13">
        <v>46302.314618055556</v>
      </c>
    </row>
    <row r="421" spans="1:23">
      <c r="A421">
        <v>263923</v>
      </c>
      <c r="B421">
        <v>9676</v>
      </c>
      <c r="C421" s="11" t="s">
        <v>129</v>
      </c>
      <c r="D421" s="11" t="s">
        <v>130</v>
      </c>
      <c r="E421" s="11" t="s">
        <v>25</v>
      </c>
      <c r="F421" s="12">
        <v>46161</v>
      </c>
      <c r="G421" s="11" t="s">
        <v>138</v>
      </c>
      <c r="H421">
        <v>1</v>
      </c>
      <c r="I421" s="11" t="s">
        <v>264</v>
      </c>
      <c r="M421" s="11" t="s">
        <v>89</v>
      </c>
      <c r="N421" s="11" t="s">
        <v>1495</v>
      </c>
      <c r="O421" s="11" t="s">
        <v>1496</v>
      </c>
      <c r="P421" s="11" t="s">
        <v>264</v>
      </c>
      <c r="Q421" s="11" t="s">
        <v>135</v>
      </c>
      <c r="U421" s="11" t="s">
        <v>142</v>
      </c>
      <c r="V421" s="11" t="s">
        <v>137</v>
      </c>
      <c r="W421" s="13">
        <v>46302.314618055556</v>
      </c>
    </row>
    <row r="422" spans="1:23">
      <c r="A422">
        <v>263924</v>
      </c>
      <c r="B422">
        <v>9677</v>
      </c>
      <c r="C422" s="11" t="s">
        <v>129</v>
      </c>
      <c r="D422" s="11" t="s">
        <v>130</v>
      </c>
      <c r="E422" s="11" t="s">
        <v>25</v>
      </c>
      <c r="F422" s="12">
        <v>46161</v>
      </c>
      <c r="G422" s="11" t="s">
        <v>1497</v>
      </c>
      <c r="H422">
        <v>1</v>
      </c>
      <c r="I422" s="11" t="s">
        <v>1498</v>
      </c>
      <c r="M422" s="11" t="s">
        <v>43</v>
      </c>
      <c r="N422" s="11" t="s">
        <v>1499</v>
      </c>
      <c r="O422" s="11" t="s">
        <v>1500</v>
      </c>
      <c r="P422" s="11" t="s">
        <v>1498</v>
      </c>
      <c r="Q422" s="11" t="s">
        <v>135</v>
      </c>
      <c r="U422" s="11" t="s">
        <v>1501</v>
      </c>
      <c r="V422" s="11" t="s">
        <v>137</v>
      </c>
      <c r="W422" s="13">
        <v>46302.314618055556</v>
      </c>
    </row>
    <row r="423" spans="1:23">
      <c r="A423">
        <v>263925</v>
      </c>
      <c r="B423">
        <v>9678</v>
      </c>
      <c r="C423" s="11" t="s">
        <v>129</v>
      </c>
      <c r="D423" s="11" t="s">
        <v>130</v>
      </c>
      <c r="E423" s="11" t="s">
        <v>25</v>
      </c>
      <c r="F423" s="12">
        <v>46161</v>
      </c>
      <c r="G423" s="11" t="s">
        <v>607</v>
      </c>
      <c r="H423">
        <v>1</v>
      </c>
      <c r="I423" s="11" t="s">
        <v>1502</v>
      </c>
      <c r="M423" s="11" t="s">
        <v>42</v>
      </c>
      <c r="N423" s="11" t="s">
        <v>1503</v>
      </c>
      <c r="O423" s="11" t="s">
        <v>1504</v>
      </c>
      <c r="P423" s="11" t="s">
        <v>1502</v>
      </c>
      <c r="Q423" s="11" t="s">
        <v>135</v>
      </c>
      <c r="U423" s="11" t="s">
        <v>611</v>
      </c>
      <c r="V423" s="11" t="s">
        <v>137</v>
      </c>
      <c r="W423" s="13">
        <v>46302.314618055556</v>
      </c>
    </row>
    <row r="424" spans="1:23">
      <c r="A424">
        <v>263926</v>
      </c>
      <c r="B424">
        <v>9679</v>
      </c>
      <c r="C424" s="11" t="s">
        <v>129</v>
      </c>
      <c r="D424" s="11" t="s">
        <v>130</v>
      </c>
      <c r="E424" s="11" t="s">
        <v>25</v>
      </c>
      <c r="F424" s="12">
        <v>46161</v>
      </c>
      <c r="G424" s="11" t="s">
        <v>212</v>
      </c>
      <c r="H424">
        <v>1</v>
      </c>
      <c r="I424" s="11" t="s">
        <v>1505</v>
      </c>
      <c r="M424" s="11" t="s">
        <v>40</v>
      </c>
      <c r="N424" s="11" t="s">
        <v>1506</v>
      </c>
      <c r="O424" s="11" t="s">
        <v>1507</v>
      </c>
      <c r="P424" s="11" t="s">
        <v>1505</v>
      </c>
      <c r="Q424" s="11" t="s">
        <v>135</v>
      </c>
      <c r="U424" s="11" t="s">
        <v>216</v>
      </c>
      <c r="V424" s="11" t="s">
        <v>137</v>
      </c>
      <c r="W424" s="13">
        <v>46302.314618055556</v>
      </c>
    </row>
    <row r="425" spans="1:23">
      <c r="A425">
        <v>263927</v>
      </c>
      <c r="B425">
        <v>9680</v>
      </c>
      <c r="C425" s="11" t="s">
        <v>129</v>
      </c>
      <c r="D425" s="11" t="s">
        <v>130</v>
      </c>
      <c r="E425" s="11" t="s">
        <v>25</v>
      </c>
      <c r="F425" s="12">
        <v>46161</v>
      </c>
      <c r="G425" s="11" t="s">
        <v>131</v>
      </c>
      <c r="H425">
        <v>1</v>
      </c>
      <c r="I425" s="11" t="s">
        <v>1508</v>
      </c>
      <c r="M425" s="11" t="s">
        <v>87</v>
      </c>
      <c r="N425" s="11" t="s">
        <v>1509</v>
      </c>
      <c r="O425" s="11" t="s">
        <v>1510</v>
      </c>
      <c r="P425" s="11" t="s">
        <v>1508</v>
      </c>
      <c r="Q425" s="11" t="s">
        <v>135</v>
      </c>
      <c r="U425" s="11" t="s">
        <v>136</v>
      </c>
      <c r="V425" s="11" t="s">
        <v>137</v>
      </c>
      <c r="W425" s="13">
        <v>46302.314618055556</v>
      </c>
    </row>
    <row r="426" spans="1:23">
      <c r="A426">
        <v>263928</v>
      </c>
      <c r="B426">
        <v>9681</v>
      </c>
      <c r="C426" s="11" t="s">
        <v>129</v>
      </c>
      <c r="D426" s="11" t="s">
        <v>130</v>
      </c>
      <c r="E426" s="11" t="s">
        <v>25</v>
      </c>
      <c r="F426" s="12">
        <v>46161</v>
      </c>
      <c r="G426" s="11" t="s">
        <v>504</v>
      </c>
      <c r="H426">
        <v>1</v>
      </c>
      <c r="I426" s="11" t="s">
        <v>1511</v>
      </c>
      <c r="M426" s="11" t="s">
        <v>53</v>
      </c>
      <c r="N426" s="11" t="s">
        <v>1512</v>
      </c>
      <c r="O426" s="11" t="s">
        <v>1513</v>
      </c>
      <c r="P426" s="11" t="s">
        <v>1511</v>
      </c>
      <c r="Q426" s="11" t="s">
        <v>135</v>
      </c>
      <c r="U426" s="11" t="s">
        <v>508</v>
      </c>
      <c r="V426" s="11" t="s">
        <v>137</v>
      </c>
      <c r="W426" s="13">
        <v>46302.314618055556</v>
      </c>
    </row>
    <row r="427" spans="1:23">
      <c r="A427">
        <v>263929</v>
      </c>
      <c r="B427">
        <v>9682</v>
      </c>
      <c r="C427" s="11" t="s">
        <v>129</v>
      </c>
      <c r="D427" s="11" t="s">
        <v>130</v>
      </c>
      <c r="E427" s="11" t="s">
        <v>25</v>
      </c>
      <c r="F427" s="12">
        <v>46161</v>
      </c>
      <c r="G427" s="11" t="s">
        <v>217</v>
      </c>
      <c r="H427">
        <v>1</v>
      </c>
      <c r="I427" s="11" t="s">
        <v>1514</v>
      </c>
      <c r="M427" s="11" t="s">
        <v>86</v>
      </c>
      <c r="N427" s="11" t="s">
        <v>1515</v>
      </c>
      <c r="O427" s="11" t="s">
        <v>1516</v>
      </c>
      <c r="P427" s="11" t="s">
        <v>1514</v>
      </c>
      <c r="Q427" s="11" t="s">
        <v>135</v>
      </c>
      <c r="U427" s="11" t="s">
        <v>221</v>
      </c>
      <c r="V427" s="11" t="s">
        <v>137</v>
      </c>
      <c r="W427" s="13">
        <v>46302.314618055556</v>
      </c>
    </row>
    <row r="428" spans="1:23">
      <c r="A428">
        <v>263930</v>
      </c>
      <c r="B428">
        <v>9683</v>
      </c>
      <c r="C428" s="11" t="s">
        <v>129</v>
      </c>
      <c r="D428" s="11" t="s">
        <v>130</v>
      </c>
      <c r="E428" s="11" t="s">
        <v>25</v>
      </c>
      <c r="F428" s="12">
        <v>46161</v>
      </c>
      <c r="G428" s="11" t="s">
        <v>131</v>
      </c>
      <c r="H428">
        <v>1</v>
      </c>
      <c r="I428" s="11" t="s">
        <v>1517</v>
      </c>
      <c r="M428" s="11" t="s">
        <v>87</v>
      </c>
      <c r="N428" s="11" t="s">
        <v>1518</v>
      </c>
      <c r="O428" s="11" t="s">
        <v>1519</v>
      </c>
      <c r="P428" s="11" t="s">
        <v>1517</v>
      </c>
      <c r="Q428" s="11" t="s">
        <v>135</v>
      </c>
      <c r="U428" s="11" t="s">
        <v>136</v>
      </c>
      <c r="V428" s="11" t="s">
        <v>137</v>
      </c>
      <c r="W428" s="13">
        <v>46302.314618055556</v>
      </c>
    </row>
    <row r="429" spans="1:23">
      <c r="A429">
        <v>264263</v>
      </c>
      <c r="B429">
        <v>1537</v>
      </c>
      <c r="C429" s="11" t="s">
        <v>129</v>
      </c>
      <c r="D429" s="11" t="s">
        <v>130</v>
      </c>
      <c r="E429" s="11" t="s">
        <v>25</v>
      </c>
      <c r="F429" s="12">
        <v>46162</v>
      </c>
      <c r="G429" s="11" t="s">
        <v>316</v>
      </c>
      <c r="H429">
        <v>1</v>
      </c>
      <c r="I429" s="11" t="s">
        <v>1520</v>
      </c>
      <c r="M429" s="11" t="s">
        <v>87</v>
      </c>
      <c r="N429" s="11" t="s">
        <v>1521</v>
      </c>
      <c r="O429" s="11" t="s">
        <v>1522</v>
      </c>
      <c r="P429" s="11" t="s">
        <v>1520</v>
      </c>
      <c r="Q429" s="11" t="s">
        <v>135</v>
      </c>
      <c r="U429" s="11" t="s">
        <v>320</v>
      </c>
      <c r="V429" s="11" t="s">
        <v>137</v>
      </c>
      <c r="W429" s="13">
        <v>46302.314618055556</v>
      </c>
    </row>
    <row r="430" spans="1:23">
      <c r="A430">
        <v>264264</v>
      </c>
      <c r="B430">
        <v>1538</v>
      </c>
      <c r="C430" s="11" t="s">
        <v>129</v>
      </c>
      <c r="D430" s="11" t="s">
        <v>130</v>
      </c>
      <c r="E430" s="11" t="s">
        <v>25</v>
      </c>
      <c r="F430" s="12">
        <v>46162</v>
      </c>
      <c r="G430" s="11" t="s">
        <v>930</v>
      </c>
      <c r="H430">
        <v>1</v>
      </c>
      <c r="I430" s="11" t="s">
        <v>1523</v>
      </c>
      <c r="M430" s="11" t="s">
        <v>50</v>
      </c>
      <c r="N430" s="11" t="s">
        <v>1524</v>
      </c>
      <c r="O430" s="11" t="s">
        <v>1525</v>
      </c>
      <c r="P430" s="11" t="s">
        <v>1523</v>
      </c>
      <c r="Q430" s="11" t="s">
        <v>135</v>
      </c>
      <c r="U430" s="11" t="s">
        <v>934</v>
      </c>
      <c r="V430" s="11" t="s">
        <v>137</v>
      </c>
      <c r="W430" s="13">
        <v>46302.314618055556</v>
      </c>
    </row>
    <row r="431" spans="1:23">
      <c r="A431">
        <v>264265</v>
      </c>
      <c r="B431">
        <v>1539</v>
      </c>
      <c r="C431" s="11" t="s">
        <v>129</v>
      </c>
      <c r="D431" s="11" t="s">
        <v>130</v>
      </c>
      <c r="E431" s="11" t="s">
        <v>25</v>
      </c>
      <c r="F431" s="12">
        <v>46162</v>
      </c>
      <c r="G431" s="11" t="s">
        <v>401</v>
      </c>
      <c r="H431">
        <v>1</v>
      </c>
      <c r="I431" s="11" t="s">
        <v>1526</v>
      </c>
      <c r="M431" s="11" t="s">
        <v>90</v>
      </c>
      <c r="N431" s="11" t="s">
        <v>1187</v>
      </c>
      <c r="O431" s="11" t="s">
        <v>802</v>
      </c>
      <c r="P431" s="11" t="s">
        <v>1526</v>
      </c>
      <c r="Q431" s="11" t="s">
        <v>135</v>
      </c>
      <c r="U431" s="11" t="s">
        <v>404</v>
      </c>
      <c r="V431" s="11" t="s">
        <v>137</v>
      </c>
      <c r="W431" s="13">
        <v>46302.314618055556</v>
      </c>
    </row>
    <row r="432" spans="1:23">
      <c r="A432">
        <v>264266</v>
      </c>
      <c r="B432">
        <v>1540</v>
      </c>
      <c r="C432" s="11" t="s">
        <v>129</v>
      </c>
      <c r="D432" s="11" t="s">
        <v>130</v>
      </c>
      <c r="E432" s="11" t="s">
        <v>25</v>
      </c>
      <c r="F432" s="12">
        <v>46162</v>
      </c>
      <c r="G432" s="11" t="s">
        <v>1527</v>
      </c>
      <c r="H432">
        <v>1</v>
      </c>
      <c r="I432" s="11" t="s">
        <v>1528</v>
      </c>
      <c r="M432" s="11" t="s">
        <v>89</v>
      </c>
      <c r="N432" s="11" t="s">
        <v>1529</v>
      </c>
      <c r="O432" s="11" t="s">
        <v>1530</v>
      </c>
      <c r="P432" s="11" t="s">
        <v>1528</v>
      </c>
      <c r="Q432" s="11" t="s">
        <v>135</v>
      </c>
      <c r="U432" s="11" t="s">
        <v>1531</v>
      </c>
      <c r="V432" s="11" t="s">
        <v>137</v>
      </c>
      <c r="W432" s="13">
        <v>46302.314618055556</v>
      </c>
    </row>
    <row r="433" spans="1:23">
      <c r="A433">
        <v>264267</v>
      </c>
      <c r="B433">
        <v>1541</v>
      </c>
      <c r="C433" s="11" t="s">
        <v>129</v>
      </c>
      <c r="D433" s="11" t="s">
        <v>130</v>
      </c>
      <c r="E433" s="11" t="s">
        <v>25</v>
      </c>
      <c r="F433" s="12">
        <v>46162</v>
      </c>
      <c r="G433" s="11" t="s">
        <v>316</v>
      </c>
      <c r="H433">
        <v>1</v>
      </c>
      <c r="I433" s="11" t="s">
        <v>1532</v>
      </c>
      <c r="M433" s="11" t="s">
        <v>87</v>
      </c>
      <c r="N433" s="11" t="s">
        <v>1533</v>
      </c>
      <c r="O433" s="11" t="s">
        <v>1534</v>
      </c>
      <c r="P433" s="11" t="s">
        <v>1532</v>
      </c>
      <c r="Q433" s="11" t="s">
        <v>135</v>
      </c>
      <c r="U433" s="11" t="s">
        <v>320</v>
      </c>
      <c r="V433" s="11" t="s">
        <v>137</v>
      </c>
      <c r="W433" s="13">
        <v>46302.314618055556</v>
      </c>
    </row>
    <row r="434" spans="1:23">
      <c r="A434">
        <v>264268</v>
      </c>
      <c r="B434">
        <v>1542</v>
      </c>
      <c r="C434" s="11" t="s">
        <v>129</v>
      </c>
      <c r="D434" s="11" t="s">
        <v>130</v>
      </c>
      <c r="E434" s="11" t="s">
        <v>25</v>
      </c>
      <c r="F434" s="12">
        <v>46162</v>
      </c>
      <c r="G434" s="11" t="s">
        <v>930</v>
      </c>
      <c r="H434">
        <v>1</v>
      </c>
      <c r="I434" s="11" t="s">
        <v>1535</v>
      </c>
      <c r="M434" s="11" t="s">
        <v>50</v>
      </c>
      <c r="N434" s="11" t="s">
        <v>1536</v>
      </c>
      <c r="O434" s="11" t="s">
        <v>1537</v>
      </c>
      <c r="P434" s="11" t="s">
        <v>1535</v>
      </c>
      <c r="Q434" s="11" t="s">
        <v>135</v>
      </c>
      <c r="U434" s="11" t="s">
        <v>934</v>
      </c>
      <c r="V434" s="11" t="s">
        <v>137</v>
      </c>
      <c r="W434" s="13">
        <v>46302.314618055556</v>
      </c>
    </row>
    <row r="435" spans="1:23">
      <c r="A435">
        <v>264269</v>
      </c>
      <c r="B435">
        <v>1543</v>
      </c>
      <c r="C435" s="11" t="s">
        <v>129</v>
      </c>
      <c r="D435" s="11" t="s">
        <v>130</v>
      </c>
      <c r="E435" s="11" t="s">
        <v>25</v>
      </c>
      <c r="F435" s="12">
        <v>46162</v>
      </c>
      <c r="G435" s="11" t="s">
        <v>321</v>
      </c>
      <c r="H435">
        <v>1</v>
      </c>
      <c r="I435" s="11" t="s">
        <v>1538</v>
      </c>
      <c r="M435" s="11" t="s">
        <v>67</v>
      </c>
      <c r="N435" s="11" t="s">
        <v>1539</v>
      </c>
      <c r="O435" s="11" t="s">
        <v>1540</v>
      </c>
      <c r="P435" s="11" t="s">
        <v>1538</v>
      </c>
      <c r="Q435" s="11" t="s">
        <v>135</v>
      </c>
      <c r="U435" s="11" t="s">
        <v>327</v>
      </c>
      <c r="V435" s="11" t="s">
        <v>137</v>
      </c>
      <c r="W435" s="13">
        <v>46302.314618055556</v>
      </c>
    </row>
    <row r="436" spans="1:23">
      <c r="A436">
        <v>264270</v>
      </c>
      <c r="B436">
        <v>1544</v>
      </c>
      <c r="C436" s="11" t="s">
        <v>129</v>
      </c>
      <c r="D436" s="11" t="s">
        <v>130</v>
      </c>
      <c r="E436" s="11" t="s">
        <v>25</v>
      </c>
      <c r="F436" s="12">
        <v>46162</v>
      </c>
      <c r="G436" s="11" t="s">
        <v>316</v>
      </c>
      <c r="H436">
        <v>1</v>
      </c>
      <c r="I436" s="11" t="s">
        <v>1541</v>
      </c>
      <c r="M436" s="11" t="s">
        <v>87</v>
      </c>
      <c r="N436" s="11" t="s">
        <v>1542</v>
      </c>
      <c r="O436" s="11" t="s">
        <v>1543</v>
      </c>
      <c r="P436" s="11" t="s">
        <v>1541</v>
      </c>
      <c r="Q436" s="11" t="s">
        <v>135</v>
      </c>
      <c r="U436" s="11" t="s">
        <v>320</v>
      </c>
      <c r="V436" s="11" t="s">
        <v>137</v>
      </c>
      <c r="W436" s="13">
        <v>46302.314618055556</v>
      </c>
    </row>
    <row r="437" spans="1:23">
      <c r="A437">
        <v>264271</v>
      </c>
      <c r="B437">
        <v>1545</v>
      </c>
      <c r="C437" s="11" t="s">
        <v>129</v>
      </c>
      <c r="D437" s="11" t="s">
        <v>130</v>
      </c>
      <c r="E437" s="11" t="s">
        <v>25</v>
      </c>
      <c r="F437" s="12">
        <v>46162</v>
      </c>
      <c r="G437" s="11" t="s">
        <v>1361</v>
      </c>
      <c r="H437">
        <v>1</v>
      </c>
      <c r="I437" s="11" t="s">
        <v>790</v>
      </c>
      <c r="M437" s="11" t="s">
        <v>58</v>
      </c>
      <c r="N437" s="11" t="s">
        <v>1544</v>
      </c>
      <c r="O437" s="11" t="s">
        <v>1545</v>
      </c>
      <c r="P437" s="11" t="s">
        <v>790</v>
      </c>
      <c r="Q437" s="11" t="s">
        <v>135</v>
      </c>
      <c r="U437" s="11" t="s">
        <v>1365</v>
      </c>
      <c r="V437" s="11" t="s">
        <v>137</v>
      </c>
      <c r="W437" s="13">
        <v>46302.314618055556</v>
      </c>
    </row>
    <row r="438" spans="1:23">
      <c r="A438">
        <v>264272</v>
      </c>
      <c r="B438">
        <v>1546</v>
      </c>
      <c r="C438" s="11" t="s">
        <v>129</v>
      </c>
      <c r="D438" s="11" t="s">
        <v>130</v>
      </c>
      <c r="E438" s="11" t="s">
        <v>25</v>
      </c>
      <c r="F438" s="12">
        <v>46162</v>
      </c>
      <c r="G438" s="11" t="s">
        <v>195</v>
      </c>
      <c r="H438">
        <v>1</v>
      </c>
      <c r="I438" s="11" t="s">
        <v>1546</v>
      </c>
      <c r="M438" s="11" t="s">
        <v>68</v>
      </c>
      <c r="N438" s="11" t="s">
        <v>1547</v>
      </c>
      <c r="O438" s="11" t="s">
        <v>1548</v>
      </c>
      <c r="P438" s="11" t="s">
        <v>1546</v>
      </c>
      <c r="Q438" s="11" t="s">
        <v>135</v>
      </c>
      <c r="U438" s="11" t="s">
        <v>199</v>
      </c>
      <c r="V438" s="11" t="s">
        <v>137</v>
      </c>
      <c r="W438" s="13">
        <v>46302.314618055556</v>
      </c>
    </row>
    <row r="439" spans="1:23">
      <c r="A439">
        <v>264273</v>
      </c>
      <c r="B439">
        <v>1547</v>
      </c>
      <c r="C439" s="11" t="s">
        <v>129</v>
      </c>
      <c r="D439" s="11" t="s">
        <v>130</v>
      </c>
      <c r="E439" s="11" t="s">
        <v>25</v>
      </c>
      <c r="F439" s="12">
        <v>46162</v>
      </c>
      <c r="G439" s="11" t="s">
        <v>499</v>
      </c>
      <c r="H439">
        <v>1</v>
      </c>
      <c r="I439" s="11" t="s">
        <v>1549</v>
      </c>
      <c r="M439" s="11" t="s">
        <v>55</v>
      </c>
      <c r="N439" s="11" t="s">
        <v>1550</v>
      </c>
      <c r="O439" s="11" t="s">
        <v>1551</v>
      </c>
      <c r="P439" s="11" t="s">
        <v>1549</v>
      </c>
      <c r="Q439" s="11" t="s">
        <v>135</v>
      </c>
      <c r="U439" s="11" t="s">
        <v>503</v>
      </c>
      <c r="V439" s="11" t="s">
        <v>137</v>
      </c>
      <c r="W439" s="13">
        <v>46302.314618055556</v>
      </c>
    </row>
    <row r="440" spans="1:23">
      <c r="A440">
        <v>264274</v>
      </c>
      <c r="B440">
        <v>1548</v>
      </c>
      <c r="C440" s="11" t="s">
        <v>129</v>
      </c>
      <c r="D440" s="11" t="s">
        <v>130</v>
      </c>
      <c r="E440" s="11" t="s">
        <v>25</v>
      </c>
      <c r="F440" s="12">
        <v>46162</v>
      </c>
      <c r="G440" s="11" t="s">
        <v>1552</v>
      </c>
      <c r="H440">
        <v>1</v>
      </c>
      <c r="I440" s="11" t="s">
        <v>1553</v>
      </c>
      <c r="M440" s="11" t="s">
        <v>46</v>
      </c>
      <c r="N440" s="11" t="s">
        <v>1554</v>
      </c>
      <c r="O440" s="11" t="s">
        <v>1555</v>
      </c>
      <c r="P440" s="11" t="s">
        <v>1553</v>
      </c>
      <c r="Q440" s="11" t="s">
        <v>135</v>
      </c>
      <c r="U440" s="11" t="s">
        <v>1556</v>
      </c>
      <c r="V440" s="11" t="s">
        <v>137</v>
      </c>
      <c r="W440" s="13">
        <v>46302.314618055556</v>
      </c>
    </row>
    <row r="441" spans="1:23">
      <c r="A441">
        <v>264275</v>
      </c>
      <c r="B441">
        <v>1549</v>
      </c>
      <c r="C441" s="11" t="s">
        <v>129</v>
      </c>
      <c r="D441" s="11" t="s">
        <v>130</v>
      </c>
      <c r="E441" s="11" t="s">
        <v>25</v>
      </c>
      <c r="F441" s="12">
        <v>46162</v>
      </c>
      <c r="G441" s="11" t="s">
        <v>512</v>
      </c>
      <c r="H441">
        <v>1</v>
      </c>
      <c r="I441" s="11" t="s">
        <v>1557</v>
      </c>
      <c r="M441" s="11" t="s">
        <v>44</v>
      </c>
      <c r="N441" s="11" t="s">
        <v>1558</v>
      </c>
      <c r="O441" s="11" t="s">
        <v>1559</v>
      </c>
      <c r="P441" s="11" t="s">
        <v>1557</v>
      </c>
      <c r="Q441" s="11" t="s">
        <v>135</v>
      </c>
      <c r="U441" s="11" t="s">
        <v>516</v>
      </c>
      <c r="V441" s="11" t="s">
        <v>137</v>
      </c>
      <c r="W441" s="13">
        <v>46302.314618055556</v>
      </c>
    </row>
    <row r="442" spans="1:23">
      <c r="A442">
        <v>264276</v>
      </c>
      <c r="B442">
        <v>1550</v>
      </c>
      <c r="C442" s="11" t="s">
        <v>129</v>
      </c>
      <c r="D442" s="11" t="s">
        <v>130</v>
      </c>
      <c r="E442" s="11" t="s">
        <v>25</v>
      </c>
      <c r="F442" s="12">
        <v>46162</v>
      </c>
      <c r="G442" s="11" t="s">
        <v>174</v>
      </c>
      <c r="H442">
        <v>1</v>
      </c>
      <c r="I442" s="11" t="s">
        <v>1560</v>
      </c>
      <c r="M442" s="11" t="s">
        <v>92</v>
      </c>
      <c r="N442" s="11" t="s">
        <v>1427</v>
      </c>
      <c r="O442" s="11" t="s">
        <v>1561</v>
      </c>
      <c r="P442" s="11" t="s">
        <v>1560</v>
      </c>
      <c r="Q442" s="11" t="s">
        <v>135</v>
      </c>
      <c r="U442" s="11" t="s">
        <v>178</v>
      </c>
      <c r="V442" s="11" t="s">
        <v>137</v>
      </c>
      <c r="W442" s="13">
        <v>46302.314618055556</v>
      </c>
    </row>
    <row r="443" spans="1:23">
      <c r="A443">
        <v>264277</v>
      </c>
      <c r="B443">
        <v>1551</v>
      </c>
      <c r="C443" s="11" t="s">
        <v>129</v>
      </c>
      <c r="D443" s="11" t="s">
        <v>130</v>
      </c>
      <c r="E443" s="11" t="s">
        <v>25</v>
      </c>
      <c r="F443" s="12">
        <v>46162</v>
      </c>
      <c r="G443" s="11" t="s">
        <v>149</v>
      </c>
      <c r="H443">
        <v>1</v>
      </c>
      <c r="I443" s="11" t="s">
        <v>1562</v>
      </c>
      <c r="M443" s="11" t="s">
        <v>77</v>
      </c>
      <c r="N443" s="11" t="s">
        <v>1563</v>
      </c>
      <c r="O443" s="11" t="s">
        <v>1564</v>
      </c>
      <c r="P443" s="11" t="s">
        <v>1562</v>
      </c>
      <c r="Q443" s="11" t="s">
        <v>135</v>
      </c>
      <c r="U443" s="11" t="s">
        <v>153</v>
      </c>
      <c r="V443" s="11" t="s">
        <v>137</v>
      </c>
      <c r="W443" s="13">
        <v>46302.314618055556</v>
      </c>
    </row>
    <row r="444" spans="1:23">
      <c r="A444">
        <v>264278</v>
      </c>
      <c r="B444">
        <v>1552</v>
      </c>
      <c r="C444" s="11" t="s">
        <v>129</v>
      </c>
      <c r="D444" s="11" t="s">
        <v>130</v>
      </c>
      <c r="E444" s="11" t="s">
        <v>25</v>
      </c>
      <c r="F444" s="12">
        <v>46162</v>
      </c>
      <c r="G444" s="11" t="s">
        <v>523</v>
      </c>
      <c r="H444">
        <v>1</v>
      </c>
      <c r="I444" s="11" t="s">
        <v>1565</v>
      </c>
      <c r="M444" s="11" t="s">
        <v>80</v>
      </c>
      <c r="N444" s="11" t="s">
        <v>1566</v>
      </c>
      <c r="O444" s="11" t="s">
        <v>1567</v>
      </c>
      <c r="P444" s="11" t="s">
        <v>1565</v>
      </c>
      <c r="Q444" s="11" t="s">
        <v>135</v>
      </c>
      <c r="U444" s="11" t="s">
        <v>527</v>
      </c>
      <c r="V444" s="11" t="s">
        <v>137</v>
      </c>
      <c r="W444" s="13">
        <v>46302.314618055556</v>
      </c>
    </row>
    <row r="445" spans="1:23">
      <c r="A445">
        <v>264279</v>
      </c>
      <c r="B445">
        <v>1553</v>
      </c>
      <c r="C445" s="11" t="s">
        <v>129</v>
      </c>
      <c r="D445" s="11" t="s">
        <v>130</v>
      </c>
      <c r="E445" s="11" t="s">
        <v>25</v>
      </c>
      <c r="F445" s="12">
        <v>46162</v>
      </c>
      <c r="G445" s="11" t="s">
        <v>154</v>
      </c>
      <c r="H445">
        <v>1</v>
      </c>
      <c r="I445" s="11" t="s">
        <v>196</v>
      </c>
      <c r="M445" s="11" t="s">
        <v>79</v>
      </c>
      <c r="N445" s="11" t="s">
        <v>1568</v>
      </c>
      <c r="O445" s="11" t="s">
        <v>1569</v>
      </c>
      <c r="P445" s="11" t="s">
        <v>196</v>
      </c>
      <c r="Q445" s="11" t="s">
        <v>135</v>
      </c>
      <c r="U445" s="11" t="s">
        <v>158</v>
      </c>
      <c r="V445" s="11" t="s">
        <v>137</v>
      </c>
      <c r="W445" s="13">
        <v>46302.314618055556</v>
      </c>
    </row>
    <row r="446" spans="1:23">
      <c r="A446">
        <v>264280</v>
      </c>
      <c r="B446">
        <v>1554</v>
      </c>
      <c r="C446" s="11" t="s">
        <v>129</v>
      </c>
      <c r="D446" s="11" t="s">
        <v>130</v>
      </c>
      <c r="E446" s="11" t="s">
        <v>25</v>
      </c>
      <c r="F446" s="12">
        <v>46162</v>
      </c>
      <c r="G446" s="11" t="s">
        <v>528</v>
      </c>
      <c r="H446">
        <v>1</v>
      </c>
      <c r="I446" s="11" t="s">
        <v>1570</v>
      </c>
      <c r="M446" s="11" t="s">
        <v>82</v>
      </c>
      <c r="N446" s="11" t="s">
        <v>1571</v>
      </c>
      <c r="O446" s="11" t="s">
        <v>1572</v>
      </c>
      <c r="P446" s="11" t="s">
        <v>1570</v>
      </c>
      <c r="Q446" s="11" t="s">
        <v>135</v>
      </c>
      <c r="U446" s="11" t="s">
        <v>532</v>
      </c>
      <c r="V446" s="11" t="s">
        <v>137</v>
      </c>
      <c r="W446" s="13">
        <v>46302.314618055556</v>
      </c>
    </row>
    <row r="447" spans="1:23">
      <c r="A447">
        <v>264281</v>
      </c>
      <c r="B447">
        <v>1555</v>
      </c>
      <c r="C447" s="11" t="s">
        <v>129</v>
      </c>
      <c r="D447" s="11" t="s">
        <v>130</v>
      </c>
      <c r="E447" s="11" t="s">
        <v>25</v>
      </c>
      <c r="F447" s="12">
        <v>46162</v>
      </c>
      <c r="G447" s="11" t="s">
        <v>504</v>
      </c>
      <c r="H447">
        <v>1</v>
      </c>
      <c r="I447" s="11" t="s">
        <v>1573</v>
      </c>
      <c r="M447" s="11" t="s">
        <v>53</v>
      </c>
      <c r="N447" s="11" t="s">
        <v>1574</v>
      </c>
      <c r="O447" s="11" t="s">
        <v>1575</v>
      </c>
      <c r="P447" s="11" t="s">
        <v>1573</v>
      </c>
      <c r="Q447" s="11" t="s">
        <v>135</v>
      </c>
      <c r="U447" s="11" t="s">
        <v>508</v>
      </c>
      <c r="V447" s="11" t="s">
        <v>137</v>
      </c>
      <c r="W447" s="13">
        <v>46302.314618055556</v>
      </c>
    </row>
    <row r="448" spans="1:23">
      <c r="A448">
        <v>264282</v>
      </c>
      <c r="B448">
        <v>1556</v>
      </c>
      <c r="C448" s="11" t="s">
        <v>129</v>
      </c>
      <c r="D448" s="11" t="s">
        <v>130</v>
      </c>
      <c r="E448" s="11" t="s">
        <v>25</v>
      </c>
      <c r="F448" s="12">
        <v>46162</v>
      </c>
      <c r="G448" s="11" t="s">
        <v>1576</v>
      </c>
      <c r="H448">
        <v>1</v>
      </c>
      <c r="I448" s="11" t="s">
        <v>1577</v>
      </c>
      <c r="M448" s="11" t="s">
        <v>59</v>
      </c>
      <c r="N448" s="11" t="s">
        <v>1578</v>
      </c>
      <c r="O448" s="11" t="s">
        <v>1579</v>
      </c>
      <c r="P448" s="11" t="s">
        <v>1577</v>
      </c>
      <c r="Q448" s="11" t="s">
        <v>135</v>
      </c>
      <c r="U448" s="11" t="s">
        <v>1580</v>
      </c>
      <c r="V448" s="11" t="s">
        <v>137</v>
      </c>
      <c r="W448" s="13">
        <v>46302.314618055556</v>
      </c>
    </row>
    <row r="449" spans="1:23">
      <c r="A449">
        <v>264283</v>
      </c>
      <c r="B449">
        <v>1557</v>
      </c>
      <c r="C449" s="11" t="s">
        <v>129</v>
      </c>
      <c r="D449" s="11" t="s">
        <v>130</v>
      </c>
      <c r="E449" s="11" t="s">
        <v>25</v>
      </c>
      <c r="F449" s="12">
        <v>46162</v>
      </c>
      <c r="G449" s="11" t="s">
        <v>131</v>
      </c>
      <c r="H449">
        <v>1</v>
      </c>
      <c r="I449" s="11" t="s">
        <v>1581</v>
      </c>
      <c r="M449" s="11" t="s">
        <v>87</v>
      </c>
      <c r="N449" s="11" t="s">
        <v>1582</v>
      </c>
      <c r="O449" s="11" t="s">
        <v>1583</v>
      </c>
      <c r="P449" s="11" t="s">
        <v>1581</v>
      </c>
      <c r="Q449" s="11" t="s">
        <v>135</v>
      </c>
      <c r="U449" s="11" t="s">
        <v>136</v>
      </c>
      <c r="V449" s="11" t="s">
        <v>137</v>
      </c>
      <c r="W449" s="13">
        <v>46302.314618055556</v>
      </c>
    </row>
    <row r="450" spans="1:23">
      <c r="A450">
        <v>264284</v>
      </c>
      <c r="B450">
        <v>1558</v>
      </c>
      <c r="C450" s="11" t="s">
        <v>129</v>
      </c>
      <c r="D450" s="11" t="s">
        <v>130</v>
      </c>
      <c r="E450" s="11" t="s">
        <v>25</v>
      </c>
      <c r="F450" s="12">
        <v>46162</v>
      </c>
      <c r="G450" s="11" t="s">
        <v>607</v>
      </c>
      <c r="H450">
        <v>1</v>
      </c>
      <c r="I450" s="11" t="s">
        <v>1584</v>
      </c>
      <c r="M450" s="11" t="s">
        <v>42</v>
      </c>
      <c r="N450" s="11" t="s">
        <v>1585</v>
      </c>
      <c r="O450" s="11" t="s">
        <v>1586</v>
      </c>
      <c r="P450" s="11" t="s">
        <v>1584</v>
      </c>
      <c r="Q450" s="11" t="s">
        <v>135</v>
      </c>
      <c r="U450" s="11" t="s">
        <v>611</v>
      </c>
      <c r="V450" s="11" t="s">
        <v>137</v>
      </c>
      <c r="W450" s="13">
        <v>46302.314618055556</v>
      </c>
    </row>
    <row r="451" spans="1:23">
      <c r="A451">
        <v>264285</v>
      </c>
      <c r="B451">
        <v>1559</v>
      </c>
      <c r="C451" s="11" t="s">
        <v>129</v>
      </c>
      <c r="D451" s="11" t="s">
        <v>130</v>
      </c>
      <c r="E451" s="11" t="s">
        <v>25</v>
      </c>
      <c r="F451" s="12">
        <v>46162</v>
      </c>
      <c r="G451" s="11" t="s">
        <v>504</v>
      </c>
      <c r="H451">
        <v>1</v>
      </c>
      <c r="I451" s="11" t="s">
        <v>1587</v>
      </c>
      <c r="M451" s="11" t="s">
        <v>53</v>
      </c>
      <c r="N451" s="11" t="s">
        <v>1588</v>
      </c>
      <c r="O451" s="11" t="s">
        <v>1589</v>
      </c>
      <c r="P451" s="11" t="s">
        <v>1587</v>
      </c>
      <c r="Q451" s="11" t="s">
        <v>135</v>
      </c>
      <c r="U451" s="11" t="s">
        <v>508</v>
      </c>
      <c r="V451" s="11" t="s">
        <v>137</v>
      </c>
      <c r="W451" s="13">
        <v>46302.314618055556</v>
      </c>
    </row>
    <row r="452" spans="1:23">
      <c r="A452">
        <v>264286</v>
      </c>
      <c r="B452">
        <v>1560</v>
      </c>
      <c r="C452" s="11" t="s">
        <v>129</v>
      </c>
      <c r="D452" s="11" t="s">
        <v>130</v>
      </c>
      <c r="E452" s="11" t="s">
        <v>25</v>
      </c>
      <c r="F452" s="12">
        <v>46162</v>
      </c>
      <c r="G452" s="11" t="s">
        <v>504</v>
      </c>
      <c r="H452">
        <v>1</v>
      </c>
      <c r="I452" s="11" t="s">
        <v>1590</v>
      </c>
      <c r="M452" s="11" t="s">
        <v>53</v>
      </c>
      <c r="N452" s="11" t="s">
        <v>1591</v>
      </c>
      <c r="O452" s="11" t="s">
        <v>1592</v>
      </c>
      <c r="P452" s="11" t="s">
        <v>1590</v>
      </c>
      <c r="Q452" s="11" t="s">
        <v>135</v>
      </c>
      <c r="U452" s="11" t="s">
        <v>508</v>
      </c>
      <c r="V452" s="11" t="s">
        <v>137</v>
      </c>
      <c r="W452" s="13">
        <v>46302.314618055556</v>
      </c>
    </row>
    <row r="453" spans="1:23">
      <c r="A453">
        <v>264287</v>
      </c>
      <c r="B453">
        <v>1561</v>
      </c>
      <c r="C453" s="11" t="s">
        <v>129</v>
      </c>
      <c r="D453" s="11" t="s">
        <v>130</v>
      </c>
      <c r="E453" s="11" t="s">
        <v>25</v>
      </c>
      <c r="F453" s="12">
        <v>46162</v>
      </c>
      <c r="G453" s="11" t="s">
        <v>131</v>
      </c>
      <c r="H453">
        <v>1</v>
      </c>
      <c r="I453" s="11" t="s">
        <v>1593</v>
      </c>
      <c r="M453" s="11" t="s">
        <v>87</v>
      </c>
      <c r="N453" s="11" t="s">
        <v>1594</v>
      </c>
      <c r="O453" s="11" t="s">
        <v>1595</v>
      </c>
      <c r="P453" s="11" t="s">
        <v>1593</v>
      </c>
      <c r="Q453" s="11" t="s">
        <v>135</v>
      </c>
      <c r="U453" s="11" t="s">
        <v>136</v>
      </c>
      <c r="V453" s="11" t="s">
        <v>137</v>
      </c>
      <c r="W453" s="13">
        <v>46302.314618055556</v>
      </c>
    </row>
    <row r="454" spans="1:23">
      <c r="A454">
        <v>264288</v>
      </c>
      <c r="B454">
        <v>1562</v>
      </c>
      <c r="C454" s="11" t="s">
        <v>129</v>
      </c>
      <c r="D454" s="11" t="s">
        <v>130</v>
      </c>
      <c r="E454" s="11" t="s">
        <v>25</v>
      </c>
      <c r="F454" s="12">
        <v>46162</v>
      </c>
      <c r="G454" s="11" t="s">
        <v>174</v>
      </c>
      <c r="H454">
        <v>1</v>
      </c>
      <c r="I454" s="11" t="s">
        <v>1517</v>
      </c>
      <c r="M454" s="11" t="s">
        <v>92</v>
      </c>
      <c r="N454" s="11" t="s">
        <v>1596</v>
      </c>
      <c r="O454" s="11" t="s">
        <v>1597</v>
      </c>
      <c r="P454" s="11" t="s">
        <v>1517</v>
      </c>
      <c r="Q454" s="11" t="s">
        <v>135</v>
      </c>
      <c r="U454" s="11" t="s">
        <v>178</v>
      </c>
      <c r="V454" s="11" t="s">
        <v>137</v>
      </c>
      <c r="W454" s="13">
        <v>46302.314618055556</v>
      </c>
    </row>
    <row r="455" spans="1:23">
      <c r="A455">
        <v>264289</v>
      </c>
      <c r="B455">
        <v>1563</v>
      </c>
      <c r="C455" s="11" t="s">
        <v>129</v>
      </c>
      <c r="D455" s="11" t="s">
        <v>130</v>
      </c>
      <c r="E455" s="11" t="s">
        <v>25</v>
      </c>
      <c r="F455" s="12">
        <v>46162</v>
      </c>
      <c r="G455" s="11" t="s">
        <v>1457</v>
      </c>
      <c r="H455">
        <v>1</v>
      </c>
      <c r="I455" s="11" t="s">
        <v>1598</v>
      </c>
      <c r="M455" s="11" t="s">
        <v>88</v>
      </c>
      <c r="N455" s="11" t="s">
        <v>1599</v>
      </c>
      <c r="O455" s="11" t="s">
        <v>1600</v>
      </c>
      <c r="P455" s="11" t="s">
        <v>1598</v>
      </c>
      <c r="Q455" s="11" t="s">
        <v>135</v>
      </c>
      <c r="U455" s="11" t="s">
        <v>1461</v>
      </c>
      <c r="V455" s="11" t="s">
        <v>137</v>
      </c>
      <c r="W455" s="13">
        <v>46302.314618055556</v>
      </c>
    </row>
    <row r="456" spans="1:23">
      <c r="A456">
        <v>264290</v>
      </c>
      <c r="B456">
        <v>1564</v>
      </c>
      <c r="C456" s="11" t="s">
        <v>129</v>
      </c>
      <c r="D456" s="11" t="s">
        <v>130</v>
      </c>
      <c r="E456" s="11" t="s">
        <v>25</v>
      </c>
      <c r="F456" s="12">
        <v>46162</v>
      </c>
      <c r="G456" s="11" t="s">
        <v>131</v>
      </c>
      <c r="H456">
        <v>1</v>
      </c>
      <c r="I456" s="11" t="s">
        <v>940</v>
      </c>
      <c r="M456" s="11" t="s">
        <v>87</v>
      </c>
      <c r="N456" s="11" t="s">
        <v>1601</v>
      </c>
      <c r="O456" s="11" t="s">
        <v>1602</v>
      </c>
      <c r="P456" s="11" t="s">
        <v>940</v>
      </c>
      <c r="Q456" s="11" t="s">
        <v>135</v>
      </c>
      <c r="U456" s="11" t="s">
        <v>136</v>
      </c>
      <c r="V456" s="11" t="s">
        <v>137</v>
      </c>
      <c r="W456" s="13">
        <v>46302.314618055556</v>
      </c>
    </row>
    <row r="457" spans="1:23">
      <c r="A457">
        <v>265114</v>
      </c>
      <c r="B457">
        <v>1587</v>
      </c>
      <c r="C457" s="11" t="s">
        <v>129</v>
      </c>
      <c r="D457" s="11" t="s">
        <v>130</v>
      </c>
      <c r="E457" s="11" t="s">
        <v>25</v>
      </c>
      <c r="F457" s="12">
        <v>46164</v>
      </c>
      <c r="G457" s="11" t="s">
        <v>316</v>
      </c>
      <c r="H457">
        <v>1</v>
      </c>
      <c r="I457" s="11" t="s">
        <v>1603</v>
      </c>
      <c r="M457" s="11" t="s">
        <v>87</v>
      </c>
      <c r="N457" s="11" t="s">
        <v>1604</v>
      </c>
      <c r="O457" s="11" t="s">
        <v>1605</v>
      </c>
      <c r="P457" s="11" t="s">
        <v>1603</v>
      </c>
      <c r="Q457" s="11" t="s">
        <v>135</v>
      </c>
      <c r="U457" s="11" t="s">
        <v>320</v>
      </c>
      <c r="V457" s="11" t="s">
        <v>137</v>
      </c>
      <c r="W457" s="13">
        <v>46302.314618055556</v>
      </c>
    </row>
    <row r="458" spans="1:23">
      <c r="A458">
        <v>265115</v>
      </c>
      <c r="B458">
        <v>1588</v>
      </c>
      <c r="C458" s="11" t="s">
        <v>129</v>
      </c>
      <c r="D458" s="11" t="s">
        <v>130</v>
      </c>
      <c r="E458" s="11" t="s">
        <v>25</v>
      </c>
      <c r="F458" s="12">
        <v>46164</v>
      </c>
      <c r="G458" s="11" t="s">
        <v>1527</v>
      </c>
      <c r="H458">
        <v>1</v>
      </c>
      <c r="I458" s="11" t="s">
        <v>905</v>
      </c>
      <c r="M458" s="11" t="s">
        <v>89</v>
      </c>
      <c r="N458" s="11" t="s">
        <v>1606</v>
      </c>
      <c r="O458" s="11" t="s">
        <v>1607</v>
      </c>
      <c r="P458" s="11" t="s">
        <v>905</v>
      </c>
      <c r="Q458" s="11" t="s">
        <v>135</v>
      </c>
      <c r="U458" s="11" t="s">
        <v>1531</v>
      </c>
      <c r="V458" s="11" t="s">
        <v>137</v>
      </c>
      <c r="W458" s="13">
        <v>46302.314618055556</v>
      </c>
    </row>
    <row r="459" spans="1:23">
      <c r="A459">
        <v>265116</v>
      </c>
      <c r="B459">
        <v>1589</v>
      </c>
      <c r="C459" s="11" t="s">
        <v>129</v>
      </c>
      <c r="D459" s="11" t="s">
        <v>130</v>
      </c>
      <c r="E459" s="11" t="s">
        <v>25</v>
      </c>
      <c r="F459" s="12">
        <v>46164</v>
      </c>
      <c r="G459" s="11" t="s">
        <v>401</v>
      </c>
      <c r="H459">
        <v>1</v>
      </c>
      <c r="I459" s="11" t="s">
        <v>1608</v>
      </c>
      <c r="M459" s="11" t="s">
        <v>90</v>
      </c>
      <c r="N459" s="11" t="s">
        <v>1079</v>
      </c>
      <c r="O459" s="11" t="s">
        <v>1609</v>
      </c>
      <c r="P459" s="11" t="s">
        <v>1608</v>
      </c>
      <c r="Q459" s="11" t="s">
        <v>135</v>
      </c>
      <c r="U459" s="11" t="s">
        <v>404</v>
      </c>
      <c r="V459" s="11" t="s">
        <v>137</v>
      </c>
      <c r="W459" s="13">
        <v>46302.314618055556</v>
      </c>
    </row>
    <row r="460" spans="1:23">
      <c r="A460">
        <v>265117</v>
      </c>
      <c r="B460">
        <v>1590</v>
      </c>
      <c r="C460" s="11" t="s">
        <v>129</v>
      </c>
      <c r="D460" s="11" t="s">
        <v>130</v>
      </c>
      <c r="E460" s="11" t="s">
        <v>25</v>
      </c>
      <c r="F460" s="12">
        <v>46164</v>
      </c>
      <c r="G460" s="11" t="s">
        <v>1527</v>
      </c>
      <c r="H460">
        <v>1</v>
      </c>
      <c r="I460" s="11" t="s">
        <v>1320</v>
      </c>
      <c r="M460" s="11" t="s">
        <v>89</v>
      </c>
      <c r="N460" s="11" t="s">
        <v>1610</v>
      </c>
      <c r="O460" s="11" t="s">
        <v>1611</v>
      </c>
      <c r="P460" s="11" t="s">
        <v>1320</v>
      </c>
      <c r="Q460" s="11" t="s">
        <v>135</v>
      </c>
      <c r="U460" s="11" t="s">
        <v>1531</v>
      </c>
      <c r="V460" s="11" t="s">
        <v>137</v>
      </c>
      <c r="W460" s="13">
        <v>46302.314618055556</v>
      </c>
    </row>
    <row r="461" spans="1:23">
      <c r="A461">
        <v>265118</v>
      </c>
      <c r="B461">
        <v>1591</v>
      </c>
      <c r="C461" s="11" t="s">
        <v>129</v>
      </c>
      <c r="D461" s="11" t="s">
        <v>130</v>
      </c>
      <c r="E461" s="11" t="s">
        <v>25</v>
      </c>
      <c r="F461" s="12">
        <v>46164</v>
      </c>
      <c r="G461" s="11" t="s">
        <v>164</v>
      </c>
      <c r="H461">
        <v>1</v>
      </c>
      <c r="I461" s="11" t="s">
        <v>1612</v>
      </c>
      <c r="M461" s="11" t="s">
        <v>62</v>
      </c>
      <c r="N461" s="11" t="s">
        <v>1613</v>
      </c>
      <c r="O461" s="11" t="s">
        <v>1614</v>
      </c>
      <c r="P461" s="11" t="s">
        <v>1612</v>
      </c>
      <c r="Q461" s="11" t="s">
        <v>135</v>
      </c>
      <c r="U461" s="11" t="s">
        <v>168</v>
      </c>
      <c r="V461" s="11" t="s">
        <v>137</v>
      </c>
      <c r="W461" s="13">
        <v>46302.314618055556</v>
      </c>
    </row>
    <row r="462" spans="1:23">
      <c r="A462">
        <v>265119</v>
      </c>
      <c r="B462">
        <v>1592</v>
      </c>
      <c r="C462" s="11" t="s">
        <v>129</v>
      </c>
      <c r="D462" s="11" t="s">
        <v>130</v>
      </c>
      <c r="E462" s="11" t="s">
        <v>25</v>
      </c>
      <c r="F462" s="12">
        <v>46164</v>
      </c>
      <c r="G462" s="11" t="s">
        <v>195</v>
      </c>
      <c r="H462">
        <v>2</v>
      </c>
      <c r="I462" s="11" t="s">
        <v>1615</v>
      </c>
      <c r="M462" s="11" t="s">
        <v>68</v>
      </c>
      <c r="N462" s="11" t="s">
        <v>1616</v>
      </c>
      <c r="O462" s="11" t="s">
        <v>1617</v>
      </c>
      <c r="P462" s="11" t="s">
        <v>1618</v>
      </c>
      <c r="Q462" s="11" t="s">
        <v>135</v>
      </c>
      <c r="U462" s="11" t="s">
        <v>199</v>
      </c>
      <c r="V462" s="11" t="s">
        <v>137</v>
      </c>
      <c r="W462" s="13">
        <v>46302.314618055556</v>
      </c>
    </row>
    <row r="463" spans="1:23">
      <c r="A463">
        <v>265120</v>
      </c>
      <c r="B463">
        <v>1593</v>
      </c>
      <c r="C463" s="11" t="s">
        <v>129</v>
      </c>
      <c r="D463" s="11" t="s">
        <v>130</v>
      </c>
      <c r="E463" s="11" t="s">
        <v>25</v>
      </c>
      <c r="F463" s="12">
        <v>46164</v>
      </c>
      <c r="G463" s="11" t="s">
        <v>190</v>
      </c>
      <c r="H463">
        <v>1</v>
      </c>
      <c r="I463" s="11" t="s">
        <v>1619</v>
      </c>
      <c r="M463" s="11" t="s">
        <v>52</v>
      </c>
      <c r="N463" s="11" t="s">
        <v>1620</v>
      </c>
      <c r="O463" s="11" t="s">
        <v>1621</v>
      </c>
      <c r="P463" s="11" t="s">
        <v>1619</v>
      </c>
      <c r="Q463" s="11" t="s">
        <v>135</v>
      </c>
      <c r="U463" s="11" t="s">
        <v>194</v>
      </c>
      <c r="V463" s="11" t="s">
        <v>137</v>
      </c>
      <c r="W463" s="13">
        <v>46302.314618055556</v>
      </c>
    </row>
    <row r="464" spans="1:23">
      <c r="A464">
        <v>265121</v>
      </c>
      <c r="B464">
        <v>1594</v>
      </c>
      <c r="C464" s="11" t="s">
        <v>129</v>
      </c>
      <c r="D464" s="11" t="s">
        <v>130</v>
      </c>
      <c r="E464" s="11" t="s">
        <v>25</v>
      </c>
      <c r="F464" s="12">
        <v>46164</v>
      </c>
      <c r="G464" s="11" t="s">
        <v>499</v>
      </c>
      <c r="H464">
        <v>1</v>
      </c>
      <c r="I464" s="11" t="s">
        <v>1622</v>
      </c>
      <c r="M464" s="11" t="s">
        <v>55</v>
      </c>
      <c r="N464" s="11" t="s">
        <v>1623</v>
      </c>
      <c r="O464" s="11" t="s">
        <v>1624</v>
      </c>
      <c r="P464" s="11" t="s">
        <v>1622</v>
      </c>
      <c r="Q464" s="11" t="s">
        <v>135</v>
      </c>
      <c r="U464" s="11" t="s">
        <v>503</v>
      </c>
      <c r="V464" s="11" t="s">
        <v>137</v>
      </c>
      <c r="W464" s="13">
        <v>46302.314618055556</v>
      </c>
    </row>
    <row r="465" spans="1:23">
      <c r="A465">
        <v>265122</v>
      </c>
      <c r="B465">
        <v>1595</v>
      </c>
      <c r="C465" s="11" t="s">
        <v>129</v>
      </c>
      <c r="D465" s="11" t="s">
        <v>130</v>
      </c>
      <c r="E465" s="11" t="s">
        <v>25</v>
      </c>
      <c r="F465" s="12">
        <v>46164</v>
      </c>
      <c r="G465" s="11" t="s">
        <v>131</v>
      </c>
      <c r="H465">
        <v>1</v>
      </c>
      <c r="I465" s="11" t="s">
        <v>1625</v>
      </c>
      <c r="M465" s="11" t="s">
        <v>87</v>
      </c>
      <c r="N465" s="11" t="s">
        <v>1626</v>
      </c>
      <c r="O465" s="11" t="s">
        <v>1627</v>
      </c>
      <c r="P465" s="11" t="s">
        <v>1625</v>
      </c>
      <c r="Q465" s="11" t="s">
        <v>135</v>
      </c>
      <c r="U465" s="11" t="s">
        <v>136</v>
      </c>
      <c r="V465" s="11" t="s">
        <v>137</v>
      </c>
      <c r="W465" s="13">
        <v>46302.314618055556</v>
      </c>
    </row>
    <row r="466" spans="1:23">
      <c r="A466">
        <v>265123</v>
      </c>
      <c r="B466">
        <v>1596</v>
      </c>
      <c r="C466" s="11" t="s">
        <v>129</v>
      </c>
      <c r="D466" s="11" t="s">
        <v>130</v>
      </c>
      <c r="E466" s="11" t="s">
        <v>25</v>
      </c>
      <c r="F466" s="12">
        <v>46164</v>
      </c>
      <c r="G466" s="11" t="s">
        <v>607</v>
      </c>
      <c r="H466">
        <v>1</v>
      </c>
      <c r="I466" s="11" t="s">
        <v>1628</v>
      </c>
      <c r="M466" s="11" t="s">
        <v>42</v>
      </c>
      <c r="N466" s="11" t="s">
        <v>1629</v>
      </c>
      <c r="O466" s="11" t="s">
        <v>1630</v>
      </c>
      <c r="P466" s="11" t="s">
        <v>1628</v>
      </c>
      <c r="Q466" s="11" t="s">
        <v>135</v>
      </c>
      <c r="U466" s="11" t="s">
        <v>611</v>
      </c>
      <c r="V466" s="11" t="s">
        <v>137</v>
      </c>
      <c r="W466" s="13">
        <v>46302.314618055556</v>
      </c>
    </row>
    <row r="467" spans="1:23">
      <c r="A467">
        <v>265124</v>
      </c>
      <c r="B467">
        <v>1597</v>
      </c>
      <c r="C467" s="11" t="s">
        <v>129</v>
      </c>
      <c r="D467" s="11" t="s">
        <v>130</v>
      </c>
      <c r="E467" s="11" t="s">
        <v>25</v>
      </c>
      <c r="F467" s="12">
        <v>46164</v>
      </c>
      <c r="G467" s="11" t="s">
        <v>1497</v>
      </c>
      <c r="H467">
        <v>3</v>
      </c>
      <c r="I467" s="11" t="s">
        <v>1631</v>
      </c>
      <c r="M467" s="11" t="s">
        <v>43</v>
      </c>
      <c r="N467" s="11" t="s">
        <v>1632</v>
      </c>
      <c r="O467" s="11" t="s">
        <v>1633</v>
      </c>
      <c r="P467" s="11" t="s">
        <v>1634</v>
      </c>
      <c r="Q467" s="11" t="s">
        <v>135</v>
      </c>
      <c r="U467" s="11" t="s">
        <v>1501</v>
      </c>
      <c r="V467" s="11" t="s">
        <v>137</v>
      </c>
      <c r="W467" s="13">
        <v>46302.314618055556</v>
      </c>
    </row>
    <row r="468" spans="1:23">
      <c r="A468">
        <v>265125</v>
      </c>
      <c r="B468">
        <v>1598</v>
      </c>
      <c r="C468" s="11" t="s">
        <v>129</v>
      </c>
      <c r="D468" s="11" t="s">
        <v>130</v>
      </c>
      <c r="E468" s="11" t="s">
        <v>25</v>
      </c>
      <c r="F468" s="12">
        <v>46164</v>
      </c>
      <c r="G468" s="11" t="s">
        <v>174</v>
      </c>
      <c r="H468">
        <v>1</v>
      </c>
      <c r="I468" s="11" t="s">
        <v>1635</v>
      </c>
      <c r="M468" s="11" t="s">
        <v>92</v>
      </c>
      <c r="N468" s="11" t="s">
        <v>1636</v>
      </c>
      <c r="O468" s="11" t="s">
        <v>1637</v>
      </c>
      <c r="P468" s="11" t="s">
        <v>1635</v>
      </c>
      <c r="Q468" s="11" t="s">
        <v>135</v>
      </c>
      <c r="U468" s="11" t="s">
        <v>178</v>
      </c>
      <c r="V468" s="11" t="s">
        <v>137</v>
      </c>
      <c r="W468" s="13">
        <v>46302.314618055556</v>
      </c>
    </row>
    <row r="469" spans="1:23">
      <c r="A469">
        <v>265126</v>
      </c>
      <c r="B469">
        <v>1599</v>
      </c>
      <c r="C469" s="11" t="s">
        <v>129</v>
      </c>
      <c r="D469" s="11" t="s">
        <v>130</v>
      </c>
      <c r="E469" s="11" t="s">
        <v>25</v>
      </c>
      <c r="F469" s="12">
        <v>46164</v>
      </c>
      <c r="G469" s="11" t="s">
        <v>1576</v>
      </c>
      <c r="H469">
        <v>1</v>
      </c>
      <c r="I469" s="11" t="s">
        <v>1638</v>
      </c>
      <c r="M469" s="11" t="s">
        <v>59</v>
      </c>
      <c r="N469" s="11" t="s">
        <v>1639</v>
      </c>
      <c r="O469" s="11" t="s">
        <v>1640</v>
      </c>
      <c r="P469" s="11" t="s">
        <v>1638</v>
      </c>
      <c r="Q469" s="11" t="s">
        <v>135</v>
      </c>
      <c r="U469" s="11" t="s">
        <v>1580</v>
      </c>
      <c r="V469" s="11" t="s">
        <v>137</v>
      </c>
      <c r="W469" s="13">
        <v>46302.314618055556</v>
      </c>
    </row>
    <row r="470" spans="1:23">
      <c r="A470">
        <v>265127</v>
      </c>
      <c r="B470">
        <v>1600</v>
      </c>
      <c r="C470" s="11" t="s">
        <v>129</v>
      </c>
      <c r="D470" s="11" t="s">
        <v>130</v>
      </c>
      <c r="E470" s="11" t="s">
        <v>25</v>
      </c>
      <c r="F470" s="12">
        <v>46164</v>
      </c>
      <c r="G470" s="11" t="s">
        <v>607</v>
      </c>
      <c r="H470">
        <v>1</v>
      </c>
      <c r="I470" s="11" t="s">
        <v>1641</v>
      </c>
      <c r="M470" s="11" t="s">
        <v>42</v>
      </c>
      <c r="N470" s="11" t="s">
        <v>1642</v>
      </c>
      <c r="O470" s="11" t="s">
        <v>1643</v>
      </c>
      <c r="P470" s="11" t="s">
        <v>1641</v>
      </c>
      <c r="Q470" s="11" t="s">
        <v>135</v>
      </c>
      <c r="U470" s="11" t="s">
        <v>611</v>
      </c>
      <c r="V470" s="11" t="s">
        <v>137</v>
      </c>
      <c r="W470" s="13">
        <v>46302.314618055556</v>
      </c>
    </row>
    <row r="471" spans="1:23">
      <c r="A471">
        <v>265128</v>
      </c>
      <c r="B471">
        <v>1601</v>
      </c>
      <c r="C471" s="11" t="s">
        <v>129</v>
      </c>
      <c r="D471" s="11" t="s">
        <v>130</v>
      </c>
      <c r="E471" s="11" t="s">
        <v>25</v>
      </c>
      <c r="F471" s="12">
        <v>46164</v>
      </c>
      <c r="G471" s="11" t="s">
        <v>131</v>
      </c>
      <c r="H471">
        <v>1</v>
      </c>
      <c r="I471" s="11" t="s">
        <v>1644</v>
      </c>
      <c r="M471" s="11" t="s">
        <v>87</v>
      </c>
      <c r="N471" s="11" t="s">
        <v>1645</v>
      </c>
      <c r="O471" s="11" t="s">
        <v>1646</v>
      </c>
      <c r="P471" s="11" t="s">
        <v>1644</v>
      </c>
      <c r="Q471" s="11" t="s">
        <v>135</v>
      </c>
      <c r="U471" s="11" t="s">
        <v>136</v>
      </c>
      <c r="V471" s="11" t="s">
        <v>137</v>
      </c>
      <c r="W471" s="13">
        <v>46302.314618055556</v>
      </c>
    </row>
    <row r="472" spans="1:23">
      <c r="A472">
        <v>265129</v>
      </c>
      <c r="B472">
        <v>1602</v>
      </c>
      <c r="C472" s="11" t="s">
        <v>129</v>
      </c>
      <c r="D472" s="11" t="s">
        <v>130</v>
      </c>
      <c r="E472" s="11" t="s">
        <v>25</v>
      </c>
      <c r="F472" s="12">
        <v>46164</v>
      </c>
      <c r="G472" s="11" t="s">
        <v>174</v>
      </c>
      <c r="H472">
        <v>1</v>
      </c>
      <c r="I472" s="11" t="s">
        <v>1647</v>
      </c>
      <c r="M472" s="11" t="s">
        <v>92</v>
      </c>
      <c r="N472" s="11" t="s">
        <v>1648</v>
      </c>
      <c r="O472" s="11" t="s">
        <v>1112</v>
      </c>
      <c r="P472" s="11" t="s">
        <v>1647</v>
      </c>
      <c r="Q472" s="11" t="s">
        <v>135</v>
      </c>
      <c r="U472" s="11" t="s">
        <v>178</v>
      </c>
      <c r="V472" s="11" t="s">
        <v>137</v>
      </c>
      <c r="W472" s="13">
        <v>46302.314618055556</v>
      </c>
    </row>
    <row r="473" spans="1:23">
      <c r="A473">
        <v>265130</v>
      </c>
      <c r="B473">
        <v>1603</v>
      </c>
      <c r="C473" s="11" t="s">
        <v>129</v>
      </c>
      <c r="D473" s="11" t="s">
        <v>130</v>
      </c>
      <c r="E473" s="11" t="s">
        <v>25</v>
      </c>
      <c r="F473" s="12">
        <v>46164</v>
      </c>
      <c r="G473" s="11" t="s">
        <v>179</v>
      </c>
      <c r="H473">
        <v>1</v>
      </c>
      <c r="I473" s="11" t="s">
        <v>1649</v>
      </c>
      <c r="M473" s="11" t="s">
        <v>83</v>
      </c>
      <c r="N473" s="11" t="s">
        <v>1650</v>
      </c>
      <c r="O473" s="11" t="s">
        <v>1651</v>
      </c>
      <c r="P473" s="11" t="s">
        <v>1649</v>
      </c>
      <c r="Q473" s="11" t="s">
        <v>135</v>
      </c>
      <c r="U473" s="11" t="s">
        <v>183</v>
      </c>
      <c r="V473" s="11" t="s">
        <v>137</v>
      </c>
      <c r="W473" s="13">
        <v>46302.314618055556</v>
      </c>
    </row>
    <row r="474" spans="1:23">
      <c r="A474">
        <v>265131</v>
      </c>
      <c r="B474">
        <v>1604</v>
      </c>
      <c r="C474" s="11" t="s">
        <v>129</v>
      </c>
      <c r="D474" s="11" t="s">
        <v>130</v>
      </c>
      <c r="E474" s="11" t="s">
        <v>25</v>
      </c>
      <c r="F474" s="12">
        <v>46164</v>
      </c>
      <c r="G474" s="11" t="s">
        <v>504</v>
      </c>
      <c r="H474">
        <v>1</v>
      </c>
      <c r="I474" s="11" t="s">
        <v>1652</v>
      </c>
      <c r="M474" s="11" t="s">
        <v>53</v>
      </c>
      <c r="N474" s="11" t="s">
        <v>1653</v>
      </c>
      <c r="O474" s="11" t="s">
        <v>1654</v>
      </c>
      <c r="P474" s="11" t="s">
        <v>1652</v>
      </c>
      <c r="Q474" s="11" t="s">
        <v>135</v>
      </c>
      <c r="U474" s="11" t="s">
        <v>508</v>
      </c>
      <c r="V474" s="11" t="s">
        <v>137</v>
      </c>
      <c r="W474" s="13">
        <v>46302.314618055556</v>
      </c>
    </row>
    <row r="475" spans="1:23">
      <c r="A475">
        <v>265132</v>
      </c>
      <c r="B475">
        <v>1605</v>
      </c>
      <c r="C475" s="11" t="s">
        <v>129</v>
      </c>
      <c r="D475" s="11" t="s">
        <v>130</v>
      </c>
      <c r="E475" s="11" t="s">
        <v>25</v>
      </c>
      <c r="F475" s="12">
        <v>46164</v>
      </c>
      <c r="G475" s="11" t="s">
        <v>1655</v>
      </c>
      <c r="H475">
        <v>1</v>
      </c>
      <c r="I475" s="11" t="s">
        <v>1656</v>
      </c>
      <c r="M475" s="11" t="s">
        <v>60</v>
      </c>
      <c r="N475" s="11" t="s">
        <v>1657</v>
      </c>
      <c r="O475" s="11" t="s">
        <v>1658</v>
      </c>
      <c r="P475" s="11" t="s">
        <v>1656</v>
      </c>
      <c r="Q475" s="11" t="s">
        <v>135</v>
      </c>
      <c r="U475" s="11" t="s">
        <v>1659</v>
      </c>
      <c r="V475" s="11" t="s">
        <v>137</v>
      </c>
      <c r="W475" s="13">
        <v>46302.314618055556</v>
      </c>
    </row>
    <row r="476" spans="1:23">
      <c r="A476">
        <v>265133</v>
      </c>
      <c r="B476">
        <v>1606</v>
      </c>
      <c r="C476" s="11" t="s">
        <v>129</v>
      </c>
      <c r="D476" s="11" t="s">
        <v>130</v>
      </c>
      <c r="E476" s="11" t="s">
        <v>25</v>
      </c>
      <c r="F476" s="12">
        <v>46164</v>
      </c>
      <c r="G476" s="11" t="s">
        <v>607</v>
      </c>
      <c r="H476">
        <v>1</v>
      </c>
      <c r="I476" s="11" t="s">
        <v>1660</v>
      </c>
      <c r="M476" s="11" t="s">
        <v>42</v>
      </c>
      <c r="N476" s="11" t="s">
        <v>1661</v>
      </c>
      <c r="O476" s="11" t="s">
        <v>1662</v>
      </c>
      <c r="P476" s="11" t="s">
        <v>1660</v>
      </c>
      <c r="Q476" s="11" t="s">
        <v>135</v>
      </c>
      <c r="U476" s="11" t="s">
        <v>611</v>
      </c>
      <c r="V476" s="11" t="s">
        <v>137</v>
      </c>
      <c r="W476" s="13">
        <v>46302.314618055556</v>
      </c>
    </row>
    <row r="477" spans="1:23">
      <c r="A477">
        <v>265134</v>
      </c>
      <c r="B477">
        <v>1607</v>
      </c>
      <c r="C477" s="11" t="s">
        <v>129</v>
      </c>
      <c r="D477" s="11" t="s">
        <v>130</v>
      </c>
      <c r="E477" s="11" t="s">
        <v>25</v>
      </c>
      <c r="F477" s="12">
        <v>46164</v>
      </c>
      <c r="G477" s="11" t="s">
        <v>1663</v>
      </c>
      <c r="H477">
        <v>1</v>
      </c>
      <c r="I477" s="11" t="s">
        <v>959</v>
      </c>
      <c r="M477" s="11" t="s">
        <v>47</v>
      </c>
      <c r="N477" s="11" t="s">
        <v>1664</v>
      </c>
      <c r="O477" s="11" t="s">
        <v>1665</v>
      </c>
      <c r="P477" s="11" t="s">
        <v>959</v>
      </c>
      <c r="Q477" s="11" t="s">
        <v>135</v>
      </c>
      <c r="U477" s="11" t="s">
        <v>1666</v>
      </c>
      <c r="V477" s="11" t="s">
        <v>137</v>
      </c>
      <c r="W477" s="13">
        <v>46302.314618055556</v>
      </c>
    </row>
    <row r="478" spans="1:23">
      <c r="A478">
        <v>265135</v>
      </c>
      <c r="B478">
        <v>1608</v>
      </c>
      <c r="C478" s="11" t="s">
        <v>129</v>
      </c>
      <c r="D478" s="11" t="s">
        <v>130</v>
      </c>
      <c r="E478" s="11" t="s">
        <v>25</v>
      </c>
      <c r="F478" s="12">
        <v>46164</v>
      </c>
      <c r="G478" s="11" t="s">
        <v>174</v>
      </c>
      <c r="H478">
        <v>1</v>
      </c>
      <c r="I478" s="11" t="s">
        <v>1667</v>
      </c>
      <c r="M478" s="11" t="s">
        <v>92</v>
      </c>
      <c r="N478" s="11" t="s">
        <v>1668</v>
      </c>
      <c r="O478" s="11" t="s">
        <v>1669</v>
      </c>
      <c r="P478" s="11" t="s">
        <v>1667</v>
      </c>
      <c r="Q478" s="11" t="s">
        <v>135</v>
      </c>
      <c r="U478" s="11" t="s">
        <v>178</v>
      </c>
      <c r="V478" s="11" t="s">
        <v>137</v>
      </c>
      <c r="W478" s="13">
        <v>46302.314618055556</v>
      </c>
    </row>
    <row r="479" spans="1:23">
      <c r="A479">
        <v>265136</v>
      </c>
      <c r="B479">
        <v>1609</v>
      </c>
      <c r="C479" s="11" t="s">
        <v>129</v>
      </c>
      <c r="D479" s="11" t="s">
        <v>130</v>
      </c>
      <c r="E479" s="11" t="s">
        <v>25</v>
      </c>
      <c r="F479" s="12">
        <v>46164</v>
      </c>
      <c r="G479" s="11" t="s">
        <v>217</v>
      </c>
      <c r="H479">
        <v>1</v>
      </c>
      <c r="I479" s="11" t="s">
        <v>1670</v>
      </c>
      <c r="M479" s="11" t="s">
        <v>86</v>
      </c>
      <c r="N479" s="11" t="s">
        <v>1671</v>
      </c>
      <c r="O479" s="11" t="s">
        <v>1078</v>
      </c>
      <c r="P479" s="11" t="s">
        <v>1670</v>
      </c>
      <c r="Q479" s="11" t="s">
        <v>135</v>
      </c>
      <c r="U479" s="11" t="s">
        <v>221</v>
      </c>
      <c r="V479" s="11" t="s">
        <v>137</v>
      </c>
      <c r="W479" s="13">
        <v>46302.314618055556</v>
      </c>
    </row>
    <row r="480" spans="1:23">
      <c r="A480">
        <v>265513</v>
      </c>
      <c r="B480">
        <v>1610</v>
      </c>
      <c r="C480" s="11" t="s">
        <v>129</v>
      </c>
      <c r="D480" s="11" t="s">
        <v>130</v>
      </c>
      <c r="E480" s="11" t="s">
        <v>25</v>
      </c>
      <c r="F480" s="12">
        <v>46167</v>
      </c>
      <c r="G480" s="11" t="s">
        <v>226</v>
      </c>
      <c r="H480">
        <v>1</v>
      </c>
      <c r="I480" s="11" t="s">
        <v>1672</v>
      </c>
      <c r="M480" s="11" t="s">
        <v>87</v>
      </c>
      <c r="N480" s="11" t="s">
        <v>1673</v>
      </c>
      <c r="O480" s="11" t="s">
        <v>1674</v>
      </c>
      <c r="P480" s="11" t="s">
        <v>1672</v>
      </c>
      <c r="Q480" s="11" t="s">
        <v>135</v>
      </c>
      <c r="U480" s="11" t="s">
        <v>231</v>
      </c>
      <c r="V480" s="11" t="s">
        <v>137</v>
      </c>
      <c r="W480" s="13">
        <v>46302.314618055556</v>
      </c>
    </row>
    <row r="481" spans="1:23">
      <c r="A481">
        <v>265514</v>
      </c>
      <c r="B481">
        <v>1611</v>
      </c>
      <c r="C481" s="11" t="s">
        <v>129</v>
      </c>
      <c r="D481" s="11" t="s">
        <v>130</v>
      </c>
      <c r="E481" s="11" t="s">
        <v>25</v>
      </c>
      <c r="F481" s="12">
        <v>46167</v>
      </c>
      <c r="G481" s="11" t="s">
        <v>804</v>
      </c>
      <c r="H481">
        <v>3</v>
      </c>
      <c r="I481" s="11" t="s">
        <v>1675</v>
      </c>
      <c r="M481" s="11" t="s">
        <v>76</v>
      </c>
      <c r="N481" s="11" t="s">
        <v>1676</v>
      </c>
      <c r="O481" s="11" t="s">
        <v>1677</v>
      </c>
      <c r="P481" s="11" t="s">
        <v>1678</v>
      </c>
      <c r="Q481" s="11" t="s">
        <v>135</v>
      </c>
      <c r="U481" s="11" t="s">
        <v>808</v>
      </c>
      <c r="V481" s="11" t="s">
        <v>137</v>
      </c>
      <c r="W481" s="13">
        <v>46302.314618055556</v>
      </c>
    </row>
    <row r="482" spans="1:23">
      <c r="A482">
        <v>265515</v>
      </c>
      <c r="B482">
        <v>1612</v>
      </c>
      <c r="C482" s="11" t="s">
        <v>129</v>
      </c>
      <c r="D482" s="11" t="s">
        <v>130</v>
      </c>
      <c r="E482" s="11" t="s">
        <v>25</v>
      </c>
      <c r="F482" s="12">
        <v>46167</v>
      </c>
      <c r="G482" s="11" t="s">
        <v>1679</v>
      </c>
      <c r="H482">
        <v>1</v>
      </c>
      <c r="I482" s="11" t="s">
        <v>1099</v>
      </c>
      <c r="M482" s="11" t="s">
        <v>87</v>
      </c>
      <c r="N482" s="11" t="s">
        <v>1680</v>
      </c>
      <c r="O482" s="11" t="s">
        <v>1681</v>
      </c>
      <c r="P482" s="11" t="s">
        <v>1099</v>
      </c>
      <c r="Q482" s="11" t="s">
        <v>135</v>
      </c>
      <c r="U482" s="11" t="s">
        <v>1682</v>
      </c>
      <c r="V482" s="11" t="s">
        <v>137</v>
      </c>
      <c r="W482" s="13">
        <v>46302.314618055556</v>
      </c>
    </row>
    <row r="483" spans="1:23">
      <c r="A483">
        <v>265516</v>
      </c>
      <c r="B483">
        <v>1613</v>
      </c>
      <c r="C483" s="11" t="s">
        <v>129</v>
      </c>
      <c r="D483" s="11" t="s">
        <v>130</v>
      </c>
      <c r="E483" s="11" t="s">
        <v>25</v>
      </c>
      <c r="F483" s="12">
        <v>46167</v>
      </c>
      <c r="G483" s="11" t="s">
        <v>818</v>
      </c>
      <c r="H483">
        <v>4</v>
      </c>
      <c r="I483" s="11" t="s">
        <v>1683</v>
      </c>
      <c r="M483" s="11" t="s">
        <v>75</v>
      </c>
      <c r="N483" s="11" t="s">
        <v>1684</v>
      </c>
      <c r="O483" s="11" t="s">
        <v>1685</v>
      </c>
      <c r="P483" s="11" t="s">
        <v>1686</v>
      </c>
      <c r="Q483" s="11" t="s">
        <v>135</v>
      </c>
      <c r="U483" s="11" t="s">
        <v>822</v>
      </c>
      <c r="V483" s="11" t="s">
        <v>137</v>
      </c>
      <c r="W483" s="13">
        <v>46302.314618055556</v>
      </c>
    </row>
    <row r="484" spans="1:23">
      <c r="A484">
        <v>265517</v>
      </c>
      <c r="B484">
        <v>1614</v>
      </c>
      <c r="C484" s="11" t="s">
        <v>129</v>
      </c>
      <c r="D484" s="11" t="s">
        <v>130</v>
      </c>
      <c r="E484" s="11" t="s">
        <v>25</v>
      </c>
      <c r="F484" s="12">
        <v>46167</v>
      </c>
      <c r="G484" s="11" t="s">
        <v>1679</v>
      </c>
      <c r="H484">
        <v>1</v>
      </c>
      <c r="I484" s="11" t="s">
        <v>492</v>
      </c>
      <c r="M484" s="11" t="s">
        <v>87</v>
      </c>
      <c r="N484" s="11" t="s">
        <v>1687</v>
      </c>
      <c r="O484" s="11" t="s">
        <v>1688</v>
      </c>
      <c r="P484" s="11" t="s">
        <v>492</v>
      </c>
      <c r="Q484" s="11" t="s">
        <v>135</v>
      </c>
      <c r="U484" s="11" t="s">
        <v>1682</v>
      </c>
      <c r="V484" s="11" t="s">
        <v>137</v>
      </c>
      <c r="W484" s="13">
        <v>46302.314618055556</v>
      </c>
    </row>
    <row r="485" spans="1:23">
      <c r="A485">
        <v>265518</v>
      </c>
      <c r="B485">
        <v>1615</v>
      </c>
      <c r="C485" s="11" t="s">
        <v>129</v>
      </c>
      <c r="D485" s="11" t="s">
        <v>130</v>
      </c>
      <c r="E485" s="11" t="s">
        <v>25</v>
      </c>
      <c r="F485" s="12">
        <v>46167</v>
      </c>
      <c r="G485" s="11" t="s">
        <v>823</v>
      </c>
      <c r="H485">
        <v>1</v>
      </c>
      <c r="I485" s="11" t="s">
        <v>1689</v>
      </c>
      <c r="M485" s="11" t="s">
        <v>92</v>
      </c>
      <c r="N485" s="11" t="s">
        <v>1690</v>
      </c>
      <c r="O485" s="11" t="s">
        <v>1691</v>
      </c>
      <c r="P485" s="11" t="s">
        <v>1689</v>
      </c>
      <c r="Q485" s="11" t="s">
        <v>135</v>
      </c>
      <c r="U485" s="11" t="s">
        <v>827</v>
      </c>
      <c r="V485" s="11" t="s">
        <v>137</v>
      </c>
      <c r="W485" s="13">
        <v>46302.314618055556</v>
      </c>
    </row>
    <row r="486" spans="1:23">
      <c r="A486">
        <v>265519</v>
      </c>
      <c r="B486">
        <v>1616</v>
      </c>
      <c r="C486" s="11" t="s">
        <v>129</v>
      </c>
      <c r="D486" s="11" t="s">
        <v>130</v>
      </c>
      <c r="E486" s="11" t="s">
        <v>25</v>
      </c>
      <c r="F486" s="12">
        <v>46167</v>
      </c>
      <c r="G486" s="11" t="s">
        <v>804</v>
      </c>
      <c r="H486">
        <v>1</v>
      </c>
      <c r="I486" s="11" t="s">
        <v>500</v>
      </c>
      <c r="M486" s="11" t="s">
        <v>76</v>
      </c>
      <c r="N486" s="11" t="s">
        <v>1692</v>
      </c>
      <c r="O486" s="11" t="s">
        <v>1693</v>
      </c>
      <c r="P486" s="11" t="s">
        <v>500</v>
      </c>
      <c r="Q486" s="11" t="s">
        <v>135</v>
      </c>
      <c r="U486" s="11" t="s">
        <v>808</v>
      </c>
      <c r="V486" s="11" t="s">
        <v>137</v>
      </c>
      <c r="W486" s="13">
        <v>46302.314618055556</v>
      </c>
    </row>
    <row r="487" spans="1:23">
      <c r="A487">
        <v>265520</v>
      </c>
      <c r="B487">
        <v>1617</v>
      </c>
      <c r="C487" s="11" t="s">
        <v>129</v>
      </c>
      <c r="D487" s="11" t="s">
        <v>130</v>
      </c>
      <c r="E487" s="11" t="s">
        <v>25</v>
      </c>
      <c r="F487" s="12">
        <v>46167</v>
      </c>
      <c r="G487" s="11" t="s">
        <v>666</v>
      </c>
      <c r="H487">
        <v>1</v>
      </c>
      <c r="I487" s="11" t="s">
        <v>1694</v>
      </c>
      <c r="M487" s="11" t="s">
        <v>95</v>
      </c>
      <c r="N487" s="11" t="s">
        <v>1695</v>
      </c>
      <c r="O487" s="11" t="s">
        <v>1696</v>
      </c>
      <c r="P487" s="11" t="s">
        <v>1694</v>
      </c>
      <c r="Q487" s="11" t="s">
        <v>135</v>
      </c>
      <c r="U487" s="11" t="s">
        <v>671</v>
      </c>
      <c r="V487" s="11" t="s">
        <v>137</v>
      </c>
      <c r="W487" s="13">
        <v>46302.314618055556</v>
      </c>
    </row>
    <row r="488" spans="1:23">
      <c r="A488">
        <v>265521</v>
      </c>
      <c r="B488">
        <v>1618</v>
      </c>
      <c r="C488" s="11" t="s">
        <v>129</v>
      </c>
      <c r="D488" s="11" t="s">
        <v>130</v>
      </c>
      <c r="E488" s="11" t="s">
        <v>25</v>
      </c>
      <c r="F488" s="12">
        <v>46167</v>
      </c>
      <c r="G488" s="11" t="s">
        <v>263</v>
      </c>
      <c r="H488">
        <v>1</v>
      </c>
      <c r="I488" s="11" t="s">
        <v>1697</v>
      </c>
      <c r="M488" s="11" t="s">
        <v>92</v>
      </c>
      <c r="N488" s="11" t="s">
        <v>1698</v>
      </c>
      <c r="O488" s="11" t="s">
        <v>1699</v>
      </c>
      <c r="P488" s="11" t="s">
        <v>1697</v>
      </c>
      <c r="Q488" s="11" t="s">
        <v>135</v>
      </c>
      <c r="U488" s="11" t="s">
        <v>267</v>
      </c>
      <c r="V488" s="11" t="s">
        <v>137</v>
      </c>
      <c r="W488" s="13">
        <v>46302.314618055556</v>
      </c>
    </row>
    <row r="489" spans="1:23">
      <c r="A489">
        <v>265522</v>
      </c>
      <c r="B489">
        <v>1619</v>
      </c>
      <c r="C489" s="11" t="s">
        <v>129</v>
      </c>
      <c r="D489" s="11" t="s">
        <v>130</v>
      </c>
      <c r="E489" s="11" t="s">
        <v>25</v>
      </c>
      <c r="F489" s="12">
        <v>46167</v>
      </c>
      <c r="G489" s="11" t="s">
        <v>274</v>
      </c>
      <c r="H489">
        <v>1</v>
      </c>
      <c r="I489" s="11" t="s">
        <v>1700</v>
      </c>
      <c r="M489" s="11" t="s">
        <v>77</v>
      </c>
      <c r="N489" s="11" t="s">
        <v>1701</v>
      </c>
      <c r="O489" s="11" t="s">
        <v>1702</v>
      </c>
      <c r="P489" s="11" t="s">
        <v>1700</v>
      </c>
      <c r="Q489" s="11" t="s">
        <v>135</v>
      </c>
      <c r="U489" s="11" t="s">
        <v>278</v>
      </c>
      <c r="V489" s="11" t="s">
        <v>137</v>
      </c>
      <c r="W489" s="13">
        <v>46302.314618055556</v>
      </c>
    </row>
    <row r="490" spans="1:23">
      <c r="A490">
        <v>265523</v>
      </c>
      <c r="B490">
        <v>1620</v>
      </c>
      <c r="C490" s="11" t="s">
        <v>129</v>
      </c>
      <c r="D490" s="11" t="s">
        <v>130</v>
      </c>
      <c r="E490" s="11" t="s">
        <v>25</v>
      </c>
      <c r="F490" s="12">
        <v>46167</v>
      </c>
      <c r="G490" s="11" t="s">
        <v>279</v>
      </c>
      <c r="H490">
        <v>1</v>
      </c>
      <c r="I490" s="11" t="s">
        <v>1703</v>
      </c>
      <c r="M490" s="11" t="s">
        <v>79</v>
      </c>
      <c r="N490" s="11" t="s">
        <v>1704</v>
      </c>
      <c r="O490" s="11" t="s">
        <v>1705</v>
      </c>
      <c r="P490" s="11" t="s">
        <v>1703</v>
      </c>
      <c r="Q490" s="11" t="s">
        <v>135</v>
      </c>
      <c r="U490" s="11" t="s">
        <v>283</v>
      </c>
      <c r="V490" s="11" t="s">
        <v>137</v>
      </c>
      <c r="W490" s="13">
        <v>46302.314618055556</v>
      </c>
    </row>
    <row r="491" spans="1:23">
      <c r="A491">
        <v>265524</v>
      </c>
      <c r="B491">
        <v>1621</v>
      </c>
      <c r="C491" s="11" t="s">
        <v>129</v>
      </c>
      <c r="D491" s="11" t="s">
        <v>130</v>
      </c>
      <c r="E491" s="11" t="s">
        <v>25</v>
      </c>
      <c r="F491" s="12">
        <v>46167</v>
      </c>
      <c r="G491" s="11" t="s">
        <v>284</v>
      </c>
      <c r="H491">
        <v>1</v>
      </c>
      <c r="I491" s="11" t="s">
        <v>1706</v>
      </c>
      <c r="M491" s="11" t="s">
        <v>80</v>
      </c>
      <c r="N491" s="11" t="s">
        <v>1707</v>
      </c>
      <c r="O491" s="11" t="s">
        <v>1708</v>
      </c>
      <c r="P491" s="11" t="s">
        <v>1706</v>
      </c>
      <c r="Q491" s="11" t="s">
        <v>135</v>
      </c>
      <c r="U491" s="11" t="s">
        <v>288</v>
      </c>
      <c r="V491" s="11" t="s">
        <v>137</v>
      </c>
      <c r="W491" s="13">
        <v>46302.314618055556</v>
      </c>
    </row>
    <row r="492" spans="1:23">
      <c r="A492">
        <v>265525</v>
      </c>
      <c r="B492">
        <v>1622</v>
      </c>
      <c r="C492" s="11" t="s">
        <v>129</v>
      </c>
      <c r="D492" s="11" t="s">
        <v>130</v>
      </c>
      <c r="E492" s="11" t="s">
        <v>25</v>
      </c>
      <c r="F492" s="12">
        <v>46167</v>
      </c>
      <c r="G492" s="11" t="s">
        <v>804</v>
      </c>
      <c r="H492">
        <v>3</v>
      </c>
      <c r="I492" s="11" t="s">
        <v>1709</v>
      </c>
      <c r="M492" s="11" t="s">
        <v>76</v>
      </c>
      <c r="N492" s="11" t="s">
        <v>1710</v>
      </c>
      <c r="O492" s="11" t="s">
        <v>1711</v>
      </c>
      <c r="P492" s="11" t="s">
        <v>1712</v>
      </c>
      <c r="Q492" s="11" t="s">
        <v>135</v>
      </c>
      <c r="U492" s="11" t="s">
        <v>808</v>
      </c>
      <c r="V492" s="11" t="s">
        <v>137</v>
      </c>
      <c r="W492" s="13">
        <v>46302.314618055556</v>
      </c>
    </row>
    <row r="493" spans="1:23">
      <c r="A493">
        <v>265526</v>
      </c>
      <c r="B493">
        <v>1623</v>
      </c>
      <c r="C493" s="11" t="s">
        <v>129</v>
      </c>
      <c r="D493" s="11" t="s">
        <v>130</v>
      </c>
      <c r="E493" s="11" t="s">
        <v>25</v>
      </c>
      <c r="F493" s="12">
        <v>46167</v>
      </c>
      <c r="G493" s="11" t="s">
        <v>823</v>
      </c>
      <c r="H493">
        <v>1</v>
      </c>
      <c r="I493" s="11" t="s">
        <v>1713</v>
      </c>
      <c r="M493" s="11" t="s">
        <v>92</v>
      </c>
      <c r="N493" s="11" t="s">
        <v>1714</v>
      </c>
      <c r="O493" s="11" t="s">
        <v>1715</v>
      </c>
      <c r="P493" s="11" t="s">
        <v>1713</v>
      </c>
      <c r="Q493" s="11" t="s">
        <v>135</v>
      </c>
      <c r="U493" s="11" t="s">
        <v>827</v>
      </c>
      <c r="V493" s="11" t="s">
        <v>137</v>
      </c>
      <c r="W493" s="13">
        <v>46302.314618055556</v>
      </c>
    </row>
    <row r="494" spans="1:23">
      <c r="A494">
        <v>265527</v>
      </c>
      <c r="B494">
        <v>1624</v>
      </c>
      <c r="C494" s="11" t="s">
        <v>129</v>
      </c>
      <c r="D494" s="11" t="s">
        <v>130</v>
      </c>
      <c r="E494" s="11" t="s">
        <v>25</v>
      </c>
      <c r="F494" s="12">
        <v>46167</v>
      </c>
      <c r="G494" s="11" t="s">
        <v>804</v>
      </c>
      <c r="H494">
        <v>1</v>
      </c>
      <c r="I494" s="11" t="s">
        <v>1458</v>
      </c>
      <c r="M494" s="11" t="s">
        <v>76</v>
      </c>
      <c r="N494" s="11" t="s">
        <v>1716</v>
      </c>
      <c r="O494" s="11" t="s">
        <v>1717</v>
      </c>
      <c r="P494" s="11" t="s">
        <v>1458</v>
      </c>
      <c r="Q494" s="11" t="s">
        <v>135</v>
      </c>
      <c r="U494" s="11" t="s">
        <v>808</v>
      </c>
      <c r="V494" s="11" t="s">
        <v>137</v>
      </c>
      <c r="W494" s="13">
        <v>46302.314618055556</v>
      </c>
    </row>
    <row r="495" spans="1:23">
      <c r="A495">
        <v>265528</v>
      </c>
      <c r="B495">
        <v>1625</v>
      </c>
      <c r="C495" s="11" t="s">
        <v>129</v>
      </c>
      <c r="D495" s="11" t="s">
        <v>130</v>
      </c>
      <c r="E495" s="11" t="s">
        <v>25</v>
      </c>
      <c r="F495" s="12">
        <v>46167</v>
      </c>
      <c r="G495" s="11" t="s">
        <v>804</v>
      </c>
      <c r="H495">
        <v>1</v>
      </c>
      <c r="I495" s="11" t="s">
        <v>1718</v>
      </c>
      <c r="M495" s="11" t="s">
        <v>76</v>
      </c>
      <c r="N495" s="11" t="s">
        <v>1719</v>
      </c>
      <c r="O495" s="11" t="s">
        <v>1720</v>
      </c>
      <c r="P495" s="11" t="s">
        <v>1718</v>
      </c>
      <c r="Q495" s="11" t="s">
        <v>135</v>
      </c>
      <c r="U495" s="11" t="s">
        <v>808</v>
      </c>
      <c r="V495" s="11" t="s">
        <v>137</v>
      </c>
      <c r="W495" s="13">
        <v>46302.314618055556</v>
      </c>
    </row>
    <row r="496" spans="1:23">
      <c r="A496">
        <v>265529</v>
      </c>
      <c r="B496">
        <v>1626</v>
      </c>
      <c r="C496" s="11" t="s">
        <v>129</v>
      </c>
      <c r="D496" s="11" t="s">
        <v>130</v>
      </c>
      <c r="E496" s="11" t="s">
        <v>25</v>
      </c>
      <c r="F496" s="12">
        <v>46167</v>
      </c>
      <c r="G496" s="11" t="s">
        <v>804</v>
      </c>
      <c r="H496">
        <v>1</v>
      </c>
      <c r="I496" s="11" t="s">
        <v>1721</v>
      </c>
      <c r="M496" s="11" t="s">
        <v>76</v>
      </c>
      <c r="N496" s="11" t="s">
        <v>1722</v>
      </c>
      <c r="O496" s="11" t="s">
        <v>1723</v>
      </c>
      <c r="P496" s="11" t="s">
        <v>1721</v>
      </c>
      <c r="Q496" s="11" t="s">
        <v>135</v>
      </c>
      <c r="U496" s="11" t="s">
        <v>808</v>
      </c>
      <c r="V496" s="11" t="s">
        <v>137</v>
      </c>
      <c r="W496" s="13">
        <v>46302.314618055556</v>
      </c>
    </row>
    <row r="497" spans="1:23">
      <c r="A497">
        <v>265530</v>
      </c>
      <c r="B497">
        <v>1627</v>
      </c>
      <c r="C497" s="11" t="s">
        <v>129</v>
      </c>
      <c r="D497" s="11" t="s">
        <v>130</v>
      </c>
      <c r="E497" s="11" t="s">
        <v>25</v>
      </c>
      <c r="F497" s="12">
        <v>46167</v>
      </c>
      <c r="G497" s="11" t="s">
        <v>804</v>
      </c>
      <c r="H497">
        <v>1</v>
      </c>
      <c r="I497" s="11" t="s">
        <v>790</v>
      </c>
      <c r="M497" s="11" t="s">
        <v>76</v>
      </c>
      <c r="N497" s="11" t="s">
        <v>1724</v>
      </c>
      <c r="O497" s="11" t="s">
        <v>1725</v>
      </c>
      <c r="P497" s="11" t="s">
        <v>790</v>
      </c>
      <c r="Q497" s="11" t="s">
        <v>135</v>
      </c>
      <c r="U497" s="11" t="s">
        <v>808</v>
      </c>
      <c r="V497" s="11" t="s">
        <v>137</v>
      </c>
      <c r="W497" s="13">
        <v>46302.314618055556</v>
      </c>
    </row>
    <row r="498" spans="1:23">
      <c r="A498">
        <v>265531</v>
      </c>
      <c r="B498">
        <v>1628</v>
      </c>
      <c r="C498" s="11" t="s">
        <v>129</v>
      </c>
      <c r="D498" s="11" t="s">
        <v>130</v>
      </c>
      <c r="E498" s="11" t="s">
        <v>25</v>
      </c>
      <c r="F498" s="12">
        <v>46167</v>
      </c>
      <c r="G498" s="11" t="s">
        <v>226</v>
      </c>
      <c r="H498">
        <v>1</v>
      </c>
      <c r="I498" s="11" t="s">
        <v>436</v>
      </c>
      <c r="M498" s="11" t="s">
        <v>87</v>
      </c>
      <c r="N498" s="11" t="s">
        <v>1726</v>
      </c>
      <c r="O498" s="11" t="s">
        <v>1727</v>
      </c>
      <c r="P498" s="11" t="s">
        <v>436</v>
      </c>
      <c r="Q498" s="11" t="s">
        <v>135</v>
      </c>
      <c r="U498" s="11" t="s">
        <v>231</v>
      </c>
      <c r="V498" s="11" t="s">
        <v>137</v>
      </c>
      <c r="W498" s="13">
        <v>46302.314618055556</v>
      </c>
    </row>
    <row r="499" spans="1:23">
      <c r="A499">
        <v>265863</v>
      </c>
      <c r="B499">
        <v>1629</v>
      </c>
      <c r="C499" s="11" t="s">
        <v>129</v>
      </c>
      <c r="D499" s="11" t="s">
        <v>130</v>
      </c>
      <c r="E499" s="11" t="s">
        <v>25</v>
      </c>
      <c r="F499" s="12">
        <v>46168</v>
      </c>
      <c r="G499" s="11" t="s">
        <v>316</v>
      </c>
      <c r="H499">
        <v>1</v>
      </c>
      <c r="I499" s="11" t="s">
        <v>1728</v>
      </c>
      <c r="M499" s="11" t="s">
        <v>87</v>
      </c>
      <c r="N499" s="11" t="s">
        <v>1729</v>
      </c>
      <c r="O499" s="11" t="s">
        <v>1730</v>
      </c>
      <c r="P499" s="11" t="s">
        <v>1728</v>
      </c>
      <c r="Q499" s="11" t="s">
        <v>135</v>
      </c>
      <c r="U499" s="11" t="s">
        <v>320</v>
      </c>
      <c r="V499" s="11" t="s">
        <v>137</v>
      </c>
      <c r="W499" s="13">
        <v>46302.314618055556</v>
      </c>
    </row>
    <row r="500" spans="1:23">
      <c r="A500">
        <v>265864</v>
      </c>
      <c r="B500">
        <v>1630</v>
      </c>
      <c r="C500" s="11" t="s">
        <v>129</v>
      </c>
      <c r="D500" s="11" t="s">
        <v>130</v>
      </c>
      <c r="E500" s="11" t="s">
        <v>25</v>
      </c>
      <c r="F500" s="12">
        <v>46168</v>
      </c>
      <c r="G500" s="11" t="s">
        <v>1731</v>
      </c>
      <c r="H500">
        <v>1</v>
      </c>
      <c r="I500" s="11" t="s">
        <v>1732</v>
      </c>
      <c r="M500" s="11" t="s">
        <v>88</v>
      </c>
      <c r="N500" s="11" t="s">
        <v>1733</v>
      </c>
      <c r="O500" s="11" t="s">
        <v>1734</v>
      </c>
      <c r="P500" s="11" t="s">
        <v>1732</v>
      </c>
      <c r="Q500" s="11" t="s">
        <v>135</v>
      </c>
      <c r="U500" s="11" t="s">
        <v>1735</v>
      </c>
      <c r="V500" s="11" t="s">
        <v>137</v>
      </c>
      <c r="W500" s="13">
        <v>46302.314618055556</v>
      </c>
    </row>
    <row r="501" spans="1:23">
      <c r="A501">
        <v>265865</v>
      </c>
      <c r="B501">
        <v>1631</v>
      </c>
      <c r="C501" s="11" t="s">
        <v>129</v>
      </c>
      <c r="D501" s="11" t="s">
        <v>130</v>
      </c>
      <c r="E501" s="11" t="s">
        <v>25</v>
      </c>
      <c r="F501" s="12">
        <v>46168</v>
      </c>
      <c r="G501" s="11" t="s">
        <v>316</v>
      </c>
      <c r="H501">
        <v>1</v>
      </c>
      <c r="I501" s="11" t="s">
        <v>1736</v>
      </c>
      <c r="M501" s="11" t="s">
        <v>87</v>
      </c>
      <c r="N501" s="11" t="s">
        <v>1737</v>
      </c>
      <c r="O501" s="11" t="s">
        <v>742</v>
      </c>
      <c r="P501" s="11" t="s">
        <v>1736</v>
      </c>
      <c r="Q501" s="11" t="s">
        <v>135</v>
      </c>
      <c r="U501" s="11" t="s">
        <v>320</v>
      </c>
      <c r="V501" s="11" t="s">
        <v>137</v>
      </c>
      <c r="W501" s="13">
        <v>46302.314618055556</v>
      </c>
    </row>
    <row r="502" spans="1:23">
      <c r="A502">
        <v>265866</v>
      </c>
      <c r="B502">
        <v>1632</v>
      </c>
      <c r="C502" s="11" t="s">
        <v>129</v>
      </c>
      <c r="D502" s="11" t="s">
        <v>130</v>
      </c>
      <c r="E502" s="11" t="s">
        <v>25</v>
      </c>
      <c r="F502" s="12">
        <v>46168</v>
      </c>
      <c r="G502" s="11" t="s">
        <v>401</v>
      </c>
      <c r="H502">
        <v>1</v>
      </c>
      <c r="I502" s="11" t="s">
        <v>1738</v>
      </c>
      <c r="M502" s="11" t="s">
        <v>90</v>
      </c>
      <c r="N502" s="11" t="s">
        <v>744</v>
      </c>
      <c r="O502" s="11" t="s">
        <v>1739</v>
      </c>
      <c r="P502" s="11" t="s">
        <v>1738</v>
      </c>
      <c r="Q502" s="11" t="s">
        <v>135</v>
      </c>
      <c r="U502" s="11" t="s">
        <v>404</v>
      </c>
      <c r="V502" s="11" t="s">
        <v>137</v>
      </c>
      <c r="W502" s="13">
        <v>46302.314618055556</v>
      </c>
    </row>
    <row r="503" spans="1:23">
      <c r="A503">
        <v>265867</v>
      </c>
      <c r="B503">
        <v>1633</v>
      </c>
      <c r="C503" s="11" t="s">
        <v>129</v>
      </c>
      <c r="D503" s="11" t="s">
        <v>130</v>
      </c>
      <c r="E503" s="11" t="s">
        <v>25</v>
      </c>
      <c r="F503" s="12">
        <v>46168</v>
      </c>
      <c r="G503" s="11" t="s">
        <v>1740</v>
      </c>
      <c r="H503">
        <v>6</v>
      </c>
      <c r="I503" s="11" t="s">
        <v>1741</v>
      </c>
      <c r="M503" s="11" t="s">
        <v>69</v>
      </c>
      <c r="N503" s="11" t="s">
        <v>1742</v>
      </c>
      <c r="O503" s="11" t="s">
        <v>1743</v>
      </c>
      <c r="P503" s="11" t="s">
        <v>1744</v>
      </c>
      <c r="Q503" s="11" t="s">
        <v>135</v>
      </c>
      <c r="U503" s="11" t="s">
        <v>1745</v>
      </c>
      <c r="V503" s="11" t="s">
        <v>137</v>
      </c>
      <c r="W503" s="13">
        <v>46302.314618055556</v>
      </c>
    </row>
    <row r="504" spans="1:23">
      <c r="A504">
        <v>265868</v>
      </c>
      <c r="B504">
        <v>1634</v>
      </c>
      <c r="C504" s="11" t="s">
        <v>129</v>
      </c>
      <c r="D504" s="11" t="s">
        <v>130</v>
      </c>
      <c r="E504" s="11" t="s">
        <v>25</v>
      </c>
      <c r="F504" s="12">
        <v>46168</v>
      </c>
      <c r="G504" s="11" t="s">
        <v>321</v>
      </c>
      <c r="H504">
        <v>2</v>
      </c>
      <c r="I504" s="11" t="s">
        <v>1746</v>
      </c>
      <c r="M504" s="11" t="s">
        <v>67</v>
      </c>
      <c r="N504" s="11" t="s">
        <v>1747</v>
      </c>
      <c r="O504" s="11" t="s">
        <v>1748</v>
      </c>
      <c r="P504" s="11" t="s">
        <v>1749</v>
      </c>
      <c r="Q504" s="11" t="s">
        <v>135</v>
      </c>
      <c r="U504" s="11" t="s">
        <v>327</v>
      </c>
      <c r="V504" s="11" t="s">
        <v>137</v>
      </c>
      <c r="W504" s="13">
        <v>46302.314618055556</v>
      </c>
    </row>
    <row r="505" spans="1:23">
      <c r="A505">
        <v>265869</v>
      </c>
      <c r="B505">
        <v>1635</v>
      </c>
      <c r="C505" s="11" t="s">
        <v>129</v>
      </c>
      <c r="D505" s="11" t="s">
        <v>130</v>
      </c>
      <c r="E505" s="11" t="s">
        <v>25</v>
      </c>
      <c r="F505" s="12">
        <v>46168</v>
      </c>
      <c r="G505" s="11" t="s">
        <v>930</v>
      </c>
      <c r="H505">
        <v>2</v>
      </c>
      <c r="I505" s="11" t="s">
        <v>1750</v>
      </c>
      <c r="M505" s="11" t="s">
        <v>50</v>
      </c>
      <c r="N505" s="11" t="s">
        <v>1751</v>
      </c>
      <c r="O505" s="11" t="s">
        <v>434</v>
      </c>
      <c r="P505" s="11" t="s">
        <v>405</v>
      </c>
      <c r="Q505" s="11" t="s">
        <v>135</v>
      </c>
      <c r="U505" s="11" t="s">
        <v>934</v>
      </c>
      <c r="V505" s="11" t="s">
        <v>137</v>
      </c>
      <c r="W505" s="13">
        <v>46302.314618055556</v>
      </c>
    </row>
    <row r="506" spans="1:23">
      <c r="A506">
        <v>265870</v>
      </c>
      <c r="B506">
        <v>1636</v>
      </c>
      <c r="C506" s="11" t="s">
        <v>129</v>
      </c>
      <c r="D506" s="11" t="s">
        <v>130</v>
      </c>
      <c r="E506" s="11" t="s">
        <v>25</v>
      </c>
      <c r="F506" s="12">
        <v>46168</v>
      </c>
      <c r="G506" s="11" t="s">
        <v>328</v>
      </c>
      <c r="H506">
        <v>1</v>
      </c>
      <c r="I506" s="11" t="s">
        <v>1752</v>
      </c>
      <c r="M506" s="11" t="s">
        <v>66</v>
      </c>
      <c r="N506" s="11" t="s">
        <v>1753</v>
      </c>
      <c r="O506" s="11" t="s">
        <v>1754</v>
      </c>
      <c r="P506" s="11" t="s">
        <v>1752</v>
      </c>
      <c r="Q506" s="11" t="s">
        <v>135</v>
      </c>
      <c r="U506" s="11" t="s">
        <v>333</v>
      </c>
      <c r="V506" s="11" t="s">
        <v>137</v>
      </c>
      <c r="W506" s="13">
        <v>46302.314618055556</v>
      </c>
    </row>
    <row r="507" spans="1:23">
      <c r="A507">
        <v>265871</v>
      </c>
      <c r="B507">
        <v>1637</v>
      </c>
      <c r="C507" s="11" t="s">
        <v>129</v>
      </c>
      <c r="D507" s="11" t="s">
        <v>130</v>
      </c>
      <c r="E507" s="11" t="s">
        <v>25</v>
      </c>
      <c r="F507" s="12">
        <v>46168</v>
      </c>
      <c r="G507" s="11" t="s">
        <v>930</v>
      </c>
      <c r="H507">
        <v>1</v>
      </c>
      <c r="I507" s="11" t="s">
        <v>1755</v>
      </c>
      <c r="M507" s="11" t="s">
        <v>50</v>
      </c>
      <c r="N507" s="11" t="s">
        <v>1756</v>
      </c>
      <c r="O507" s="11" t="s">
        <v>1757</v>
      </c>
      <c r="P507" s="11" t="s">
        <v>1755</v>
      </c>
      <c r="Q507" s="11" t="s">
        <v>135</v>
      </c>
      <c r="U507" s="11" t="s">
        <v>934</v>
      </c>
      <c r="V507" s="11" t="s">
        <v>137</v>
      </c>
      <c r="W507" s="13">
        <v>46302.314618055556</v>
      </c>
    </row>
    <row r="508" spans="1:23">
      <c r="A508">
        <v>265872</v>
      </c>
      <c r="B508">
        <v>1638</v>
      </c>
      <c r="C508" s="11" t="s">
        <v>129</v>
      </c>
      <c r="D508" s="11" t="s">
        <v>130</v>
      </c>
      <c r="E508" s="11" t="s">
        <v>25</v>
      </c>
      <c r="F508" s="12">
        <v>46168</v>
      </c>
      <c r="G508" s="11" t="s">
        <v>316</v>
      </c>
      <c r="H508">
        <v>1</v>
      </c>
      <c r="I508" s="11" t="s">
        <v>1758</v>
      </c>
      <c r="M508" s="11" t="s">
        <v>87</v>
      </c>
      <c r="N508" s="11" t="s">
        <v>1759</v>
      </c>
      <c r="O508" s="11" t="s">
        <v>1760</v>
      </c>
      <c r="P508" s="11" t="s">
        <v>1758</v>
      </c>
      <c r="Q508" s="11" t="s">
        <v>135</v>
      </c>
      <c r="U508" s="11" t="s">
        <v>320</v>
      </c>
      <c r="V508" s="11" t="s">
        <v>137</v>
      </c>
      <c r="W508" s="13">
        <v>46302.314618055556</v>
      </c>
    </row>
    <row r="509" spans="1:23">
      <c r="A509">
        <v>265873</v>
      </c>
      <c r="B509">
        <v>1639</v>
      </c>
      <c r="C509" s="11" t="s">
        <v>129</v>
      </c>
      <c r="D509" s="11" t="s">
        <v>130</v>
      </c>
      <c r="E509" s="11" t="s">
        <v>25</v>
      </c>
      <c r="F509" s="12">
        <v>46168</v>
      </c>
      <c r="G509" s="11" t="s">
        <v>339</v>
      </c>
      <c r="H509">
        <v>1</v>
      </c>
      <c r="I509" s="11" t="s">
        <v>1761</v>
      </c>
      <c r="M509" s="11" t="s">
        <v>92</v>
      </c>
      <c r="N509" s="11" t="s">
        <v>1762</v>
      </c>
      <c r="O509" s="11" t="s">
        <v>1763</v>
      </c>
      <c r="P509" s="11" t="s">
        <v>1761</v>
      </c>
      <c r="Q509" s="11" t="s">
        <v>135</v>
      </c>
      <c r="U509" s="11" t="s">
        <v>343</v>
      </c>
      <c r="V509" s="11" t="s">
        <v>137</v>
      </c>
      <c r="W509" s="13">
        <v>46302.314618055556</v>
      </c>
    </row>
    <row r="510" spans="1:23">
      <c r="A510">
        <v>265874</v>
      </c>
      <c r="B510">
        <v>1640</v>
      </c>
      <c r="C510" s="11" t="s">
        <v>129</v>
      </c>
      <c r="D510" s="11" t="s">
        <v>130</v>
      </c>
      <c r="E510" s="11" t="s">
        <v>25</v>
      </c>
      <c r="F510" s="12">
        <v>46168</v>
      </c>
      <c r="G510" s="11" t="s">
        <v>316</v>
      </c>
      <c r="H510">
        <v>1</v>
      </c>
      <c r="I510" s="11" t="s">
        <v>1764</v>
      </c>
      <c r="M510" s="11" t="s">
        <v>87</v>
      </c>
      <c r="N510" s="11" t="s">
        <v>1765</v>
      </c>
      <c r="O510" s="11" t="s">
        <v>1766</v>
      </c>
      <c r="P510" s="11" t="s">
        <v>1764</v>
      </c>
      <c r="Q510" s="11" t="s">
        <v>135</v>
      </c>
      <c r="U510" s="11" t="s">
        <v>320</v>
      </c>
      <c r="V510" s="11" t="s">
        <v>137</v>
      </c>
      <c r="W510" s="13">
        <v>46302.314618055556</v>
      </c>
    </row>
    <row r="511" spans="1:23">
      <c r="A511">
        <v>265875</v>
      </c>
      <c r="B511">
        <v>1641</v>
      </c>
      <c r="C511" s="11" t="s">
        <v>129</v>
      </c>
      <c r="D511" s="11" t="s">
        <v>130</v>
      </c>
      <c r="E511" s="11" t="s">
        <v>25</v>
      </c>
      <c r="F511" s="12">
        <v>46168</v>
      </c>
      <c r="G511" s="11" t="s">
        <v>321</v>
      </c>
      <c r="H511">
        <v>1</v>
      </c>
      <c r="I511" s="11" t="s">
        <v>1767</v>
      </c>
      <c r="M511" s="11" t="s">
        <v>67</v>
      </c>
      <c r="N511" s="11" t="s">
        <v>1768</v>
      </c>
      <c r="O511" s="11" t="s">
        <v>1769</v>
      </c>
      <c r="P511" s="11" t="s">
        <v>1767</v>
      </c>
      <c r="Q511" s="11" t="s">
        <v>135</v>
      </c>
      <c r="U511" s="11" t="s">
        <v>327</v>
      </c>
      <c r="V511" s="11" t="s">
        <v>137</v>
      </c>
      <c r="W511" s="13">
        <v>46302.314618055556</v>
      </c>
    </row>
    <row r="512" spans="1:23">
      <c r="A512">
        <v>265876</v>
      </c>
      <c r="B512">
        <v>1642</v>
      </c>
      <c r="C512" s="11" t="s">
        <v>129</v>
      </c>
      <c r="D512" s="11" t="s">
        <v>130</v>
      </c>
      <c r="E512" s="11" t="s">
        <v>25</v>
      </c>
      <c r="F512" s="12">
        <v>46168</v>
      </c>
      <c r="G512" s="11" t="s">
        <v>339</v>
      </c>
      <c r="H512">
        <v>1</v>
      </c>
      <c r="I512" s="11" t="s">
        <v>1770</v>
      </c>
      <c r="M512" s="11" t="s">
        <v>92</v>
      </c>
      <c r="N512" s="11" t="s">
        <v>1771</v>
      </c>
      <c r="O512" s="11" t="s">
        <v>1772</v>
      </c>
      <c r="P512" s="11" t="s">
        <v>1770</v>
      </c>
      <c r="Q512" s="11" t="s">
        <v>135</v>
      </c>
      <c r="U512" s="11" t="s">
        <v>343</v>
      </c>
      <c r="V512" s="11" t="s">
        <v>137</v>
      </c>
      <c r="W512" s="13">
        <v>46302.314618055556</v>
      </c>
    </row>
    <row r="513" spans="1:23">
      <c r="A513">
        <v>265877</v>
      </c>
      <c r="B513">
        <v>1643</v>
      </c>
      <c r="C513" s="11" t="s">
        <v>129</v>
      </c>
      <c r="D513" s="11" t="s">
        <v>130</v>
      </c>
      <c r="E513" s="11" t="s">
        <v>25</v>
      </c>
      <c r="F513" s="12">
        <v>46168</v>
      </c>
      <c r="G513" s="11" t="s">
        <v>355</v>
      </c>
      <c r="H513">
        <v>1</v>
      </c>
      <c r="I513" s="11" t="s">
        <v>1773</v>
      </c>
      <c r="M513" s="11" t="s">
        <v>77</v>
      </c>
      <c r="N513" s="11" t="s">
        <v>1110</v>
      </c>
      <c r="O513" s="11" t="s">
        <v>1774</v>
      </c>
      <c r="P513" s="11" t="s">
        <v>1773</v>
      </c>
      <c r="Q513" s="11" t="s">
        <v>135</v>
      </c>
      <c r="U513" s="11" t="s">
        <v>359</v>
      </c>
      <c r="V513" s="11" t="s">
        <v>137</v>
      </c>
      <c r="W513" s="13">
        <v>46302.314618055556</v>
      </c>
    </row>
    <row r="514" spans="1:23">
      <c r="A514">
        <v>265878</v>
      </c>
      <c r="B514">
        <v>1644</v>
      </c>
      <c r="C514" s="11" t="s">
        <v>129</v>
      </c>
      <c r="D514" s="11" t="s">
        <v>130</v>
      </c>
      <c r="E514" s="11" t="s">
        <v>25</v>
      </c>
      <c r="F514" s="12">
        <v>46168</v>
      </c>
      <c r="G514" s="11" t="s">
        <v>360</v>
      </c>
      <c r="H514">
        <v>1</v>
      </c>
      <c r="I514" s="11" t="s">
        <v>1059</v>
      </c>
      <c r="M514" s="11" t="s">
        <v>79</v>
      </c>
      <c r="N514" s="11" t="s">
        <v>1775</v>
      </c>
      <c r="O514" s="11" t="s">
        <v>1776</v>
      </c>
      <c r="P514" s="11" t="s">
        <v>1059</v>
      </c>
      <c r="Q514" s="11" t="s">
        <v>135</v>
      </c>
      <c r="U514" s="11" t="s">
        <v>364</v>
      </c>
      <c r="V514" s="11" t="s">
        <v>137</v>
      </c>
      <c r="W514" s="13">
        <v>46302.314618055556</v>
      </c>
    </row>
    <row r="515" spans="1:23">
      <c r="A515">
        <v>265879</v>
      </c>
      <c r="B515">
        <v>1645</v>
      </c>
      <c r="C515" s="11" t="s">
        <v>129</v>
      </c>
      <c r="D515" s="11" t="s">
        <v>130</v>
      </c>
      <c r="E515" s="11" t="s">
        <v>25</v>
      </c>
      <c r="F515" s="12">
        <v>46168</v>
      </c>
      <c r="G515" s="11" t="s">
        <v>1777</v>
      </c>
      <c r="H515">
        <v>1</v>
      </c>
      <c r="I515" s="11" t="s">
        <v>1778</v>
      </c>
      <c r="M515" s="11" t="s">
        <v>80</v>
      </c>
      <c r="N515" s="11" t="s">
        <v>1779</v>
      </c>
      <c r="O515" s="11" t="s">
        <v>1780</v>
      </c>
      <c r="P515" s="11" t="s">
        <v>1778</v>
      </c>
      <c r="Q515" s="11" t="s">
        <v>135</v>
      </c>
      <c r="U515" s="11" t="s">
        <v>1781</v>
      </c>
      <c r="V515" s="11" t="s">
        <v>137</v>
      </c>
      <c r="W515" s="13">
        <v>46302.314618055556</v>
      </c>
    </row>
    <row r="516" spans="1:23">
      <c r="A516">
        <v>265880</v>
      </c>
      <c r="B516">
        <v>1646</v>
      </c>
      <c r="C516" s="11" t="s">
        <v>129</v>
      </c>
      <c r="D516" s="11" t="s">
        <v>130</v>
      </c>
      <c r="E516" s="11" t="s">
        <v>25</v>
      </c>
      <c r="F516" s="12">
        <v>46168</v>
      </c>
      <c r="G516" s="11" t="s">
        <v>1782</v>
      </c>
      <c r="H516">
        <v>1</v>
      </c>
      <c r="I516" s="11" t="s">
        <v>1783</v>
      </c>
      <c r="M516" s="11" t="s">
        <v>82</v>
      </c>
      <c r="N516" s="11" t="s">
        <v>1784</v>
      </c>
      <c r="O516" s="11" t="s">
        <v>1785</v>
      </c>
      <c r="P516" s="11" t="s">
        <v>1783</v>
      </c>
      <c r="Q516" s="11" t="s">
        <v>135</v>
      </c>
      <c r="U516" s="11" t="s">
        <v>1786</v>
      </c>
      <c r="V516" s="11" t="s">
        <v>137</v>
      </c>
      <c r="W516" s="13">
        <v>46302.314618055556</v>
      </c>
    </row>
    <row r="517" spans="1:23">
      <c r="A517">
        <v>265881</v>
      </c>
      <c r="B517">
        <v>1647</v>
      </c>
      <c r="C517" s="11" t="s">
        <v>129</v>
      </c>
      <c r="D517" s="11" t="s">
        <v>130</v>
      </c>
      <c r="E517" s="11" t="s">
        <v>25</v>
      </c>
      <c r="F517" s="12">
        <v>46168</v>
      </c>
      <c r="G517" s="11" t="s">
        <v>321</v>
      </c>
      <c r="H517">
        <v>10</v>
      </c>
      <c r="I517" s="11" t="s">
        <v>1787</v>
      </c>
      <c r="M517" s="11" t="s">
        <v>67</v>
      </c>
      <c r="N517" s="11" t="s">
        <v>1788</v>
      </c>
      <c r="O517" s="11" t="s">
        <v>1789</v>
      </c>
      <c r="P517" s="11" t="s">
        <v>1790</v>
      </c>
      <c r="Q517" s="11" t="s">
        <v>135</v>
      </c>
      <c r="U517" s="11" t="s">
        <v>327</v>
      </c>
      <c r="V517" s="11" t="s">
        <v>137</v>
      </c>
      <c r="W517" s="13">
        <v>46302.314618055556</v>
      </c>
    </row>
    <row r="518" spans="1:23">
      <c r="A518">
        <v>265882</v>
      </c>
      <c r="B518">
        <v>1648</v>
      </c>
      <c r="C518" s="11" t="s">
        <v>129</v>
      </c>
      <c r="D518" s="11" t="s">
        <v>130</v>
      </c>
      <c r="E518" s="11" t="s">
        <v>25</v>
      </c>
      <c r="F518" s="12">
        <v>46168</v>
      </c>
      <c r="G518" s="11" t="s">
        <v>321</v>
      </c>
      <c r="H518">
        <v>1</v>
      </c>
      <c r="I518" s="11" t="s">
        <v>1791</v>
      </c>
      <c r="M518" s="11" t="s">
        <v>67</v>
      </c>
      <c r="N518" s="11" t="s">
        <v>1792</v>
      </c>
      <c r="O518" s="11" t="s">
        <v>1793</v>
      </c>
      <c r="P518" s="11" t="s">
        <v>1791</v>
      </c>
      <c r="Q518" s="11" t="s">
        <v>135</v>
      </c>
      <c r="U518" s="11" t="s">
        <v>327</v>
      </c>
      <c r="V518" s="11" t="s">
        <v>137</v>
      </c>
      <c r="W518" s="13">
        <v>46302.314618055556</v>
      </c>
    </row>
    <row r="519" spans="1:23">
      <c r="A519">
        <v>265883</v>
      </c>
      <c r="B519">
        <v>1649</v>
      </c>
      <c r="C519" s="11" t="s">
        <v>129</v>
      </c>
      <c r="D519" s="11" t="s">
        <v>130</v>
      </c>
      <c r="E519" s="11" t="s">
        <v>25</v>
      </c>
      <c r="F519" s="12">
        <v>46168</v>
      </c>
      <c r="G519" s="11" t="s">
        <v>316</v>
      </c>
      <c r="H519">
        <v>1</v>
      </c>
      <c r="I519" s="11" t="s">
        <v>1794</v>
      </c>
      <c r="M519" s="11" t="s">
        <v>87</v>
      </c>
      <c r="N519" s="11" t="s">
        <v>1795</v>
      </c>
      <c r="O519" s="11" t="s">
        <v>1796</v>
      </c>
      <c r="P519" s="11" t="s">
        <v>1794</v>
      </c>
      <c r="Q519" s="11" t="s">
        <v>135</v>
      </c>
      <c r="U519" s="11" t="s">
        <v>320</v>
      </c>
      <c r="V519" s="11" t="s">
        <v>137</v>
      </c>
      <c r="W519" s="13">
        <v>46302.314618055556</v>
      </c>
    </row>
    <row r="520" spans="1:23">
      <c r="A520">
        <v>265884</v>
      </c>
      <c r="B520">
        <v>1650</v>
      </c>
      <c r="C520" s="11" t="s">
        <v>129</v>
      </c>
      <c r="D520" s="11" t="s">
        <v>130</v>
      </c>
      <c r="E520" s="11" t="s">
        <v>25</v>
      </c>
      <c r="F520" s="12">
        <v>46168</v>
      </c>
      <c r="G520" s="11" t="s">
        <v>321</v>
      </c>
      <c r="H520">
        <v>1</v>
      </c>
      <c r="I520" s="11" t="s">
        <v>1797</v>
      </c>
      <c r="M520" s="11" t="s">
        <v>67</v>
      </c>
      <c r="N520" s="11" t="s">
        <v>1798</v>
      </c>
      <c r="O520" s="11" t="s">
        <v>1799</v>
      </c>
      <c r="P520" s="11" t="s">
        <v>1797</v>
      </c>
      <c r="Q520" s="11" t="s">
        <v>135</v>
      </c>
      <c r="U520" s="11" t="s">
        <v>327</v>
      </c>
      <c r="V520" s="11" t="s">
        <v>137</v>
      </c>
      <c r="W520" s="13">
        <v>46302.314618055556</v>
      </c>
    </row>
    <row r="521" spans="1:23">
      <c r="A521">
        <v>266260</v>
      </c>
      <c r="B521">
        <v>10183</v>
      </c>
      <c r="C521" s="11" t="s">
        <v>129</v>
      </c>
      <c r="D521" s="11" t="s">
        <v>130</v>
      </c>
      <c r="E521" s="11" t="s">
        <v>25</v>
      </c>
      <c r="F521" s="12">
        <v>46169</v>
      </c>
      <c r="G521" s="11" t="s">
        <v>131</v>
      </c>
      <c r="H521">
        <v>1</v>
      </c>
      <c r="I521" s="11" t="s">
        <v>1800</v>
      </c>
      <c r="M521" s="11" t="s">
        <v>87</v>
      </c>
      <c r="N521" s="11" t="s">
        <v>1801</v>
      </c>
      <c r="O521" s="11" t="s">
        <v>1802</v>
      </c>
      <c r="P521" s="11" t="s">
        <v>1800</v>
      </c>
      <c r="Q521" s="11" t="s">
        <v>135</v>
      </c>
      <c r="U521" s="11" t="s">
        <v>136</v>
      </c>
      <c r="V521" s="11" t="s">
        <v>137</v>
      </c>
      <c r="W521" s="13">
        <v>46302.314618055556</v>
      </c>
    </row>
    <row r="522" spans="1:23">
      <c r="A522">
        <v>266261</v>
      </c>
      <c r="B522">
        <v>10184</v>
      </c>
      <c r="C522" s="11" t="s">
        <v>129</v>
      </c>
      <c r="D522" s="11" t="s">
        <v>130</v>
      </c>
      <c r="E522" s="11" t="s">
        <v>25</v>
      </c>
      <c r="F522" s="12">
        <v>46169</v>
      </c>
      <c r="G522" s="11" t="s">
        <v>195</v>
      </c>
      <c r="H522">
        <v>5</v>
      </c>
      <c r="I522" s="11" t="s">
        <v>1803</v>
      </c>
      <c r="M522" s="11" t="s">
        <v>68</v>
      </c>
      <c r="N522" s="11" t="s">
        <v>1804</v>
      </c>
      <c r="O522" s="11" t="s">
        <v>1805</v>
      </c>
      <c r="P522" s="11" t="s">
        <v>1806</v>
      </c>
      <c r="Q522" s="11" t="s">
        <v>1807</v>
      </c>
      <c r="U522" s="11" t="s">
        <v>199</v>
      </c>
      <c r="V522" s="11" t="s">
        <v>137</v>
      </c>
      <c r="W522" s="13">
        <v>46302.314618055556</v>
      </c>
    </row>
    <row r="523" spans="1:23">
      <c r="A523">
        <v>266262</v>
      </c>
      <c r="B523">
        <v>10186</v>
      </c>
      <c r="C523" s="11" t="s">
        <v>129</v>
      </c>
      <c r="D523" s="11" t="s">
        <v>130</v>
      </c>
      <c r="E523" s="11" t="s">
        <v>25</v>
      </c>
      <c r="F523" s="12">
        <v>46169</v>
      </c>
      <c r="G523" s="11" t="s">
        <v>164</v>
      </c>
      <c r="H523">
        <v>1</v>
      </c>
      <c r="I523" s="11" t="s">
        <v>289</v>
      </c>
      <c r="M523" s="11" t="s">
        <v>62</v>
      </c>
      <c r="N523" s="11" t="s">
        <v>1808</v>
      </c>
      <c r="O523" s="11" t="s">
        <v>1809</v>
      </c>
      <c r="P523" s="11" t="s">
        <v>289</v>
      </c>
      <c r="Q523" s="11" t="s">
        <v>135</v>
      </c>
      <c r="U523" s="11" t="s">
        <v>168</v>
      </c>
      <c r="V523" s="11" t="s">
        <v>137</v>
      </c>
      <c r="W523" s="13">
        <v>46302.314618055556</v>
      </c>
    </row>
    <row r="524" spans="1:23">
      <c r="A524">
        <v>266263</v>
      </c>
      <c r="B524">
        <v>10187</v>
      </c>
      <c r="C524" s="11" t="s">
        <v>129</v>
      </c>
      <c r="D524" s="11" t="s">
        <v>130</v>
      </c>
      <c r="E524" s="11" t="s">
        <v>25</v>
      </c>
      <c r="F524" s="12">
        <v>46169</v>
      </c>
      <c r="G524" s="11" t="s">
        <v>131</v>
      </c>
      <c r="H524">
        <v>1</v>
      </c>
      <c r="I524" s="11" t="s">
        <v>1810</v>
      </c>
      <c r="M524" s="11" t="s">
        <v>87</v>
      </c>
      <c r="N524" s="11" t="s">
        <v>1811</v>
      </c>
      <c r="O524" s="11" t="s">
        <v>1812</v>
      </c>
      <c r="P524" s="11" t="s">
        <v>1810</v>
      </c>
      <c r="Q524" s="11" t="s">
        <v>135</v>
      </c>
      <c r="U524" s="11" t="s">
        <v>136</v>
      </c>
      <c r="V524" s="11" t="s">
        <v>137</v>
      </c>
      <c r="W524" s="13">
        <v>46302.314618055556</v>
      </c>
    </row>
    <row r="525" spans="1:23">
      <c r="A525">
        <v>266264</v>
      </c>
      <c r="B525">
        <v>10188</v>
      </c>
      <c r="C525" s="11" t="s">
        <v>129</v>
      </c>
      <c r="D525" s="11" t="s">
        <v>130</v>
      </c>
      <c r="E525" s="11" t="s">
        <v>25</v>
      </c>
      <c r="F525" s="12">
        <v>46169</v>
      </c>
      <c r="G525" s="11" t="s">
        <v>164</v>
      </c>
      <c r="H525">
        <v>3</v>
      </c>
      <c r="I525" s="11" t="s">
        <v>1813</v>
      </c>
      <c r="M525" s="11" t="s">
        <v>62</v>
      </c>
      <c r="N525" s="11" t="s">
        <v>1814</v>
      </c>
      <c r="O525" s="11" t="s">
        <v>1815</v>
      </c>
      <c r="P525" s="11" t="s">
        <v>1816</v>
      </c>
      <c r="Q525" s="11" t="s">
        <v>135</v>
      </c>
      <c r="U525" s="11" t="s">
        <v>168</v>
      </c>
      <c r="V525" s="11" t="s">
        <v>137</v>
      </c>
      <c r="W525" s="13">
        <v>46302.314618055556</v>
      </c>
    </row>
    <row r="526" spans="1:23">
      <c r="A526">
        <v>266265</v>
      </c>
      <c r="B526">
        <v>10189</v>
      </c>
      <c r="C526" s="11" t="s">
        <v>129</v>
      </c>
      <c r="D526" s="11" t="s">
        <v>130</v>
      </c>
      <c r="E526" s="11" t="s">
        <v>25</v>
      </c>
      <c r="F526" s="12">
        <v>46169</v>
      </c>
      <c r="G526" s="11" t="s">
        <v>131</v>
      </c>
      <c r="H526">
        <v>1</v>
      </c>
      <c r="I526" s="11" t="s">
        <v>1817</v>
      </c>
      <c r="M526" s="11" t="s">
        <v>87</v>
      </c>
      <c r="N526" s="11" t="s">
        <v>1818</v>
      </c>
      <c r="O526" s="11" t="s">
        <v>1819</v>
      </c>
      <c r="P526" s="11" t="s">
        <v>1817</v>
      </c>
      <c r="Q526" s="11" t="s">
        <v>135</v>
      </c>
      <c r="U526" s="11" t="s">
        <v>136</v>
      </c>
      <c r="V526" s="11" t="s">
        <v>137</v>
      </c>
      <c r="W526" s="13">
        <v>46302.314618055556</v>
      </c>
    </row>
    <row r="527" spans="1:23">
      <c r="A527">
        <v>266266</v>
      </c>
      <c r="B527">
        <v>10190</v>
      </c>
      <c r="C527" s="11" t="s">
        <v>129</v>
      </c>
      <c r="D527" s="11" t="s">
        <v>130</v>
      </c>
      <c r="E527" s="11" t="s">
        <v>25</v>
      </c>
      <c r="F527" s="12">
        <v>46169</v>
      </c>
      <c r="G527" s="11" t="s">
        <v>174</v>
      </c>
      <c r="H527">
        <v>1</v>
      </c>
      <c r="I527" s="11" t="s">
        <v>1820</v>
      </c>
      <c r="M527" s="11" t="s">
        <v>92</v>
      </c>
      <c r="N527" s="11" t="s">
        <v>1821</v>
      </c>
      <c r="O527" s="11" t="s">
        <v>1822</v>
      </c>
      <c r="P527" s="11" t="s">
        <v>1820</v>
      </c>
      <c r="Q527" s="11" t="s">
        <v>135</v>
      </c>
      <c r="U527" s="11" t="s">
        <v>178</v>
      </c>
      <c r="V527" s="11" t="s">
        <v>137</v>
      </c>
      <c r="W527" s="13">
        <v>46302.314618055556</v>
      </c>
    </row>
    <row r="528" spans="1:23">
      <c r="A528">
        <v>266267</v>
      </c>
      <c r="B528">
        <v>10191</v>
      </c>
      <c r="C528" s="11" t="s">
        <v>129</v>
      </c>
      <c r="D528" s="11" t="s">
        <v>130</v>
      </c>
      <c r="E528" s="11" t="s">
        <v>25</v>
      </c>
      <c r="F528" s="12">
        <v>46169</v>
      </c>
      <c r="G528" s="11" t="s">
        <v>1823</v>
      </c>
      <c r="H528">
        <v>1</v>
      </c>
      <c r="I528" s="11" t="s">
        <v>1824</v>
      </c>
      <c r="M528" s="11" t="s">
        <v>61</v>
      </c>
      <c r="N528" s="11" t="s">
        <v>1825</v>
      </c>
      <c r="O528" s="11" t="s">
        <v>1826</v>
      </c>
      <c r="P528" s="11" t="s">
        <v>1824</v>
      </c>
      <c r="Q528" s="11" t="s">
        <v>135</v>
      </c>
      <c r="U528" s="11" t="s">
        <v>1827</v>
      </c>
      <c r="V528" s="11" t="s">
        <v>137</v>
      </c>
      <c r="W528" s="13">
        <v>46302.314618055556</v>
      </c>
    </row>
    <row r="529" spans="1:23">
      <c r="A529">
        <v>266268</v>
      </c>
      <c r="B529">
        <v>10192</v>
      </c>
      <c r="C529" s="11" t="s">
        <v>129</v>
      </c>
      <c r="D529" s="11" t="s">
        <v>130</v>
      </c>
      <c r="E529" s="11" t="s">
        <v>25</v>
      </c>
      <c r="F529" s="12">
        <v>46169</v>
      </c>
      <c r="G529" s="11" t="s">
        <v>174</v>
      </c>
      <c r="H529">
        <v>1</v>
      </c>
      <c r="I529" s="11" t="s">
        <v>1828</v>
      </c>
      <c r="M529" s="11" t="s">
        <v>92</v>
      </c>
      <c r="N529" s="11" t="s">
        <v>1829</v>
      </c>
      <c r="O529" s="11" t="s">
        <v>1830</v>
      </c>
      <c r="P529" s="11" t="s">
        <v>1828</v>
      </c>
      <c r="Q529" s="11" t="s">
        <v>135</v>
      </c>
      <c r="U529" s="11" t="s">
        <v>178</v>
      </c>
      <c r="V529" s="11" t="s">
        <v>137</v>
      </c>
      <c r="W529" s="13">
        <v>46302.314618055556</v>
      </c>
    </row>
    <row r="530" spans="1:23">
      <c r="A530">
        <v>266269</v>
      </c>
      <c r="B530">
        <v>10193</v>
      </c>
      <c r="C530" s="11" t="s">
        <v>129</v>
      </c>
      <c r="D530" s="11" t="s">
        <v>130</v>
      </c>
      <c r="E530" s="11" t="s">
        <v>25</v>
      </c>
      <c r="F530" s="12">
        <v>46169</v>
      </c>
      <c r="G530" s="11" t="s">
        <v>149</v>
      </c>
      <c r="H530">
        <v>1</v>
      </c>
      <c r="I530" s="11" t="s">
        <v>1831</v>
      </c>
      <c r="M530" s="11" t="s">
        <v>77</v>
      </c>
      <c r="N530" s="11" t="s">
        <v>1832</v>
      </c>
      <c r="O530" s="11" t="s">
        <v>1833</v>
      </c>
      <c r="P530" s="11" t="s">
        <v>1831</v>
      </c>
      <c r="Q530" s="11" t="s">
        <v>135</v>
      </c>
      <c r="U530" s="11" t="s">
        <v>153</v>
      </c>
      <c r="V530" s="11" t="s">
        <v>137</v>
      </c>
      <c r="W530" s="13">
        <v>46302.314618055556</v>
      </c>
    </row>
    <row r="531" spans="1:23">
      <c r="A531">
        <v>266270</v>
      </c>
      <c r="B531">
        <v>10194</v>
      </c>
      <c r="C531" s="11" t="s">
        <v>129</v>
      </c>
      <c r="D531" s="11" t="s">
        <v>130</v>
      </c>
      <c r="E531" s="11" t="s">
        <v>25</v>
      </c>
      <c r="F531" s="12">
        <v>46169</v>
      </c>
      <c r="G531" s="11" t="s">
        <v>154</v>
      </c>
      <c r="H531">
        <v>1</v>
      </c>
      <c r="I531" s="11" t="s">
        <v>1037</v>
      </c>
      <c r="M531" s="11" t="s">
        <v>79</v>
      </c>
      <c r="N531" s="11" t="s">
        <v>1834</v>
      </c>
      <c r="O531" s="11" t="s">
        <v>1835</v>
      </c>
      <c r="P531" s="11" t="s">
        <v>1037</v>
      </c>
      <c r="Q531" s="11" t="s">
        <v>135</v>
      </c>
      <c r="U531" s="11" t="s">
        <v>158</v>
      </c>
      <c r="V531" s="11" t="s">
        <v>137</v>
      </c>
      <c r="W531" s="13">
        <v>46302.314618055556</v>
      </c>
    </row>
    <row r="532" spans="1:23">
      <c r="A532">
        <v>266271</v>
      </c>
      <c r="B532">
        <v>10195</v>
      </c>
      <c r="C532" s="11" t="s">
        <v>129</v>
      </c>
      <c r="D532" s="11" t="s">
        <v>130</v>
      </c>
      <c r="E532" s="11" t="s">
        <v>25</v>
      </c>
      <c r="F532" s="12">
        <v>46169</v>
      </c>
      <c r="G532" s="11" t="s">
        <v>523</v>
      </c>
      <c r="H532">
        <v>1</v>
      </c>
      <c r="I532" s="11" t="s">
        <v>1836</v>
      </c>
      <c r="M532" s="11" t="s">
        <v>80</v>
      </c>
      <c r="N532" s="11" t="s">
        <v>1837</v>
      </c>
      <c r="O532" s="11" t="s">
        <v>1838</v>
      </c>
      <c r="P532" s="11" t="s">
        <v>1836</v>
      </c>
      <c r="Q532" s="11" t="s">
        <v>135</v>
      </c>
      <c r="U532" s="11" t="s">
        <v>527</v>
      </c>
      <c r="V532" s="11" t="s">
        <v>137</v>
      </c>
      <c r="W532" s="13">
        <v>46302.314618055556</v>
      </c>
    </row>
    <row r="533" spans="1:23">
      <c r="A533">
        <v>266272</v>
      </c>
      <c r="B533">
        <v>10196</v>
      </c>
      <c r="C533" s="11" t="s">
        <v>129</v>
      </c>
      <c r="D533" s="11" t="s">
        <v>130</v>
      </c>
      <c r="E533" s="11" t="s">
        <v>25</v>
      </c>
      <c r="F533" s="12">
        <v>46169</v>
      </c>
      <c r="G533" s="11" t="s">
        <v>528</v>
      </c>
      <c r="H533">
        <v>1</v>
      </c>
      <c r="I533" s="11" t="s">
        <v>1839</v>
      </c>
      <c r="M533" s="11" t="s">
        <v>82</v>
      </c>
      <c r="N533" s="11" t="s">
        <v>1840</v>
      </c>
      <c r="O533" s="11" t="s">
        <v>1841</v>
      </c>
      <c r="P533" s="11" t="s">
        <v>1839</v>
      </c>
      <c r="Q533" s="11" t="s">
        <v>135</v>
      </c>
      <c r="U533" s="11" t="s">
        <v>532</v>
      </c>
      <c r="V533" s="11" t="s">
        <v>137</v>
      </c>
      <c r="W533" s="13">
        <v>46302.314618055556</v>
      </c>
    </row>
    <row r="534" spans="1:23">
      <c r="A534">
        <v>266273</v>
      </c>
      <c r="B534">
        <v>10197</v>
      </c>
      <c r="C534" s="11" t="s">
        <v>129</v>
      </c>
      <c r="D534" s="11" t="s">
        <v>130</v>
      </c>
      <c r="E534" s="11" t="s">
        <v>25</v>
      </c>
      <c r="F534" s="12">
        <v>46169</v>
      </c>
      <c r="G534" s="11" t="s">
        <v>179</v>
      </c>
      <c r="H534">
        <v>1</v>
      </c>
      <c r="I534" s="11" t="s">
        <v>1842</v>
      </c>
      <c r="M534" s="11" t="s">
        <v>83</v>
      </c>
      <c r="N534" s="11" t="s">
        <v>1843</v>
      </c>
      <c r="O534" s="11" t="s">
        <v>1844</v>
      </c>
      <c r="P534" s="11" t="s">
        <v>1842</v>
      </c>
      <c r="Q534" s="11" t="s">
        <v>135</v>
      </c>
      <c r="U534" s="11" t="s">
        <v>183</v>
      </c>
      <c r="V534" s="11" t="s">
        <v>137</v>
      </c>
      <c r="W534" s="13">
        <v>46302.314618055556</v>
      </c>
    </row>
    <row r="535" spans="1:23">
      <c r="A535">
        <v>266274</v>
      </c>
      <c r="B535">
        <v>10198</v>
      </c>
      <c r="C535" s="11" t="s">
        <v>129</v>
      </c>
      <c r="D535" s="11" t="s">
        <v>130</v>
      </c>
      <c r="E535" s="11" t="s">
        <v>25</v>
      </c>
      <c r="F535" s="12">
        <v>46169</v>
      </c>
      <c r="G535" s="11" t="s">
        <v>131</v>
      </c>
      <c r="H535">
        <v>1</v>
      </c>
      <c r="I535" s="11" t="s">
        <v>1845</v>
      </c>
      <c r="M535" s="11" t="s">
        <v>87</v>
      </c>
      <c r="N535" s="11" t="s">
        <v>1846</v>
      </c>
      <c r="O535" s="11" t="s">
        <v>1847</v>
      </c>
      <c r="P535" s="11" t="s">
        <v>1845</v>
      </c>
      <c r="Q535" s="11" t="s">
        <v>135</v>
      </c>
      <c r="U535" s="11" t="s">
        <v>136</v>
      </c>
      <c r="V535" s="11" t="s">
        <v>137</v>
      </c>
      <c r="W535" s="13">
        <v>46302.314618055556</v>
      </c>
    </row>
    <row r="536" spans="1:23">
      <c r="A536">
        <v>266275</v>
      </c>
      <c r="B536">
        <v>10199</v>
      </c>
      <c r="C536" s="11" t="s">
        <v>129</v>
      </c>
      <c r="D536" s="11" t="s">
        <v>130</v>
      </c>
      <c r="E536" s="11" t="s">
        <v>25</v>
      </c>
      <c r="F536" s="12">
        <v>46169</v>
      </c>
      <c r="G536" s="11" t="s">
        <v>1848</v>
      </c>
      <c r="H536">
        <v>1</v>
      </c>
      <c r="I536" s="11" t="s">
        <v>1849</v>
      </c>
      <c r="M536" s="11" t="s">
        <v>56</v>
      </c>
      <c r="N536" s="11" t="s">
        <v>1850</v>
      </c>
      <c r="O536" s="11" t="s">
        <v>1851</v>
      </c>
      <c r="P536" s="11" t="s">
        <v>1849</v>
      </c>
      <c r="Q536" s="11" t="s">
        <v>135</v>
      </c>
      <c r="U536" s="11" t="s">
        <v>1852</v>
      </c>
      <c r="V536" s="11" t="s">
        <v>137</v>
      </c>
      <c r="W536" s="13">
        <v>46302.314618055556</v>
      </c>
    </row>
    <row r="537" spans="1:23">
      <c r="A537">
        <v>266276</v>
      </c>
      <c r="B537">
        <v>10200</v>
      </c>
      <c r="C537" s="11" t="s">
        <v>129</v>
      </c>
      <c r="D537" s="11" t="s">
        <v>130</v>
      </c>
      <c r="E537" s="11" t="s">
        <v>25</v>
      </c>
      <c r="F537" s="12">
        <v>46169</v>
      </c>
      <c r="G537" s="11" t="s">
        <v>217</v>
      </c>
      <c r="H537">
        <v>1</v>
      </c>
      <c r="I537" s="11" t="s">
        <v>1853</v>
      </c>
      <c r="M537" s="11" t="s">
        <v>86</v>
      </c>
      <c r="N537" s="11" t="s">
        <v>1854</v>
      </c>
      <c r="O537" s="11" t="s">
        <v>1855</v>
      </c>
      <c r="P537" s="11" t="s">
        <v>1853</v>
      </c>
      <c r="Q537" s="11" t="s">
        <v>135</v>
      </c>
      <c r="U537" s="11" t="s">
        <v>221</v>
      </c>
      <c r="V537" s="11" t="s">
        <v>137</v>
      </c>
      <c r="W537" s="13">
        <v>46302.314618055556</v>
      </c>
    </row>
    <row r="538" spans="1:23">
      <c r="A538">
        <v>266277</v>
      </c>
      <c r="B538">
        <v>10201</v>
      </c>
      <c r="C538" s="11" t="s">
        <v>129</v>
      </c>
      <c r="D538" s="11" t="s">
        <v>130</v>
      </c>
      <c r="E538" s="11" t="s">
        <v>25</v>
      </c>
      <c r="F538" s="12">
        <v>46169</v>
      </c>
      <c r="G538" s="11" t="s">
        <v>131</v>
      </c>
      <c r="H538">
        <v>1</v>
      </c>
      <c r="I538" s="11" t="s">
        <v>1856</v>
      </c>
      <c r="M538" s="11" t="s">
        <v>87</v>
      </c>
      <c r="N538" s="11" t="s">
        <v>1857</v>
      </c>
      <c r="O538" s="11" t="s">
        <v>1858</v>
      </c>
      <c r="P538" s="11" t="s">
        <v>1856</v>
      </c>
      <c r="Q538" s="11" t="s">
        <v>135</v>
      </c>
      <c r="U538" s="11" t="s">
        <v>136</v>
      </c>
      <c r="V538" s="11" t="s">
        <v>137</v>
      </c>
      <c r="W538" s="13">
        <v>46302.314618055556</v>
      </c>
    </row>
    <row r="539" spans="1:23">
      <c r="A539">
        <v>266278</v>
      </c>
      <c r="B539">
        <v>10185</v>
      </c>
      <c r="C539" s="11" t="s">
        <v>129</v>
      </c>
      <c r="D539" s="11" t="s">
        <v>130</v>
      </c>
      <c r="E539" s="11" t="s">
        <v>25</v>
      </c>
      <c r="F539" s="12">
        <v>46169</v>
      </c>
      <c r="G539" s="11" t="s">
        <v>222</v>
      </c>
      <c r="H539">
        <v>1</v>
      </c>
      <c r="I539" s="11" t="s">
        <v>1807</v>
      </c>
      <c r="M539" s="11" t="s">
        <v>90</v>
      </c>
      <c r="N539" s="11" t="s">
        <v>1607</v>
      </c>
      <c r="O539" s="11" t="s">
        <v>1190</v>
      </c>
      <c r="P539" s="11" t="s">
        <v>1807</v>
      </c>
      <c r="Q539" s="11" t="s">
        <v>135</v>
      </c>
      <c r="R539">
        <v>10184</v>
      </c>
      <c r="U539" s="11" t="s">
        <v>225</v>
      </c>
      <c r="V539" s="11" t="s">
        <v>137</v>
      </c>
      <c r="W539" s="13">
        <v>46302.314618055556</v>
      </c>
    </row>
    <row r="540" spans="1:23">
      <c r="A540">
        <v>266999</v>
      </c>
      <c r="B540">
        <v>9721</v>
      </c>
      <c r="C540" s="11" t="s">
        <v>129</v>
      </c>
      <c r="D540" s="11" t="s">
        <v>130</v>
      </c>
      <c r="E540" s="11" t="s">
        <v>25</v>
      </c>
      <c r="F540" s="12">
        <v>46171</v>
      </c>
      <c r="G540" s="11" t="s">
        <v>226</v>
      </c>
      <c r="H540">
        <v>1</v>
      </c>
      <c r="I540" s="11" t="s">
        <v>1859</v>
      </c>
      <c r="M540" s="11" t="s">
        <v>87</v>
      </c>
      <c r="N540" s="11" t="s">
        <v>1860</v>
      </c>
      <c r="O540" s="11" t="s">
        <v>1861</v>
      </c>
      <c r="P540" s="11" t="s">
        <v>1859</v>
      </c>
      <c r="Q540" s="11" t="s">
        <v>135</v>
      </c>
      <c r="U540" s="11" t="s">
        <v>231</v>
      </c>
      <c r="V540" s="11" t="s">
        <v>137</v>
      </c>
      <c r="W540" s="13">
        <v>46302.314618055556</v>
      </c>
    </row>
    <row r="541" spans="1:23">
      <c r="A541">
        <v>267000</v>
      </c>
      <c r="B541">
        <v>9722</v>
      </c>
      <c r="C541" s="11" t="s">
        <v>129</v>
      </c>
      <c r="D541" s="11" t="s">
        <v>130</v>
      </c>
      <c r="E541" s="11" t="s">
        <v>25</v>
      </c>
      <c r="F541" s="12">
        <v>46171</v>
      </c>
      <c r="G541" s="11" t="s">
        <v>308</v>
      </c>
      <c r="H541">
        <v>1</v>
      </c>
      <c r="I541" s="11" t="s">
        <v>1862</v>
      </c>
      <c r="M541" s="11" t="s">
        <v>90</v>
      </c>
      <c r="N541" s="11" t="s">
        <v>1863</v>
      </c>
      <c r="O541" s="11" t="s">
        <v>1864</v>
      </c>
      <c r="P541" s="11" t="s">
        <v>1862</v>
      </c>
      <c r="Q541" s="11" t="s">
        <v>135</v>
      </c>
      <c r="U541" s="11" t="s">
        <v>311</v>
      </c>
      <c r="V541" s="11" t="s">
        <v>137</v>
      </c>
      <c r="W541" s="13">
        <v>46302.314618055556</v>
      </c>
    </row>
    <row r="542" spans="1:23">
      <c r="A542">
        <v>267001</v>
      </c>
      <c r="B542">
        <v>9723</v>
      </c>
      <c r="C542" s="11" t="s">
        <v>129</v>
      </c>
      <c r="D542" s="11" t="s">
        <v>130</v>
      </c>
      <c r="E542" s="11" t="s">
        <v>25</v>
      </c>
      <c r="F542" s="12">
        <v>46171</v>
      </c>
      <c r="G542" s="11" t="s">
        <v>804</v>
      </c>
      <c r="H542">
        <v>4</v>
      </c>
      <c r="I542" s="11" t="s">
        <v>1865</v>
      </c>
      <c r="M542" s="11" t="s">
        <v>76</v>
      </c>
      <c r="N542" s="11" t="s">
        <v>1866</v>
      </c>
      <c r="O542" s="11" t="s">
        <v>1867</v>
      </c>
      <c r="P542" s="11" t="s">
        <v>1868</v>
      </c>
      <c r="Q542" s="11" t="s">
        <v>135</v>
      </c>
      <c r="U542" s="11" t="s">
        <v>808</v>
      </c>
      <c r="V542" s="11" t="s">
        <v>137</v>
      </c>
      <c r="W542" s="13">
        <v>46302.314618055556</v>
      </c>
    </row>
    <row r="543" spans="1:23">
      <c r="A543">
        <v>267002</v>
      </c>
      <c r="B543">
        <v>9724</v>
      </c>
      <c r="C543" s="11" t="s">
        <v>129</v>
      </c>
      <c r="D543" s="11" t="s">
        <v>130</v>
      </c>
      <c r="E543" s="11" t="s">
        <v>25</v>
      </c>
      <c r="F543" s="12">
        <v>46171</v>
      </c>
      <c r="G543" s="11" t="s">
        <v>666</v>
      </c>
      <c r="H543">
        <v>1</v>
      </c>
      <c r="I543" s="11" t="s">
        <v>1869</v>
      </c>
      <c r="M543" s="11" t="s">
        <v>95</v>
      </c>
      <c r="N543" s="11" t="s">
        <v>1870</v>
      </c>
      <c r="O543" s="11" t="s">
        <v>1871</v>
      </c>
      <c r="P543" s="11" t="s">
        <v>1869</v>
      </c>
      <c r="Q543" s="11" t="s">
        <v>135</v>
      </c>
      <c r="U543" s="11" t="s">
        <v>671</v>
      </c>
      <c r="V543" s="11" t="s">
        <v>137</v>
      </c>
      <c r="W543" s="13">
        <v>46302.314618055556</v>
      </c>
    </row>
    <row r="544" spans="1:23">
      <c r="A544">
        <v>267003</v>
      </c>
      <c r="B544">
        <v>9725</v>
      </c>
      <c r="C544" s="11" t="s">
        <v>129</v>
      </c>
      <c r="D544" s="11" t="s">
        <v>130</v>
      </c>
      <c r="E544" s="11" t="s">
        <v>25</v>
      </c>
      <c r="F544" s="12">
        <v>46171</v>
      </c>
      <c r="G544" s="11" t="s">
        <v>804</v>
      </c>
      <c r="H544">
        <v>2</v>
      </c>
      <c r="I544" s="11" t="s">
        <v>1872</v>
      </c>
      <c r="M544" s="11" t="s">
        <v>76</v>
      </c>
      <c r="N544" s="11" t="s">
        <v>1873</v>
      </c>
      <c r="O544" s="11" t="s">
        <v>1874</v>
      </c>
      <c r="P544" s="11" t="s">
        <v>1875</v>
      </c>
      <c r="Q544" s="11" t="s">
        <v>135</v>
      </c>
      <c r="U544" s="11" t="s">
        <v>808</v>
      </c>
      <c r="V544" s="11" t="s">
        <v>137</v>
      </c>
      <c r="W544" s="13">
        <v>46302.314618055556</v>
      </c>
    </row>
    <row r="545" spans="1:23">
      <c r="A545">
        <v>267004</v>
      </c>
      <c r="B545">
        <v>9726</v>
      </c>
      <c r="C545" s="11" t="s">
        <v>129</v>
      </c>
      <c r="D545" s="11" t="s">
        <v>130</v>
      </c>
      <c r="E545" s="11" t="s">
        <v>25</v>
      </c>
      <c r="F545" s="12">
        <v>46171</v>
      </c>
      <c r="G545" s="11" t="s">
        <v>1679</v>
      </c>
      <c r="H545">
        <v>1</v>
      </c>
      <c r="I545" s="11" t="s">
        <v>1758</v>
      </c>
      <c r="M545" s="11" t="s">
        <v>87</v>
      </c>
      <c r="N545" s="11" t="s">
        <v>1876</v>
      </c>
      <c r="O545" s="11" t="s">
        <v>1877</v>
      </c>
      <c r="P545" s="11" t="s">
        <v>1758</v>
      </c>
      <c r="Q545" s="11" t="s">
        <v>135</v>
      </c>
      <c r="U545" s="11" t="s">
        <v>1682</v>
      </c>
      <c r="V545" s="11" t="s">
        <v>137</v>
      </c>
      <c r="W545" s="13">
        <v>46302.314618055556</v>
      </c>
    </row>
    <row r="546" spans="1:23">
      <c r="A546">
        <v>267005</v>
      </c>
      <c r="B546">
        <v>9727</v>
      </c>
      <c r="C546" s="11" t="s">
        <v>129</v>
      </c>
      <c r="D546" s="11" t="s">
        <v>130</v>
      </c>
      <c r="E546" s="11" t="s">
        <v>25</v>
      </c>
      <c r="F546" s="12">
        <v>46171</v>
      </c>
      <c r="G546" s="11" t="s">
        <v>804</v>
      </c>
      <c r="H546">
        <v>2</v>
      </c>
      <c r="I546" s="11" t="s">
        <v>1878</v>
      </c>
      <c r="M546" s="11" t="s">
        <v>76</v>
      </c>
      <c r="N546" s="11" t="s">
        <v>1879</v>
      </c>
      <c r="O546" s="11" t="s">
        <v>1880</v>
      </c>
      <c r="P546" s="11" t="s">
        <v>1881</v>
      </c>
      <c r="Q546" s="11" t="s">
        <v>135</v>
      </c>
      <c r="U546" s="11" t="s">
        <v>808</v>
      </c>
      <c r="V546" s="11" t="s">
        <v>137</v>
      </c>
      <c r="W546" s="13">
        <v>46302.314618055556</v>
      </c>
    </row>
    <row r="547" spans="1:23">
      <c r="A547">
        <v>267006</v>
      </c>
      <c r="B547">
        <v>9728</v>
      </c>
      <c r="C547" s="11" t="s">
        <v>129</v>
      </c>
      <c r="D547" s="11" t="s">
        <v>130</v>
      </c>
      <c r="E547" s="11" t="s">
        <v>25</v>
      </c>
      <c r="F547" s="12">
        <v>46171</v>
      </c>
      <c r="G547" s="11" t="s">
        <v>1679</v>
      </c>
      <c r="H547">
        <v>1</v>
      </c>
      <c r="I547" s="11" t="s">
        <v>1882</v>
      </c>
      <c r="M547" s="11" t="s">
        <v>87</v>
      </c>
      <c r="N547" s="11" t="s">
        <v>1762</v>
      </c>
      <c r="O547" s="11" t="s">
        <v>1883</v>
      </c>
      <c r="P547" s="11" t="s">
        <v>1882</v>
      </c>
      <c r="Q547" s="11" t="s">
        <v>135</v>
      </c>
      <c r="U547" s="11" t="s">
        <v>1682</v>
      </c>
      <c r="V547" s="11" t="s">
        <v>137</v>
      </c>
      <c r="W547" s="13">
        <v>46302.314618055556</v>
      </c>
    </row>
    <row r="548" spans="1:23">
      <c r="A548">
        <v>267007</v>
      </c>
      <c r="B548">
        <v>9729</v>
      </c>
      <c r="C548" s="11" t="s">
        <v>129</v>
      </c>
      <c r="D548" s="11" t="s">
        <v>130</v>
      </c>
      <c r="E548" s="11" t="s">
        <v>25</v>
      </c>
      <c r="F548" s="12">
        <v>46171</v>
      </c>
      <c r="G548" s="11" t="s">
        <v>804</v>
      </c>
      <c r="H548">
        <v>2</v>
      </c>
      <c r="I548" s="11" t="s">
        <v>1498</v>
      </c>
      <c r="M548" s="11" t="s">
        <v>76</v>
      </c>
      <c r="N548" s="11" t="s">
        <v>1884</v>
      </c>
      <c r="O548" s="11" t="s">
        <v>1885</v>
      </c>
      <c r="P548" s="11" t="s">
        <v>1886</v>
      </c>
      <c r="Q548" s="11" t="s">
        <v>135</v>
      </c>
      <c r="U548" s="11" t="s">
        <v>808</v>
      </c>
      <c r="V548" s="11" t="s">
        <v>137</v>
      </c>
      <c r="W548" s="13">
        <v>46302.314618055556</v>
      </c>
    </row>
    <row r="549" spans="1:23">
      <c r="A549">
        <v>267008</v>
      </c>
      <c r="B549">
        <v>9730</v>
      </c>
      <c r="C549" s="11" t="s">
        <v>129</v>
      </c>
      <c r="D549" s="11" t="s">
        <v>130</v>
      </c>
      <c r="E549" s="11" t="s">
        <v>25</v>
      </c>
      <c r="F549" s="12">
        <v>46171</v>
      </c>
      <c r="G549" s="11" t="s">
        <v>823</v>
      </c>
      <c r="H549">
        <v>1</v>
      </c>
      <c r="I549" s="11" t="s">
        <v>1887</v>
      </c>
      <c r="M549" s="11" t="s">
        <v>92</v>
      </c>
      <c r="N549" s="11" t="s">
        <v>1888</v>
      </c>
      <c r="O549" s="11" t="s">
        <v>1889</v>
      </c>
      <c r="P549" s="11" t="s">
        <v>1887</v>
      </c>
      <c r="Q549" s="11" t="s">
        <v>135</v>
      </c>
      <c r="U549" s="11" t="s">
        <v>827</v>
      </c>
      <c r="V549" s="11" t="s">
        <v>137</v>
      </c>
      <c r="W549" s="13">
        <v>46302.314618055556</v>
      </c>
    </row>
    <row r="550" spans="1:23">
      <c r="A550">
        <v>267009</v>
      </c>
      <c r="B550">
        <v>9731</v>
      </c>
      <c r="C550" s="11" t="s">
        <v>129</v>
      </c>
      <c r="D550" s="11" t="s">
        <v>130</v>
      </c>
      <c r="E550" s="11" t="s">
        <v>25</v>
      </c>
      <c r="F550" s="12">
        <v>46171</v>
      </c>
      <c r="G550" s="11" t="s">
        <v>804</v>
      </c>
      <c r="H550">
        <v>3</v>
      </c>
      <c r="I550" s="11" t="s">
        <v>1890</v>
      </c>
      <c r="M550" s="11" t="s">
        <v>76</v>
      </c>
      <c r="N550" s="11" t="s">
        <v>1891</v>
      </c>
      <c r="O550" s="11" t="s">
        <v>1892</v>
      </c>
      <c r="P550" s="11" t="s">
        <v>1893</v>
      </c>
      <c r="Q550" s="11" t="s">
        <v>135</v>
      </c>
      <c r="U550" s="11" t="s">
        <v>808</v>
      </c>
      <c r="V550" s="11" t="s">
        <v>137</v>
      </c>
      <c r="W550" s="13">
        <v>46302.314618055556</v>
      </c>
    </row>
    <row r="551" spans="1:23">
      <c r="A551">
        <v>267010</v>
      </c>
      <c r="B551">
        <v>9732</v>
      </c>
      <c r="C551" s="11" t="s">
        <v>129</v>
      </c>
      <c r="D551" s="11" t="s">
        <v>130</v>
      </c>
      <c r="E551" s="11" t="s">
        <v>25</v>
      </c>
      <c r="F551" s="12">
        <v>46171</v>
      </c>
      <c r="G551" s="11" t="s">
        <v>1679</v>
      </c>
      <c r="H551">
        <v>1</v>
      </c>
      <c r="I551" s="11" t="s">
        <v>1894</v>
      </c>
      <c r="M551" s="11" t="s">
        <v>87</v>
      </c>
      <c r="N551" s="11" t="s">
        <v>1895</v>
      </c>
      <c r="O551" s="11" t="s">
        <v>1896</v>
      </c>
      <c r="P551" s="11" t="s">
        <v>1894</v>
      </c>
      <c r="Q551" s="11" t="s">
        <v>135</v>
      </c>
      <c r="U551" s="11" t="s">
        <v>1682</v>
      </c>
      <c r="V551" s="11" t="s">
        <v>137</v>
      </c>
      <c r="W551" s="13">
        <v>46302.314618055556</v>
      </c>
    </row>
    <row r="552" spans="1:23">
      <c r="A552">
        <v>267011</v>
      </c>
      <c r="B552">
        <v>9733</v>
      </c>
      <c r="C552" s="11" t="s">
        <v>129</v>
      </c>
      <c r="D552" s="11" t="s">
        <v>130</v>
      </c>
      <c r="E552" s="11" t="s">
        <v>25</v>
      </c>
      <c r="F552" s="12">
        <v>46171</v>
      </c>
      <c r="G552" s="11" t="s">
        <v>804</v>
      </c>
      <c r="H552">
        <v>1</v>
      </c>
      <c r="I552" s="11" t="s">
        <v>1142</v>
      </c>
      <c r="M552" s="11" t="s">
        <v>76</v>
      </c>
      <c r="N552" s="11" t="s">
        <v>1897</v>
      </c>
      <c r="O552" s="11" t="s">
        <v>1898</v>
      </c>
      <c r="P552" s="11" t="s">
        <v>1142</v>
      </c>
      <c r="Q552" s="11" t="s">
        <v>135</v>
      </c>
      <c r="U552" s="11" t="s">
        <v>808</v>
      </c>
      <c r="V552" s="11" t="s">
        <v>137</v>
      </c>
      <c r="W552" s="13">
        <v>46302.314618055556</v>
      </c>
    </row>
    <row r="553" spans="1:23">
      <c r="A553">
        <v>267012</v>
      </c>
      <c r="B553">
        <v>9734</v>
      </c>
      <c r="C553" s="11" t="s">
        <v>129</v>
      </c>
      <c r="D553" s="11" t="s">
        <v>130</v>
      </c>
      <c r="E553" s="11" t="s">
        <v>25</v>
      </c>
      <c r="F553" s="12">
        <v>46171</v>
      </c>
      <c r="G553" s="11" t="s">
        <v>1679</v>
      </c>
      <c r="H553">
        <v>1</v>
      </c>
      <c r="I553" s="11" t="s">
        <v>1899</v>
      </c>
      <c r="M553" s="11" t="s">
        <v>87</v>
      </c>
      <c r="N553" s="11" t="s">
        <v>1900</v>
      </c>
      <c r="O553" s="11" t="s">
        <v>1901</v>
      </c>
      <c r="P553" s="11" t="s">
        <v>1899</v>
      </c>
      <c r="Q553" s="11" t="s">
        <v>135</v>
      </c>
      <c r="U553" s="11" t="s">
        <v>1682</v>
      </c>
      <c r="V553" s="11" t="s">
        <v>137</v>
      </c>
      <c r="W553" s="13">
        <v>46302.314618055556</v>
      </c>
    </row>
    <row r="554" spans="1:23">
      <c r="A554">
        <v>267013</v>
      </c>
      <c r="B554">
        <v>9735</v>
      </c>
      <c r="C554" s="11" t="s">
        <v>129</v>
      </c>
      <c r="D554" s="11" t="s">
        <v>130</v>
      </c>
      <c r="E554" s="11" t="s">
        <v>25</v>
      </c>
      <c r="F554" s="12">
        <v>46171</v>
      </c>
      <c r="G554" s="11" t="s">
        <v>804</v>
      </c>
      <c r="H554">
        <v>1</v>
      </c>
      <c r="I554" s="11" t="s">
        <v>1902</v>
      </c>
      <c r="M554" s="11" t="s">
        <v>76</v>
      </c>
      <c r="N554" s="11" t="s">
        <v>1903</v>
      </c>
      <c r="O554" s="11" t="s">
        <v>1904</v>
      </c>
      <c r="P554" s="11" t="s">
        <v>1902</v>
      </c>
      <c r="Q554" s="11" t="s">
        <v>135</v>
      </c>
      <c r="U554" s="11" t="s">
        <v>808</v>
      </c>
      <c r="V554" s="11" t="s">
        <v>137</v>
      </c>
      <c r="W554" s="13">
        <v>46302.314618055556</v>
      </c>
    </row>
    <row r="555" spans="1:23">
      <c r="A555">
        <v>267014</v>
      </c>
      <c r="B555">
        <v>9736</v>
      </c>
      <c r="C555" s="11" t="s">
        <v>129</v>
      </c>
      <c r="D555" s="11" t="s">
        <v>130</v>
      </c>
      <c r="E555" s="11" t="s">
        <v>25</v>
      </c>
      <c r="F555" s="12">
        <v>46171</v>
      </c>
      <c r="G555" s="11" t="s">
        <v>804</v>
      </c>
      <c r="H555">
        <v>1</v>
      </c>
      <c r="I555" s="11" t="s">
        <v>1905</v>
      </c>
      <c r="M555" s="11" t="s">
        <v>76</v>
      </c>
      <c r="N555" s="11" t="s">
        <v>1906</v>
      </c>
      <c r="O555" s="11" t="s">
        <v>1907</v>
      </c>
      <c r="P555" s="11" t="s">
        <v>1905</v>
      </c>
      <c r="Q555" s="11" t="s">
        <v>135</v>
      </c>
      <c r="U555" s="11" t="s">
        <v>808</v>
      </c>
      <c r="V555" s="11" t="s">
        <v>137</v>
      </c>
      <c r="W555" s="13">
        <v>46302.314618055556</v>
      </c>
    </row>
    <row r="556" spans="1:23">
      <c r="A556">
        <v>267015</v>
      </c>
      <c r="B556">
        <v>9737</v>
      </c>
      <c r="C556" s="11" t="s">
        <v>129</v>
      </c>
      <c r="D556" s="11" t="s">
        <v>130</v>
      </c>
      <c r="E556" s="11" t="s">
        <v>25</v>
      </c>
      <c r="F556" s="12">
        <v>46171</v>
      </c>
      <c r="G556" s="11" t="s">
        <v>804</v>
      </c>
      <c r="H556">
        <v>2</v>
      </c>
      <c r="I556" s="11" t="s">
        <v>1908</v>
      </c>
      <c r="M556" s="11" t="s">
        <v>76</v>
      </c>
      <c r="N556" s="11" t="s">
        <v>1909</v>
      </c>
      <c r="O556" s="11" t="s">
        <v>1910</v>
      </c>
      <c r="P556" s="11" t="s">
        <v>943</v>
      </c>
      <c r="Q556" s="11" t="s">
        <v>1911</v>
      </c>
      <c r="U556" s="11" t="s">
        <v>808</v>
      </c>
      <c r="V556" s="11" t="s">
        <v>137</v>
      </c>
      <c r="W556" s="13">
        <v>46302.314618055556</v>
      </c>
    </row>
    <row r="557" spans="1:23">
      <c r="A557">
        <v>267016</v>
      </c>
      <c r="B557">
        <v>9739</v>
      </c>
      <c r="C557" s="11" t="s">
        <v>129</v>
      </c>
      <c r="D557" s="11" t="s">
        <v>130</v>
      </c>
      <c r="E557" s="11" t="s">
        <v>25</v>
      </c>
      <c r="F557" s="12">
        <v>46171</v>
      </c>
      <c r="G557" s="11" t="s">
        <v>1679</v>
      </c>
      <c r="H557">
        <v>1</v>
      </c>
      <c r="I557" s="11" t="s">
        <v>1807</v>
      </c>
      <c r="M557" s="11" t="s">
        <v>87</v>
      </c>
      <c r="N557" s="11" t="s">
        <v>1912</v>
      </c>
      <c r="O557" s="11" t="s">
        <v>1913</v>
      </c>
      <c r="P557" s="11" t="s">
        <v>1807</v>
      </c>
      <c r="Q557" s="11" t="s">
        <v>135</v>
      </c>
      <c r="U557" s="11" t="s">
        <v>1682</v>
      </c>
      <c r="V557" s="11" t="s">
        <v>137</v>
      </c>
      <c r="W557" s="13">
        <v>46302.314618055556</v>
      </c>
    </row>
    <row r="558" spans="1:23">
      <c r="A558">
        <v>267017</v>
      </c>
      <c r="B558">
        <v>9740</v>
      </c>
      <c r="C558" s="11" t="s">
        <v>129</v>
      </c>
      <c r="D558" s="11" t="s">
        <v>130</v>
      </c>
      <c r="E558" s="11" t="s">
        <v>25</v>
      </c>
      <c r="F558" s="12">
        <v>46171</v>
      </c>
      <c r="G558" s="11" t="s">
        <v>804</v>
      </c>
      <c r="H558">
        <v>3</v>
      </c>
      <c r="I558" s="11" t="s">
        <v>1914</v>
      </c>
      <c r="M558" s="11" t="s">
        <v>76</v>
      </c>
      <c r="N558" s="11" t="s">
        <v>1915</v>
      </c>
      <c r="O558" s="11" t="s">
        <v>1916</v>
      </c>
      <c r="P558" s="11" t="s">
        <v>1917</v>
      </c>
      <c r="Q558" s="11" t="s">
        <v>135</v>
      </c>
      <c r="U558" s="11" t="s">
        <v>808</v>
      </c>
      <c r="V558" s="11" t="s">
        <v>137</v>
      </c>
      <c r="W558" s="13">
        <v>46302.314618055556</v>
      </c>
    </row>
    <row r="559" spans="1:23">
      <c r="A559">
        <v>267018</v>
      </c>
      <c r="B559">
        <v>9741</v>
      </c>
      <c r="C559" s="11" t="s">
        <v>129</v>
      </c>
      <c r="D559" s="11" t="s">
        <v>130</v>
      </c>
      <c r="E559" s="11" t="s">
        <v>25</v>
      </c>
      <c r="F559" s="12">
        <v>46171</v>
      </c>
      <c r="G559" s="11" t="s">
        <v>226</v>
      </c>
      <c r="H559">
        <v>1</v>
      </c>
      <c r="I559" s="11" t="s">
        <v>1918</v>
      </c>
      <c r="M559" s="11" t="s">
        <v>87</v>
      </c>
      <c r="N559" s="11" t="s">
        <v>1919</v>
      </c>
      <c r="O559" s="11" t="s">
        <v>1920</v>
      </c>
      <c r="P559" s="11" t="s">
        <v>1918</v>
      </c>
      <c r="Q559" s="11" t="s">
        <v>135</v>
      </c>
      <c r="U559" s="11" t="s">
        <v>231</v>
      </c>
      <c r="V559" s="11" t="s">
        <v>137</v>
      </c>
      <c r="W559" s="13">
        <v>46302.314618055556</v>
      </c>
    </row>
    <row r="560" spans="1:23">
      <c r="A560">
        <v>267019</v>
      </c>
      <c r="B560">
        <v>9738</v>
      </c>
      <c r="C560" s="11" t="s">
        <v>129</v>
      </c>
      <c r="D560" s="11" t="s">
        <v>130</v>
      </c>
      <c r="E560" s="11" t="s">
        <v>25</v>
      </c>
      <c r="F560" s="12">
        <v>46171</v>
      </c>
      <c r="G560" s="11" t="s">
        <v>1921</v>
      </c>
      <c r="H560">
        <v>1</v>
      </c>
      <c r="I560" s="11" t="s">
        <v>1911</v>
      </c>
      <c r="M560" s="11" t="s">
        <v>96</v>
      </c>
      <c r="N560" s="11" t="s">
        <v>1922</v>
      </c>
      <c r="O560" s="11" t="s">
        <v>1318</v>
      </c>
      <c r="P560" s="11" t="s">
        <v>1911</v>
      </c>
      <c r="Q560" s="11" t="s">
        <v>135</v>
      </c>
      <c r="R560">
        <v>9737</v>
      </c>
      <c r="U560" s="11" t="s">
        <v>1923</v>
      </c>
      <c r="V560" s="11" t="s">
        <v>137</v>
      </c>
      <c r="W560" s="13">
        <v>46302.314618055556</v>
      </c>
    </row>
    <row r="561" spans="1:23">
      <c r="A561">
        <v>267553</v>
      </c>
      <c r="B561">
        <v>10250</v>
      </c>
      <c r="C561" s="11" t="s">
        <v>129</v>
      </c>
      <c r="D561" s="11" t="s">
        <v>130</v>
      </c>
      <c r="E561" s="11" t="s">
        <v>25</v>
      </c>
      <c r="F561" s="12">
        <v>46174</v>
      </c>
      <c r="G561" s="11" t="s">
        <v>226</v>
      </c>
      <c r="H561">
        <v>1</v>
      </c>
      <c r="I561" s="11" t="s">
        <v>1924</v>
      </c>
      <c r="M561" s="11" t="s">
        <v>87</v>
      </c>
      <c r="N561" s="11" t="s">
        <v>1925</v>
      </c>
      <c r="O561" s="11" t="s">
        <v>1926</v>
      </c>
      <c r="P561" s="11" t="s">
        <v>1924</v>
      </c>
      <c r="Q561" s="11" t="s">
        <v>135</v>
      </c>
      <c r="U561" s="11" t="s">
        <v>231</v>
      </c>
      <c r="V561" s="11" t="s">
        <v>137</v>
      </c>
      <c r="W561" s="13">
        <v>46302.314618055556</v>
      </c>
    </row>
    <row r="562" spans="1:23">
      <c r="A562">
        <v>267554</v>
      </c>
      <c r="B562">
        <v>10251</v>
      </c>
      <c r="C562" s="11" t="s">
        <v>129</v>
      </c>
      <c r="D562" s="11" t="s">
        <v>130</v>
      </c>
      <c r="E562" s="11" t="s">
        <v>25</v>
      </c>
      <c r="F562" s="12">
        <v>46174</v>
      </c>
      <c r="G562" s="11" t="s">
        <v>804</v>
      </c>
      <c r="H562">
        <v>3</v>
      </c>
      <c r="I562" s="11" t="s">
        <v>1211</v>
      </c>
      <c r="M562" s="11" t="s">
        <v>76</v>
      </c>
      <c r="N562" s="11" t="s">
        <v>1927</v>
      </c>
      <c r="O562" s="11" t="s">
        <v>1928</v>
      </c>
      <c r="P562" s="11" t="s">
        <v>1557</v>
      </c>
      <c r="Q562" s="11" t="s">
        <v>1764</v>
      </c>
      <c r="U562" s="11" t="s">
        <v>808</v>
      </c>
      <c r="V562" s="11" t="s">
        <v>137</v>
      </c>
      <c r="W562" s="13">
        <v>46302.314618055556</v>
      </c>
    </row>
    <row r="563" spans="1:23">
      <c r="A563">
        <v>267555</v>
      </c>
      <c r="B563">
        <v>10253</v>
      </c>
      <c r="C563" s="11" t="s">
        <v>129</v>
      </c>
      <c r="D563" s="11" t="s">
        <v>130</v>
      </c>
      <c r="E563" s="11" t="s">
        <v>25</v>
      </c>
      <c r="F563" s="12">
        <v>46174</v>
      </c>
      <c r="G563" s="11" t="s">
        <v>1679</v>
      </c>
      <c r="H563">
        <v>1</v>
      </c>
      <c r="I563" s="11" t="s">
        <v>1929</v>
      </c>
      <c r="M563" s="11" t="s">
        <v>87</v>
      </c>
      <c r="N563" s="11" t="s">
        <v>1930</v>
      </c>
      <c r="O563" s="11" t="s">
        <v>1931</v>
      </c>
      <c r="P563" s="11" t="s">
        <v>1929</v>
      </c>
      <c r="Q563" s="11" t="s">
        <v>135</v>
      </c>
      <c r="U563" s="11" t="s">
        <v>1682</v>
      </c>
      <c r="V563" s="11" t="s">
        <v>137</v>
      </c>
      <c r="W563" s="13">
        <v>46302.314618055556</v>
      </c>
    </row>
    <row r="564" spans="1:23">
      <c r="A564">
        <v>267556</v>
      </c>
      <c r="B564">
        <v>10254</v>
      </c>
      <c r="C564" s="11" t="s">
        <v>129</v>
      </c>
      <c r="D564" s="11" t="s">
        <v>130</v>
      </c>
      <c r="E564" s="11" t="s">
        <v>25</v>
      </c>
      <c r="F564" s="12">
        <v>46174</v>
      </c>
      <c r="G564" s="11" t="s">
        <v>804</v>
      </c>
      <c r="H564">
        <v>3</v>
      </c>
      <c r="I564" s="11" t="s">
        <v>1932</v>
      </c>
      <c r="M564" s="11" t="s">
        <v>76</v>
      </c>
      <c r="N564" s="11" t="s">
        <v>1933</v>
      </c>
      <c r="O564" s="11" t="s">
        <v>1934</v>
      </c>
      <c r="P564" s="11" t="s">
        <v>856</v>
      </c>
      <c r="Q564" s="11" t="s">
        <v>135</v>
      </c>
      <c r="U564" s="11" t="s">
        <v>808</v>
      </c>
      <c r="V564" s="11" t="s">
        <v>137</v>
      </c>
      <c r="W564" s="13">
        <v>46302.314618055556</v>
      </c>
    </row>
    <row r="565" spans="1:23">
      <c r="A565">
        <v>267557</v>
      </c>
      <c r="B565">
        <v>10255</v>
      </c>
      <c r="C565" s="11" t="s">
        <v>129</v>
      </c>
      <c r="D565" s="11" t="s">
        <v>130</v>
      </c>
      <c r="E565" s="11" t="s">
        <v>25</v>
      </c>
      <c r="F565" s="12">
        <v>46174</v>
      </c>
      <c r="G565" s="11" t="s">
        <v>1679</v>
      </c>
      <c r="H565">
        <v>1</v>
      </c>
      <c r="I565" s="11" t="s">
        <v>1935</v>
      </c>
      <c r="M565" s="11" t="s">
        <v>87</v>
      </c>
      <c r="N565" s="11" t="s">
        <v>1936</v>
      </c>
      <c r="O565" s="11" t="s">
        <v>1937</v>
      </c>
      <c r="P565" s="11" t="s">
        <v>1935</v>
      </c>
      <c r="Q565" s="11" t="s">
        <v>135</v>
      </c>
      <c r="U565" s="11" t="s">
        <v>1682</v>
      </c>
      <c r="V565" s="11" t="s">
        <v>137</v>
      </c>
      <c r="W565" s="13">
        <v>46302.314618055556</v>
      </c>
    </row>
    <row r="566" spans="1:23">
      <c r="A566">
        <v>267558</v>
      </c>
      <c r="B566">
        <v>10256</v>
      </c>
      <c r="C566" s="11" t="s">
        <v>129</v>
      </c>
      <c r="D566" s="11" t="s">
        <v>130</v>
      </c>
      <c r="E566" s="11" t="s">
        <v>25</v>
      </c>
      <c r="F566" s="12">
        <v>46174</v>
      </c>
      <c r="G566" s="11" t="s">
        <v>804</v>
      </c>
      <c r="H566">
        <v>3</v>
      </c>
      <c r="I566" s="11" t="s">
        <v>1938</v>
      </c>
      <c r="M566" s="11" t="s">
        <v>76</v>
      </c>
      <c r="N566" s="11" t="s">
        <v>1939</v>
      </c>
      <c r="O566" s="11" t="s">
        <v>1940</v>
      </c>
      <c r="P566" s="11" t="s">
        <v>1941</v>
      </c>
      <c r="Q566" s="11" t="s">
        <v>135</v>
      </c>
      <c r="U566" s="11" t="s">
        <v>808</v>
      </c>
      <c r="V566" s="11" t="s">
        <v>137</v>
      </c>
      <c r="W566" s="13">
        <v>46302.314618055556</v>
      </c>
    </row>
    <row r="567" spans="1:23">
      <c r="A567">
        <v>267559</v>
      </c>
      <c r="B567">
        <v>10257</v>
      </c>
      <c r="C567" s="11" t="s">
        <v>129</v>
      </c>
      <c r="D567" s="11" t="s">
        <v>130</v>
      </c>
      <c r="E567" s="11" t="s">
        <v>25</v>
      </c>
      <c r="F567" s="12">
        <v>46174</v>
      </c>
      <c r="G567" s="11" t="s">
        <v>823</v>
      </c>
      <c r="H567">
        <v>1</v>
      </c>
      <c r="I567" s="11" t="s">
        <v>1942</v>
      </c>
      <c r="M567" s="11" t="s">
        <v>92</v>
      </c>
      <c r="N567" s="11" t="s">
        <v>1943</v>
      </c>
      <c r="O567" s="11" t="s">
        <v>1944</v>
      </c>
      <c r="P567" s="11" t="s">
        <v>1942</v>
      </c>
      <c r="Q567" s="11" t="s">
        <v>135</v>
      </c>
      <c r="U567" s="11" t="s">
        <v>827</v>
      </c>
      <c r="V567" s="11" t="s">
        <v>137</v>
      </c>
      <c r="W567" s="13">
        <v>46302.314618055556</v>
      </c>
    </row>
    <row r="568" spans="1:23">
      <c r="A568">
        <v>267560</v>
      </c>
      <c r="B568">
        <v>10258</v>
      </c>
      <c r="C568" s="11" t="s">
        <v>129</v>
      </c>
      <c r="D568" s="11" t="s">
        <v>130</v>
      </c>
      <c r="E568" s="11" t="s">
        <v>25</v>
      </c>
      <c r="F568" s="12">
        <v>46174</v>
      </c>
      <c r="G568" s="11" t="s">
        <v>1052</v>
      </c>
      <c r="H568">
        <v>1</v>
      </c>
      <c r="I568" s="11" t="s">
        <v>1945</v>
      </c>
      <c r="M568" s="11" t="s">
        <v>84</v>
      </c>
      <c r="N568" s="11" t="s">
        <v>1946</v>
      </c>
      <c r="O568" s="11" t="s">
        <v>1947</v>
      </c>
      <c r="P568" s="11" t="s">
        <v>1945</v>
      </c>
      <c r="Q568" s="11" t="s">
        <v>1447</v>
      </c>
      <c r="U568" s="11" t="s">
        <v>1056</v>
      </c>
      <c r="V568" s="11" t="s">
        <v>137</v>
      </c>
      <c r="W568" s="13">
        <v>46302.314618055556</v>
      </c>
    </row>
    <row r="569" spans="1:23">
      <c r="A569">
        <v>267561</v>
      </c>
      <c r="B569">
        <v>10260</v>
      </c>
      <c r="C569" s="11" t="s">
        <v>129</v>
      </c>
      <c r="D569" s="11" t="s">
        <v>130</v>
      </c>
      <c r="E569" s="11" t="s">
        <v>25</v>
      </c>
      <c r="F569" s="12">
        <v>46174</v>
      </c>
      <c r="G569" s="11" t="s">
        <v>226</v>
      </c>
      <c r="H569">
        <v>1</v>
      </c>
      <c r="I569" s="11" t="s">
        <v>1948</v>
      </c>
      <c r="M569" s="11" t="s">
        <v>87</v>
      </c>
      <c r="N569" s="11" t="s">
        <v>1949</v>
      </c>
      <c r="O569" s="11" t="s">
        <v>1445</v>
      </c>
      <c r="P569" s="11" t="s">
        <v>1948</v>
      </c>
      <c r="Q569" s="11" t="s">
        <v>135</v>
      </c>
      <c r="U569" s="11" t="s">
        <v>231</v>
      </c>
      <c r="V569" s="11" t="s">
        <v>137</v>
      </c>
      <c r="W569" s="13">
        <v>46302.314618055556</v>
      </c>
    </row>
    <row r="570" spans="1:23">
      <c r="A570">
        <v>267562</v>
      </c>
      <c r="B570">
        <v>10261</v>
      </c>
      <c r="C570" s="11" t="s">
        <v>129</v>
      </c>
      <c r="D570" s="11" t="s">
        <v>130</v>
      </c>
      <c r="E570" s="11" t="s">
        <v>25</v>
      </c>
      <c r="F570" s="12">
        <v>46174</v>
      </c>
      <c r="G570" s="11" t="s">
        <v>804</v>
      </c>
      <c r="H570">
        <v>1</v>
      </c>
      <c r="I570" s="11" t="s">
        <v>1950</v>
      </c>
      <c r="M570" s="11" t="s">
        <v>76</v>
      </c>
      <c r="N570" s="11" t="s">
        <v>1951</v>
      </c>
      <c r="O570" s="11" t="s">
        <v>1952</v>
      </c>
      <c r="P570" s="11" t="s">
        <v>1950</v>
      </c>
      <c r="Q570" s="11" t="s">
        <v>135</v>
      </c>
      <c r="U570" s="11" t="s">
        <v>808</v>
      </c>
      <c r="V570" s="11" t="s">
        <v>137</v>
      </c>
      <c r="W570" s="13">
        <v>46302.314618055556</v>
      </c>
    </row>
    <row r="571" spans="1:23">
      <c r="A571">
        <v>267563</v>
      </c>
      <c r="B571">
        <v>10262</v>
      </c>
      <c r="C571" s="11" t="s">
        <v>129</v>
      </c>
      <c r="D571" s="11" t="s">
        <v>130</v>
      </c>
      <c r="E571" s="11" t="s">
        <v>25</v>
      </c>
      <c r="F571" s="12">
        <v>46174</v>
      </c>
      <c r="G571" s="11" t="s">
        <v>1953</v>
      </c>
      <c r="H571">
        <v>1</v>
      </c>
      <c r="I571" s="11" t="s">
        <v>433</v>
      </c>
      <c r="M571" s="11" t="s">
        <v>95</v>
      </c>
      <c r="N571" s="11" t="s">
        <v>1954</v>
      </c>
      <c r="O571" s="11" t="s">
        <v>1955</v>
      </c>
      <c r="P571" s="11" t="s">
        <v>433</v>
      </c>
      <c r="Q571" s="11" t="s">
        <v>135</v>
      </c>
      <c r="U571" s="11" t="s">
        <v>1956</v>
      </c>
      <c r="V571" s="11" t="s">
        <v>137</v>
      </c>
      <c r="W571" s="13">
        <v>46302.314618055556</v>
      </c>
    </row>
    <row r="572" spans="1:23">
      <c r="A572">
        <v>267564</v>
      </c>
      <c r="B572">
        <v>10263</v>
      </c>
      <c r="C572" s="11" t="s">
        <v>129</v>
      </c>
      <c r="D572" s="11" t="s">
        <v>130</v>
      </c>
      <c r="E572" s="11" t="s">
        <v>25</v>
      </c>
      <c r="F572" s="12">
        <v>46174</v>
      </c>
      <c r="G572" s="11" t="s">
        <v>804</v>
      </c>
      <c r="H572">
        <v>2</v>
      </c>
      <c r="I572" s="11" t="s">
        <v>1957</v>
      </c>
      <c r="M572" s="11" t="s">
        <v>76</v>
      </c>
      <c r="N572" s="11" t="s">
        <v>1958</v>
      </c>
      <c r="O572" s="11" t="s">
        <v>1959</v>
      </c>
      <c r="P572" s="11" t="s">
        <v>1960</v>
      </c>
      <c r="Q572" s="11" t="s">
        <v>135</v>
      </c>
      <c r="U572" s="11" t="s">
        <v>808</v>
      </c>
      <c r="V572" s="11" t="s">
        <v>137</v>
      </c>
      <c r="W572" s="13">
        <v>46302.314618055556</v>
      </c>
    </row>
    <row r="573" spans="1:23">
      <c r="A573">
        <v>267565</v>
      </c>
      <c r="B573">
        <v>10264</v>
      </c>
      <c r="C573" s="11" t="s">
        <v>129</v>
      </c>
      <c r="D573" s="11" t="s">
        <v>130</v>
      </c>
      <c r="E573" s="11" t="s">
        <v>25</v>
      </c>
      <c r="F573" s="12">
        <v>46174</v>
      </c>
      <c r="G573" s="11" t="s">
        <v>312</v>
      </c>
      <c r="H573">
        <v>1</v>
      </c>
      <c r="I573" s="11" t="s">
        <v>1961</v>
      </c>
      <c r="M573" s="11" t="s">
        <v>86</v>
      </c>
      <c r="N573" s="11" t="s">
        <v>1962</v>
      </c>
      <c r="O573" s="11" t="s">
        <v>1963</v>
      </c>
      <c r="P573" s="11" t="s">
        <v>1961</v>
      </c>
      <c r="Q573" s="11" t="s">
        <v>135</v>
      </c>
      <c r="U573" s="11" t="s">
        <v>315</v>
      </c>
      <c r="V573" s="11" t="s">
        <v>137</v>
      </c>
      <c r="W573" s="13">
        <v>46302.314618055556</v>
      </c>
    </row>
    <row r="574" spans="1:23">
      <c r="A574">
        <v>267566</v>
      </c>
      <c r="B574">
        <v>10265</v>
      </c>
      <c r="C574" s="11" t="s">
        <v>129</v>
      </c>
      <c r="D574" s="11" t="s">
        <v>130</v>
      </c>
      <c r="E574" s="11" t="s">
        <v>25</v>
      </c>
      <c r="F574" s="12">
        <v>46174</v>
      </c>
      <c r="G574" s="11" t="s">
        <v>242</v>
      </c>
      <c r="H574">
        <v>2</v>
      </c>
      <c r="I574" s="11" t="s">
        <v>1964</v>
      </c>
      <c r="M574" s="11" t="s">
        <v>76</v>
      </c>
      <c r="N574" s="11" t="s">
        <v>1965</v>
      </c>
      <c r="O574" s="11" t="s">
        <v>1966</v>
      </c>
      <c r="P574" s="11" t="s">
        <v>1967</v>
      </c>
      <c r="Q574" s="11" t="s">
        <v>135</v>
      </c>
      <c r="U574" s="11" t="s">
        <v>245</v>
      </c>
      <c r="V574" s="11" t="s">
        <v>137</v>
      </c>
      <c r="W574" s="13">
        <v>46302.314618055556</v>
      </c>
    </row>
    <row r="575" spans="1:23">
      <c r="A575">
        <v>267567</v>
      </c>
      <c r="B575">
        <v>10252</v>
      </c>
      <c r="C575" s="11" t="s">
        <v>129</v>
      </c>
      <c r="D575" s="11" t="s">
        <v>130</v>
      </c>
      <c r="E575" s="11" t="s">
        <v>25</v>
      </c>
      <c r="F575" s="12">
        <v>46174</v>
      </c>
      <c r="G575" s="11" t="s">
        <v>308</v>
      </c>
      <c r="H575">
        <v>1</v>
      </c>
      <c r="I575" s="11" t="s">
        <v>1764</v>
      </c>
      <c r="M575" s="11" t="s">
        <v>90</v>
      </c>
      <c r="N575" s="11" t="s">
        <v>1968</v>
      </c>
      <c r="O575" s="11" t="s">
        <v>1969</v>
      </c>
      <c r="P575" s="11" t="s">
        <v>1764</v>
      </c>
      <c r="Q575" s="11" t="s">
        <v>135</v>
      </c>
      <c r="R575">
        <v>10251</v>
      </c>
      <c r="U575" s="11" t="s">
        <v>311</v>
      </c>
      <c r="V575" s="11" t="s">
        <v>137</v>
      </c>
      <c r="W575" s="13">
        <v>46302.314618055556</v>
      </c>
    </row>
    <row r="576" spans="1:23">
      <c r="A576">
        <v>267568</v>
      </c>
      <c r="B576">
        <v>10259</v>
      </c>
      <c r="C576" s="11" t="s">
        <v>129</v>
      </c>
      <c r="D576" s="11" t="s">
        <v>130</v>
      </c>
      <c r="E576" s="11" t="s">
        <v>25</v>
      </c>
      <c r="F576" s="12">
        <v>46174</v>
      </c>
      <c r="G576" s="11" t="s">
        <v>308</v>
      </c>
      <c r="H576">
        <v>1</v>
      </c>
      <c r="I576" s="11" t="s">
        <v>1447</v>
      </c>
      <c r="M576" s="11" t="s">
        <v>90</v>
      </c>
      <c r="N576" s="11" t="s">
        <v>1970</v>
      </c>
      <c r="O576" s="11" t="s">
        <v>1971</v>
      </c>
      <c r="P576" s="11" t="s">
        <v>1447</v>
      </c>
      <c r="Q576" s="11" t="s">
        <v>135</v>
      </c>
      <c r="R576">
        <v>10258</v>
      </c>
      <c r="U576" s="11" t="s">
        <v>311</v>
      </c>
      <c r="V576" s="11" t="s">
        <v>137</v>
      </c>
      <c r="W576" s="13">
        <v>46302.314618055556</v>
      </c>
    </row>
    <row r="577" spans="1:23">
      <c r="A577">
        <v>267726</v>
      </c>
      <c r="B577">
        <v>9762</v>
      </c>
      <c r="C577" s="11" t="s">
        <v>129</v>
      </c>
      <c r="D577" s="11" t="s">
        <v>130</v>
      </c>
      <c r="E577" s="11" t="s">
        <v>25</v>
      </c>
      <c r="F577" s="12">
        <v>46175</v>
      </c>
      <c r="G577" s="11" t="s">
        <v>131</v>
      </c>
      <c r="H577">
        <v>1</v>
      </c>
      <c r="I577" s="11" t="s">
        <v>1972</v>
      </c>
      <c r="M577" s="11" t="s">
        <v>87</v>
      </c>
      <c r="N577" s="11" t="s">
        <v>1973</v>
      </c>
      <c r="O577" s="11" t="s">
        <v>1974</v>
      </c>
      <c r="P577" s="11" t="s">
        <v>1972</v>
      </c>
      <c r="Q577" s="11" t="s">
        <v>135</v>
      </c>
      <c r="U577" s="11" t="s">
        <v>136</v>
      </c>
      <c r="V577" s="11" t="s">
        <v>137</v>
      </c>
      <c r="W577" s="13">
        <v>46302.314618055556</v>
      </c>
    </row>
    <row r="578" spans="1:23">
      <c r="A578">
        <v>267727</v>
      </c>
      <c r="B578">
        <v>9763</v>
      </c>
      <c r="C578" s="11" t="s">
        <v>129</v>
      </c>
      <c r="D578" s="11" t="s">
        <v>130</v>
      </c>
      <c r="E578" s="11" t="s">
        <v>25</v>
      </c>
      <c r="F578" s="12">
        <v>46175</v>
      </c>
      <c r="G578" s="11" t="s">
        <v>138</v>
      </c>
      <c r="H578">
        <v>1</v>
      </c>
      <c r="I578" s="11" t="s">
        <v>1975</v>
      </c>
      <c r="M578" s="11" t="s">
        <v>89</v>
      </c>
      <c r="N578" s="11" t="s">
        <v>1976</v>
      </c>
      <c r="O578" s="11" t="s">
        <v>1977</v>
      </c>
      <c r="P578" s="11" t="s">
        <v>1975</v>
      </c>
      <c r="Q578" s="11" t="s">
        <v>135</v>
      </c>
      <c r="U578" s="11" t="s">
        <v>142</v>
      </c>
      <c r="V578" s="11" t="s">
        <v>137</v>
      </c>
      <c r="W578" s="13">
        <v>46302.314618055556</v>
      </c>
    </row>
    <row r="579" spans="1:23">
      <c r="A579">
        <v>267728</v>
      </c>
      <c r="B579">
        <v>9764</v>
      </c>
      <c r="C579" s="11" t="s">
        <v>129</v>
      </c>
      <c r="D579" s="11" t="s">
        <v>130</v>
      </c>
      <c r="E579" s="11" t="s">
        <v>25</v>
      </c>
      <c r="F579" s="12">
        <v>46175</v>
      </c>
      <c r="G579" s="11" t="s">
        <v>164</v>
      </c>
      <c r="H579">
        <v>3</v>
      </c>
      <c r="I579" s="11" t="s">
        <v>1978</v>
      </c>
      <c r="M579" s="11" t="s">
        <v>62</v>
      </c>
      <c r="N579" s="11" t="s">
        <v>1979</v>
      </c>
      <c r="O579" s="11" t="s">
        <v>1980</v>
      </c>
      <c r="P579" s="11" t="s">
        <v>1981</v>
      </c>
      <c r="Q579" s="11" t="s">
        <v>1982</v>
      </c>
      <c r="U579" s="11" t="s">
        <v>168</v>
      </c>
      <c r="V579" s="11" t="s">
        <v>137</v>
      </c>
      <c r="W579" s="13">
        <v>46302.314618055556</v>
      </c>
    </row>
    <row r="580" spans="1:23">
      <c r="A580">
        <v>267729</v>
      </c>
      <c r="B580">
        <v>9766</v>
      </c>
      <c r="C580" s="11" t="s">
        <v>129</v>
      </c>
      <c r="D580" s="11" t="s">
        <v>130</v>
      </c>
      <c r="E580" s="11" t="s">
        <v>25</v>
      </c>
      <c r="F580" s="12">
        <v>46175</v>
      </c>
      <c r="G580" s="11" t="s">
        <v>195</v>
      </c>
      <c r="H580">
        <v>2</v>
      </c>
      <c r="I580" s="11" t="s">
        <v>1983</v>
      </c>
      <c r="M580" s="11" t="s">
        <v>68</v>
      </c>
      <c r="N580" s="11" t="s">
        <v>1984</v>
      </c>
      <c r="O580" s="11" t="s">
        <v>1985</v>
      </c>
      <c r="P580" s="11" t="s">
        <v>1986</v>
      </c>
      <c r="Q580" s="11" t="s">
        <v>135</v>
      </c>
      <c r="U580" s="11" t="s">
        <v>199</v>
      </c>
      <c r="V580" s="11" t="s">
        <v>137</v>
      </c>
      <c r="W580" s="13">
        <v>46302.314618055556</v>
      </c>
    </row>
    <row r="581" spans="1:23">
      <c r="A581">
        <v>267730</v>
      </c>
      <c r="B581">
        <v>9767</v>
      </c>
      <c r="C581" s="11" t="s">
        <v>129</v>
      </c>
      <c r="D581" s="11" t="s">
        <v>130</v>
      </c>
      <c r="E581" s="11" t="s">
        <v>25</v>
      </c>
      <c r="F581" s="12">
        <v>46175</v>
      </c>
      <c r="G581" s="11" t="s">
        <v>131</v>
      </c>
      <c r="H581">
        <v>1</v>
      </c>
      <c r="I581" s="11" t="s">
        <v>753</v>
      </c>
      <c r="M581" s="11" t="s">
        <v>87</v>
      </c>
      <c r="N581" s="11" t="s">
        <v>1987</v>
      </c>
      <c r="O581" s="11" t="s">
        <v>1988</v>
      </c>
      <c r="P581" s="11" t="s">
        <v>753</v>
      </c>
      <c r="Q581" s="11" t="s">
        <v>135</v>
      </c>
      <c r="U581" s="11" t="s">
        <v>136</v>
      </c>
      <c r="V581" s="11" t="s">
        <v>137</v>
      </c>
      <c r="W581" s="13">
        <v>46302.314618055556</v>
      </c>
    </row>
    <row r="582" spans="1:23">
      <c r="A582">
        <v>267731</v>
      </c>
      <c r="B582">
        <v>9768</v>
      </c>
      <c r="C582" s="11" t="s">
        <v>129</v>
      </c>
      <c r="D582" s="11" t="s">
        <v>130</v>
      </c>
      <c r="E582" s="11" t="s">
        <v>25</v>
      </c>
      <c r="F582" s="12">
        <v>46175</v>
      </c>
      <c r="G582" s="11" t="s">
        <v>143</v>
      </c>
      <c r="H582">
        <v>3</v>
      </c>
      <c r="I582" s="11" t="s">
        <v>1989</v>
      </c>
      <c r="M582" s="11" t="s">
        <v>39</v>
      </c>
      <c r="N582" s="11" t="s">
        <v>1990</v>
      </c>
      <c r="O582" s="11" t="s">
        <v>1991</v>
      </c>
      <c r="P582" s="11" t="s">
        <v>1992</v>
      </c>
      <c r="Q582" s="11" t="s">
        <v>135</v>
      </c>
      <c r="U582" s="11" t="s">
        <v>148</v>
      </c>
      <c r="V582" s="11" t="s">
        <v>137</v>
      </c>
      <c r="W582" s="13">
        <v>46302.314618055556</v>
      </c>
    </row>
    <row r="583" spans="1:23">
      <c r="A583">
        <v>267732</v>
      </c>
      <c r="B583">
        <v>9769</v>
      </c>
      <c r="C583" s="11" t="s">
        <v>129</v>
      </c>
      <c r="D583" s="11" t="s">
        <v>130</v>
      </c>
      <c r="E583" s="11" t="s">
        <v>25</v>
      </c>
      <c r="F583" s="12">
        <v>46175</v>
      </c>
      <c r="G583" s="11" t="s">
        <v>164</v>
      </c>
      <c r="H583">
        <v>1</v>
      </c>
      <c r="I583" s="11" t="s">
        <v>1251</v>
      </c>
      <c r="M583" s="11" t="s">
        <v>62</v>
      </c>
      <c r="N583" s="11" t="s">
        <v>993</v>
      </c>
      <c r="O583" s="11" t="s">
        <v>821</v>
      </c>
      <c r="P583" s="11" t="s">
        <v>1251</v>
      </c>
      <c r="Q583" s="11" t="s">
        <v>135</v>
      </c>
      <c r="U583" s="11" t="s">
        <v>168</v>
      </c>
      <c r="V583" s="11" t="s">
        <v>137</v>
      </c>
      <c r="W583" s="13">
        <v>46302.314618055556</v>
      </c>
    </row>
    <row r="584" spans="1:23">
      <c r="A584">
        <v>267733</v>
      </c>
      <c r="B584">
        <v>9770</v>
      </c>
      <c r="C584" s="11" t="s">
        <v>129</v>
      </c>
      <c r="D584" s="11" t="s">
        <v>130</v>
      </c>
      <c r="E584" s="11" t="s">
        <v>25</v>
      </c>
      <c r="F584" s="12">
        <v>46175</v>
      </c>
      <c r="G584" s="11" t="s">
        <v>174</v>
      </c>
      <c r="H584">
        <v>1</v>
      </c>
      <c r="I584" s="11" t="s">
        <v>1993</v>
      </c>
      <c r="M584" s="11" t="s">
        <v>92</v>
      </c>
      <c r="N584" s="11" t="s">
        <v>1994</v>
      </c>
      <c r="O584" s="11" t="s">
        <v>1995</v>
      </c>
      <c r="P584" s="11" t="s">
        <v>1993</v>
      </c>
      <c r="Q584" s="11" t="s">
        <v>135</v>
      </c>
      <c r="U584" s="11" t="s">
        <v>178</v>
      </c>
      <c r="V584" s="11" t="s">
        <v>137</v>
      </c>
      <c r="W584" s="13">
        <v>46302.314618055556</v>
      </c>
    </row>
    <row r="585" spans="1:23">
      <c r="A585">
        <v>267734</v>
      </c>
      <c r="B585">
        <v>9771</v>
      </c>
      <c r="C585" s="11" t="s">
        <v>129</v>
      </c>
      <c r="D585" s="11" t="s">
        <v>130</v>
      </c>
      <c r="E585" s="11" t="s">
        <v>25</v>
      </c>
      <c r="F585" s="12">
        <v>46175</v>
      </c>
      <c r="G585" s="11" t="s">
        <v>1848</v>
      </c>
      <c r="H585">
        <v>1</v>
      </c>
      <c r="I585" s="11" t="s">
        <v>1996</v>
      </c>
      <c r="M585" s="11" t="s">
        <v>56</v>
      </c>
      <c r="N585" s="11" t="s">
        <v>1997</v>
      </c>
      <c r="O585" s="11" t="s">
        <v>1998</v>
      </c>
      <c r="P585" s="11" t="s">
        <v>1996</v>
      </c>
      <c r="Q585" s="11" t="s">
        <v>135</v>
      </c>
      <c r="U585" s="11" t="s">
        <v>1852</v>
      </c>
      <c r="V585" s="11" t="s">
        <v>137</v>
      </c>
      <c r="W585" s="13">
        <v>46302.314618055556</v>
      </c>
    </row>
    <row r="586" spans="1:23">
      <c r="A586">
        <v>267735</v>
      </c>
      <c r="B586">
        <v>9772</v>
      </c>
      <c r="C586" s="11" t="s">
        <v>129</v>
      </c>
      <c r="D586" s="11" t="s">
        <v>130</v>
      </c>
      <c r="E586" s="11" t="s">
        <v>25</v>
      </c>
      <c r="F586" s="12">
        <v>46175</v>
      </c>
      <c r="G586" s="11" t="s">
        <v>190</v>
      </c>
      <c r="H586">
        <v>1</v>
      </c>
      <c r="I586" s="11" t="s">
        <v>307</v>
      </c>
      <c r="M586" s="11" t="s">
        <v>52</v>
      </c>
      <c r="N586" s="11" t="s">
        <v>1999</v>
      </c>
      <c r="O586" s="11" t="s">
        <v>2000</v>
      </c>
      <c r="P586" s="11" t="s">
        <v>307</v>
      </c>
      <c r="Q586" s="11" t="s">
        <v>135</v>
      </c>
      <c r="U586" s="11" t="s">
        <v>194</v>
      </c>
      <c r="V586" s="11" t="s">
        <v>137</v>
      </c>
      <c r="W586" s="13">
        <v>46302.314618055556</v>
      </c>
    </row>
    <row r="587" spans="1:23">
      <c r="A587">
        <v>267736</v>
      </c>
      <c r="B587">
        <v>9773</v>
      </c>
      <c r="C587" s="11" t="s">
        <v>129</v>
      </c>
      <c r="D587" s="11" t="s">
        <v>130</v>
      </c>
      <c r="E587" s="11" t="s">
        <v>25</v>
      </c>
      <c r="F587" s="12">
        <v>46175</v>
      </c>
      <c r="G587" s="11" t="s">
        <v>174</v>
      </c>
      <c r="H587">
        <v>1</v>
      </c>
      <c r="I587" s="11" t="s">
        <v>1428</v>
      </c>
      <c r="M587" s="11" t="s">
        <v>92</v>
      </c>
      <c r="N587" s="11" t="s">
        <v>2001</v>
      </c>
      <c r="O587" s="11" t="s">
        <v>2002</v>
      </c>
      <c r="P587" s="11" t="s">
        <v>1428</v>
      </c>
      <c r="Q587" s="11" t="s">
        <v>135</v>
      </c>
      <c r="U587" s="11" t="s">
        <v>178</v>
      </c>
      <c r="V587" s="11" t="s">
        <v>137</v>
      </c>
      <c r="W587" s="13">
        <v>46302.314618055556</v>
      </c>
    </row>
    <row r="588" spans="1:23">
      <c r="A588">
        <v>267737</v>
      </c>
      <c r="B588">
        <v>9774</v>
      </c>
      <c r="C588" s="11" t="s">
        <v>129</v>
      </c>
      <c r="D588" s="11" t="s">
        <v>130</v>
      </c>
      <c r="E588" s="11" t="s">
        <v>25</v>
      </c>
      <c r="F588" s="12">
        <v>46175</v>
      </c>
      <c r="G588" s="11" t="s">
        <v>179</v>
      </c>
      <c r="H588">
        <v>1</v>
      </c>
      <c r="I588" s="11" t="s">
        <v>2003</v>
      </c>
      <c r="M588" s="11" t="s">
        <v>83</v>
      </c>
      <c r="N588" s="11" t="s">
        <v>2004</v>
      </c>
      <c r="O588" s="11" t="s">
        <v>2005</v>
      </c>
      <c r="P588" s="11" t="s">
        <v>2003</v>
      </c>
      <c r="Q588" s="11" t="s">
        <v>135</v>
      </c>
      <c r="U588" s="11" t="s">
        <v>183</v>
      </c>
      <c r="V588" s="11" t="s">
        <v>137</v>
      </c>
      <c r="W588" s="13">
        <v>46302.314618055556</v>
      </c>
    </row>
    <row r="589" spans="1:23">
      <c r="A589">
        <v>267738</v>
      </c>
      <c r="B589">
        <v>9775</v>
      </c>
      <c r="C589" s="11" t="s">
        <v>129</v>
      </c>
      <c r="D589" s="11" t="s">
        <v>130</v>
      </c>
      <c r="E589" s="11" t="s">
        <v>25</v>
      </c>
      <c r="F589" s="12">
        <v>46175</v>
      </c>
      <c r="G589" s="11" t="s">
        <v>512</v>
      </c>
      <c r="H589">
        <v>1</v>
      </c>
      <c r="I589" s="11" t="s">
        <v>252</v>
      </c>
      <c r="M589" s="11" t="s">
        <v>44</v>
      </c>
      <c r="N589" s="11" t="s">
        <v>2006</v>
      </c>
      <c r="O589" s="11" t="s">
        <v>2007</v>
      </c>
      <c r="P589" s="11" t="s">
        <v>252</v>
      </c>
      <c r="Q589" s="11" t="s">
        <v>135</v>
      </c>
      <c r="U589" s="11" t="s">
        <v>516</v>
      </c>
      <c r="V589" s="11" t="s">
        <v>137</v>
      </c>
      <c r="W589" s="13">
        <v>46302.314618055556</v>
      </c>
    </row>
    <row r="590" spans="1:23">
      <c r="A590">
        <v>267739</v>
      </c>
      <c r="B590">
        <v>9776</v>
      </c>
      <c r="C590" s="11" t="s">
        <v>129</v>
      </c>
      <c r="D590" s="11" t="s">
        <v>130</v>
      </c>
      <c r="E590" s="11" t="s">
        <v>25</v>
      </c>
      <c r="F590" s="12">
        <v>46175</v>
      </c>
      <c r="G590" s="11" t="s">
        <v>504</v>
      </c>
      <c r="H590">
        <v>1</v>
      </c>
      <c r="I590" s="11" t="s">
        <v>2008</v>
      </c>
      <c r="M590" s="11" t="s">
        <v>53</v>
      </c>
      <c r="N590" s="11" t="s">
        <v>2009</v>
      </c>
      <c r="O590" s="11" t="s">
        <v>2010</v>
      </c>
      <c r="P590" s="11" t="s">
        <v>2008</v>
      </c>
      <c r="Q590" s="11" t="s">
        <v>135</v>
      </c>
      <c r="U590" s="11" t="s">
        <v>508</v>
      </c>
      <c r="V590" s="11" t="s">
        <v>137</v>
      </c>
      <c r="W590" s="13">
        <v>46302.314618055556</v>
      </c>
    </row>
    <row r="591" spans="1:23">
      <c r="A591">
        <v>267740</v>
      </c>
      <c r="B591">
        <v>9777</v>
      </c>
      <c r="C591" s="11" t="s">
        <v>129</v>
      </c>
      <c r="D591" s="11" t="s">
        <v>130</v>
      </c>
      <c r="E591" s="11" t="s">
        <v>25</v>
      </c>
      <c r="F591" s="12">
        <v>46175</v>
      </c>
      <c r="G591" s="11" t="s">
        <v>131</v>
      </c>
      <c r="H591">
        <v>1</v>
      </c>
      <c r="I591" s="11" t="s">
        <v>2011</v>
      </c>
      <c r="M591" s="11" t="s">
        <v>87</v>
      </c>
      <c r="N591" s="11" t="s">
        <v>2012</v>
      </c>
      <c r="O591" s="11" t="s">
        <v>2013</v>
      </c>
      <c r="P591" s="11" t="s">
        <v>2011</v>
      </c>
      <c r="Q591" s="11" t="s">
        <v>135</v>
      </c>
      <c r="U591" s="11" t="s">
        <v>136</v>
      </c>
      <c r="V591" s="11" t="s">
        <v>137</v>
      </c>
      <c r="W591" s="13">
        <v>46302.314618055556</v>
      </c>
    </row>
    <row r="592" spans="1:23">
      <c r="A592">
        <v>267741</v>
      </c>
      <c r="B592">
        <v>9778</v>
      </c>
      <c r="C592" s="11" t="s">
        <v>129</v>
      </c>
      <c r="D592" s="11" t="s">
        <v>130</v>
      </c>
      <c r="E592" s="11" t="s">
        <v>25</v>
      </c>
      <c r="F592" s="12">
        <v>46175</v>
      </c>
      <c r="G592" s="11" t="s">
        <v>212</v>
      </c>
      <c r="H592">
        <v>1</v>
      </c>
      <c r="I592" s="11" t="s">
        <v>2014</v>
      </c>
      <c r="M592" s="11" t="s">
        <v>40</v>
      </c>
      <c r="N592" s="11" t="s">
        <v>2015</v>
      </c>
      <c r="O592" s="11" t="s">
        <v>2016</v>
      </c>
      <c r="P592" s="11" t="s">
        <v>2014</v>
      </c>
      <c r="Q592" s="11" t="s">
        <v>135</v>
      </c>
      <c r="U592" s="11" t="s">
        <v>216</v>
      </c>
      <c r="V592" s="11" t="s">
        <v>137</v>
      </c>
      <c r="W592" s="13">
        <v>46302.314618055556</v>
      </c>
    </row>
    <row r="593" spans="1:23">
      <c r="A593">
        <v>267742</v>
      </c>
      <c r="B593">
        <v>9779</v>
      </c>
      <c r="C593" s="11" t="s">
        <v>129</v>
      </c>
      <c r="D593" s="11" t="s">
        <v>130</v>
      </c>
      <c r="E593" s="11" t="s">
        <v>25</v>
      </c>
      <c r="F593" s="12">
        <v>46175</v>
      </c>
      <c r="G593" s="11" t="s">
        <v>512</v>
      </c>
      <c r="H593">
        <v>1</v>
      </c>
      <c r="I593" s="11" t="s">
        <v>2017</v>
      </c>
      <c r="M593" s="11" t="s">
        <v>44</v>
      </c>
      <c r="N593" s="11" t="s">
        <v>2018</v>
      </c>
      <c r="O593" s="11" t="s">
        <v>2019</v>
      </c>
      <c r="P593" s="11" t="s">
        <v>2017</v>
      </c>
      <c r="Q593" s="11" t="s">
        <v>135</v>
      </c>
      <c r="U593" s="11" t="s">
        <v>516</v>
      </c>
      <c r="V593" s="11" t="s">
        <v>137</v>
      </c>
      <c r="W593" s="13">
        <v>46302.314618055556</v>
      </c>
    </row>
    <row r="594" spans="1:23">
      <c r="A594">
        <v>267743</v>
      </c>
      <c r="B594">
        <v>9780</v>
      </c>
      <c r="C594" s="11" t="s">
        <v>129</v>
      </c>
      <c r="D594" s="11" t="s">
        <v>130</v>
      </c>
      <c r="E594" s="11" t="s">
        <v>25</v>
      </c>
      <c r="F594" s="12">
        <v>46175</v>
      </c>
      <c r="G594" s="11" t="s">
        <v>174</v>
      </c>
      <c r="H594">
        <v>1</v>
      </c>
      <c r="I594" s="11" t="s">
        <v>1618</v>
      </c>
      <c r="M594" s="11" t="s">
        <v>92</v>
      </c>
      <c r="N594" s="11" t="s">
        <v>2020</v>
      </c>
      <c r="O594" s="11" t="s">
        <v>2021</v>
      </c>
      <c r="P594" s="11" t="s">
        <v>1618</v>
      </c>
      <c r="Q594" s="11" t="s">
        <v>135</v>
      </c>
      <c r="U594" s="11" t="s">
        <v>178</v>
      </c>
      <c r="V594" s="11" t="s">
        <v>137</v>
      </c>
      <c r="W594" s="13">
        <v>46302.314618055556</v>
      </c>
    </row>
    <row r="595" spans="1:23">
      <c r="A595">
        <v>267744</v>
      </c>
      <c r="B595">
        <v>9781</v>
      </c>
      <c r="C595" s="11" t="s">
        <v>129</v>
      </c>
      <c r="D595" s="11" t="s">
        <v>130</v>
      </c>
      <c r="E595" s="11" t="s">
        <v>25</v>
      </c>
      <c r="F595" s="12">
        <v>46175</v>
      </c>
      <c r="G595" s="11" t="s">
        <v>1497</v>
      </c>
      <c r="H595">
        <v>1</v>
      </c>
      <c r="I595" s="11" t="s">
        <v>2022</v>
      </c>
      <c r="M595" s="11" t="s">
        <v>43</v>
      </c>
      <c r="N595" s="11" t="s">
        <v>2023</v>
      </c>
      <c r="O595" s="11" t="s">
        <v>2024</v>
      </c>
      <c r="P595" s="11" t="s">
        <v>2022</v>
      </c>
      <c r="Q595" s="11" t="s">
        <v>135</v>
      </c>
      <c r="U595" s="11" t="s">
        <v>1501</v>
      </c>
      <c r="V595" s="11" t="s">
        <v>137</v>
      </c>
      <c r="W595" s="13">
        <v>46302.314618055556</v>
      </c>
    </row>
    <row r="596" spans="1:23">
      <c r="A596">
        <v>267745</v>
      </c>
      <c r="B596">
        <v>9782</v>
      </c>
      <c r="C596" s="11" t="s">
        <v>129</v>
      </c>
      <c r="D596" s="11" t="s">
        <v>130</v>
      </c>
      <c r="E596" s="11" t="s">
        <v>25</v>
      </c>
      <c r="F596" s="12">
        <v>46175</v>
      </c>
      <c r="G596" s="11" t="s">
        <v>217</v>
      </c>
      <c r="H596">
        <v>1</v>
      </c>
      <c r="I596" s="11" t="s">
        <v>2025</v>
      </c>
      <c r="M596" s="11" t="s">
        <v>86</v>
      </c>
      <c r="N596" s="11" t="s">
        <v>2026</v>
      </c>
      <c r="O596" s="11" t="s">
        <v>2027</v>
      </c>
      <c r="P596" s="11" t="s">
        <v>2025</v>
      </c>
      <c r="Q596" s="11" t="s">
        <v>135</v>
      </c>
      <c r="U596" s="11" t="s">
        <v>221</v>
      </c>
      <c r="V596" s="11" t="s">
        <v>137</v>
      </c>
      <c r="W596" s="13">
        <v>46302.314618055556</v>
      </c>
    </row>
    <row r="597" spans="1:23">
      <c r="A597">
        <v>267746</v>
      </c>
      <c r="B597">
        <v>9765</v>
      </c>
      <c r="C597" s="11" t="s">
        <v>129</v>
      </c>
      <c r="D597" s="11" t="s">
        <v>130</v>
      </c>
      <c r="E597" s="11" t="s">
        <v>25</v>
      </c>
      <c r="F597" s="12">
        <v>46175</v>
      </c>
      <c r="G597" s="11" t="s">
        <v>222</v>
      </c>
      <c r="H597">
        <v>1</v>
      </c>
      <c r="I597" s="11" t="s">
        <v>1982</v>
      </c>
      <c r="M597" s="11" t="s">
        <v>90</v>
      </c>
      <c r="N597" s="11" t="s">
        <v>402</v>
      </c>
      <c r="O597" s="11" t="s">
        <v>2028</v>
      </c>
      <c r="P597" s="11" t="s">
        <v>1982</v>
      </c>
      <c r="Q597" s="11" t="s">
        <v>135</v>
      </c>
      <c r="R597">
        <v>9764</v>
      </c>
      <c r="U597" s="11" t="s">
        <v>225</v>
      </c>
      <c r="V597" s="11" t="s">
        <v>137</v>
      </c>
      <c r="W597" s="13">
        <v>46302.314618055556</v>
      </c>
    </row>
    <row r="598" spans="1:23">
      <c r="A598">
        <v>268007</v>
      </c>
      <c r="B598">
        <v>10293</v>
      </c>
      <c r="C598" s="11" t="s">
        <v>129</v>
      </c>
      <c r="D598" s="11" t="s">
        <v>130</v>
      </c>
      <c r="E598" s="11" t="s">
        <v>25</v>
      </c>
      <c r="F598" s="12">
        <v>46176</v>
      </c>
      <c r="G598" s="11" t="s">
        <v>226</v>
      </c>
      <c r="H598">
        <v>1</v>
      </c>
      <c r="I598" s="11" t="s">
        <v>2029</v>
      </c>
      <c r="M598" s="11" t="s">
        <v>87</v>
      </c>
      <c r="N598" s="11" t="s">
        <v>2030</v>
      </c>
      <c r="O598" s="11" t="s">
        <v>2031</v>
      </c>
      <c r="P598" s="11" t="s">
        <v>2029</v>
      </c>
      <c r="Q598" s="11" t="s">
        <v>135</v>
      </c>
      <c r="U598" s="11" t="s">
        <v>231</v>
      </c>
      <c r="V598" s="11" t="s">
        <v>137</v>
      </c>
      <c r="W598" s="13">
        <v>46302.314618055556</v>
      </c>
    </row>
    <row r="599" spans="1:23">
      <c r="A599">
        <v>268008</v>
      </c>
      <c r="B599">
        <v>10294</v>
      </c>
      <c r="C599" s="11" t="s">
        <v>129</v>
      </c>
      <c r="D599" s="11" t="s">
        <v>130</v>
      </c>
      <c r="E599" s="11" t="s">
        <v>25</v>
      </c>
      <c r="F599" s="12">
        <v>46176</v>
      </c>
      <c r="G599" s="11" t="s">
        <v>804</v>
      </c>
      <c r="H599">
        <v>2</v>
      </c>
      <c r="I599" s="11" t="s">
        <v>615</v>
      </c>
      <c r="M599" s="11" t="s">
        <v>76</v>
      </c>
      <c r="N599" s="11" t="s">
        <v>2032</v>
      </c>
      <c r="O599" s="11" t="s">
        <v>2033</v>
      </c>
      <c r="P599" s="11" t="s">
        <v>2034</v>
      </c>
      <c r="Q599" s="11" t="s">
        <v>135</v>
      </c>
      <c r="U599" s="11" t="s">
        <v>808</v>
      </c>
      <c r="V599" s="11" t="s">
        <v>137</v>
      </c>
      <c r="W599" s="13">
        <v>46302.314618055556</v>
      </c>
    </row>
    <row r="600" spans="1:23">
      <c r="A600">
        <v>268009</v>
      </c>
      <c r="B600">
        <v>10295</v>
      </c>
      <c r="C600" s="11" t="s">
        <v>129</v>
      </c>
      <c r="D600" s="11" t="s">
        <v>130</v>
      </c>
      <c r="E600" s="11" t="s">
        <v>25</v>
      </c>
      <c r="F600" s="12">
        <v>46176</v>
      </c>
      <c r="G600" s="11" t="s">
        <v>1679</v>
      </c>
      <c r="H600">
        <v>1</v>
      </c>
      <c r="I600" s="11" t="s">
        <v>2035</v>
      </c>
      <c r="M600" s="11" t="s">
        <v>87</v>
      </c>
      <c r="N600" s="11" t="s">
        <v>2036</v>
      </c>
      <c r="O600" s="11" t="s">
        <v>2037</v>
      </c>
      <c r="P600" s="11" t="s">
        <v>2035</v>
      </c>
      <c r="Q600" s="11" t="s">
        <v>135</v>
      </c>
      <c r="U600" s="11" t="s">
        <v>1682</v>
      </c>
      <c r="V600" s="11" t="s">
        <v>137</v>
      </c>
      <c r="W600" s="13">
        <v>46302.314618055556</v>
      </c>
    </row>
    <row r="601" spans="1:23">
      <c r="A601">
        <v>268010</v>
      </c>
      <c r="B601">
        <v>10296</v>
      </c>
      <c r="C601" s="11" t="s">
        <v>129</v>
      </c>
      <c r="D601" s="11" t="s">
        <v>130</v>
      </c>
      <c r="E601" s="11" t="s">
        <v>25</v>
      </c>
      <c r="F601" s="12">
        <v>46176</v>
      </c>
      <c r="G601" s="11" t="s">
        <v>823</v>
      </c>
      <c r="H601">
        <v>1</v>
      </c>
      <c r="I601" s="11" t="s">
        <v>2038</v>
      </c>
      <c r="M601" s="11" t="s">
        <v>92</v>
      </c>
      <c r="N601" s="11" t="s">
        <v>2039</v>
      </c>
      <c r="O601" s="11" t="s">
        <v>2040</v>
      </c>
      <c r="P601" s="11" t="s">
        <v>2038</v>
      </c>
      <c r="Q601" s="11" t="s">
        <v>135</v>
      </c>
      <c r="U601" s="11" t="s">
        <v>827</v>
      </c>
      <c r="V601" s="11" t="s">
        <v>137</v>
      </c>
      <c r="W601" s="13">
        <v>46302.314618055556</v>
      </c>
    </row>
    <row r="602" spans="1:23">
      <c r="A602">
        <v>268011</v>
      </c>
      <c r="B602">
        <v>10297</v>
      </c>
      <c r="C602" s="11" t="s">
        <v>129</v>
      </c>
      <c r="D602" s="11" t="s">
        <v>130</v>
      </c>
      <c r="E602" s="11" t="s">
        <v>25</v>
      </c>
      <c r="F602" s="12">
        <v>46176</v>
      </c>
      <c r="G602" s="11" t="s">
        <v>1052</v>
      </c>
      <c r="H602">
        <v>1</v>
      </c>
      <c r="I602" s="11" t="s">
        <v>2041</v>
      </c>
      <c r="M602" s="11" t="s">
        <v>84</v>
      </c>
      <c r="N602" s="11" t="s">
        <v>2042</v>
      </c>
      <c r="O602" s="11" t="s">
        <v>2043</v>
      </c>
      <c r="P602" s="11" t="s">
        <v>2041</v>
      </c>
      <c r="Q602" s="11" t="s">
        <v>135</v>
      </c>
      <c r="U602" s="11" t="s">
        <v>1056</v>
      </c>
      <c r="V602" s="11" t="s">
        <v>137</v>
      </c>
      <c r="W602" s="13">
        <v>46302.314618055556</v>
      </c>
    </row>
    <row r="603" spans="1:23">
      <c r="A603">
        <v>268012</v>
      </c>
      <c r="B603">
        <v>10298</v>
      </c>
      <c r="C603" s="11" t="s">
        <v>129</v>
      </c>
      <c r="D603" s="11" t="s">
        <v>130</v>
      </c>
      <c r="E603" s="11" t="s">
        <v>25</v>
      </c>
      <c r="F603" s="12">
        <v>46176</v>
      </c>
      <c r="G603" s="11" t="s">
        <v>279</v>
      </c>
      <c r="H603">
        <v>1</v>
      </c>
      <c r="I603" s="11" t="s">
        <v>2044</v>
      </c>
      <c r="M603" s="11" t="s">
        <v>79</v>
      </c>
      <c r="N603" s="11" t="s">
        <v>2045</v>
      </c>
      <c r="O603" s="11" t="s">
        <v>2046</v>
      </c>
      <c r="P603" s="11" t="s">
        <v>2044</v>
      </c>
      <c r="Q603" s="11" t="s">
        <v>135</v>
      </c>
      <c r="U603" s="11" t="s">
        <v>283</v>
      </c>
      <c r="V603" s="11" t="s">
        <v>137</v>
      </c>
      <c r="W603" s="13">
        <v>46302.314618055556</v>
      </c>
    </row>
    <row r="604" spans="1:23">
      <c r="A604">
        <v>268013</v>
      </c>
      <c r="B604">
        <v>10299</v>
      </c>
      <c r="C604" s="11" t="s">
        <v>129</v>
      </c>
      <c r="D604" s="11" t="s">
        <v>130</v>
      </c>
      <c r="E604" s="11" t="s">
        <v>25</v>
      </c>
      <c r="F604" s="12">
        <v>46176</v>
      </c>
      <c r="G604" s="11" t="s">
        <v>1052</v>
      </c>
      <c r="H604">
        <v>1</v>
      </c>
      <c r="I604" s="11" t="s">
        <v>2047</v>
      </c>
      <c r="M604" s="11" t="s">
        <v>84</v>
      </c>
      <c r="N604" s="11" t="s">
        <v>2048</v>
      </c>
      <c r="O604" s="11" t="s">
        <v>2049</v>
      </c>
      <c r="P604" s="11" t="s">
        <v>2047</v>
      </c>
      <c r="Q604" s="11" t="s">
        <v>135</v>
      </c>
      <c r="U604" s="11" t="s">
        <v>1056</v>
      </c>
      <c r="V604" s="11" t="s">
        <v>137</v>
      </c>
      <c r="W604" s="13">
        <v>46302.314618055556</v>
      </c>
    </row>
    <row r="605" spans="1:23">
      <c r="A605">
        <v>268014</v>
      </c>
      <c r="B605">
        <v>10300</v>
      </c>
      <c r="C605" s="11" t="s">
        <v>129</v>
      </c>
      <c r="D605" s="11" t="s">
        <v>130</v>
      </c>
      <c r="E605" s="11" t="s">
        <v>25</v>
      </c>
      <c r="F605" s="12">
        <v>46176</v>
      </c>
      <c r="G605" s="11" t="s">
        <v>226</v>
      </c>
      <c r="H605">
        <v>1</v>
      </c>
      <c r="I605" s="11" t="s">
        <v>2050</v>
      </c>
      <c r="M605" s="11" t="s">
        <v>87</v>
      </c>
      <c r="N605" s="11" t="s">
        <v>2051</v>
      </c>
      <c r="O605" s="11" t="s">
        <v>2052</v>
      </c>
      <c r="P605" s="11" t="s">
        <v>2050</v>
      </c>
      <c r="Q605" s="11" t="s">
        <v>135</v>
      </c>
      <c r="U605" s="11" t="s">
        <v>231</v>
      </c>
      <c r="V605" s="11" t="s">
        <v>137</v>
      </c>
      <c r="W605" s="13">
        <v>46302.314618055556</v>
      </c>
    </row>
    <row r="606" spans="1:23">
      <c r="A606">
        <v>268015</v>
      </c>
      <c r="B606">
        <v>10301</v>
      </c>
      <c r="C606" s="11" t="s">
        <v>129</v>
      </c>
      <c r="D606" s="11" t="s">
        <v>130</v>
      </c>
      <c r="E606" s="11" t="s">
        <v>25</v>
      </c>
      <c r="F606" s="12">
        <v>46176</v>
      </c>
      <c r="G606" s="11" t="s">
        <v>804</v>
      </c>
      <c r="H606">
        <v>3</v>
      </c>
      <c r="I606" s="11" t="s">
        <v>2053</v>
      </c>
      <c r="M606" s="11" t="s">
        <v>76</v>
      </c>
      <c r="N606" s="11" t="s">
        <v>2054</v>
      </c>
      <c r="O606" s="11" t="s">
        <v>2055</v>
      </c>
      <c r="P606" s="11" t="s">
        <v>2056</v>
      </c>
      <c r="Q606" s="11" t="s">
        <v>135</v>
      </c>
      <c r="U606" s="11" t="s">
        <v>808</v>
      </c>
      <c r="V606" s="11" t="s">
        <v>137</v>
      </c>
      <c r="W606" s="13">
        <v>46302.314618055556</v>
      </c>
    </row>
    <row r="607" spans="1:23">
      <c r="A607">
        <v>268016</v>
      </c>
      <c r="B607">
        <v>10302</v>
      </c>
      <c r="C607" s="11" t="s">
        <v>129</v>
      </c>
      <c r="D607" s="11" t="s">
        <v>130</v>
      </c>
      <c r="E607" s="11" t="s">
        <v>25</v>
      </c>
      <c r="F607" s="12">
        <v>46176</v>
      </c>
      <c r="G607" s="11" t="s">
        <v>1679</v>
      </c>
      <c r="H607">
        <v>1</v>
      </c>
      <c r="I607" s="11" t="s">
        <v>2057</v>
      </c>
      <c r="M607" s="11" t="s">
        <v>87</v>
      </c>
      <c r="N607" s="11" t="s">
        <v>2058</v>
      </c>
      <c r="O607" s="11" t="s">
        <v>2059</v>
      </c>
      <c r="P607" s="11" t="s">
        <v>2057</v>
      </c>
      <c r="Q607" s="11" t="s">
        <v>135</v>
      </c>
      <c r="U607" s="11" t="s">
        <v>1682</v>
      </c>
      <c r="V607" s="11" t="s">
        <v>137</v>
      </c>
      <c r="W607" s="13">
        <v>46302.314618055556</v>
      </c>
    </row>
    <row r="608" spans="1:23">
      <c r="A608">
        <v>268017</v>
      </c>
      <c r="B608">
        <v>10303</v>
      </c>
      <c r="C608" s="11" t="s">
        <v>129</v>
      </c>
      <c r="D608" s="11" t="s">
        <v>130</v>
      </c>
      <c r="E608" s="11" t="s">
        <v>25</v>
      </c>
      <c r="F608" s="12">
        <v>46176</v>
      </c>
      <c r="G608" s="11" t="s">
        <v>804</v>
      </c>
      <c r="H608">
        <v>3</v>
      </c>
      <c r="I608" s="11" t="s">
        <v>2060</v>
      </c>
      <c r="M608" s="11" t="s">
        <v>76</v>
      </c>
      <c r="N608" s="11" t="s">
        <v>2061</v>
      </c>
      <c r="O608" s="11" t="s">
        <v>1180</v>
      </c>
      <c r="P608" s="11" t="s">
        <v>2062</v>
      </c>
      <c r="Q608" s="11" t="s">
        <v>135</v>
      </c>
      <c r="U608" s="11" t="s">
        <v>808</v>
      </c>
      <c r="V608" s="11" t="s">
        <v>137</v>
      </c>
      <c r="W608" s="13">
        <v>46302.314618055556</v>
      </c>
    </row>
    <row r="609" spans="1:23">
      <c r="A609">
        <v>268018</v>
      </c>
      <c r="B609">
        <v>10304</v>
      </c>
      <c r="C609" s="11" t="s">
        <v>129</v>
      </c>
      <c r="D609" s="11" t="s">
        <v>130</v>
      </c>
      <c r="E609" s="11" t="s">
        <v>25</v>
      </c>
      <c r="F609" s="12">
        <v>46176</v>
      </c>
      <c r="G609" s="11" t="s">
        <v>1679</v>
      </c>
      <c r="H609">
        <v>1</v>
      </c>
      <c r="I609" s="11" t="s">
        <v>387</v>
      </c>
      <c r="M609" s="11" t="s">
        <v>87</v>
      </c>
      <c r="N609" s="11" t="s">
        <v>2063</v>
      </c>
      <c r="O609" s="11" t="s">
        <v>2064</v>
      </c>
      <c r="P609" s="11" t="s">
        <v>387</v>
      </c>
      <c r="Q609" s="11" t="s">
        <v>135</v>
      </c>
      <c r="U609" s="11" t="s">
        <v>1682</v>
      </c>
      <c r="V609" s="11" t="s">
        <v>137</v>
      </c>
      <c r="W609" s="13">
        <v>46302.314618055556</v>
      </c>
    </row>
    <row r="610" spans="1:23">
      <c r="A610">
        <v>268019</v>
      </c>
      <c r="B610">
        <v>10305</v>
      </c>
      <c r="C610" s="11" t="s">
        <v>129</v>
      </c>
      <c r="D610" s="11" t="s">
        <v>130</v>
      </c>
      <c r="E610" s="11" t="s">
        <v>25</v>
      </c>
      <c r="F610" s="12">
        <v>46176</v>
      </c>
      <c r="G610" s="11" t="s">
        <v>804</v>
      </c>
      <c r="H610">
        <v>2</v>
      </c>
      <c r="I610" s="11" t="s">
        <v>2065</v>
      </c>
      <c r="M610" s="11" t="s">
        <v>76</v>
      </c>
      <c r="N610" s="11" t="s">
        <v>2066</v>
      </c>
      <c r="O610" s="11" t="s">
        <v>2067</v>
      </c>
      <c r="P610" s="11" t="s">
        <v>2068</v>
      </c>
      <c r="Q610" s="11" t="s">
        <v>135</v>
      </c>
      <c r="U610" s="11" t="s">
        <v>808</v>
      </c>
      <c r="V610" s="11" t="s">
        <v>137</v>
      </c>
      <c r="W610" s="13">
        <v>46302.314618055556</v>
      </c>
    </row>
    <row r="611" spans="1:23">
      <c r="A611">
        <v>268020</v>
      </c>
      <c r="B611">
        <v>10306</v>
      </c>
      <c r="C611" s="11" t="s">
        <v>129</v>
      </c>
      <c r="D611" s="11" t="s">
        <v>130</v>
      </c>
      <c r="E611" s="11" t="s">
        <v>25</v>
      </c>
      <c r="F611" s="12">
        <v>46176</v>
      </c>
      <c r="G611" s="11" t="s">
        <v>312</v>
      </c>
      <c r="H611">
        <v>1</v>
      </c>
      <c r="I611" s="11" t="s">
        <v>2069</v>
      </c>
      <c r="M611" s="11" t="s">
        <v>86</v>
      </c>
      <c r="N611" s="11" t="s">
        <v>2070</v>
      </c>
      <c r="O611" s="11" t="s">
        <v>2071</v>
      </c>
      <c r="P611" s="11" t="s">
        <v>2069</v>
      </c>
      <c r="Q611" s="11" t="s">
        <v>135</v>
      </c>
      <c r="U611" s="11" t="s">
        <v>315</v>
      </c>
      <c r="V611" s="11" t="s">
        <v>137</v>
      </c>
      <c r="W611" s="13">
        <v>46302.314618055556</v>
      </c>
    </row>
    <row r="612" spans="1:23">
      <c r="A612">
        <v>268714</v>
      </c>
      <c r="B612">
        <v>1728</v>
      </c>
      <c r="C612" s="11" t="s">
        <v>129</v>
      </c>
      <c r="D612" s="11" t="s">
        <v>130</v>
      </c>
      <c r="E612" s="11" t="s">
        <v>25</v>
      </c>
      <c r="F612" s="12">
        <v>46178</v>
      </c>
      <c r="G612" s="11" t="s">
        <v>316</v>
      </c>
      <c r="H612">
        <v>1</v>
      </c>
      <c r="I612" s="11" t="s">
        <v>1746</v>
      </c>
      <c r="M612" s="11" t="s">
        <v>87</v>
      </c>
      <c r="N612" s="11" t="s">
        <v>2072</v>
      </c>
      <c r="O612" s="11" t="s">
        <v>2073</v>
      </c>
      <c r="P612" s="11" t="s">
        <v>1746</v>
      </c>
      <c r="Q612" s="11" t="s">
        <v>135</v>
      </c>
      <c r="U612" s="11" t="s">
        <v>320</v>
      </c>
      <c r="V612" s="11" t="s">
        <v>137</v>
      </c>
      <c r="W612" s="13">
        <v>46302.314618055556</v>
      </c>
    </row>
    <row r="613" spans="1:23">
      <c r="A613">
        <v>268715</v>
      </c>
      <c r="B613">
        <v>1729</v>
      </c>
      <c r="C613" s="11" t="s">
        <v>129</v>
      </c>
      <c r="D613" s="11" t="s">
        <v>130</v>
      </c>
      <c r="E613" s="11" t="s">
        <v>25</v>
      </c>
      <c r="F613" s="12">
        <v>46178</v>
      </c>
      <c r="G613" s="11" t="s">
        <v>1740</v>
      </c>
      <c r="H613">
        <v>5</v>
      </c>
      <c r="I613" s="11" t="s">
        <v>2074</v>
      </c>
      <c r="M613" s="11" t="s">
        <v>69</v>
      </c>
      <c r="N613" s="11" t="s">
        <v>2075</v>
      </c>
      <c r="O613" s="11" t="s">
        <v>2076</v>
      </c>
      <c r="P613" s="11" t="s">
        <v>2077</v>
      </c>
      <c r="Q613" s="11" t="s">
        <v>2078</v>
      </c>
      <c r="U613" s="11" t="s">
        <v>1745</v>
      </c>
      <c r="V613" s="11" t="s">
        <v>137</v>
      </c>
      <c r="W613" s="13">
        <v>46302.314618055556</v>
      </c>
    </row>
    <row r="614" spans="1:23">
      <c r="A614">
        <v>268716</v>
      </c>
      <c r="B614">
        <v>1731</v>
      </c>
      <c r="C614" s="11" t="s">
        <v>129</v>
      </c>
      <c r="D614" s="11" t="s">
        <v>130</v>
      </c>
      <c r="E614" s="11" t="s">
        <v>25</v>
      </c>
      <c r="F614" s="12">
        <v>46178</v>
      </c>
      <c r="G614" s="11" t="s">
        <v>316</v>
      </c>
      <c r="H614">
        <v>1</v>
      </c>
      <c r="I614" s="11" t="s">
        <v>2079</v>
      </c>
      <c r="M614" s="11" t="s">
        <v>87</v>
      </c>
      <c r="N614" s="11" t="s">
        <v>2080</v>
      </c>
      <c r="O614" s="11" t="s">
        <v>2081</v>
      </c>
      <c r="P614" s="11" t="s">
        <v>2079</v>
      </c>
      <c r="Q614" s="11" t="s">
        <v>135</v>
      </c>
      <c r="U614" s="11" t="s">
        <v>320</v>
      </c>
      <c r="V614" s="11" t="s">
        <v>137</v>
      </c>
      <c r="W614" s="13">
        <v>46302.314618055556</v>
      </c>
    </row>
    <row r="615" spans="1:23">
      <c r="A615">
        <v>268717</v>
      </c>
      <c r="B615">
        <v>1732</v>
      </c>
      <c r="C615" s="11" t="s">
        <v>129</v>
      </c>
      <c r="D615" s="11" t="s">
        <v>130</v>
      </c>
      <c r="E615" s="11" t="s">
        <v>25</v>
      </c>
      <c r="F615" s="12">
        <v>46178</v>
      </c>
      <c r="G615" s="11" t="s">
        <v>328</v>
      </c>
      <c r="H615">
        <v>1</v>
      </c>
      <c r="I615" s="11" t="s">
        <v>2082</v>
      </c>
      <c r="M615" s="11" t="s">
        <v>66</v>
      </c>
      <c r="N615" s="11" t="s">
        <v>2083</v>
      </c>
      <c r="O615" s="11" t="s">
        <v>2084</v>
      </c>
      <c r="P615" s="11" t="s">
        <v>2082</v>
      </c>
      <c r="Q615" s="11" t="s">
        <v>135</v>
      </c>
      <c r="U615" s="11" t="s">
        <v>333</v>
      </c>
      <c r="V615" s="11" t="s">
        <v>137</v>
      </c>
      <c r="W615" s="13">
        <v>46302.314618055556</v>
      </c>
    </row>
    <row r="616" spans="1:23">
      <c r="A616">
        <v>268718</v>
      </c>
      <c r="B616">
        <v>1733</v>
      </c>
      <c r="C616" s="11" t="s">
        <v>129</v>
      </c>
      <c r="D616" s="11" t="s">
        <v>130</v>
      </c>
      <c r="E616" s="11" t="s">
        <v>25</v>
      </c>
      <c r="F616" s="12">
        <v>46178</v>
      </c>
      <c r="G616" s="11" t="s">
        <v>316</v>
      </c>
      <c r="H616">
        <v>1</v>
      </c>
      <c r="I616" s="11" t="s">
        <v>2085</v>
      </c>
      <c r="M616" s="11" t="s">
        <v>87</v>
      </c>
      <c r="N616" s="11" t="s">
        <v>2086</v>
      </c>
      <c r="O616" s="11" t="s">
        <v>2087</v>
      </c>
      <c r="P616" s="11" t="s">
        <v>2085</v>
      </c>
      <c r="Q616" s="11" t="s">
        <v>135</v>
      </c>
      <c r="U616" s="11" t="s">
        <v>320</v>
      </c>
      <c r="V616" s="11" t="s">
        <v>137</v>
      </c>
      <c r="W616" s="13">
        <v>46302.314618055556</v>
      </c>
    </row>
    <row r="617" spans="1:23">
      <c r="A617">
        <v>268719</v>
      </c>
      <c r="B617">
        <v>1734</v>
      </c>
      <c r="C617" s="11" t="s">
        <v>129</v>
      </c>
      <c r="D617" s="11" t="s">
        <v>130</v>
      </c>
      <c r="E617" s="11" t="s">
        <v>25</v>
      </c>
      <c r="F617" s="12">
        <v>46178</v>
      </c>
      <c r="G617" s="11" t="s">
        <v>930</v>
      </c>
      <c r="H617">
        <v>1</v>
      </c>
      <c r="I617" s="11" t="s">
        <v>2088</v>
      </c>
      <c r="M617" s="11" t="s">
        <v>50</v>
      </c>
      <c r="N617" s="11" t="s">
        <v>2089</v>
      </c>
      <c r="O617" s="11" t="s">
        <v>2090</v>
      </c>
      <c r="P617" s="11" t="s">
        <v>2088</v>
      </c>
      <c r="Q617" s="11" t="s">
        <v>135</v>
      </c>
      <c r="U617" s="11" t="s">
        <v>934</v>
      </c>
      <c r="V617" s="11" t="s">
        <v>137</v>
      </c>
      <c r="W617" s="13">
        <v>46302.314618055556</v>
      </c>
    </row>
    <row r="618" spans="1:23">
      <c r="A618">
        <v>268720</v>
      </c>
      <c r="B618">
        <v>1735</v>
      </c>
      <c r="C618" s="11" t="s">
        <v>129</v>
      </c>
      <c r="D618" s="11" t="s">
        <v>130</v>
      </c>
      <c r="E618" s="11" t="s">
        <v>25</v>
      </c>
      <c r="F618" s="12">
        <v>46178</v>
      </c>
      <c r="G618" s="11" t="s">
        <v>328</v>
      </c>
      <c r="H618">
        <v>1</v>
      </c>
      <c r="I618" s="11" t="s">
        <v>2091</v>
      </c>
      <c r="M618" s="11" t="s">
        <v>66</v>
      </c>
      <c r="N618" s="11" t="s">
        <v>2092</v>
      </c>
      <c r="O618" s="11" t="s">
        <v>2093</v>
      </c>
      <c r="P618" s="11" t="s">
        <v>2091</v>
      </c>
      <c r="Q618" s="11" t="s">
        <v>135</v>
      </c>
      <c r="U618" s="11" t="s">
        <v>333</v>
      </c>
      <c r="V618" s="11" t="s">
        <v>137</v>
      </c>
      <c r="W618" s="13">
        <v>46302.314618055556</v>
      </c>
    </row>
    <row r="619" spans="1:23">
      <c r="A619">
        <v>268721</v>
      </c>
      <c r="B619">
        <v>1736</v>
      </c>
      <c r="C619" s="11" t="s">
        <v>129</v>
      </c>
      <c r="D619" s="11" t="s">
        <v>130</v>
      </c>
      <c r="E619" s="11" t="s">
        <v>25</v>
      </c>
      <c r="F619" s="12">
        <v>46178</v>
      </c>
      <c r="G619" s="11" t="s">
        <v>334</v>
      </c>
      <c r="H619">
        <v>1</v>
      </c>
      <c r="I619" s="11" t="s">
        <v>2094</v>
      </c>
      <c r="M619" s="11" t="s">
        <v>64</v>
      </c>
      <c r="N619" s="11" t="s">
        <v>2095</v>
      </c>
      <c r="O619" s="11" t="s">
        <v>2096</v>
      </c>
      <c r="P619" s="11" t="s">
        <v>2094</v>
      </c>
      <c r="Q619" s="11" t="s">
        <v>135</v>
      </c>
      <c r="U619" s="11" t="s">
        <v>338</v>
      </c>
      <c r="V619" s="11" t="s">
        <v>137</v>
      </c>
      <c r="W619" s="13">
        <v>46302.314618055556</v>
      </c>
    </row>
    <row r="620" spans="1:23">
      <c r="A620">
        <v>268722</v>
      </c>
      <c r="B620">
        <v>1737</v>
      </c>
      <c r="C620" s="11" t="s">
        <v>129</v>
      </c>
      <c r="D620" s="11" t="s">
        <v>130</v>
      </c>
      <c r="E620" s="11" t="s">
        <v>25</v>
      </c>
      <c r="F620" s="12">
        <v>46178</v>
      </c>
      <c r="G620" s="11" t="s">
        <v>321</v>
      </c>
      <c r="H620">
        <v>1</v>
      </c>
      <c r="I620" s="11" t="s">
        <v>2097</v>
      </c>
      <c r="M620" s="11" t="s">
        <v>67</v>
      </c>
      <c r="N620" s="11" t="s">
        <v>2098</v>
      </c>
      <c r="O620" s="11" t="s">
        <v>2099</v>
      </c>
      <c r="P620" s="11" t="s">
        <v>2097</v>
      </c>
      <c r="Q620" s="11" t="s">
        <v>135</v>
      </c>
      <c r="U620" s="11" t="s">
        <v>327</v>
      </c>
      <c r="V620" s="11" t="s">
        <v>137</v>
      </c>
      <c r="W620" s="13">
        <v>46302.314618055556</v>
      </c>
    </row>
    <row r="621" spans="1:23">
      <c r="A621">
        <v>268723</v>
      </c>
      <c r="B621">
        <v>1738</v>
      </c>
      <c r="C621" s="11" t="s">
        <v>129</v>
      </c>
      <c r="D621" s="11" t="s">
        <v>130</v>
      </c>
      <c r="E621" s="11" t="s">
        <v>25</v>
      </c>
      <c r="F621" s="12">
        <v>46178</v>
      </c>
      <c r="G621" s="11" t="s">
        <v>321</v>
      </c>
      <c r="H621">
        <v>2</v>
      </c>
      <c r="I621" s="11" t="s">
        <v>2100</v>
      </c>
      <c r="M621" s="11" t="s">
        <v>67</v>
      </c>
      <c r="N621" s="11" t="s">
        <v>2101</v>
      </c>
      <c r="O621" s="11" t="s">
        <v>2102</v>
      </c>
      <c r="P621" s="11" t="s">
        <v>2103</v>
      </c>
      <c r="Q621" s="11" t="s">
        <v>135</v>
      </c>
      <c r="U621" s="11" t="s">
        <v>327</v>
      </c>
      <c r="V621" s="11" t="s">
        <v>137</v>
      </c>
      <c r="W621" s="13">
        <v>46302.314618055556</v>
      </c>
    </row>
    <row r="622" spans="1:23">
      <c r="A622">
        <v>268724</v>
      </c>
      <c r="B622">
        <v>1739</v>
      </c>
      <c r="C622" s="11" t="s">
        <v>129</v>
      </c>
      <c r="D622" s="11" t="s">
        <v>130</v>
      </c>
      <c r="E622" s="11" t="s">
        <v>25</v>
      </c>
      <c r="F622" s="12">
        <v>46178</v>
      </c>
      <c r="G622" s="11" t="s">
        <v>339</v>
      </c>
      <c r="H622">
        <v>1</v>
      </c>
      <c r="I622" s="11" t="s">
        <v>2104</v>
      </c>
      <c r="M622" s="11" t="s">
        <v>92</v>
      </c>
      <c r="N622" s="11" t="s">
        <v>2105</v>
      </c>
      <c r="O622" s="11" t="s">
        <v>2106</v>
      </c>
      <c r="P622" s="11" t="s">
        <v>2104</v>
      </c>
      <c r="Q622" s="11" t="s">
        <v>135</v>
      </c>
      <c r="U622" s="11" t="s">
        <v>343</v>
      </c>
      <c r="V622" s="11" t="s">
        <v>137</v>
      </c>
      <c r="W622" s="13">
        <v>46302.314618055556</v>
      </c>
    </row>
    <row r="623" spans="1:23">
      <c r="A623">
        <v>268725</v>
      </c>
      <c r="B623">
        <v>1740</v>
      </c>
      <c r="C623" s="11" t="s">
        <v>129</v>
      </c>
      <c r="D623" s="11" t="s">
        <v>130</v>
      </c>
      <c r="E623" s="11" t="s">
        <v>25</v>
      </c>
      <c r="F623" s="12">
        <v>46178</v>
      </c>
      <c r="G623" s="11" t="s">
        <v>321</v>
      </c>
      <c r="H623">
        <v>1</v>
      </c>
      <c r="I623" s="11" t="s">
        <v>2107</v>
      </c>
      <c r="M623" s="11" t="s">
        <v>67</v>
      </c>
      <c r="N623" s="11" t="s">
        <v>2108</v>
      </c>
      <c r="O623" s="11" t="s">
        <v>2109</v>
      </c>
      <c r="P623" s="11" t="s">
        <v>2107</v>
      </c>
      <c r="Q623" s="11" t="s">
        <v>135</v>
      </c>
      <c r="U623" s="11" t="s">
        <v>327</v>
      </c>
      <c r="V623" s="11" t="s">
        <v>137</v>
      </c>
      <c r="W623" s="13">
        <v>46302.314618055556</v>
      </c>
    </row>
    <row r="624" spans="1:23">
      <c r="A624">
        <v>268726</v>
      </c>
      <c r="B624">
        <v>1741</v>
      </c>
      <c r="C624" s="11" t="s">
        <v>129</v>
      </c>
      <c r="D624" s="11" t="s">
        <v>130</v>
      </c>
      <c r="E624" s="11" t="s">
        <v>25</v>
      </c>
      <c r="F624" s="12">
        <v>46178</v>
      </c>
      <c r="G624" s="11" t="s">
        <v>316</v>
      </c>
      <c r="H624">
        <v>1</v>
      </c>
      <c r="I624" s="11" t="s">
        <v>2110</v>
      </c>
      <c r="M624" s="11" t="s">
        <v>87</v>
      </c>
      <c r="N624" s="11" t="s">
        <v>2111</v>
      </c>
      <c r="O624" s="11" t="s">
        <v>1239</v>
      </c>
      <c r="P624" s="11" t="s">
        <v>2110</v>
      </c>
      <c r="Q624" s="11" t="s">
        <v>135</v>
      </c>
      <c r="U624" s="11" t="s">
        <v>320</v>
      </c>
      <c r="V624" s="11" t="s">
        <v>137</v>
      </c>
      <c r="W624" s="13">
        <v>46302.314618055556</v>
      </c>
    </row>
    <row r="625" spans="1:23">
      <c r="A625">
        <v>268727</v>
      </c>
      <c r="B625">
        <v>1742</v>
      </c>
      <c r="C625" s="11" t="s">
        <v>129</v>
      </c>
      <c r="D625" s="11" t="s">
        <v>130</v>
      </c>
      <c r="E625" s="11" t="s">
        <v>25</v>
      </c>
      <c r="F625" s="12">
        <v>46178</v>
      </c>
      <c r="G625" s="11" t="s">
        <v>339</v>
      </c>
      <c r="H625">
        <v>1</v>
      </c>
      <c r="I625" s="11" t="s">
        <v>2112</v>
      </c>
      <c r="M625" s="11" t="s">
        <v>92</v>
      </c>
      <c r="N625" s="11" t="s">
        <v>1429</v>
      </c>
      <c r="O625" s="11" t="s">
        <v>2113</v>
      </c>
      <c r="P625" s="11" t="s">
        <v>2112</v>
      </c>
      <c r="Q625" s="11" t="s">
        <v>135</v>
      </c>
      <c r="U625" s="11" t="s">
        <v>343</v>
      </c>
      <c r="V625" s="11" t="s">
        <v>137</v>
      </c>
      <c r="W625" s="13">
        <v>46302.314618055556</v>
      </c>
    </row>
    <row r="626" spans="1:23">
      <c r="A626">
        <v>268728</v>
      </c>
      <c r="B626">
        <v>1743</v>
      </c>
      <c r="C626" s="11" t="s">
        <v>129</v>
      </c>
      <c r="D626" s="11" t="s">
        <v>130</v>
      </c>
      <c r="E626" s="11" t="s">
        <v>25</v>
      </c>
      <c r="F626" s="12">
        <v>46178</v>
      </c>
      <c r="G626" s="11" t="s">
        <v>355</v>
      </c>
      <c r="H626">
        <v>1</v>
      </c>
      <c r="I626" s="11" t="s">
        <v>1869</v>
      </c>
      <c r="M626" s="11" t="s">
        <v>77</v>
      </c>
      <c r="N626" s="11" t="s">
        <v>2114</v>
      </c>
      <c r="O626" s="11" t="s">
        <v>2115</v>
      </c>
      <c r="P626" s="11" t="s">
        <v>1869</v>
      </c>
      <c r="Q626" s="11" t="s">
        <v>135</v>
      </c>
      <c r="U626" s="11" t="s">
        <v>359</v>
      </c>
      <c r="V626" s="11" t="s">
        <v>137</v>
      </c>
      <c r="W626" s="13">
        <v>46302.314618055556</v>
      </c>
    </row>
    <row r="627" spans="1:23">
      <c r="A627">
        <v>268729</v>
      </c>
      <c r="B627">
        <v>1744</v>
      </c>
      <c r="C627" s="11" t="s">
        <v>129</v>
      </c>
      <c r="D627" s="11" t="s">
        <v>130</v>
      </c>
      <c r="E627" s="11" t="s">
        <v>25</v>
      </c>
      <c r="F627" s="12">
        <v>46178</v>
      </c>
      <c r="G627" s="11" t="s">
        <v>360</v>
      </c>
      <c r="H627">
        <v>1</v>
      </c>
      <c r="I627" s="11" t="s">
        <v>2116</v>
      </c>
      <c r="M627" s="11" t="s">
        <v>79</v>
      </c>
      <c r="N627" s="11" t="s">
        <v>2117</v>
      </c>
      <c r="O627" s="11" t="s">
        <v>2118</v>
      </c>
      <c r="P627" s="11" t="s">
        <v>2116</v>
      </c>
      <c r="Q627" s="11" t="s">
        <v>135</v>
      </c>
      <c r="U627" s="11" t="s">
        <v>364</v>
      </c>
      <c r="V627" s="11" t="s">
        <v>137</v>
      </c>
      <c r="W627" s="13">
        <v>46302.314618055556</v>
      </c>
    </row>
    <row r="628" spans="1:23">
      <c r="A628">
        <v>268730</v>
      </c>
      <c r="B628">
        <v>1745</v>
      </c>
      <c r="C628" s="11" t="s">
        <v>129</v>
      </c>
      <c r="D628" s="11" t="s">
        <v>130</v>
      </c>
      <c r="E628" s="11" t="s">
        <v>25</v>
      </c>
      <c r="F628" s="12">
        <v>46178</v>
      </c>
      <c r="G628" s="11" t="s">
        <v>1777</v>
      </c>
      <c r="H628">
        <v>1</v>
      </c>
      <c r="I628" s="11" t="s">
        <v>954</v>
      </c>
      <c r="M628" s="11" t="s">
        <v>80</v>
      </c>
      <c r="N628" s="11" t="s">
        <v>2119</v>
      </c>
      <c r="O628" s="11" t="s">
        <v>2120</v>
      </c>
      <c r="P628" s="11" t="s">
        <v>954</v>
      </c>
      <c r="Q628" s="11" t="s">
        <v>135</v>
      </c>
      <c r="U628" s="11" t="s">
        <v>1781</v>
      </c>
      <c r="V628" s="11" t="s">
        <v>137</v>
      </c>
      <c r="W628" s="13">
        <v>46302.314618055556</v>
      </c>
    </row>
    <row r="629" spans="1:23">
      <c r="A629">
        <v>268731</v>
      </c>
      <c r="B629">
        <v>1746</v>
      </c>
      <c r="C629" s="11" t="s">
        <v>129</v>
      </c>
      <c r="D629" s="11" t="s">
        <v>130</v>
      </c>
      <c r="E629" s="11" t="s">
        <v>25</v>
      </c>
      <c r="F629" s="12">
        <v>46178</v>
      </c>
      <c r="G629" s="11" t="s">
        <v>321</v>
      </c>
      <c r="H629">
        <v>3</v>
      </c>
      <c r="I629" s="11" t="s">
        <v>2121</v>
      </c>
      <c r="M629" s="11" t="s">
        <v>67</v>
      </c>
      <c r="N629" s="11" t="s">
        <v>2122</v>
      </c>
      <c r="O629" s="11" t="s">
        <v>2123</v>
      </c>
      <c r="P629" s="11" t="s">
        <v>2124</v>
      </c>
      <c r="Q629" s="11" t="s">
        <v>135</v>
      </c>
      <c r="U629" s="11" t="s">
        <v>327</v>
      </c>
      <c r="V629" s="11" t="s">
        <v>137</v>
      </c>
      <c r="W629" s="13">
        <v>46302.314618055556</v>
      </c>
    </row>
    <row r="630" spans="1:23">
      <c r="A630">
        <v>268732</v>
      </c>
      <c r="B630">
        <v>1747</v>
      </c>
      <c r="C630" s="11" t="s">
        <v>129</v>
      </c>
      <c r="D630" s="11" t="s">
        <v>130</v>
      </c>
      <c r="E630" s="11" t="s">
        <v>25</v>
      </c>
      <c r="F630" s="12">
        <v>46178</v>
      </c>
      <c r="G630" s="11" t="s">
        <v>316</v>
      </c>
      <c r="H630">
        <v>1</v>
      </c>
      <c r="I630" s="11" t="s">
        <v>824</v>
      </c>
      <c r="M630" s="11" t="s">
        <v>87</v>
      </c>
      <c r="N630" s="11" t="s">
        <v>2125</v>
      </c>
      <c r="O630" s="11" t="s">
        <v>2126</v>
      </c>
      <c r="P630" s="11" t="s">
        <v>824</v>
      </c>
      <c r="Q630" s="11" t="s">
        <v>135</v>
      </c>
      <c r="U630" s="11" t="s">
        <v>320</v>
      </c>
      <c r="V630" s="11" t="s">
        <v>137</v>
      </c>
      <c r="W630" s="13">
        <v>46302.314618055556</v>
      </c>
    </row>
    <row r="631" spans="1:23">
      <c r="A631">
        <v>268733</v>
      </c>
      <c r="B631">
        <v>1748</v>
      </c>
      <c r="C631" s="11" t="s">
        <v>129</v>
      </c>
      <c r="D631" s="11" t="s">
        <v>130</v>
      </c>
      <c r="E631" s="11" t="s">
        <v>25</v>
      </c>
      <c r="F631" s="12">
        <v>46178</v>
      </c>
      <c r="G631" s="11" t="s">
        <v>334</v>
      </c>
      <c r="H631">
        <v>2</v>
      </c>
      <c r="I631" s="11" t="s">
        <v>2127</v>
      </c>
      <c r="M631" s="11" t="s">
        <v>64</v>
      </c>
      <c r="N631" s="11" t="s">
        <v>1058</v>
      </c>
      <c r="O631" s="11" t="s">
        <v>1168</v>
      </c>
      <c r="P631" s="11" t="s">
        <v>2128</v>
      </c>
      <c r="Q631" s="11" t="s">
        <v>135</v>
      </c>
      <c r="U631" s="11" t="s">
        <v>338</v>
      </c>
      <c r="V631" s="11" t="s">
        <v>137</v>
      </c>
      <c r="W631" s="13">
        <v>46302.314618055556</v>
      </c>
    </row>
    <row r="632" spans="1:23">
      <c r="A632">
        <v>268734</v>
      </c>
      <c r="B632">
        <v>1749</v>
      </c>
      <c r="C632" s="11" t="s">
        <v>129</v>
      </c>
      <c r="D632" s="11" t="s">
        <v>130</v>
      </c>
      <c r="E632" s="11" t="s">
        <v>25</v>
      </c>
      <c r="F632" s="12">
        <v>46178</v>
      </c>
      <c r="G632" s="11" t="s">
        <v>328</v>
      </c>
      <c r="H632">
        <v>5</v>
      </c>
      <c r="I632" s="11" t="s">
        <v>2129</v>
      </c>
      <c r="M632" s="11" t="s">
        <v>66</v>
      </c>
      <c r="N632" s="11" t="s">
        <v>2130</v>
      </c>
      <c r="O632" s="11" t="s">
        <v>2131</v>
      </c>
      <c r="P632" s="11" t="s">
        <v>1011</v>
      </c>
      <c r="Q632" s="11" t="s">
        <v>135</v>
      </c>
      <c r="U632" s="11" t="s">
        <v>333</v>
      </c>
      <c r="V632" s="11" t="s">
        <v>137</v>
      </c>
      <c r="W632" s="13">
        <v>46302.314618055556</v>
      </c>
    </row>
    <row r="633" spans="1:23">
      <c r="A633">
        <v>268735</v>
      </c>
      <c r="B633">
        <v>1750</v>
      </c>
      <c r="C633" s="11" t="s">
        <v>129</v>
      </c>
      <c r="D633" s="11" t="s">
        <v>130</v>
      </c>
      <c r="E633" s="11" t="s">
        <v>25</v>
      </c>
      <c r="F633" s="12">
        <v>46178</v>
      </c>
      <c r="G633" s="11" t="s">
        <v>316</v>
      </c>
      <c r="H633">
        <v>1</v>
      </c>
      <c r="I633" s="11" t="s">
        <v>2132</v>
      </c>
      <c r="M633" s="11" t="s">
        <v>87</v>
      </c>
      <c r="N633" s="11" t="s">
        <v>2133</v>
      </c>
      <c r="O633" s="11" t="s">
        <v>2134</v>
      </c>
      <c r="P633" s="11" t="s">
        <v>2132</v>
      </c>
      <c r="Q633" s="11" t="s">
        <v>135</v>
      </c>
      <c r="U633" s="11" t="s">
        <v>320</v>
      </c>
      <c r="V633" s="11" t="s">
        <v>137</v>
      </c>
      <c r="W633" s="13">
        <v>46302.314618055556</v>
      </c>
    </row>
    <row r="634" spans="1:23">
      <c r="A634">
        <v>268736</v>
      </c>
      <c r="B634">
        <v>1751</v>
      </c>
      <c r="C634" s="11" t="s">
        <v>129</v>
      </c>
      <c r="D634" s="11" t="s">
        <v>130</v>
      </c>
      <c r="E634" s="11" t="s">
        <v>25</v>
      </c>
      <c r="F634" s="12">
        <v>46178</v>
      </c>
      <c r="G634" s="11" t="s">
        <v>334</v>
      </c>
      <c r="H634">
        <v>1</v>
      </c>
      <c r="I634" s="11" t="s">
        <v>2135</v>
      </c>
      <c r="M634" s="11" t="s">
        <v>64</v>
      </c>
      <c r="N634" s="11" t="s">
        <v>2136</v>
      </c>
      <c r="O634" s="11" t="s">
        <v>2137</v>
      </c>
      <c r="P634" s="11" t="s">
        <v>2135</v>
      </c>
      <c r="Q634" s="11" t="s">
        <v>135</v>
      </c>
      <c r="U634" s="11" t="s">
        <v>338</v>
      </c>
      <c r="V634" s="11" t="s">
        <v>137</v>
      </c>
      <c r="W634" s="13">
        <v>46302.314618055556</v>
      </c>
    </row>
    <row r="635" spans="1:23">
      <c r="A635">
        <v>268737</v>
      </c>
      <c r="B635">
        <v>1752</v>
      </c>
      <c r="C635" s="11" t="s">
        <v>129</v>
      </c>
      <c r="D635" s="11" t="s">
        <v>130</v>
      </c>
      <c r="E635" s="11" t="s">
        <v>25</v>
      </c>
      <c r="F635" s="12">
        <v>46178</v>
      </c>
      <c r="G635" s="11" t="s">
        <v>316</v>
      </c>
      <c r="H635">
        <v>1</v>
      </c>
      <c r="I635" s="11" t="s">
        <v>1338</v>
      </c>
      <c r="M635" s="11" t="s">
        <v>87</v>
      </c>
      <c r="N635" s="11" t="s">
        <v>2138</v>
      </c>
      <c r="O635" s="11" t="s">
        <v>2139</v>
      </c>
      <c r="P635" s="11" t="s">
        <v>1338</v>
      </c>
      <c r="Q635" s="11" t="s">
        <v>135</v>
      </c>
      <c r="U635" s="11" t="s">
        <v>320</v>
      </c>
      <c r="V635" s="11" t="s">
        <v>137</v>
      </c>
      <c r="W635" s="13">
        <v>46302.314618055556</v>
      </c>
    </row>
    <row r="636" spans="1:23">
      <c r="A636">
        <v>268738</v>
      </c>
      <c r="B636">
        <v>1753</v>
      </c>
      <c r="C636" s="11" t="s">
        <v>129</v>
      </c>
      <c r="D636" s="11" t="s">
        <v>130</v>
      </c>
      <c r="E636" s="11" t="s">
        <v>25</v>
      </c>
      <c r="F636" s="12">
        <v>46178</v>
      </c>
      <c r="G636" s="11" t="s">
        <v>334</v>
      </c>
      <c r="H636">
        <v>2</v>
      </c>
      <c r="I636" s="11" t="s">
        <v>2140</v>
      </c>
      <c r="M636" s="11" t="s">
        <v>64</v>
      </c>
      <c r="N636" s="11" t="s">
        <v>2141</v>
      </c>
      <c r="O636" s="11" t="s">
        <v>2142</v>
      </c>
      <c r="P636" s="11" t="s">
        <v>2034</v>
      </c>
      <c r="Q636" s="11" t="s">
        <v>135</v>
      </c>
      <c r="U636" s="11" t="s">
        <v>338</v>
      </c>
      <c r="V636" s="11" t="s">
        <v>137</v>
      </c>
      <c r="W636" s="13">
        <v>46302.314618055556</v>
      </c>
    </row>
    <row r="637" spans="1:23">
      <c r="A637">
        <v>268739</v>
      </c>
      <c r="B637">
        <v>1754</v>
      </c>
      <c r="C637" s="11" t="s">
        <v>129</v>
      </c>
      <c r="D637" s="11" t="s">
        <v>130</v>
      </c>
      <c r="E637" s="11" t="s">
        <v>25</v>
      </c>
      <c r="F637" s="12">
        <v>46178</v>
      </c>
      <c r="G637" s="11" t="s">
        <v>316</v>
      </c>
      <c r="H637">
        <v>1</v>
      </c>
      <c r="I637" s="11" t="s">
        <v>2143</v>
      </c>
      <c r="M637" s="11" t="s">
        <v>87</v>
      </c>
      <c r="N637" s="11" t="s">
        <v>2144</v>
      </c>
      <c r="O637" s="11" t="s">
        <v>2145</v>
      </c>
      <c r="P637" s="11" t="s">
        <v>2143</v>
      </c>
      <c r="Q637" s="11" t="s">
        <v>135</v>
      </c>
      <c r="U637" s="11" t="s">
        <v>320</v>
      </c>
      <c r="V637" s="11" t="s">
        <v>137</v>
      </c>
      <c r="W637" s="13">
        <v>46302.314618055556</v>
      </c>
    </row>
    <row r="638" spans="1:23">
      <c r="A638">
        <v>268740</v>
      </c>
      <c r="B638">
        <v>1755</v>
      </c>
      <c r="C638" s="11" t="s">
        <v>129</v>
      </c>
      <c r="D638" s="11" t="s">
        <v>130</v>
      </c>
      <c r="E638" s="11" t="s">
        <v>25</v>
      </c>
      <c r="F638" s="12">
        <v>46178</v>
      </c>
      <c r="G638" s="11" t="s">
        <v>339</v>
      </c>
      <c r="H638">
        <v>1</v>
      </c>
      <c r="I638" s="11" t="s">
        <v>2068</v>
      </c>
      <c r="M638" s="11" t="s">
        <v>92</v>
      </c>
      <c r="N638" s="11" t="s">
        <v>2146</v>
      </c>
      <c r="O638" s="11" t="s">
        <v>2147</v>
      </c>
      <c r="P638" s="11" t="s">
        <v>2068</v>
      </c>
      <c r="Q638" s="11" t="s">
        <v>135</v>
      </c>
      <c r="U638" s="11" t="s">
        <v>343</v>
      </c>
      <c r="V638" s="11" t="s">
        <v>137</v>
      </c>
      <c r="W638" s="13">
        <v>46302.314618055556</v>
      </c>
    </row>
    <row r="639" spans="1:23">
      <c r="A639">
        <v>268741</v>
      </c>
      <c r="B639">
        <v>1756</v>
      </c>
      <c r="C639" s="11" t="s">
        <v>129</v>
      </c>
      <c r="D639" s="11" t="s">
        <v>130</v>
      </c>
      <c r="E639" s="11" t="s">
        <v>25</v>
      </c>
      <c r="F639" s="12">
        <v>46178</v>
      </c>
      <c r="G639" s="11" t="s">
        <v>316</v>
      </c>
      <c r="H639">
        <v>1</v>
      </c>
      <c r="I639" s="11" t="s">
        <v>2148</v>
      </c>
      <c r="M639" s="11" t="s">
        <v>87</v>
      </c>
      <c r="N639" s="11" t="s">
        <v>2149</v>
      </c>
      <c r="O639" s="11" t="s">
        <v>2150</v>
      </c>
      <c r="P639" s="11" t="s">
        <v>2148</v>
      </c>
      <c r="Q639" s="11" t="s">
        <v>135</v>
      </c>
      <c r="U639" s="11" t="s">
        <v>320</v>
      </c>
      <c r="V639" s="11" t="s">
        <v>137</v>
      </c>
      <c r="W639" s="13">
        <v>46302.314618055556</v>
      </c>
    </row>
    <row r="640" spans="1:23">
      <c r="A640">
        <v>268742</v>
      </c>
      <c r="B640">
        <v>1757</v>
      </c>
      <c r="C640" s="11" t="s">
        <v>129</v>
      </c>
      <c r="D640" s="11" t="s">
        <v>130</v>
      </c>
      <c r="E640" s="11" t="s">
        <v>25</v>
      </c>
      <c r="F640" s="12">
        <v>46178</v>
      </c>
      <c r="G640" s="11" t="s">
        <v>804</v>
      </c>
      <c r="H640">
        <v>1</v>
      </c>
      <c r="I640" s="11" t="s">
        <v>1235</v>
      </c>
      <c r="M640" s="11" t="s">
        <v>76</v>
      </c>
      <c r="N640" s="11" t="s">
        <v>2151</v>
      </c>
      <c r="O640" s="11" t="s">
        <v>2152</v>
      </c>
      <c r="P640" s="11" t="s">
        <v>1235</v>
      </c>
      <c r="Q640" s="11" t="s">
        <v>135</v>
      </c>
      <c r="U640" s="11" t="s">
        <v>808</v>
      </c>
      <c r="V640" s="11" t="s">
        <v>137</v>
      </c>
      <c r="W640" s="13">
        <v>46302.314618055556</v>
      </c>
    </row>
    <row r="641" spans="1:23">
      <c r="A641">
        <v>268743</v>
      </c>
      <c r="B641">
        <v>1758</v>
      </c>
      <c r="C641" s="11" t="s">
        <v>129</v>
      </c>
      <c r="D641" s="11" t="s">
        <v>130</v>
      </c>
      <c r="E641" s="11" t="s">
        <v>25</v>
      </c>
      <c r="F641" s="12">
        <v>46178</v>
      </c>
      <c r="G641" s="11" t="s">
        <v>393</v>
      </c>
      <c r="H641">
        <v>1</v>
      </c>
      <c r="I641" s="11" t="s">
        <v>2153</v>
      </c>
      <c r="M641" s="11" t="s">
        <v>86</v>
      </c>
      <c r="N641" s="11" t="s">
        <v>2154</v>
      </c>
      <c r="O641" s="11" t="s">
        <v>2155</v>
      </c>
      <c r="P641" s="11" t="s">
        <v>2153</v>
      </c>
      <c r="Q641" s="11" t="s">
        <v>135</v>
      </c>
      <c r="U641" s="11" t="s">
        <v>397</v>
      </c>
      <c r="V641" s="11" t="s">
        <v>137</v>
      </c>
      <c r="W641" s="13">
        <v>46302.314618055556</v>
      </c>
    </row>
    <row r="642" spans="1:23">
      <c r="A642">
        <v>268744</v>
      </c>
      <c r="B642">
        <v>1730</v>
      </c>
      <c r="C642" s="11" t="s">
        <v>129</v>
      </c>
      <c r="D642" s="11" t="s">
        <v>130</v>
      </c>
      <c r="E642" s="11" t="s">
        <v>25</v>
      </c>
      <c r="F642" s="12">
        <v>46178</v>
      </c>
      <c r="G642" s="11" t="s">
        <v>401</v>
      </c>
      <c r="H642">
        <v>1</v>
      </c>
      <c r="I642" s="11" t="s">
        <v>2078</v>
      </c>
      <c r="M642" s="11" t="s">
        <v>90</v>
      </c>
      <c r="N642" s="11" t="s">
        <v>2156</v>
      </c>
      <c r="O642" s="11" t="s">
        <v>2157</v>
      </c>
      <c r="P642" s="11" t="s">
        <v>2078</v>
      </c>
      <c r="Q642" s="11" t="s">
        <v>135</v>
      </c>
      <c r="R642">
        <v>1729</v>
      </c>
      <c r="U642" s="11" t="s">
        <v>404</v>
      </c>
      <c r="V642" s="11" t="s">
        <v>137</v>
      </c>
      <c r="W642" s="13">
        <v>46302.314618055556</v>
      </c>
    </row>
    <row r="643" spans="1:23">
      <c r="A643">
        <v>269018</v>
      </c>
      <c r="B643">
        <v>10370</v>
      </c>
      <c r="C643" s="11" t="s">
        <v>129</v>
      </c>
      <c r="D643" s="11" t="s">
        <v>130</v>
      </c>
      <c r="E643" s="11" t="s">
        <v>25</v>
      </c>
      <c r="F643" s="12">
        <v>46181</v>
      </c>
      <c r="G643" s="11" t="s">
        <v>226</v>
      </c>
      <c r="H643">
        <v>1</v>
      </c>
      <c r="I643" s="11" t="s">
        <v>2158</v>
      </c>
      <c r="M643" s="11" t="s">
        <v>87</v>
      </c>
      <c r="N643" s="11" t="s">
        <v>133</v>
      </c>
      <c r="O643" s="11" t="s">
        <v>2159</v>
      </c>
      <c r="P643" s="11" t="s">
        <v>2158</v>
      </c>
      <c r="Q643" s="11" t="s">
        <v>135</v>
      </c>
      <c r="U643" s="11" t="s">
        <v>231</v>
      </c>
      <c r="V643" s="11" t="s">
        <v>137</v>
      </c>
      <c r="W643" s="13">
        <v>46302.314618055556</v>
      </c>
    </row>
    <row r="644" spans="1:23">
      <c r="A644">
        <v>269019</v>
      </c>
      <c r="B644">
        <v>10371</v>
      </c>
      <c r="C644" s="11" t="s">
        <v>129</v>
      </c>
      <c r="D644" s="11" t="s">
        <v>130</v>
      </c>
      <c r="E644" s="11" t="s">
        <v>25</v>
      </c>
      <c r="F644" s="12">
        <v>46181</v>
      </c>
      <c r="G644" s="11" t="s">
        <v>226</v>
      </c>
      <c r="H644">
        <v>1</v>
      </c>
      <c r="I644" s="11" t="s">
        <v>2160</v>
      </c>
      <c r="M644" s="11" t="s">
        <v>87</v>
      </c>
      <c r="N644" s="11" t="s">
        <v>2161</v>
      </c>
      <c r="O644" s="11" t="s">
        <v>2162</v>
      </c>
      <c r="P644" s="11" t="s">
        <v>2160</v>
      </c>
      <c r="Q644" s="11" t="s">
        <v>135</v>
      </c>
      <c r="U644" s="11" t="s">
        <v>231</v>
      </c>
      <c r="V644" s="11" t="s">
        <v>137</v>
      </c>
      <c r="W644" s="13">
        <v>46302.314618055556</v>
      </c>
    </row>
    <row r="645" spans="1:23">
      <c r="A645">
        <v>269020</v>
      </c>
      <c r="B645">
        <v>10372</v>
      </c>
      <c r="C645" s="11" t="s">
        <v>129</v>
      </c>
      <c r="D645" s="11" t="s">
        <v>130</v>
      </c>
      <c r="E645" s="11" t="s">
        <v>25</v>
      </c>
      <c r="F645" s="12">
        <v>46181</v>
      </c>
      <c r="G645" s="11" t="s">
        <v>232</v>
      </c>
      <c r="H645">
        <v>1</v>
      </c>
      <c r="I645" s="11" t="s">
        <v>2163</v>
      </c>
      <c r="M645" s="11" t="s">
        <v>89</v>
      </c>
      <c r="N645" s="11" t="s">
        <v>2164</v>
      </c>
      <c r="O645" s="11" t="s">
        <v>2165</v>
      </c>
      <c r="P645" s="11" t="s">
        <v>2163</v>
      </c>
      <c r="Q645" s="11" t="s">
        <v>135</v>
      </c>
      <c r="U645" s="11" t="s">
        <v>236</v>
      </c>
      <c r="V645" s="11" t="s">
        <v>137</v>
      </c>
      <c r="W645" s="13">
        <v>46302.314618055556</v>
      </c>
    </row>
    <row r="646" spans="1:23">
      <c r="A646">
        <v>269021</v>
      </c>
      <c r="B646">
        <v>10373</v>
      </c>
      <c r="C646" s="11" t="s">
        <v>129</v>
      </c>
      <c r="D646" s="11" t="s">
        <v>130</v>
      </c>
      <c r="E646" s="11" t="s">
        <v>25</v>
      </c>
      <c r="F646" s="12">
        <v>46181</v>
      </c>
      <c r="G646" s="11" t="s">
        <v>672</v>
      </c>
      <c r="H646">
        <v>6</v>
      </c>
      <c r="I646" s="11" t="s">
        <v>2166</v>
      </c>
      <c r="M646" s="11" t="s">
        <v>72</v>
      </c>
      <c r="N646" s="11" t="s">
        <v>2167</v>
      </c>
      <c r="O646" s="11" t="s">
        <v>2168</v>
      </c>
      <c r="P646" s="11" t="s">
        <v>2169</v>
      </c>
      <c r="Q646" s="11" t="s">
        <v>2170</v>
      </c>
      <c r="U646" s="11" t="s">
        <v>677</v>
      </c>
      <c r="V646" s="11" t="s">
        <v>137</v>
      </c>
      <c r="W646" s="13">
        <v>46302.314618055556</v>
      </c>
    </row>
    <row r="647" spans="1:23">
      <c r="A647">
        <v>269022</v>
      </c>
      <c r="B647">
        <v>10375</v>
      </c>
      <c r="C647" s="11" t="s">
        <v>129</v>
      </c>
      <c r="D647" s="11" t="s">
        <v>130</v>
      </c>
      <c r="E647" s="11" t="s">
        <v>25</v>
      </c>
      <c r="F647" s="12">
        <v>46181</v>
      </c>
      <c r="G647" s="11" t="s">
        <v>263</v>
      </c>
      <c r="H647">
        <v>1</v>
      </c>
      <c r="I647" s="11" t="s">
        <v>2171</v>
      </c>
      <c r="M647" s="11" t="s">
        <v>92</v>
      </c>
      <c r="N647" s="11" t="s">
        <v>2172</v>
      </c>
      <c r="O647" s="11" t="s">
        <v>2173</v>
      </c>
      <c r="P647" s="11" t="s">
        <v>2171</v>
      </c>
      <c r="Q647" s="11" t="s">
        <v>135</v>
      </c>
      <c r="U647" s="11" t="s">
        <v>267</v>
      </c>
      <c r="V647" s="11" t="s">
        <v>137</v>
      </c>
      <c r="W647" s="13">
        <v>46302.314618055556</v>
      </c>
    </row>
    <row r="648" spans="1:23">
      <c r="A648">
        <v>269023</v>
      </c>
      <c r="B648">
        <v>10376</v>
      </c>
      <c r="C648" s="11" t="s">
        <v>129</v>
      </c>
      <c r="D648" s="11" t="s">
        <v>130</v>
      </c>
      <c r="E648" s="11" t="s">
        <v>25</v>
      </c>
      <c r="F648" s="12">
        <v>46181</v>
      </c>
      <c r="G648" s="11" t="s">
        <v>439</v>
      </c>
      <c r="H648">
        <v>1</v>
      </c>
      <c r="I648" s="11" t="s">
        <v>2174</v>
      </c>
      <c r="M648" s="11" t="s">
        <v>73</v>
      </c>
      <c r="N648" s="11" t="s">
        <v>2175</v>
      </c>
      <c r="O648" s="11" t="s">
        <v>2176</v>
      </c>
      <c r="P648" s="11" t="s">
        <v>2174</v>
      </c>
      <c r="Q648" s="11" t="s">
        <v>135</v>
      </c>
      <c r="U648" s="11" t="s">
        <v>443</v>
      </c>
      <c r="V648" s="11" t="s">
        <v>137</v>
      </c>
      <c r="W648" s="13">
        <v>46302.314618055556</v>
      </c>
    </row>
    <row r="649" spans="1:23">
      <c r="A649">
        <v>269024</v>
      </c>
      <c r="B649">
        <v>10377</v>
      </c>
      <c r="C649" s="11" t="s">
        <v>129</v>
      </c>
      <c r="D649" s="11" t="s">
        <v>130</v>
      </c>
      <c r="E649" s="11" t="s">
        <v>25</v>
      </c>
      <c r="F649" s="12">
        <v>46181</v>
      </c>
      <c r="G649" s="11" t="s">
        <v>226</v>
      </c>
      <c r="H649">
        <v>1</v>
      </c>
      <c r="I649" s="11" t="s">
        <v>2177</v>
      </c>
      <c r="M649" s="11" t="s">
        <v>87</v>
      </c>
      <c r="N649" s="11" t="s">
        <v>2178</v>
      </c>
      <c r="O649" s="11" t="s">
        <v>2179</v>
      </c>
      <c r="P649" s="11" t="s">
        <v>2177</v>
      </c>
      <c r="Q649" s="11" t="s">
        <v>135</v>
      </c>
      <c r="U649" s="11" t="s">
        <v>231</v>
      </c>
      <c r="V649" s="11" t="s">
        <v>137</v>
      </c>
      <c r="W649" s="13">
        <v>46302.314618055556</v>
      </c>
    </row>
    <row r="650" spans="1:23">
      <c r="A650">
        <v>269025</v>
      </c>
      <c r="B650">
        <v>10378</v>
      </c>
      <c r="C650" s="11" t="s">
        <v>129</v>
      </c>
      <c r="D650" s="11" t="s">
        <v>130</v>
      </c>
      <c r="E650" s="11" t="s">
        <v>25</v>
      </c>
      <c r="F650" s="12">
        <v>46181</v>
      </c>
      <c r="G650" s="11" t="s">
        <v>263</v>
      </c>
      <c r="H650">
        <v>1</v>
      </c>
      <c r="I650" s="11" t="s">
        <v>2180</v>
      </c>
      <c r="M650" s="11" t="s">
        <v>92</v>
      </c>
      <c r="N650" s="11" t="s">
        <v>2181</v>
      </c>
      <c r="O650" s="11" t="s">
        <v>2182</v>
      </c>
      <c r="P650" s="11" t="s">
        <v>2180</v>
      </c>
      <c r="Q650" s="11" t="s">
        <v>135</v>
      </c>
      <c r="U650" s="11" t="s">
        <v>267</v>
      </c>
      <c r="V650" s="11" t="s">
        <v>137</v>
      </c>
      <c r="W650" s="13">
        <v>46302.314618055556</v>
      </c>
    </row>
    <row r="651" spans="1:23">
      <c r="A651">
        <v>269026</v>
      </c>
      <c r="B651">
        <v>10379</v>
      </c>
      <c r="C651" s="11" t="s">
        <v>129</v>
      </c>
      <c r="D651" s="11" t="s">
        <v>130</v>
      </c>
      <c r="E651" s="11" t="s">
        <v>25</v>
      </c>
      <c r="F651" s="12">
        <v>46181</v>
      </c>
      <c r="G651" s="11" t="s">
        <v>1052</v>
      </c>
      <c r="H651">
        <v>1</v>
      </c>
      <c r="I651" s="11" t="s">
        <v>2183</v>
      </c>
      <c r="M651" s="11" t="s">
        <v>84</v>
      </c>
      <c r="N651" s="11" t="s">
        <v>2184</v>
      </c>
      <c r="O651" s="11" t="s">
        <v>2185</v>
      </c>
      <c r="P651" s="11" t="s">
        <v>2183</v>
      </c>
      <c r="Q651" s="11" t="s">
        <v>135</v>
      </c>
      <c r="U651" s="11" t="s">
        <v>1056</v>
      </c>
      <c r="V651" s="11" t="s">
        <v>137</v>
      </c>
      <c r="W651" s="13">
        <v>46302.314618055556</v>
      </c>
    </row>
    <row r="652" spans="1:23">
      <c r="A652">
        <v>269027</v>
      </c>
      <c r="B652">
        <v>10380</v>
      </c>
      <c r="C652" s="11" t="s">
        <v>129</v>
      </c>
      <c r="D652" s="11" t="s">
        <v>130</v>
      </c>
      <c r="E652" s="11" t="s">
        <v>25</v>
      </c>
      <c r="F652" s="12">
        <v>46181</v>
      </c>
      <c r="G652" s="11" t="s">
        <v>226</v>
      </c>
      <c r="H652">
        <v>1</v>
      </c>
      <c r="I652" s="11" t="s">
        <v>2186</v>
      </c>
      <c r="M652" s="11" t="s">
        <v>87</v>
      </c>
      <c r="N652" s="11" t="s">
        <v>2187</v>
      </c>
      <c r="O652" s="11" t="s">
        <v>2188</v>
      </c>
      <c r="P652" s="11" t="s">
        <v>2186</v>
      </c>
      <c r="Q652" s="11" t="s">
        <v>135</v>
      </c>
      <c r="U652" s="11" t="s">
        <v>231</v>
      </c>
      <c r="V652" s="11" t="s">
        <v>137</v>
      </c>
      <c r="W652" s="13">
        <v>46302.314618055556</v>
      </c>
    </row>
    <row r="653" spans="1:23">
      <c r="A653">
        <v>269028</v>
      </c>
      <c r="B653">
        <v>10381</v>
      </c>
      <c r="C653" s="11" t="s">
        <v>129</v>
      </c>
      <c r="D653" s="11" t="s">
        <v>130</v>
      </c>
      <c r="E653" s="11" t="s">
        <v>25</v>
      </c>
      <c r="F653" s="12">
        <v>46181</v>
      </c>
      <c r="G653" s="11" t="s">
        <v>439</v>
      </c>
      <c r="H653">
        <v>1</v>
      </c>
      <c r="I653" s="11" t="s">
        <v>2189</v>
      </c>
      <c r="M653" s="11" t="s">
        <v>73</v>
      </c>
      <c r="N653" s="11" t="s">
        <v>2190</v>
      </c>
      <c r="O653" s="11" t="s">
        <v>2191</v>
      </c>
      <c r="P653" s="11" t="s">
        <v>2189</v>
      </c>
      <c r="Q653" s="11" t="s">
        <v>135</v>
      </c>
      <c r="U653" s="11" t="s">
        <v>443</v>
      </c>
      <c r="V653" s="11" t="s">
        <v>137</v>
      </c>
      <c r="W653" s="13">
        <v>46302.314618055556</v>
      </c>
    </row>
    <row r="654" spans="1:23">
      <c r="A654">
        <v>269029</v>
      </c>
      <c r="B654">
        <v>10382</v>
      </c>
      <c r="C654" s="11" t="s">
        <v>129</v>
      </c>
      <c r="D654" s="11" t="s">
        <v>130</v>
      </c>
      <c r="E654" s="11" t="s">
        <v>25</v>
      </c>
      <c r="F654" s="12">
        <v>46181</v>
      </c>
      <c r="G654" s="11" t="s">
        <v>672</v>
      </c>
      <c r="H654">
        <v>1</v>
      </c>
      <c r="I654" s="11" t="s">
        <v>2192</v>
      </c>
      <c r="M654" s="11" t="s">
        <v>72</v>
      </c>
      <c r="N654" s="11" t="s">
        <v>2193</v>
      </c>
      <c r="O654" s="11" t="s">
        <v>2194</v>
      </c>
      <c r="P654" s="11" t="s">
        <v>2192</v>
      </c>
      <c r="Q654" s="11" t="s">
        <v>135</v>
      </c>
      <c r="U654" s="11" t="s">
        <v>677</v>
      </c>
      <c r="V654" s="11" t="s">
        <v>137</v>
      </c>
      <c r="W654" s="13">
        <v>46302.314618055556</v>
      </c>
    </row>
    <row r="655" spans="1:23">
      <c r="A655">
        <v>269030</v>
      </c>
      <c r="B655">
        <v>10383</v>
      </c>
      <c r="C655" s="11" t="s">
        <v>129</v>
      </c>
      <c r="D655" s="11" t="s">
        <v>130</v>
      </c>
      <c r="E655" s="11" t="s">
        <v>25</v>
      </c>
      <c r="F655" s="12">
        <v>46181</v>
      </c>
      <c r="G655" s="11" t="s">
        <v>439</v>
      </c>
      <c r="H655">
        <v>2</v>
      </c>
      <c r="I655" s="11" t="s">
        <v>2195</v>
      </c>
      <c r="M655" s="11" t="s">
        <v>73</v>
      </c>
      <c r="N655" s="11" t="s">
        <v>2196</v>
      </c>
      <c r="O655" s="11" t="s">
        <v>2197</v>
      </c>
      <c r="P655" s="11" t="s">
        <v>2198</v>
      </c>
      <c r="Q655" s="11" t="s">
        <v>135</v>
      </c>
      <c r="U655" s="11" t="s">
        <v>443</v>
      </c>
      <c r="V655" s="11" t="s">
        <v>137</v>
      </c>
      <c r="W655" s="13">
        <v>46302.314618055556</v>
      </c>
    </row>
    <row r="656" spans="1:23">
      <c r="A656">
        <v>269031</v>
      </c>
      <c r="B656">
        <v>10384</v>
      </c>
      <c r="C656" s="11" t="s">
        <v>129</v>
      </c>
      <c r="D656" s="11" t="s">
        <v>130</v>
      </c>
      <c r="E656" s="11" t="s">
        <v>25</v>
      </c>
      <c r="F656" s="12">
        <v>46181</v>
      </c>
      <c r="G656" s="11" t="s">
        <v>226</v>
      </c>
      <c r="H656">
        <v>1</v>
      </c>
      <c r="I656" s="11" t="s">
        <v>1293</v>
      </c>
      <c r="M656" s="11" t="s">
        <v>87</v>
      </c>
      <c r="N656" s="11" t="s">
        <v>2199</v>
      </c>
      <c r="O656" s="11" t="s">
        <v>2200</v>
      </c>
      <c r="P656" s="11" t="s">
        <v>1293</v>
      </c>
      <c r="Q656" s="11" t="s">
        <v>135</v>
      </c>
      <c r="U656" s="11" t="s">
        <v>231</v>
      </c>
      <c r="V656" s="11" t="s">
        <v>137</v>
      </c>
      <c r="W656" s="13">
        <v>46302.314618055556</v>
      </c>
    </row>
    <row r="657" spans="1:23">
      <c r="A657">
        <v>269032</v>
      </c>
      <c r="B657">
        <v>10374</v>
      </c>
      <c r="C657" s="11" t="s">
        <v>129</v>
      </c>
      <c r="D657" s="11" t="s">
        <v>130</v>
      </c>
      <c r="E657" s="11" t="s">
        <v>25</v>
      </c>
      <c r="F657" s="12">
        <v>46181</v>
      </c>
      <c r="G657" s="11" t="s">
        <v>308</v>
      </c>
      <c r="H657">
        <v>1</v>
      </c>
      <c r="I657" s="11" t="s">
        <v>2170</v>
      </c>
      <c r="M657" s="11" t="s">
        <v>90</v>
      </c>
      <c r="N657" s="11" t="s">
        <v>402</v>
      </c>
      <c r="O657" s="11" t="s">
        <v>2201</v>
      </c>
      <c r="P657" s="11" t="s">
        <v>2170</v>
      </c>
      <c r="Q657" s="11" t="s">
        <v>135</v>
      </c>
      <c r="R657">
        <v>10373</v>
      </c>
      <c r="U657" s="11" t="s">
        <v>311</v>
      </c>
      <c r="V657" s="11" t="s">
        <v>137</v>
      </c>
      <c r="W657" s="13">
        <v>46302.314618055556</v>
      </c>
    </row>
    <row r="658" spans="1:23">
      <c r="A658">
        <v>269306</v>
      </c>
      <c r="B658">
        <v>1759</v>
      </c>
      <c r="C658" s="11" t="s">
        <v>129</v>
      </c>
      <c r="D658" s="11" t="s">
        <v>130</v>
      </c>
      <c r="E658" s="11" t="s">
        <v>25</v>
      </c>
      <c r="F658" s="12">
        <v>46182</v>
      </c>
      <c r="G658" s="11" t="s">
        <v>316</v>
      </c>
      <c r="H658">
        <v>1</v>
      </c>
      <c r="I658" s="11" t="s">
        <v>2202</v>
      </c>
      <c r="M658" s="11" t="s">
        <v>87</v>
      </c>
      <c r="N658" s="11" t="s">
        <v>2203</v>
      </c>
      <c r="O658" s="11" t="s">
        <v>2204</v>
      </c>
      <c r="P658" s="11" t="s">
        <v>2202</v>
      </c>
      <c r="Q658" s="11" t="s">
        <v>135</v>
      </c>
      <c r="U658" s="11" t="s">
        <v>320</v>
      </c>
      <c r="V658" s="11" t="s">
        <v>137</v>
      </c>
      <c r="W658" s="13">
        <v>46302.314618055556</v>
      </c>
    </row>
    <row r="659" spans="1:23">
      <c r="A659">
        <v>269307</v>
      </c>
      <c r="B659">
        <v>1760</v>
      </c>
      <c r="C659" s="11" t="s">
        <v>129</v>
      </c>
      <c r="D659" s="11" t="s">
        <v>130</v>
      </c>
      <c r="E659" s="11" t="s">
        <v>25</v>
      </c>
      <c r="F659" s="12">
        <v>46182</v>
      </c>
      <c r="G659" s="11" t="s">
        <v>1740</v>
      </c>
      <c r="H659">
        <v>1</v>
      </c>
      <c r="I659" s="11" t="s">
        <v>196</v>
      </c>
      <c r="M659" s="11" t="s">
        <v>69</v>
      </c>
      <c r="N659" s="11" t="s">
        <v>2205</v>
      </c>
      <c r="O659" s="11" t="s">
        <v>2206</v>
      </c>
      <c r="P659" s="11" t="s">
        <v>196</v>
      </c>
      <c r="Q659" s="11" t="s">
        <v>135</v>
      </c>
      <c r="U659" s="11" t="s">
        <v>1745</v>
      </c>
      <c r="V659" s="11" t="s">
        <v>137</v>
      </c>
      <c r="W659" s="13">
        <v>46302.314618055556</v>
      </c>
    </row>
    <row r="660" spans="1:23">
      <c r="A660">
        <v>269308</v>
      </c>
      <c r="B660">
        <v>1761</v>
      </c>
      <c r="C660" s="11" t="s">
        <v>129</v>
      </c>
      <c r="D660" s="11" t="s">
        <v>130</v>
      </c>
      <c r="E660" s="11" t="s">
        <v>25</v>
      </c>
      <c r="F660" s="12">
        <v>46182</v>
      </c>
      <c r="G660" s="11" t="s">
        <v>328</v>
      </c>
      <c r="H660">
        <v>5</v>
      </c>
      <c r="I660" s="11" t="s">
        <v>2207</v>
      </c>
      <c r="M660" s="11" t="s">
        <v>66</v>
      </c>
      <c r="N660" s="11" t="s">
        <v>2208</v>
      </c>
      <c r="O660" s="11" t="s">
        <v>2209</v>
      </c>
      <c r="P660" s="11" t="s">
        <v>2210</v>
      </c>
      <c r="Q660" s="11" t="s">
        <v>2211</v>
      </c>
      <c r="U660" s="11" t="s">
        <v>333</v>
      </c>
      <c r="V660" s="11" t="s">
        <v>137</v>
      </c>
      <c r="W660" s="13">
        <v>46302.314618055556</v>
      </c>
    </row>
    <row r="661" spans="1:23">
      <c r="A661">
        <v>269309</v>
      </c>
      <c r="B661">
        <v>1763</v>
      </c>
      <c r="C661" s="11" t="s">
        <v>129</v>
      </c>
      <c r="D661" s="11" t="s">
        <v>130</v>
      </c>
      <c r="E661" s="11" t="s">
        <v>25</v>
      </c>
      <c r="F661" s="12">
        <v>46182</v>
      </c>
      <c r="G661" s="11" t="s">
        <v>316</v>
      </c>
      <c r="H661">
        <v>1</v>
      </c>
      <c r="I661" s="11" t="s">
        <v>2212</v>
      </c>
      <c r="M661" s="11" t="s">
        <v>87</v>
      </c>
      <c r="N661" s="11" t="s">
        <v>2213</v>
      </c>
      <c r="O661" s="11" t="s">
        <v>2214</v>
      </c>
      <c r="P661" s="11" t="s">
        <v>2212</v>
      </c>
      <c r="Q661" s="11" t="s">
        <v>135</v>
      </c>
      <c r="U661" s="11" t="s">
        <v>320</v>
      </c>
      <c r="V661" s="11" t="s">
        <v>137</v>
      </c>
      <c r="W661" s="13">
        <v>46302.314618055556</v>
      </c>
    </row>
    <row r="662" spans="1:23">
      <c r="A662">
        <v>269310</v>
      </c>
      <c r="B662">
        <v>1764</v>
      </c>
      <c r="C662" s="11" t="s">
        <v>129</v>
      </c>
      <c r="D662" s="11" t="s">
        <v>130</v>
      </c>
      <c r="E662" s="11" t="s">
        <v>25</v>
      </c>
      <c r="F662" s="12">
        <v>46182</v>
      </c>
      <c r="G662" s="11" t="s">
        <v>328</v>
      </c>
      <c r="H662">
        <v>5</v>
      </c>
      <c r="I662" s="11" t="s">
        <v>1697</v>
      </c>
      <c r="M662" s="11" t="s">
        <v>66</v>
      </c>
      <c r="N662" s="11" t="s">
        <v>2215</v>
      </c>
      <c r="O662" s="11" t="s">
        <v>2216</v>
      </c>
      <c r="P662" s="11" t="s">
        <v>2217</v>
      </c>
      <c r="Q662" s="11" t="s">
        <v>135</v>
      </c>
      <c r="U662" s="11" t="s">
        <v>333</v>
      </c>
      <c r="V662" s="11" t="s">
        <v>137</v>
      </c>
      <c r="W662" s="13">
        <v>46302.314618055556</v>
      </c>
    </row>
    <row r="663" spans="1:23">
      <c r="A663">
        <v>269311</v>
      </c>
      <c r="B663">
        <v>1765</v>
      </c>
      <c r="C663" s="11" t="s">
        <v>129</v>
      </c>
      <c r="D663" s="11" t="s">
        <v>130</v>
      </c>
      <c r="E663" s="11" t="s">
        <v>25</v>
      </c>
      <c r="F663" s="12">
        <v>46182</v>
      </c>
      <c r="G663" s="11" t="s">
        <v>334</v>
      </c>
      <c r="H663">
        <v>4</v>
      </c>
      <c r="I663" s="11" t="s">
        <v>566</v>
      </c>
      <c r="M663" s="11" t="s">
        <v>64</v>
      </c>
      <c r="N663" s="11" t="s">
        <v>2218</v>
      </c>
      <c r="O663" s="11" t="s">
        <v>2219</v>
      </c>
      <c r="P663" s="11" t="s">
        <v>2220</v>
      </c>
      <c r="Q663" s="11" t="s">
        <v>135</v>
      </c>
      <c r="U663" s="11" t="s">
        <v>338</v>
      </c>
      <c r="V663" s="11" t="s">
        <v>137</v>
      </c>
      <c r="W663" s="13">
        <v>46302.314618055556</v>
      </c>
    </row>
    <row r="664" spans="1:23">
      <c r="A664">
        <v>269312</v>
      </c>
      <c r="B664">
        <v>1766</v>
      </c>
      <c r="C664" s="11" t="s">
        <v>129</v>
      </c>
      <c r="D664" s="11" t="s">
        <v>130</v>
      </c>
      <c r="E664" s="11" t="s">
        <v>25</v>
      </c>
      <c r="F664" s="12">
        <v>46182</v>
      </c>
      <c r="G664" s="11" t="s">
        <v>339</v>
      </c>
      <c r="H664">
        <v>1</v>
      </c>
      <c r="I664" s="11" t="s">
        <v>2221</v>
      </c>
      <c r="M664" s="11" t="s">
        <v>92</v>
      </c>
      <c r="N664" s="11" t="s">
        <v>2222</v>
      </c>
      <c r="O664" s="11" t="s">
        <v>2223</v>
      </c>
      <c r="P664" s="11" t="s">
        <v>2221</v>
      </c>
      <c r="Q664" s="11" t="s">
        <v>135</v>
      </c>
      <c r="U664" s="11" t="s">
        <v>343</v>
      </c>
      <c r="V664" s="11" t="s">
        <v>137</v>
      </c>
      <c r="W664" s="13">
        <v>46302.314618055556</v>
      </c>
    </row>
    <row r="665" spans="1:23">
      <c r="A665">
        <v>269313</v>
      </c>
      <c r="B665">
        <v>1767</v>
      </c>
      <c r="C665" s="11" t="s">
        <v>129</v>
      </c>
      <c r="D665" s="11" t="s">
        <v>130</v>
      </c>
      <c r="E665" s="11" t="s">
        <v>25</v>
      </c>
      <c r="F665" s="12">
        <v>46182</v>
      </c>
      <c r="G665" s="11" t="s">
        <v>334</v>
      </c>
      <c r="H665">
        <v>1</v>
      </c>
      <c r="I665" s="11" t="s">
        <v>2224</v>
      </c>
      <c r="M665" s="11" t="s">
        <v>64</v>
      </c>
      <c r="N665" s="11" t="s">
        <v>2225</v>
      </c>
      <c r="O665" s="11" t="s">
        <v>2226</v>
      </c>
      <c r="P665" s="11" t="s">
        <v>2224</v>
      </c>
      <c r="Q665" s="11" t="s">
        <v>135</v>
      </c>
      <c r="U665" s="11" t="s">
        <v>338</v>
      </c>
      <c r="V665" s="11" t="s">
        <v>137</v>
      </c>
      <c r="W665" s="13">
        <v>46302.314618055556</v>
      </c>
    </row>
    <row r="666" spans="1:23">
      <c r="A666">
        <v>269314</v>
      </c>
      <c r="B666">
        <v>1768</v>
      </c>
      <c r="C666" s="11" t="s">
        <v>129</v>
      </c>
      <c r="D666" s="11" t="s">
        <v>130</v>
      </c>
      <c r="E666" s="11" t="s">
        <v>25</v>
      </c>
      <c r="F666" s="12">
        <v>46182</v>
      </c>
      <c r="G666" s="11" t="s">
        <v>316</v>
      </c>
      <c r="H666">
        <v>1</v>
      </c>
      <c r="I666" s="11" t="s">
        <v>2227</v>
      </c>
      <c r="M666" s="11" t="s">
        <v>87</v>
      </c>
      <c r="N666" s="11" t="s">
        <v>2176</v>
      </c>
      <c r="O666" s="11" t="s">
        <v>2228</v>
      </c>
      <c r="P666" s="11" t="s">
        <v>2227</v>
      </c>
      <c r="Q666" s="11" t="s">
        <v>135</v>
      </c>
      <c r="U666" s="11" t="s">
        <v>320</v>
      </c>
      <c r="V666" s="11" t="s">
        <v>137</v>
      </c>
      <c r="W666" s="13">
        <v>46302.314618055556</v>
      </c>
    </row>
    <row r="667" spans="1:23">
      <c r="A667">
        <v>269315</v>
      </c>
      <c r="B667">
        <v>1769</v>
      </c>
      <c r="C667" s="11" t="s">
        <v>129</v>
      </c>
      <c r="D667" s="11" t="s">
        <v>130</v>
      </c>
      <c r="E667" s="11" t="s">
        <v>25</v>
      </c>
      <c r="F667" s="12">
        <v>46182</v>
      </c>
      <c r="G667" s="11" t="s">
        <v>339</v>
      </c>
      <c r="H667">
        <v>1</v>
      </c>
      <c r="I667" s="11" t="s">
        <v>2229</v>
      </c>
      <c r="M667" s="11" t="s">
        <v>92</v>
      </c>
      <c r="N667" s="11" t="s">
        <v>2230</v>
      </c>
      <c r="O667" s="11" t="s">
        <v>2231</v>
      </c>
      <c r="P667" s="11" t="s">
        <v>2229</v>
      </c>
      <c r="Q667" s="11" t="s">
        <v>135</v>
      </c>
      <c r="U667" s="11" t="s">
        <v>343</v>
      </c>
      <c r="V667" s="11" t="s">
        <v>137</v>
      </c>
      <c r="W667" s="13">
        <v>46302.314618055556</v>
      </c>
    </row>
    <row r="668" spans="1:23">
      <c r="A668">
        <v>269316</v>
      </c>
      <c r="B668">
        <v>1770</v>
      </c>
      <c r="C668" s="11" t="s">
        <v>129</v>
      </c>
      <c r="D668" s="11" t="s">
        <v>130</v>
      </c>
      <c r="E668" s="11" t="s">
        <v>25</v>
      </c>
      <c r="F668" s="12">
        <v>46182</v>
      </c>
      <c r="G668" s="11" t="s">
        <v>355</v>
      </c>
      <c r="H668">
        <v>1</v>
      </c>
      <c r="I668" s="11" t="s">
        <v>2232</v>
      </c>
      <c r="M668" s="11" t="s">
        <v>77</v>
      </c>
      <c r="N668" s="11" t="s">
        <v>2233</v>
      </c>
      <c r="O668" s="11" t="s">
        <v>2234</v>
      </c>
      <c r="P668" s="11" t="s">
        <v>2232</v>
      </c>
      <c r="Q668" s="11" t="s">
        <v>135</v>
      </c>
      <c r="U668" s="11" t="s">
        <v>359</v>
      </c>
      <c r="V668" s="11" t="s">
        <v>137</v>
      </c>
      <c r="W668" s="13">
        <v>46302.314618055556</v>
      </c>
    </row>
    <row r="669" spans="1:23">
      <c r="A669">
        <v>269317</v>
      </c>
      <c r="B669">
        <v>1771</v>
      </c>
      <c r="C669" s="11" t="s">
        <v>129</v>
      </c>
      <c r="D669" s="11" t="s">
        <v>130</v>
      </c>
      <c r="E669" s="11" t="s">
        <v>25</v>
      </c>
      <c r="F669" s="12">
        <v>46182</v>
      </c>
      <c r="G669" s="11" t="s">
        <v>360</v>
      </c>
      <c r="H669">
        <v>1</v>
      </c>
      <c r="I669" s="11" t="s">
        <v>937</v>
      </c>
      <c r="M669" s="11" t="s">
        <v>79</v>
      </c>
      <c r="N669" s="11" t="s">
        <v>2235</v>
      </c>
      <c r="O669" s="11" t="s">
        <v>2236</v>
      </c>
      <c r="P669" s="11" t="s">
        <v>937</v>
      </c>
      <c r="Q669" s="11" t="s">
        <v>135</v>
      </c>
      <c r="U669" s="11" t="s">
        <v>364</v>
      </c>
      <c r="V669" s="11" t="s">
        <v>137</v>
      </c>
      <c r="W669" s="13">
        <v>46302.314618055556</v>
      </c>
    </row>
    <row r="670" spans="1:23">
      <c r="A670">
        <v>269318</v>
      </c>
      <c r="B670">
        <v>1772</v>
      </c>
      <c r="C670" s="11" t="s">
        <v>129</v>
      </c>
      <c r="D670" s="11" t="s">
        <v>130</v>
      </c>
      <c r="E670" s="11" t="s">
        <v>25</v>
      </c>
      <c r="F670" s="12">
        <v>46182</v>
      </c>
      <c r="G670" s="11" t="s">
        <v>1777</v>
      </c>
      <c r="H670">
        <v>1</v>
      </c>
      <c r="I670" s="11" t="s">
        <v>2237</v>
      </c>
      <c r="M670" s="11" t="s">
        <v>80</v>
      </c>
      <c r="N670" s="11" t="s">
        <v>2238</v>
      </c>
      <c r="O670" s="11" t="s">
        <v>2239</v>
      </c>
      <c r="P670" s="11" t="s">
        <v>2237</v>
      </c>
      <c r="Q670" s="11" t="s">
        <v>135</v>
      </c>
      <c r="U670" s="11" t="s">
        <v>1781</v>
      </c>
      <c r="V670" s="11" t="s">
        <v>137</v>
      </c>
      <c r="W670" s="13">
        <v>46302.314618055556</v>
      </c>
    </row>
    <row r="671" spans="1:23">
      <c r="A671">
        <v>269319</v>
      </c>
      <c r="B671">
        <v>1773</v>
      </c>
      <c r="C671" s="11" t="s">
        <v>129</v>
      </c>
      <c r="D671" s="11" t="s">
        <v>130</v>
      </c>
      <c r="E671" s="11" t="s">
        <v>25</v>
      </c>
      <c r="F671" s="12">
        <v>46182</v>
      </c>
      <c r="G671" s="11" t="s">
        <v>1782</v>
      </c>
      <c r="H671">
        <v>1</v>
      </c>
      <c r="I671" s="11" t="s">
        <v>2240</v>
      </c>
      <c r="M671" s="11" t="s">
        <v>82</v>
      </c>
      <c r="N671" s="11" t="s">
        <v>2241</v>
      </c>
      <c r="O671" s="11" t="s">
        <v>2242</v>
      </c>
      <c r="P671" s="11" t="s">
        <v>2240</v>
      </c>
      <c r="Q671" s="11" t="s">
        <v>135</v>
      </c>
      <c r="U671" s="11" t="s">
        <v>1786</v>
      </c>
      <c r="V671" s="11" t="s">
        <v>137</v>
      </c>
      <c r="W671" s="13">
        <v>46302.314618055556</v>
      </c>
    </row>
    <row r="672" spans="1:23">
      <c r="A672">
        <v>269320</v>
      </c>
      <c r="B672">
        <v>1774</v>
      </c>
      <c r="C672" s="11" t="s">
        <v>129</v>
      </c>
      <c r="D672" s="11" t="s">
        <v>130</v>
      </c>
      <c r="E672" s="11" t="s">
        <v>25</v>
      </c>
      <c r="F672" s="12">
        <v>46182</v>
      </c>
      <c r="G672" s="11" t="s">
        <v>344</v>
      </c>
      <c r="H672">
        <v>1</v>
      </c>
      <c r="I672" s="11" t="s">
        <v>2243</v>
      </c>
      <c r="M672" s="11" t="s">
        <v>65</v>
      </c>
      <c r="N672" s="11" t="s">
        <v>2244</v>
      </c>
      <c r="O672" s="11" t="s">
        <v>2245</v>
      </c>
      <c r="P672" s="11" t="s">
        <v>2243</v>
      </c>
      <c r="Q672" s="11" t="s">
        <v>135</v>
      </c>
      <c r="U672" s="11" t="s">
        <v>348</v>
      </c>
      <c r="V672" s="11" t="s">
        <v>137</v>
      </c>
      <c r="W672" s="13">
        <v>46302.314618055556</v>
      </c>
    </row>
    <row r="673" spans="1:23">
      <c r="A673">
        <v>269321</v>
      </c>
      <c r="B673">
        <v>1775</v>
      </c>
      <c r="C673" s="11" t="s">
        <v>129</v>
      </c>
      <c r="D673" s="11" t="s">
        <v>130</v>
      </c>
      <c r="E673" s="11" t="s">
        <v>25</v>
      </c>
      <c r="F673" s="12">
        <v>46182</v>
      </c>
      <c r="G673" s="11" t="s">
        <v>921</v>
      </c>
      <c r="H673">
        <v>1</v>
      </c>
      <c r="I673" s="11" t="s">
        <v>1485</v>
      </c>
      <c r="M673" s="11" t="s">
        <v>95</v>
      </c>
      <c r="N673" s="11" t="s">
        <v>2246</v>
      </c>
      <c r="O673" s="11" t="s">
        <v>2247</v>
      </c>
      <c r="P673" s="11" t="s">
        <v>1485</v>
      </c>
      <c r="Q673" s="11" t="s">
        <v>135</v>
      </c>
      <c r="U673" s="11" t="s">
        <v>925</v>
      </c>
      <c r="V673" s="11" t="s">
        <v>137</v>
      </c>
      <c r="W673" s="13">
        <v>46302.314618055556</v>
      </c>
    </row>
    <row r="674" spans="1:23">
      <c r="A674">
        <v>269322</v>
      </c>
      <c r="B674">
        <v>1776</v>
      </c>
      <c r="C674" s="11" t="s">
        <v>129</v>
      </c>
      <c r="D674" s="11" t="s">
        <v>130</v>
      </c>
      <c r="E674" s="11" t="s">
        <v>25</v>
      </c>
      <c r="F674" s="12">
        <v>46182</v>
      </c>
      <c r="G674" s="11" t="s">
        <v>316</v>
      </c>
      <c r="H674">
        <v>1</v>
      </c>
      <c r="I674" s="11" t="s">
        <v>2248</v>
      </c>
      <c r="M674" s="11" t="s">
        <v>87</v>
      </c>
      <c r="N674" s="11" t="s">
        <v>2249</v>
      </c>
      <c r="O674" s="11" t="s">
        <v>2250</v>
      </c>
      <c r="P674" s="11" t="s">
        <v>2248</v>
      </c>
      <c r="Q674" s="11" t="s">
        <v>135</v>
      </c>
      <c r="U674" s="11" t="s">
        <v>320</v>
      </c>
      <c r="V674" s="11" t="s">
        <v>137</v>
      </c>
      <c r="W674" s="13">
        <v>46302.314618055556</v>
      </c>
    </row>
    <row r="675" spans="1:23">
      <c r="A675">
        <v>269323</v>
      </c>
      <c r="B675">
        <v>1762</v>
      </c>
      <c r="C675" s="11" t="s">
        <v>129</v>
      </c>
      <c r="D675" s="11" t="s">
        <v>130</v>
      </c>
      <c r="E675" s="11" t="s">
        <v>25</v>
      </c>
      <c r="F675" s="12">
        <v>46182</v>
      </c>
      <c r="G675" s="11" t="s">
        <v>401</v>
      </c>
      <c r="H675">
        <v>1</v>
      </c>
      <c r="I675" s="11" t="s">
        <v>2211</v>
      </c>
      <c r="M675" s="11" t="s">
        <v>90</v>
      </c>
      <c r="N675" s="11" t="s">
        <v>1525</v>
      </c>
      <c r="O675" s="11" t="s">
        <v>2251</v>
      </c>
      <c r="P675" s="11" t="s">
        <v>2211</v>
      </c>
      <c r="Q675" s="11" t="s">
        <v>135</v>
      </c>
      <c r="R675">
        <v>1761</v>
      </c>
      <c r="U675" s="11" t="s">
        <v>404</v>
      </c>
      <c r="V675" s="11" t="s">
        <v>137</v>
      </c>
      <c r="W675" s="13">
        <v>46302.314618055556</v>
      </c>
    </row>
    <row r="676" spans="1:23">
      <c r="A676">
        <v>270139</v>
      </c>
      <c r="B676">
        <v>10436</v>
      </c>
      <c r="C676" s="11" t="s">
        <v>129</v>
      </c>
      <c r="D676" s="11" t="s">
        <v>130</v>
      </c>
      <c r="E676" s="11" t="s">
        <v>25</v>
      </c>
      <c r="F676" s="12">
        <v>46185</v>
      </c>
      <c r="G676" s="11" t="s">
        <v>804</v>
      </c>
      <c r="H676">
        <v>1</v>
      </c>
      <c r="I676" s="11" t="s">
        <v>2252</v>
      </c>
      <c r="M676" s="11" t="s">
        <v>76</v>
      </c>
      <c r="N676" s="11" t="s">
        <v>2253</v>
      </c>
      <c r="O676" s="11" t="s">
        <v>2254</v>
      </c>
      <c r="P676" s="11" t="s">
        <v>2252</v>
      </c>
      <c r="Q676" s="11" t="s">
        <v>135</v>
      </c>
      <c r="U676" s="11" t="s">
        <v>808</v>
      </c>
      <c r="V676" s="11" t="s">
        <v>137</v>
      </c>
      <c r="W676" s="13">
        <v>46302.314618055556</v>
      </c>
    </row>
    <row r="677" spans="1:23">
      <c r="A677">
        <v>270140</v>
      </c>
      <c r="B677">
        <v>10437</v>
      </c>
      <c r="C677" s="11" t="s">
        <v>129</v>
      </c>
      <c r="D677" s="11" t="s">
        <v>130</v>
      </c>
      <c r="E677" s="11" t="s">
        <v>25</v>
      </c>
      <c r="F677" s="12">
        <v>46185</v>
      </c>
      <c r="G677" s="11" t="s">
        <v>1679</v>
      </c>
      <c r="H677">
        <v>1</v>
      </c>
      <c r="I677" s="11" t="s">
        <v>2255</v>
      </c>
      <c r="M677" s="11" t="s">
        <v>87</v>
      </c>
      <c r="N677" s="11" t="s">
        <v>2256</v>
      </c>
      <c r="O677" s="11" t="s">
        <v>2257</v>
      </c>
      <c r="P677" s="11" t="s">
        <v>2255</v>
      </c>
      <c r="Q677" s="11" t="s">
        <v>135</v>
      </c>
      <c r="U677" s="11" t="s">
        <v>1682</v>
      </c>
      <c r="V677" s="11" t="s">
        <v>137</v>
      </c>
      <c r="W677" s="13">
        <v>46302.314618055556</v>
      </c>
    </row>
    <row r="678" spans="1:23">
      <c r="A678">
        <v>270141</v>
      </c>
      <c r="B678">
        <v>10438</v>
      </c>
      <c r="C678" s="11" t="s">
        <v>129</v>
      </c>
      <c r="D678" s="11" t="s">
        <v>130</v>
      </c>
      <c r="E678" s="11" t="s">
        <v>25</v>
      </c>
      <c r="F678" s="12">
        <v>46185</v>
      </c>
      <c r="G678" s="11" t="s">
        <v>804</v>
      </c>
      <c r="H678">
        <v>4</v>
      </c>
      <c r="I678" s="11" t="s">
        <v>2258</v>
      </c>
      <c r="M678" s="11" t="s">
        <v>76</v>
      </c>
      <c r="N678" s="11" t="s">
        <v>2259</v>
      </c>
      <c r="O678" s="11" t="s">
        <v>2260</v>
      </c>
      <c r="P678" s="11" t="s">
        <v>2261</v>
      </c>
      <c r="Q678" s="11" t="s">
        <v>135</v>
      </c>
      <c r="U678" s="11" t="s">
        <v>808</v>
      </c>
      <c r="V678" s="11" t="s">
        <v>137</v>
      </c>
      <c r="W678" s="13">
        <v>46302.314618055556</v>
      </c>
    </row>
    <row r="679" spans="1:23">
      <c r="A679">
        <v>270142</v>
      </c>
      <c r="B679">
        <v>10439</v>
      </c>
      <c r="C679" s="11" t="s">
        <v>129</v>
      </c>
      <c r="D679" s="11" t="s">
        <v>130</v>
      </c>
      <c r="E679" s="11" t="s">
        <v>25</v>
      </c>
      <c r="F679" s="12">
        <v>46185</v>
      </c>
      <c r="G679" s="11" t="s">
        <v>1679</v>
      </c>
      <c r="H679">
        <v>1</v>
      </c>
      <c r="I679" s="11" t="s">
        <v>2079</v>
      </c>
      <c r="M679" s="11" t="s">
        <v>87</v>
      </c>
      <c r="N679" s="11" t="s">
        <v>2262</v>
      </c>
      <c r="O679" s="11" t="s">
        <v>2263</v>
      </c>
      <c r="P679" s="11" t="s">
        <v>2079</v>
      </c>
      <c r="Q679" s="11" t="s">
        <v>135</v>
      </c>
      <c r="U679" s="11" t="s">
        <v>1682</v>
      </c>
      <c r="V679" s="11" t="s">
        <v>137</v>
      </c>
      <c r="W679" s="13">
        <v>46302.314618055556</v>
      </c>
    </row>
    <row r="680" spans="1:23">
      <c r="A680">
        <v>270143</v>
      </c>
      <c r="B680">
        <v>10440</v>
      </c>
      <c r="C680" s="11" t="s">
        <v>129</v>
      </c>
      <c r="D680" s="11" t="s">
        <v>130</v>
      </c>
      <c r="E680" s="11" t="s">
        <v>25</v>
      </c>
      <c r="F680" s="12">
        <v>46185</v>
      </c>
      <c r="G680" s="11" t="s">
        <v>804</v>
      </c>
      <c r="H680">
        <v>1</v>
      </c>
      <c r="I680" s="11" t="s">
        <v>881</v>
      </c>
      <c r="M680" s="11" t="s">
        <v>76</v>
      </c>
      <c r="N680" s="11" t="s">
        <v>2264</v>
      </c>
      <c r="O680" s="11" t="s">
        <v>2265</v>
      </c>
      <c r="P680" s="11" t="s">
        <v>881</v>
      </c>
      <c r="Q680" s="11" t="s">
        <v>135</v>
      </c>
      <c r="U680" s="11" t="s">
        <v>808</v>
      </c>
      <c r="V680" s="11" t="s">
        <v>137</v>
      </c>
      <c r="W680" s="13">
        <v>46302.314618055556</v>
      </c>
    </row>
    <row r="681" spans="1:23">
      <c r="A681">
        <v>270144</v>
      </c>
      <c r="B681">
        <v>10441</v>
      </c>
      <c r="C681" s="11" t="s">
        <v>129</v>
      </c>
      <c r="D681" s="11" t="s">
        <v>130</v>
      </c>
      <c r="E681" s="11" t="s">
        <v>25</v>
      </c>
      <c r="F681" s="12">
        <v>46185</v>
      </c>
      <c r="G681" s="11" t="s">
        <v>2266</v>
      </c>
      <c r="H681">
        <v>1</v>
      </c>
      <c r="I681" s="11" t="s">
        <v>2267</v>
      </c>
      <c r="M681" s="11" t="s">
        <v>91</v>
      </c>
      <c r="N681" s="11" t="s">
        <v>2268</v>
      </c>
      <c r="O681" s="11" t="s">
        <v>2269</v>
      </c>
      <c r="P681" s="11" t="s">
        <v>2267</v>
      </c>
      <c r="Q681" s="11" t="s">
        <v>135</v>
      </c>
      <c r="U681" s="11" t="s">
        <v>2270</v>
      </c>
      <c r="V681" s="11" t="s">
        <v>137</v>
      </c>
      <c r="W681" s="13">
        <v>46302.314618055556</v>
      </c>
    </row>
    <row r="682" spans="1:23">
      <c r="A682">
        <v>270145</v>
      </c>
      <c r="B682">
        <v>10442</v>
      </c>
      <c r="C682" s="11" t="s">
        <v>129</v>
      </c>
      <c r="D682" s="11" t="s">
        <v>130</v>
      </c>
      <c r="E682" s="11" t="s">
        <v>25</v>
      </c>
      <c r="F682" s="12">
        <v>46185</v>
      </c>
      <c r="G682" s="11" t="s">
        <v>804</v>
      </c>
      <c r="H682">
        <v>1</v>
      </c>
      <c r="I682" s="11" t="s">
        <v>2271</v>
      </c>
      <c r="M682" s="11" t="s">
        <v>76</v>
      </c>
      <c r="N682" s="11" t="s">
        <v>2272</v>
      </c>
      <c r="O682" s="11" t="s">
        <v>2273</v>
      </c>
      <c r="P682" s="11" t="s">
        <v>2271</v>
      </c>
      <c r="Q682" s="11" t="s">
        <v>135</v>
      </c>
      <c r="U682" s="11" t="s">
        <v>808</v>
      </c>
      <c r="V682" s="11" t="s">
        <v>137</v>
      </c>
      <c r="W682" s="13">
        <v>46302.314618055556</v>
      </c>
    </row>
    <row r="683" spans="1:23">
      <c r="A683">
        <v>270146</v>
      </c>
      <c r="B683">
        <v>10443</v>
      </c>
      <c r="C683" s="11" t="s">
        <v>129</v>
      </c>
      <c r="D683" s="11" t="s">
        <v>130</v>
      </c>
      <c r="E683" s="11" t="s">
        <v>25</v>
      </c>
      <c r="F683" s="12">
        <v>46185</v>
      </c>
      <c r="G683" s="11" t="s">
        <v>823</v>
      </c>
      <c r="H683">
        <v>1</v>
      </c>
      <c r="I683" s="11" t="s">
        <v>2274</v>
      </c>
      <c r="M683" s="11" t="s">
        <v>92</v>
      </c>
      <c r="N683" s="11" t="s">
        <v>2275</v>
      </c>
      <c r="O683" s="11" t="s">
        <v>2276</v>
      </c>
      <c r="P683" s="11" t="s">
        <v>2274</v>
      </c>
      <c r="Q683" s="11" t="s">
        <v>135</v>
      </c>
      <c r="U683" s="11" t="s">
        <v>827</v>
      </c>
      <c r="V683" s="11" t="s">
        <v>137</v>
      </c>
      <c r="W683" s="13">
        <v>46302.314618055556</v>
      </c>
    </row>
    <row r="684" spans="1:23">
      <c r="A684">
        <v>270147</v>
      </c>
      <c r="B684">
        <v>10444</v>
      </c>
      <c r="C684" s="11" t="s">
        <v>129</v>
      </c>
      <c r="D684" s="11" t="s">
        <v>130</v>
      </c>
      <c r="E684" s="11" t="s">
        <v>25</v>
      </c>
      <c r="F684" s="12">
        <v>46185</v>
      </c>
      <c r="G684" s="11" t="s">
        <v>804</v>
      </c>
      <c r="H684">
        <v>1</v>
      </c>
      <c r="I684" s="11" t="s">
        <v>2277</v>
      </c>
      <c r="M684" s="11" t="s">
        <v>76</v>
      </c>
      <c r="N684" s="11" t="s">
        <v>2278</v>
      </c>
      <c r="O684" s="11" t="s">
        <v>2279</v>
      </c>
      <c r="P684" s="11" t="s">
        <v>2277</v>
      </c>
      <c r="Q684" s="11" t="s">
        <v>135</v>
      </c>
      <c r="U684" s="11" t="s">
        <v>808</v>
      </c>
      <c r="V684" s="11" t="s">
        <v>137</v>
      </c>
      <c r="W684" s="13">
        <v>46302.314618055556</v>
      </c>
    </row>
    <row r="685" spans="1:23">
      <c r="A685">
        <v>270148</v>
      </c>
      <c r="B685">
        <v>10445</v>
      </c>
      <c r="C685" s="11" t="s">
        <v>129</v>
      </c>
      <c r="D685" s="11" t="s">
        <v>130</v>
      </c>
      <c r="E685" s="11" t="s">
        <v>25</v>
      </c>
      <c r="F685" s="12">
        <v>46185</v>
      </c>
      <c r="G685" s="11" t="s">
        <v>1679</v>
      </c>
      <c r="H685">
        <v>1</v>
      </c>
      <c r="I685" s="11" t="s">
        <v>2280</v>
      </c>
      <c r="M685" s="11" t="s">
        <v>87</v>
      </c>
      <c r="N685" s="11" t="s">
        <v>2281</v>
      </c>
      <c r="O685" s="11" t="s">
        <v>1334</v>
      </c>
      <c r="P685" s="11" t="s">
        <v>2280</v>
      </c>
      <c r="Q685" s="11" t="s">
        <v>135</v>
      </c>
      <c r="U685" s="11" t="s">
        <v>1682</v>
      </c>
      <c r="V685" s="11" t="s">
        <v>137</v>
      </c>
      <c r="W685" s="13">
        <v>46302.314618055556</v>
      </c>
    </row>
    <row r="686" spans="1:23">
      <c r="A686">
        <v>270149</v>
      </c>
      <c r="B686">
        <v>10420</v>
      </c>
      <c r="C686" s="11" t="s">
        <v>129</v>
      </c>
      <c r="D686" s="11" t="s">
        <v>130</v>
      </c>
      <c r="E686" s="11" t="s">
        <v>25</v>
      </c>
      <c r="F686" s="12">
        <v>46185</v>
      </c>
      <c r="G686" s="11" t="s">
        <v>226</v>
      </c>
      <c r="H686">
        <v>1</v>
      </c>
      <c r="I686" s="11" t="s">
        <v>2282</v>
      </c>
      <c r="M686" s="11" t="s">
        <v>87</v>
      </c>
      <c r="N686" s="11" t="s">
        <v>2283</v>
      </c>
      <c r="O686" s="11" t="s">
        <v>2284</v>
      </c>
      <c r="P686" s="11" t="s">
        <v>2282</v>
      </c>
      <c r="Q686" s="11" t="s">
        <v>135</v>
      </c>
      <c r="U686" s="11" t="s">
        <v>231</v>
      </c>
      <c r="V686" s="11" t="s">
        <v>137</v>
      </c>
      <c r="W686" s="13">
        <v>46302.314618055556</v>
      </c>
    </row>
    <row r="687" spans="1:23">
      <c r="A687">
        <v>270150</v>
      </c>
      <c r="B687">
        <v>10421</v>
      </c>
      <c r="C687" s="11" t="s">
        <v>129</v>
      </c>
      <c r="D687" s="11" t="s">
        <v>130</v>
      </c>
      <c r="E687" s="11" t="s">
        <v>25</v>
      </c>
      <c r="F687" s="12">
        <v>46185</v>
      </c>
      <c r="G687" s="11" t="s">
        <v>804</v>
      </c>
      <c r="H687">
        <v>2</v>
      </c>
      <c r="I687" s="11" t="s">
        <v>2285</v>
      </c>
      <c r="M687" s="11" t="s">
        <v>76</v>
      </c>
      <c r="N687" s="11" t="s">
        <v>2286</v>
      </c>
      <c r="O687" s="11" t="s">
        <v>2287</v>
      </c>
      <c r="P687" s="11" t="s">
        <v>2288</v>
      </c>
      <c r="Q687" s="11" t="s">
        <v>135</v>
      </c>
      <c r="U687" s="11" t="s">
        <v>808</v>
      </c>
      <c r="V687" s="11" t="s">
        <v>137</v>
      </c>
      <c r="W687" s="13">
        <v>46302.314618055556</v>
      </c>
    </row>
    <row r="688" spans="1:23">
      <c r="A688">
        <v>270151</v>
      </c>
      <c r="B688">
        <v>10422</v>
      </c>
      <c r="C688" s="11" t="s">
        <v>129</v>
      </c>
      <c r="D688" s="11" t="s">
        <v>130</v>
      </c>
      <c r="E688" s="11" t="s">
        <v>25</v>
      </c>
      <c r="F688" s="12">
        <v>46185</v>
      </c>
      <c r="G688" s="11" t="s">
        <v>232</v>
      </c>
      <c r="H688">
        <v>1</v>
      </c>
      <c r="I688" s="11" t="s">
        <v>2289</v>
      </c>
      <c r="M688" s="11" t="s">
        <v>89</v>
      </c>
      <c r="N688" s="11" t="s">
        <v>2290</v>
      </c>
      <c r="O688" s="11" t="s">
        <v>2291</v>
      </c>
      <c r="P688" s="11" t="s">
        <v>2289</v>
      </c>
      <c r="Q688" s="11" t="s">
        <v>2292</v>
      </c>
      <c r="U688" s="11" t="s">
        <v>236</v>
      </c>
      <c r="V688" s="11" t="s">
        <v>137</v>
      </c>
      <c r="W688" s="13">
        <v>46302.314618055556</v>
      </c>
    </row>
    <row r="689" spans="1:23">
      <c r="A689">
        <v>270152</v>
      </c>
      <c r="B689">
        <v>10424</v>
      </c>
      <c r="C689" s="11" t="s">
        <v>129</v>
      </c>
      <c r="D689" s="11" t="s">
        <v>130</v>
      </c>
      <c r="E689" s="11" t="s">
        <v>25</v>
      </c>
      <c r="F689" s="12">
        <v>46185</v>
      </c>
      <c r="G689" s="11" t="s">
        <v>804</v>
      </c>
      <c r="H689">
        <v>1</v>
      </c>
      <c r="I689" s="11" t="s">
        <v>2293</v>
      </c>
      <c r="M689" s="11" t="s">
        <v>76</v>
      </c>
      <c r="N689" s="11" t="s">
        <v>2294</v>
      </c>
      <c r="O689" s="11" t="s">
        <v>2295</v>
      </c>
      <c r="P689" s="11" t="s">
        <v>2293</v>
      </c>
      <c r="Q689" s="11" t="s">
        <v>135</v>
      </c>
      <c r="U689" s="11" t="s">
        <v>808</v>
      </c>
      <c r="V689" s="11" t="s">
        <v>137</v>
      </c>
      <c r="W689" s="13">
        <v>46302.314618055556</v>
      </c>
    </row>
    <row r="690" spans="1:23">
      <c r="A690">
        <v>270153</v>
      </c>
      <c r="B690">
        <v>10425</v>
      </c>
      <c r="C690" s="11" t="s">
        <v>129</v>
      </c>
      <c r="D690" s="11" t="s">
        <v>130</v>
      </c>
      <c r="E690" s="11" t="s">
        <v>25</v>
      </c>
      <c r="F690" s="12">
        <v>46185</v>
      </c>
      <c r="G690" s="11" t="s">
        <v>804</v>
      </c>
      <c r="H690">
        <v>1</v>
      </c>
      <c r="I690" s="11" t="s">
        <v>2296</v>
      </c>
      <c r="M690" s="11" t="s">
        <v>76</v>
      </c>
      <c r="N690" s="11" t="s">
        <v>2297</v>
      </c>
      <c r="O690" s="11" t="s">
        <v>2298</v>
      </c>
      <c r="P690" s="11" t="s">
        <v>2296</v>
      </c>
      <c r="Q690" s="11" t="s">
        <v>135</v>
      </c>
      <c r="U690" s="11" t="s">
        <v>808</v>
      </c>
      <c r="V690" s="11" t="s">
        <v>137</v>
      </c>
      <c r="W690" s="13">
        <v>46302.314618055556</v>
      </c>
    </row>
    <row r="691" spans="1:23">
      <c r="A691">
        <v>270154</v>
      </c>
      <c r="B691">
        <v>10426</v>
      </c>
      <c r="C691" s="11" t="s">
        <v>129</v>
      </c>
      <c r="D691" s="11" t="s">
        <v>130</v>
      </c>
      <c r="E691" s="11" t="s">
        <v>25</v>
      </c>
      <c r="F691" s="12">
        <v>46185</v>
      </c>
      <c r="G691" s="11" t="s">
        <v>1679</v>
      </c>
      <c r="H691">
        <v>1</v>
      </c>
      <c r="I691" s="11" t="s">
        <v>368</v>
      </c>
      <c r="M691" s="11" t="s">
        <v>87</v>
      </c>
      <c r="N691" s="11" t="s">
        <v>2299</v>
      </c>
      <c r="O691" s="11" t="s">
        <v>2300</v>
      </c>
      <c r="P691" s="11" t="s">
        <v>368</v>
      </c>
      <c r="Q691" s="11" t="s">
        <v>135</v>
      </c>
      <c r="U691" s="11" t="s">
        <v>1682</v>
      </c>
      <c r="V691" s="11" t="s">
        <v>137</v>
      </c>
      <c r="W691" s="13">
        <v>46302.314618055556</v>
      </c>
    </row>
    <row r="692" spans="1:23">
      <c r="A692">
        <v>270155</v>
      </c>
      <c r="B692">
        <v>10427</v>
      </c>
      <c r="C692" s="11" t="s">
        <v>129</v>
      </c>
      <c r="D692" s="11" t="s">
        <v>130</v>
      </c>
      <c r="E692" s="11" t="s">
        <v>25</v>
      </c>
      <c r="F692" s="12">
        <v>46185</v>
      </c>
      <c r="G692" s="11" t="s">
        <v>804</v>
      </c>
      <c r="H692">
        <v>2</v>
      </c>
      <c r="I692" s="11" t="s">
        <v>2301</v>
      </c>
      <c r="M692" s="11" t="s">
        <v>76</v>
      </c>
      <c r="N692" s="11" t="s">
        <v>2302</v>
      </c>
      <c r="O692" s="11" t="s">
        <v>1368</v>
      </c>
      <c r="P692" s="11" t="s">
        <v>2303</v>
      </c>
      <c r="Q692" s="11" t="s">
        <v>135</v>
      </c>
      <c r="U692" s="11" t="s">
        <v>808</v>
      </c>
      <c r="V692" s="11" t="s">
        <v>137</v>
      </c>
      <c r="W692" s="13">
        <v>46302.314618055556</v>
      </c>
    </row>
    <row r="693" spans="1:23">
      <c r="A693">
        <v>270156</v>
      </c>
      <c r="B693">
        <v>10428</v>
      </c>
      <c r="C693" s="11" t="s">
        <v>129</v>
      </c>
      <c r="D693" s="11" t="s">
        <v>130</v>
      </c>
      <c r="E693" s="11" t="s">
        <v>25</v>
      </c>
      <c r="F693" s="12">
        <v>46185</v>
      </c>
      <c r="G693" s="11" t="s">
        <v>1679</v>
      </c>
      <c r="H693">
        <v>1</v>
      </c>
      <c r="I693" s="11" t="s">
        <v>1344</v>
      </c>
      <c r="M693" s="11" t="s">
        <v>87</v>
      </c>
      <c r="N693" s="11" t="s">
        <v>2304</v>
      </c>
      <c r="O693" s="11" t="s">
        <v>2305</v>
      </c>
      <c r="P693" s="11" t="s">
        <v>1344</v>
      </c>
      <c r="Q693" s="11" t="s">
        <v>135</v>
      </c>
      <c r="U693" s="11" t="s">
        <v>1682</v>
      </c>
      <c r="V693" s="11" t="s">
        <v>137</v>
      </c>
      <c r="W693" s="13">
        <v>46302.314618055556</v>
      </c>
    </row>
    <row r="694" spans="1:23">
      <c r="A694">
        <v>270157</v>
      </c>
      <c r="B694">
        <v>10429</v>
      </c>
      <c r="C694" s="11" t="s">
        <v>129</v>
      </c>
      <c r="D694" s="11" t="s">
        <v>130</v>
      </c>
      <c r="E694" s="11" t="s">
        <v>25</v>
      </c>
      <c r="F694" s="12">
        <v>46185</v>
      </c>
      <c r="G694" s="11" t="s">
        <v>804</v>
      </c>
      <c r="H694">
        <v>4</v>
      </c>
      <c r="I694" s="11" t="s">
        <v>2306</v>
      </c>
      <c r="M694" s="11" t="s">
        <v>76</v>
      </c>
      <c r="N694" s="11" t="s">
        <v>2307</v>
      </c>
      <c r="O694" s="11" t="s">
        <v>2308</v>
      </c>
      <c r="P694" s="11" t="s">
        <v>2309</v>
      </c>
      <c r="Q694" s="11" t="s">
        <v>135</v>
      </c>
      <c r="U694" s="11" t="s">
        <v>808</v>
      </c>
      <c r="V694" s="11" t="s">
        <v>137</v>
      </c>
      <c r="W694" s="13">
        <v>46302.314618055556</v>
      </c>
    </row>
    <row r="695" spans="1:23">
      <c r="A695">
        <v>270158</v>
      </c>
      <c r="B695">
        <v>10430</v>
      </c>
      <c r="C695" s="11" t="s">
        <v>129</v>
      </c>
      <c r="D695" s="11" t="s">
        <v>130</v>
      </c>
      <c r="E695" s="11" t="s">
        <v>25</v>
      </c>
      <c r="F695" s="12">
        <v>46185</v>
      </c>
      <c r="G695" s="11" t="s">
        <v>823</v>
      </c>
      <c r="H695">
        <v>1</v>
      </c>
      <c r="I695" s="11" t="s">
        <v>2310</v>
      </c>
      <c r="M695" s="11" t="s">
        <v>92</v>
      </c>
      <c r="N695" s="11" t="s">
        <v>2311</v>
      </c>
      <c r="O695" s="11" t="s">
        <v>2312</v>
      </c>
      <c r="P695" s="11" t="s">
        <v>2310</v>
      </c>
      <c r="Q695" s="11" t="s">
        <v>135</v>
      </c>
      <c r="U695" s="11" t="s">
        <v>827</v>
      </c>
      <c r="V695" s="11" t="s">
        <v>137</v>
      </c>
      <c r="W695" s="13">
        <v>46302.314618055556</v>
      </c>
    </row>
    <row r="696" spans="1:23">
      <c r="A696">
        <v>270159</v>
      </c>
      <c r="B696">
        <v>10431</v>
      </c>
      <c r="C696" s="11" t="s">
        <v>129</v>
      </c>
      <c r="D696" s="11" t="s">
        <v>130</v>
      </c>
      <c r="E696" s="11" t="s">
        <v>25</v>
      </c>
      <c r="F696" s="12">
        <v>46185</v>
      </c>
      <c r="G696" s="11" t="s">
        <v>804</v>
      </c>
      <c r="H696">
        <v>2</v>
      </c>
      <c r="I696" s="11" t="s">
        <v>2313</v>
      </c>
      <c r="M696" s="11" t="s">
        <v>76</v>
      </c>
      <c r="N696" s="11" t="s">
        <v>2314</v>
      </c>
      <c r="O696" s="11" t="s">
        <v>2315</v>
      </c>
      <c r="P696" s="11" t="s">
        <v>2316</v>
      </c>
      <c r="Q696" s="11" t="s">
        <v>135</v>
      </c>
      <c r="U696" s="11" t="s">
        <v>808</v>
      </c>
      <c r="V696" s="11" t="s">
        <v>137</v>
      </c>
      <c r="W696" s="13">
        <v>46302.314618055556</v>
      </c>
    </row>
    <row r="697" spans="1:23">
      <c r="A697">
        <v>270160</v>
      </c>
      <c r="B697">
        <v>10432</v>
      </c>
      <c r="C697" s="11" t="s">
        <v>129</v>
      </c>
      <c r="D697" s="11" t="s">
        <v>130</v>
      </c>
      <c r="E697" s="11" t="s">
        <v>25</v>
      </c>
      <c r="F697" s="12">
        <v>46185</v>
      </c>
      <c r="G697" s="11" t="s">
        <v>1679</v>
      </c>
      <c r="H697">
        <v>1</v>
      </c>
      <c r="I697" s="11" t="s">
        <v>2317</v>
      </c>
      <c r="M697" s="11" t="s">
        <v>87</v>
      </c>
      <c r="N697" s="11" t="s">
        <v>2318</v>
      </c>
      <c r="O697" s="11" t="s">
        <v>2319</v>
      </c>
      <c r="P697" s="11" t="s">
        <v>2317</v>
      </c>
      <c r="Q697" s="11" t="s">
        <v>135</v>
      </c>
      <c r="U697" s="11" t="s">
        <v>1682</v>
      </c>
      <c r="V697" s="11" t="s">
        <v>137</v>
      </c>
      <c r="W697" s="13">
        <v>46302.314618055556</v>
      </c>
    </row>
    <row r="698" spans="1:23">
      <c r="A698">
        <v>270161</v>
      </c>
      <c r="B698">
        <v>10433</v>
      </c>
      <c r="C698" s="11" t="s">
        <v>129</v>
      </c>
      <c r="D698" s="11" t="s">
        <v>130</v>
      </c>
      <c r="E698" s="11" t="s">
        <v>25</v>
      </c>
      <c r="F698" s="12">
        <v>46185</v>
      </c>
      <c r="G698" s="11" t="s">
        <v>823</v>
      </c>
      <c r="H698">
        <v>1</v>
      </c>
      <c r="I698" s="11" t="s">
        <v>580</v>
      </c>
      <c r="M698" s="11" t="s">
        <v>92</v>
      </c>
      <c r="N698" s="11" t="s">
        <v>2320</v>
      </c>
      <c r="O698" s="11" t="s">
        <v>2321</v>
      </c>
      <c r="P698" s="11" t="s">
        <v>580</v>
      </c>
      <c r="Q698" s="11" t="s">
        <v>135</v>
      </c>
      <c r="U698" s="11" t="s">
        <v>827</v>
      </c>
      <c r="V698" s="11" t="s">
        <v>137</v>
      </c>
      <c r="W698" s="13">
        <v>46302.314618055556</v>
      </c>
    </row>
    <row r="699" spans="1:23">
      <c r="A699">
        <v>270162</v>
      </c>
      <c r="B699">
        <v>10434</v>
      </c>
      <c r="C699" s="11" t="s">
        <v>129</v>
      </c>
      <c r="D699" s="11" t="s">
        <v>130</v>
      </c>
      <c r="E699" s="11" t="s">
        <v>25</v>
      </c>
      <c r="F699" s="12">
        <v>46185</v>
      </c>
      <c r="G699" s="11" t="s">
        <v>804</v>
      </c>
      <c r="H699">
        <v>3</v>
      </c>
      <c r="I699" s="11" t="s">
        <v>2322</v>
      </c>
      <c r="M699" s="11" t="s">
        <v>76</v>
      </c>
      <c r="N699" s="11" t="s">
        <v>2323</v>
      </c>
      <c r="O699" s="11" t="s">
        <v>2324</v>
      </c>
      <c r="P699" s="11" t="s">
        <v>2325</v>
      </c>
      <c r="Q699" s="11" t="s">
        <v>135</v>
      </c>
      <c r="U699" s="11" t="s">
        <v>808</v>
      </c>
      <c r="V699" s="11" t="s">
        <v>137</v>
      </c>
      <c r="W699" s="13">
        <v>46302.314618055556</v>
      </c>
    </row>
    <row r="700" spans="1:23">
      <c r="A700">
        <v>270163</v>
      </c>
      <c r="B700">
        <v>10435</v>
      </c>
      <c r="C700" s="11" t="s">
        <v>129</v>
      </c>
      <c r="D700" s="11" t="s">
        <v>130</v>
      </c>
      <c r="E700" s="11" t="s">
        <v>25</v>
      </c>
      <c r="F700" s="12">
        <v>46185</v>
      </c>
      <c r="G700" s="11" t="s">
        <v>1679</v>
      </c>
      <c r="H700">
        <v>1</v>
      </c>
      <c r="I700" s="11" t="s">
        <v>1378</v>
      </c>
      <c r="M700" s="11" t="s">
        <v>87</v>
      </c>
      <c r="N700" s="11" t="s">
        <v>2326</v>
      </c>
      <c r="O700" s="11" t="s">
        <v>2327</v>
      </c>
      <c r="P700" s="11" t="s">
        <v>1378</v>
      </c>
      <c r="Q700" s="11" t="s">
        <v>135</v>
      </c>
      <c r="U700" s="11" t="s">
        <v>1682</v>
      </c>
      <c r="V700" s="11" t="s">
        <v>137</v>
      </c>
      <c r="W700" s="13">
        <v>46302.314618055556</v>
      </c>
    </row>
    <row r="701" spans="1:23">
      <c r="A701">
        <v>270164</v>
      </c>
      <c r="B701">
        <v>10423</v>
      </c>
      <c r="C701" s="11" t="s">
        <v>129</v>
      </c>
      <c r="D701" s="11" t="s">
        <v>130</v>
      </c>
      <c r="E701" s="11" t="s">
        <v>25</v>
      </c>
      <c r="F701" s="12">
        <v>46185</v>
      </c>
      <c r="G701" s="11" t="s">
        <v>308</v>
      </c>
      <c r="H701">
        <v>1</v>
      </c>
      <c r="I701" s="11" t="s">
        <v>2292</v>
      </c>
      <c r="M701" s="11" t="s">
        <v>90</v>
      </c>
      <c r="N701" s="11" t="s">
        <v>744</v>
      </c>
      <c r="O701" s="11" t="s">
        <v>410</v>
      </c>
      <c r="P701" s="11" t="s">
        <v>2292</v>
      </c>
      <c r="Q701" s="11" t="s">
        <v>135</v>
      </c>
      <c r="R701">
        <v>10422</v>
      </c>
      <c r="U701" s="11" t="s">
        <v>311</v>
      </c>
      <c r="V701" s="11" t="s">
        <v>137</v>
      </c>
      <c r="W701" s="13">
        <v>46302.314618055556</v>
      </c>
    </row>
    <row r="702" spans="1:23">
      <c r="A702">
        <v>270507</v>
      </c>
      <c r="B702">
        <v>9916</v>
      </c>
      <c r="C702" s="11" t="s">
        <v>129</v>
      </c>
      <c r="D702" s="11" t="s">
        <v>130</v>
      </c>
      <c r="E702" s="11" t="s">
        <v>25</v>
      </c>
      <c r="F702" s="12">
        <v>46188</v>
      </c>
      <c r="G702" s="11" t="s">
        <v>131</v>
      </c>
      <c r="H702">
        <v>1</v>
      </c>
      <c r="I702" s="11" t="s">
        <v>2328</v>
      </c>
      <c r="M702" s="11" t="s">
        <v>87</v>
      </c>
      <c r="N702" s="11" t="s">
        <v>2329</v>
      </c>
      <c r="O702" s="11" t="s">
        <v>2330</v>
      </c>
      <c r="P702" s="11" t="s">
        <v>2328</v>
      </c>
      <c r="Q702" s="11" t="s">
        <v>135</v>
      </c>
      <c r="U702" s="11" t="s">
        <v>136</v>
      </c>
      <c r="V702" s="11" t="s">
        <v>137</v>
      </c>
      <c r="W702" s="13">
        <v>46302.314618055556</v>
      </c>
    </row>
    <row r="703" spans="1:23">
      <c r="A703">
        <v>270508</v>
      </c>
      <c r="B703">
        <v>9917</v>
      </c>
      <c r="C703" s="11" t="s">
        <v>129</v>
      </c>
      <c r="D703" s="11" t="s">
        <v>130</v>
      </c>
      <c r="E703" s="11" t="s">
        <v>25</v>
      </c>
      <c r="F703" s="12">
        <v>46188</v>
      </c>
      <c r="G703" s="11" t="s">
        <v>1848</v>
      </c>
      <c r="H703">
        <v>1</v>
      </c>
      <c r="I703" s="11" t="s">
        <v>196</v>
      </c>
      <c r="M703" s="11" t="s">
        <v>56</v>
      </c>
      <c r="N703" s="11" t="s">
        <v>2331</v>
      </c>
      <c r="O703" s="11" t="s">
        <v>2332</v>
      </c>
      <c r="P703" s="11" t="s">
        <v>196</v>
      </c>
      <c r="Q703" s="11" t="s">
        <v>135</v>
      </c>
      <c r="U703" s="11" t="s">
        <v>1852</v>
      </c>
      <c r="V703" s="11" t="s">
        <v>137</v>
      </c>
      <c r="W703" s="13">
        <v>46302.314618055556</v>
      </c>
    </row>
    <row r="704" spans="1:23">
      <c r="A704">
        <v>270509</v>
      </c>
      <c r="B704">
        <v>9918</v>
      </c>
      <c r="C704" s="11" t="s">
        <v>129</v>
      </c>
      <c r="D704" s="11" t="s">
        <v>130</v>
      </c>
      <c r="E704" s="11" t="s">
        <v>25</v>
      </c>
      <c r="F704" s="12">
        <v>46188</v>
      </c>
      <c r="G704" s="11" t="s">
        <v>1848</v>
      </c>
      <c r="H704">
        <v>1</v>
      </c>
      <c r="I704" s="11" t="s">
        <v>2333</v>
      </c>
      <c r="M704" s="11" t="s">
        <v>56</v>
      </c>
      <c r="N704" s="11" t="s">
        <v>2334</v>
      </c>
      <c r="O704" s="11" t="s">
        <v>2335</v>
      </c>
      <c r="P704" s="11" t="s">
        <v>2333</v>
      </c>
      <c r="Q704" s="11" t="s">
        <v>2336</v>
      </c>
      <c r="U704" s="11" t="s">
        <v>1852</v>
      </c>
      <c r="V704" s="11" t="s">
        <v>137</v>
      </c>
      <c r="W704" s="13">
        <v>46302.314618055556</v>
      </c>
    </row>
    <row r="705" spans="1:23">
      <c r="A705">
        <v>270510</v>
      </c>
      <c r="B705">
        <v>9920</v>
      </c>
      <c r="C705" s="11" t="s">
        <v>129</v>
      </c>
      <c r="D705" s="11" t="s">
        <v>130</v>
      </c>
      <c r="E705" s="11" t="s">
        <v>25</v>
      </c>
      <c r="F705" s="12">
        <v>46188</v>
      </c>
      <c r="G705" s="11" t="s">
        <v>1361</v>
      </c>
      <c r="H705">
        <v>1</v>
      </c>
      <c r="I705" s="11" t="s">
        <v>2337</v>
      </c>
      <c r="M705" s="11" t="s">
        <v>58</v>
      </c>
      <c r="N705" s="11" t="s">
        <v>2338</v>
      </c>
      <c r="O705" s="11" t="s">
        <v>2339</v>
      </c>
      <c r="P705" s="11" t="s">
        <v>2337</v>
      </c>
      <c r="Q705" s="11" t="s">
        <v>135</v>
      </c>
      <c r="U705" s="11" t="s">
        <v>1365</v>
      </c>
      <c r="V705" s="11" t="s">
        <v>137</v>
      </c>
      <c r="W705" s="13">
        <v>46302.314618055556</v>
      </c>
    </row>
    <row r="706" spans="1:23">
      <c r="A706">
        <v>270511</v>
      </c>
      <c r="B706">
        <v>9921</v>
      </c>
      <c r="C706" s="11" t="s">
        <v>129</v>
      </c>
      <c r="D706" s="11" t="s">
        <v>130</v>
      </c>
      <c r="E706" s="11" t="s">
        <v>25</v>
      </c>
      <c r="F706" s="12">
        <v>46188</v>
      </c>
      <c r="G706" s="11" t="s">
        <v>512</v>
      </c>
      <c r="H706">
        <v>1</v>
      </c>
      <c r="I706" s="11" t="s">
        <v>2340</v>
      </c>
      <c r="M706" s="11" t="s">
        <v>44</v>
      </c>
      <c r="N706" s="11" t="s">
        <v>2341</v>
      </c>
      <c r="O706" s="11" t="s">
        <v>2342</v>
      </c>
      <c r="P706" s="11" t="s">
        <v>2340</v>
      </c>
      <c r="Q706" s="11" t="s">
        <v>135</v>
      </c>
      <c r="U706" s="11" t="s">
        <v>516</v>
      </c>
      <c r="V706" s="11" t="s">
        <v>137</v>
      </c>
      <c r="W706" s="13">
        <v>46302.314618055556</v>
      </c>
    </row>
    <row r="707" spans="1:23">
      <c r="A707">
        <v>270512</v>
      </c>
      <c r="B707">
        <v>9922</v>
      </c>
      <c r="C707" s="11" t="s">
        <v>129</v>
      </c>
      <c r="D707" s="11" t="s">
        <v>130</v>
      </c>
      <c r="E707" s="11" t="s">
        <v>25</v>
      </c>
      <c r="F707" s="12">
        <v>46188</v>
      </c>
      <c r="G707" s="11" t="s">
        <v>1497</v>
      </c>
      <c r="H707">
        <v>3</v>
      </c>
      <c r="I707" s="11" t="s">
        <v>2343</v>
      </c>
      <c r="M707" s="11" t="s">
        <v>43</v>
      </c>
      <c r="N707" s="11" t="s">
        <v>2344</v>
      </c>
      <c r="O707" s="11" t="s">
        <v>2345</v>
      </c>
      <c r="P707" s="11" t="s">
        <v>1520</v>
      </c>
      <c r="Q707" s="11" t="s">
        <v>135</v>
      </c>
      <c r="U707" s="11" t="s">
        <v>1501</v>
      </c>
      <c r="V707" s="11" t="s">
        <v>137</v>
      </c>
      <c r="W707" s="13">
        <v>46302.314618055556</v>
      </c>
    </row>
    <row r="708" spans="1:23">
      <c r="A708">
        <v>270513</v>
      </c>
      <c r="B708">
        <v>9923</v>
      </c>
      <c r="C708" s="11" t="s">
        <v>129</v>
      </c>
      <c r="D708" s="11" t="s">
        <v>130</v>
      </c>
      <c r="E708" s="11" t="s">
        <v>25</v>
      </c>
      <c r="F708" s="12">
        <v>46188</v>
      </c>
      <c r="G708" s="11" t="s">
        <v>131</v>
      </c>
      <c r="H708">
        <v>1</v>
      </c>
      <c r="I708" s="11" t="s">
        <v>2346</v>
      </c>
      <c r="M708" s="11" t="s">
        <v>87</v>
      </c>
      <c r="N708" s="11" t="s">
        <v>2347</v>
      </c>
      <c r="O708" s="11" t="s">
        <v>2348</v>
      </c>
      <c r="P708" s="11" t="s">
        <v>2346</v>
      </c>
      <c r="Q708" s="11" t="s">
        <v>135</v>
      </c>
      <c r="U708" s="11" t="s">
        <v>136</v>
      </c>
      <c r="V708" s="11" t="s">
        <v>137</v>
      </c>
      <c r="W708" s="13">
        <v>46302.314618055556</v>
      </c>
    </row>
    <row r="709" spans="1:23">
      <c r="A709">
        <v>270514</v>
      </c>
      <c r="B709">
        <v>9924</v>
      </c>
      <c r="C709" s="11" t="s">
        <v>129</v>
      </c>
      <c r="D709" s="11" t="s">
        <v>130</v>
      </c>
      <c r="E709" s="11" t="s">
        <v>25</v>
      </c>
      <c r="F709" s="12">
        <v>46188</v>
      </c>
      <c r="G709" s="11" t="s">
        <v>504</v>
      </c>
      <c r="H709">
        <v>3</v>
      </c>
      <c r="I709" s="11" t="s">
        <v>2349</v>
      </c>
      <c r="M709" s="11" t="s">
        <v>53</v>
      </c>
      <c r="N709" s="11" t="s">
        <v>2350</v>
      </c>
      <c r="O709" s="11" t="s">
        <v>2351</v>
      </c>
      <c r="P709" s="11" t="s">
        <v>2352</v>
      </c>
      <c r="Q709" s="11" t="s">
        <v>135</v>
      </c>
      <c r="U709" s="11" t="s">
        <v>508</v>
      </c>
      <c r="V709" s="11" t="s">
        <v>137</v>
      </c>
      <c r="W709" s="13">
        <v>46302.314618055556</v>
      </c>
    </row>
    <row r="710" spans="1:23">
      <c r="A710">
        <v>270515</v>
      </c>
      <c r="B710">
        <v>9925</v>
      </c>
      <c r="C710" s="11" t="s">
        <v>129</v>
      </c>
      <c r="D710" s="11" t="s">
        <v>130</v>
      </c>
      <c r="E710" s="11" t="s">
        <v>25</v>
      </c>
      <c r="F710" s="12">
        <v>46188</v>
      </c>
      <c r="G710" s="11" t="s">
        <v>131</v>
      </c>
      <c r="H710">
        <v>1</v>
      </c>
      <c r="I710" s="11" t="s">
        <v>2353</v>
      </c>
      <c r="M710" s="11" t="s">
        <v>87</v>
      </c>
      <c r="N710" s="11" t="s">
        <v>2354</v>
      </c>
      <c r="O710" s="11" t="s">
        <v>2355</v>
      </c>
      <c r="P710" s="11" t="s">
        <v>2353</v>
      </c>
      <c r="Q710" s="11" t="s">
        <v>135</v>
      </c>
      <c r="U710" s="11" t="s">
        <v>136</v>
      </c>
      <c r="V710" s="11" t="s">
        <v>137</v>
      </c>
      <c r="W710" s="13">
        <v>46302.314618055556</v>
      </c>
    </row>
    <row r="711" spans="1:23">
      <c r="A711">
        <v>270516</v>
      </c>
      <c r="B711">
        <v>9926</v>
      </c>
      <c r="C711" s="11" t="s">
        <v>129</v>
      </c>
      <c r="D711" s="11" t="s">
        <v>130</v>
      </c>
      <c r="E711" s="11" t="s">
        <v>25</v>
      </c>
      <c r="F711" s="12">
        <v>46188</v>
      </c>
      <c r="G711" s="11" t="s">
        <v>174</v>
      </c>
      <c r="H711">
        <v>1</v>
      </c>
      <c r="I711" s="11" t="s">
        <v>2356</v>
      </c>
      <c r="M711" s="11" t="s">
        <v>92</v>
      </c>
      <c r="N711" s="11" t="s">
        <v>2357</v>
      </c>
      <c r="O711" s="11" t="s">
        <v>2358</v>
      </c>
      <c r="P711" s="11" t="s">
        <v>2356</v>
      </c>
      <c r="Q711" s="11" t="s">
        <v>135</v>
      </c>
      <c r="U711" s="11" t="s">
        <v>178</v>
      </c>
      <c r="V711" s="11" t="s">
        <v>137</v>
      </c>
      <c r="W711" s="13">
        <v>46302.314618055556</v>
      </c>
    </row>
    <row r="712" spans="1:23">
      <c r="A712">
        <v>270517</v>
      </c>
      <c r="B712">
        <v>9927</v>
      </c>
      <c r="C712" s="11" t="s">
        <v>129</v>
      </c>
      <c r="D712" s="11" t="s">
        <v>130</v>
      </c>
      <c r="E712" s="11" t="s">
        <v>25</v>
      </c>
      <c r="F712" s="12">
        <v>46188</v>
      </c>
      <c r="G712" s="11" t="s">
        <v>149</v>
      </c>
      <c r="H712">
        <v>1</v>
      </c>
      <c r="I712" s="11" t="s">
        <v>2359</v>
      </c>
      <c r="M712" s="11" t="s">
        <v>77</v>
      </c>
      <c r="N712" s="11" t="s">
        <v>1701</v>
      </c>
      <c r="O712" s="11" t="s">
        <v>2360</v>
      </c>
      <c r="P712" s="11" t="s">
        <v>2359</v>
      </c>
      <c r="Q712" s="11" t="s">
        <v>135</v>
      </c>
      <c r="U712" s="11" t="s">
        <v>153</v>
      </c>
      <c r="V712" s="11" t="s">
        <v>137</v>
      </c>
      <c r="W712" s="13">
        <v>46302.314618055556</v>
      </c>
    </row>
    <row r="713" spans="1:23">
      <c r="A713">
        <v>270518</v>
      </c>
      <c r="B713">
        <v>9928</v>
      </c>
      <c r="C713" s="11" t="s">
        <v>129</v>
      </c>
      <c r="D713" s="11" t="s">
        <v>130</v>
      </c>
      <c r="E713" s="11" t="s">
        <v>25</v>
      </c>
      <c r="F713" s="12">
        <v>46188</v>
      </c>
      <c r="G713" s="11" t="s">
        <v>154</v>
      </c>
      <c r="H713">
        <v>1</v>
      </c>
      <c r="I713" s="11" t="s">
        <v>1573</v>
      </c>
      <c r="M713" s="11" t="s">
        <v>79</v>
      </c>
      <c r="N713" s="11" t="s">
        <v>2361</v>
      </c>
      <c r="O713" s="11" t="s">
        <v>2362</v>
      </c>
      <c r="P713" s="11" t="s">
        <v>1573</v>
      </c>
      <c r="Q713" s="11" t="s">
        <v>135</v>
      </c>
      <c r="U713" s="11" t="s">
        <v>158</v>
      </c>
      <c r="V713" s="11" t="s">
        <v>137</v>
      </c>
      <c r="W713" s="13">
        <v>46302.314618055556</v>
      </c>
    </row>
    <row r="714" spans="1:23">
      <c r="A714">
        <v>270519</v>
      </c>
      <c r="B714">
        <v>9929</v>
      </c>
      <c r="C714" s="11" t="s">
        <v>129</v>
      </c>
      <c r="D714" s="11" t="s">
        <v>130</v>
      </c>
      <c r="E714" s="11" t="s">
        <v>25</v>
      </c>
      <c r="F714" s="12">
        <v>46188</v>
      </c>
      <c r="G714" s="11" t="s">
        <v>523</v>
      </c>
      <c r="H714">
        <v>1</v>
      </c>
      <c r="I714" s="11" t="s">
        <v>2363</v>
      </c>
      <c r="M714" s="11" t="s">
        <v>80</v>
      </c>
      <c r="N714" s="11" t="s">
        <v>2364</v>
      </c>
      <c r="O714" s="11" t="s">
        <v>2365</v>
      </c>
      <c r="P714" s="11" t="s">
        <v>2363</v>
      </c>
      <c r="Q714" s="11" t="s">
        <v>135</v>
      </c>
      <c r="U714" s="11" t="s">
        <v>527</v>
      </c>
      <c r="V714" s="11" t="s">
        <v>137</v>
      </c>
      <c r="W714" s="13">
        <v>46302.314618055556</v>
      </c>
    </row>
    <row r="715" spans="1:23">
      <c r="A715">
        <v>270520</v>
      </c>
      <c r="B715">
        <v>9930</v>
      </c>
      <c r="C715" s="11" t="s">
        <v>129</v>
      </c>
      <c r="D715" s="11" t="s">
        <v>130</v>
      </c>
      <c r="E715" s="11" t="s">
        <v>25</v>
      </c>
      <c r="F715" s="12">
        <v>46188</v>
      </c>
      <c r="G715" s="11" t="s">
        <v>528</v>
      </c>
      <c r="H715">
        <v>1</v>
      </c>
      <c r="I715" s="11" t="s">
        <v>2366</v>
      </c>
      <c r="M715" s="11" t="s">
        <v>82</v>
      </c>
      <c r="N715" s="11" t="s">
        <v>2367</v>
      </c>
      <c r="O715" s="11" t="s">
        <v>2368</v>
      </c>
      <c r="P715" s="11" t="s">
        <v>2366</v>
      </c>
      <c r="Q715" s="11" t="s">
        <v>135</v>
      </c>
      <c r="U715" s="11" t="s">
        <v>532</v>
      </c>
      <c r="V715" s="11" t="s">
        <v>137</v>
      </c>
      <c r="W715" s="13">
        <v>46302.314618055556</v>
      </c>
    </row>
    <row r="716" spans="1:23">
      <c r="A716">
        <v>270521</v>
      </c>
      <c r="B716">
        <v>9931</v>
      </c>
      <c r="C716" s="11" t="s">
        <v>129</v>
      </c>
      <c r="D716" s="11" t="s">
        <v>130</v>
      </c>
      <c r="E716" s="11" t="s">
        <v>25</v>
      </c>
      <c r="F716" s="12">
        <v>46188</v>
      </c>
      <c r="G716" s="11" t="s">
        <v>179</v>
      </c>
      <c r="H716">
        <v>1</v>
      </c>
      <c r="I716" s="11" t="s">
        <v>2369</v>
      </c>
      <c r="M716" s="11" t="s">
        <v>83</v>
      </c>
      <c r="N716" s="11" t="s">
        <v>2370</v>
      </c>
      <c r="O716" s="11" t="s">
        <v>2371</v>
      </c>
      <c r="P716" s="11" t="s">
        <v>2369</v>
      </c>
      <c r="Q716" s="11" t="s">
        <v>135</v>
      </c>
      <c r="U716" s="11" t="s">
        <v>183</v>
      </c>
      <c r="V716" s="11" t="s">
        <v>137</v>
      </c>
      <c r="W716" s="13">
        <v>46302.314618055556</v>
      </c>
    </row>
    <row r="717" spans="1:23">
      <c r="A717">
        <v>270522</v>
      </c>
      <c r="B717">
        <v>9932</v>
      </c>
      <c r="C717" s="11" t="s">
        <v>129</v>
      </c>
      <c r="D717" s="11" t="s">
        <v>130</v>
      </c>
      <c r="E717" s="11" t="s">
        <v>25</v>
      </c>
      <c r="F717" s="12">
        <v>46188</v>
      </c>
      <c r="G717" s="11" t="s">
        <v>2266</v>
      </c>
      <c r="H717">
        <v>1</v>
      </c>
      <c r="I717" s="11" t="s">
        <v>2372</v>
      </c>
      <c r="M717" s="11" t="s">
        <v>91</v>
      </c>
      <c r="N717" s="11" t="s">
        <v>2141</v>
      </c>
      <c r="O717" s="11" t="s">
        <v>2373</v>
      </c>
      <c r="P717" s="11" t="s">
        <v>2372</v>
      </c>
      <c r="Q717" s="11" t="s">
        <v>135</v>
      </c>
      <c r="U717" s="11" t="s">
        <v>2270</v>
      </c>
      <c r="V717" s="11" t="s">
        <v>137</v>
      </c>
      <c r="W717" s="13">
        <v>46302.314618055556</v>
      </c>
    </row>
    <row r="718" spans="1:23">
      <c r="A718">
        <v>270523</v>
      </c>
      <c r="B718">
        <v>9933</v>
      </c>
      <c r="C718" s="11" t="s">
        <v>129</v>
      </c>
      <c r="D718" s="11" t="s">
        <v>130</v>
      </c>
      <c r="E718" s="11" t="s">
        <v>25</v>
      </c>
      <c r="F718" s="12">
        <v>46188</v>
      </c>
      <c r="G718" s="11" t="s">
        <v>217</v>
      </c>
      <c r="H718">
        <v>1</v>
      </c>
      <c r="I718" s="11" t="s">
        <v>2374</v>
      </c>
      <c r="M718" s="11" t="s">
        <v>86</v>
      </c>
      <c r="N718" s="11" t="s">
        <v>2375</v>
      </c>
      <c r="O718" s="11" t="s">
        <v>2376</v>
      </c>
      <c r="P718" s="11" t="s">
        <v>2374</v>
      </c>
      <c r="Q718" s="11" t="s">
        <v>135</v>
      </c>
      <c r="U718" s="11" t="s">
        <v>221</v>
      </c>
      <c r="V718" s="11" t="s">
        <v>137</v>
      </c>
      <c r="W718" s="13">
        <v>46302.314618055556</v>
      </c>
    </row>
    <row r="719" spans="1:23">
      <c r="A719">
        <v>270524</v>
      </c>
      <c r="B719">
        <v>9919</v>
      </c>
      <c r="C719" s="11" t="s">
        <v>129</v>
      </c>
      <c r="D719" s="11" t="s">
        <v>130</v>
      </c>
      <c r="E719" s="11" t="s">
        <v>25</v>
      </c>
      <c r="F719" s="12">
        <v>46188</v>
      </c>
      <c r="G719" s="11" t="s">
        <v>222</v>
      </c>
      <c r="H719">
        <v>1</v>
      </c>
      <c r="I719" s="11" t="s">
        <v>2336</v>
      </c>
      <c r="M719" s="11" t="s">
        <v>90</v>
      </c>
      <c r="N719" s="11" t="s">
        <v>661</v>
      </c>
      <c r="O719" s="11" t="s">
        <v>2377</v>
      </c>
      <c r="P719" s="11" t="s">
        <v>2336</v>
      </c>
      <c r="Q719" s="11" t="s">
        <v>135</v>
      </c>
      <c r="R719">
        <v>9918</v>
      </c>
      <c r="U719" s="11" t="s">
        <v>225</v>
      </c>
      <c r="V719" s="11" t="s">
        <v>137</v>
      </c>
      <c r="W719" s="13">
        <v>46302.314618055556</v>
      </c>
    </row>
    <row r="720" spans="1:23">
      <c r="A720">
        <v>270808</v>
      </c>
      <c r="B720">
        <v>10464</v>
      </c>
      <c r="C720" s="11" t="s">
        <v>129</v>
      </c>
      <c r="D720" s="11" t="s">
        <v>130</v>
      </c>
      <c r="E720" s="11" t="s">
        <v>25</v>
      </c>
      <c r="F720" s="12">
        <v>46189</v>
      </c>
      <c r="G720" s="11" t="s">
        <v>226</v>
      </c>
      <c r="H720">
        <v>1</v>
      </c>
      <c r="I720" s="11" t="s">
        <v>870</v>
      </c>
      <c r="M720" s="11" t="s">
        <v>87</v>
      </c>
      <c r="N720" s="11" t="s">
        <v>2378</v>
      </c>
      <c r="O720" s="11" t="s">
        <v>2379</v>
      </c>
      <c r="P720" s="11" t="s">
        <v>870</v>
      </c>
      <c r="Q720" s="11" t="s">
        <v>135</v>
      </c>
      <c r="U720" s="11" t="s">
        <v>231</v>
      </c>
      <c r="V720" s="11" t="s">
        <v>137</v>
      </c>
      <c r="W720" s="13">
        <v>46302.314618055556</v>
      </c>
    </row>
    <row r="721" spans="1:23">
      <c r="A721">
        <v>270809</v>
      </c>
      <c r="B721">
        <v>10465</v>
      </c>
      <c r="C721" s="11" t="s">
        <v>129</v>
      </c>
      <c r="D721" s="11" t="s">
        <v>130</v>
      </c>
      <c r="E721" s="11" t="s">
        <v>25</v>
      </c>
      <c r="F721" s="12">
        <v>46189</v>
      </c>
      <c r="G721" s="11" t="s">
        <v>672</v>
      </c>
      <c r="H721">
        <v>1</v>
      </c>
      <c r="I721" s="11" t="s">
        <v>2380</v>
      </c>
      <c r="M721" s="11" t="s">
        <v>72</v>
      </c>
      <c r="N721" s="11" t="s">
        <v>2381</v>
      </c>
      <c r="O721" s="11" t="s">
        <v>742</v>
      </c>
      <c r="P721" s="11" t="s">
        <v>2380</v>
      </c>
      <c r="Q721" s="11" t="s">
        <v>135</v>
      </c>
      <c r="U721" s="11" t="s">
        <v>677</v>
      </c>
      <c r="V721" s="11" t="s">
        <v>137</v>
      </c>
      <c r="W721" s="13">
        <v>46302.314618055556</v>
      </c>
    </row>
    <row r="722" spans="1:23">
      <c r="A722">
        <v>270810</v>
      </c>
      <c r="B722">
        <v>10466</v>
      </c>
      <c r="C722" s="11" t="s">
        <v>129</v>
      </c>
      <c r="D722" s="11" t="s">
        <v>130</v>
      </c>
      <c r="E722" s="11" t="s">
        <v>25</v>
      </c>
      <c r="F722" s="12">
        <v>46189</v>
      </c>
      <c r="G722" s="11" t="s">
        <v>308</v>
      </c>
      <c r="H722">
        <v>1</v>
      </c>
      <c r="I722" s="11" t="s">
        <v>2382</v>
      </c>
      <c r="M722" s="11" t="s">
        <v>90</v>
      </c>
      <c r="N722" s="11" t="s">
        <v>2156</v>
      </c>
      <c r="O722" s="11" t="s">
        <v>2383</v>
      </c>
      <c r="P722" s="11" t="s">
        <v>2382</v>
      </c>
      <c r="Q722" s="11" t="s">
        <v>135</v>
      </c>
      <c r="U722" s="11" t="s">
        <v>311</v>
      </c>
      <c r="V722" s="11" t="s">
        <v>137</v>
      </c>
      <c r="W722" s="13">
        <v>46302.314618055556</v>
      </c>
    </row>
    <row r="723" spans="1:23">
      <c r="A723">
        <v>270811</v>
      </c>
      <c r="B723">
        <v>10467</v>
      </c>
      <c r="C723" s="11" t="s">
        <v>129</v>
      </c>
      <c r="D723" s="11" t="s">
        <v>130</v>
      </c>
      <c r="E723" s="11" t="s">
        <v>25</v>
      </c>
      <c r="F723" s="12">
        <v>46189</v>
      </c>
      <c r="G723" s="11" t="s">
        <v>672</v>
      </c>
      <c r="H723">
        <v>1</v>
      </c>
      <c r="I723" s="11" t="s">
        <v>2384</v>
      </c>
      <c r="M723" s="11" t="s">
        <v>72</v>
      </c>
      <c r="N723" s="11" t="s">
        <v>2385</v>
      </c>
      <c r="O723" s="11" t="s">
        <v>2386</v>
      </c>
      <c r="P723" s="11" t="s">
        <v>2384</v>
      </c>
      <c r="Q723" s="11" t="s">
        <v>135</v>
      </c>
      <c r="U723" s="11" t="s">
        <v>677</v>
      </c>
      <c r="V723" s="11" t="s">
        <v>137</v>
      </c>
      <c r="W723" s="13">
        <v>46302.314618055556</v>
      </c>
    </row>
    <row r="724" spans="1:23">
      <c r="A724">
        <v>270812</v>
      </c>
      <c r="B724">
        <v>10468</v>
      </c>
      <c r="C724" s="11" t="s">
        <v>129</v>
      </c>
      <c r="D724" s="11" t="s">
        <v>130</v>
      </c>
      <c r="E724" s="11" t="s">
        <v>25</v>
      </c>
      <c r="F724" s="12">
        <v>46189</v>
      </c>
      <c r="G724" s="11" t="s">
        <v>439</v>
      </c>
      <c r="H724">
        <v>3</v>
      </c>
      <c r="I724" s="11" t="s">
        <v>2387</v>
      </c>
      <c r="M724" s="11" t="s">
        <v>73</v>
      </c>
      <c r="N724" s="11" t="s">
        <v>2388</v>
      </c>
      <c r="O724" s="11" t="s">
        <v>2389</v>
      </c>
      <c r="P724" s="11" t="s">
        <v>405</v>
      </c>
      <c r="Q724" s="11" t="s">
        <v>135</v>
      </c>
      <c r="U724" s="11" t="s">
        <v>443</v>
      </c>
      <c r="V724" s="11" t="s">
        <v>137</v>
      </c>
      <c r="W724" s="13">
        <v>46302.314618055556</v>
      </c>
    </row>
    <row r="725" spans="1:23">
      <c r="A725">
        <v>270813</v>
      </c>
      <c r="B725">
        <v>10469</v>
      </c>
      <c r="C725" s="11" t="s">
        <v>129</v>
      </c>
      <c r="D725" s="11" t="s">
        <v>130</v>
      </c>
      <c r="E725" s="11" t="s">
        <v>25</v>
      </c>
      <c r="F725" s="12">
        <v>46189</v>
      </c>
      <c r="G725" s="11" t="s">
        <v>226</v>
      </c>
      <c r="H725">
        <v>1</v>
      </c>
      <c r="I725" s="11" t="s">
        <v>2390</v>
      </c>
      <c r="M725" s="11" t="s">
        <v>87</v>
      </c>
      <c r="N725" s="11" t="s">
        <v>2391</v>
      </c>
      <c r="O725" s="11" t="s">
        <v>2392</v>
      </c>
      <c r="P725" s="11" t="s">
        <v>2390</v>
      </c>
      <c r="Q725" s="11" t="s">
        <v>135</v>
      </c>
      <c r="U725" s="11" t="s">
        <v>231</v>
      </c>
      <c r="V725" s="11" t="s">
        <v>137</v>
      </c>
      <c r="W725" s="13">
        <v>46302.314618055556</v>
      </c>
    </row>
    <row r="726" spans="1:23">
      <c r="A726">
        <v>270814</v>
      </c>
      <c r="B726">
        <v>10470</v>
      </c>
      <c r="C726" s="11" t="s">
        <v>129</v>
      </c>
      <c r="D726" s="11" t="s">
        <v>130</v>
      </c>
      <c r="E726" s="11" t="s">
        <v>25</v>
      </c>
      <c r="F726" s="12">
        <v>46189</v>
      </c>
      <c r="G726" s="11" t="s">
        <v>439</v>
      </c>
      <c r="H726">
        <v>1</v>
      </c>
      <c r="I726" s="11" t="s">
        <v>2393</v>
      </c>
      <c r="M726" s="11" t="s">
        <v>73</v>
      </c>
      <c r="N726" s="11" t="s">
        <v>2394</v>
      </c>
      <c r="O726" s="11" t="s">
        <v>2395</v>
      </c>
      <c r="P726" s="11" t="s">
        <v>2393</v>
      </c>
      <c r="Q726" s="11" t="s">
        <v>135</v>
      </c>
      <c r="U726" s="11" t="s">
        <v>443</v>
      </c>
      <c r="V726" s="11" t="s">
        <v>137</v>
      </c>
      <c r="W726" s="13">
        <v>46302.314618055556</v>
      </c>
    </row>
    <row r="727" spans="1:23">
      <c r="A727">
        <v>270815</v>
      </c>
      <c r="B727">
        <v>10471</v>
      </c>
      <c r="C727" s="11" t="s">
        <v>129</v>
      </c>
      <c r="D727" s="11" t="s">
        <v>130</v>
      </c>
      <c r="E727" s="11" t="s">
        <v>25</v>
      </c>
      <c r="F727" s="12">
        <v>46189</v>
      </c>
      <c r="G727" s="11" t="s">
        <v>439</v>
      </c>
      <c r="H727">
        <v>1</v>
      </c>
      <c r="I727" s="11" t="s">
        <v>1062</v>
      </c>
      <c r="M727" s="11" t="s">
        <v>73</v>
      </c>
      <c r="N727" s="11" t="s">
        <v>2396</v>
      </c>
      <c r="O727" s="11" t="s">
        <v>2397</v>
      </c>
      <c r="P727" s="11" t="s">
        <v>1062</v>
      </c>
      <c r="Q727" s="11" t="s">
        <v>135</v>
      </c>
      <c r="U727" s="11" t="s">
        <v>443</v>
      </c>
      <c r="V727" s="11" t="s">
        <v>137</v>
      </c>
      <c r="W727" s="13">
        <v>46302.314618055556</v>
      </c>
    </row>
    <row r="728" spans="1:23">
      <c r="A728">
        <v>270816</v>
      </c>
      <c r="B728">
        <v>10472</v>
      </c>
      <c r="C728" s="11" t="s">
        <v>129</v>
      </c>
      <c r="D728" s="11" t="s">
        <v>130</v>
      </c>
      <c r="E728" s="11" t="s">
        <v>25</v>
      </c>
      <c r="F728" s="12">
        <v>46189</v>
      </c>
      <c r="G728" s="11" t="s">
        <v>439</v>
      </c>
      <c r="H728">
        <v>1</v>
      </c>
      <c r="I728" s="11" t="s">
        <v>304</v>
      </c>
      <c r="M728" s="11" t="s">
        <v>73</v>
      </c>
      <c r="N728" s="11" t="s">
        <v>2398</v>
      </c>
      <c r="O728" s="11" t="s">
        <v>2399</v>
      </c>
      <c r="P728" s="11" t="s">
        <v>304</v>
      </c>
      <c r="Q728" s="11" t="s">
        <v>135</v>
      </c>
      <c r="U728" s="11" t="s">
        <v>443</v>
      </c>
      <c r="V728" s="11" t="s">
        <v>137</v>
      </c>
      <c r="W728" s="13">
        <v>46302.314618055556</v>
      </c>
    </row>
    <row r="729" spans="1:23">
      <c r="A729">
        <v>270817</v>
      </c>
      <c r="B729">
        <v>10473</v>
      </c>
      <c r="C729" s="11" t="s">
        <v>129</v>
      </c>
      <c r="D729" s="11" t="s">
        <v>130</v>
      </c>
      <c r="E729" s="11" t="s">
        <v>25</v>
      </c>
      <c r="F729" s="12">
        <v>46189</v>
      </c>
      <c r="G729" s="11" t="s">
        <v>263</v>
      </c>
      <c r="H729">
        <v>1</v>
      </c>
      <c r="I729" s="11" t="s">
        <v>2400</v>
      </c>
      <c r="M729" s="11" t="s">
        <v>92</v>
      </c>
      <c r="N729" s="11" t="s">
        <v>2401</v>
      </c>
      <c r="O729" s="11" t="s">
        <v>2402</v>
      </c>
      <c r="P729" s="11" t="s">
        <v>2400</v>
      </c>
      <c r="Q729" s="11" t="s">
        <v>135</v>
      </c>
      <c r="U729" s="11" t="s">
        <v>267</v>
      </c>
      <c r="V729" s="11" t="s">
        <v>137</v>
      </c>
      <c r="W729" s="13">
        <v>46302.314618055556</v>
      </c>
    </row>
    <row r="730" spans="1:23">
      <c r="A730">
        <v>270818</v>
      </c>
      <c r="B730">
        <v>10474</v>
      </c>
      <c r="C730" s="11" t="s">
        <v>129</v>
      </c>
      <c r="D730" s="11" t="s">
        <v>130</v>
      </c>
      <c r="E730" s="11" t="s">
        <v>25</v>
      </c>
      <c r="F730" s="12">
        <v>46189</v>
      </c>
      <c r="G730" s="11" t="s">
        <v>439</v>
      </c>
      <c r="H730">
        <v>2</v>
      </c>
      <c r="I730" s="11" t="s">
        <v>2403</v>
      </c>
      <c r="M730" s="11" t="s">
        <v>73</v>
      </c>
      <c r="N730" s="11" t="s">
        <v>2404</v>
      </c>
      <c r="O730" s="11" t="s">
        <v>2405</v>
      </c>
      <c r="P730" s="11" t="s">
        <v>2406</v>
      </c>
      <c r="Q730" s="11" t="s">
        <v>135</v>
      </c>
      <c r="U730" s="11" t="s">
        <v>443</v>
      </c>
      <c r="V730" s="11" t="s">
        <v>137</v>
      </c>
      <c r="W730" s="13">
        <v>46302.314618055556</v>
      </c>
    </row>
    <row r="731" spans="1:23">
      <c r="A731">
        <v>270819</v>
      </c>
      <c r="B731">
        <v>10475</v>
      </c>
      <c r="C731" s="11" t="s">
        <v>129</v>
      </c>
      <c r="D731" s="11" t="s">
        <v>130</v>
      </c>
      <c r="E731" s="11" t="s">
        <v>25</v>
      </c>
      <c r="F731" s="12">
        <v>46189</v>
      </c>
      <c r="G731" s="11" t="s">
        <v>439</v>
      </c>
      <c r="H731">
        <v>2</v>
      </c>
      <c r="I731" s="11" t="s">
        <v>2407</v>
      </c>
      <c r="M731" s="11" t="s">
        <v>73</v>
      </c>
      <c r="N731" s="11" t="s">
        <v>2408</v>
      </c>
      <c r="O731" s="11" t="s">
        <v>2409</v>
      </c>
      <c r="P731" s="11" t="s">
        <v>1573</v>
      </c>
      <c r="Q731" s="11" t="s">
        <v>135</v>
      </c>
      <c r="U731" s="11" t="s">
        <v>443</v>
      </c>
      <c r="V731" s="11" t="s">
        <v>137</v>
      </c>
      <c r="W731" s="13">
        <v>46302.314618055556</v>
      </c>
    </row>
    <row r="732" spans="1:23">
      <c r="A732">
        <v>270820</v>
      </c>
      <c r="B732">
        <v>10476</v>
      </c>
      <c r="C732" s="11" t="s">
        <v>129</v>
      </c>
      <c r="D732" s="11" t="s">
        <v>130</v>
      </c>
      <c r="E732" s="11" t="s">
        <v>25</v>
      </c>
      <c r="F732" s="12">
        <v>46189</v>
      </c>
      <c r="G732" s="11" t="s">
        <v>226</v>
      </c>
      <c r="H732">
        <v>1</v>
      </c>
      <c r="I732" s="11" t="s">
        <v>2410</v>
      </c>
      <c r="M732" s="11" t="s">
        <v>87</v>
      </c>
      <c r="N732" s="11" t="s">
        <v>2411</v>
      </c>
      <c r="O732" s="11" t="s">
        <v>2412</v>
      </c>
      <c r="P732" s="11" t="s">
        <v>2410</v>
      </c>
      <c r="Q732" s="11" t="s">
        <v>135</v>
      </c>
      <c r="U732" s="11" t="s">
        <v>231</v>
      </c>
      <c r="V732" s="11" t="s">
        <v>137</v>
      </c>
      <c r="W732" s="13">
        <v>46302.314618055556</v>
      </c>
    </row>
    <row r="733" spans="1:23">
      <c r="A733">
        <v>270821</v>
      </c>
      <c r="B733">
        <v>10477</v>
      </c>
      <c r="C733" s="11" t="s">
        <v>129</v>
      </c>
      <c r="D733" s="11" t="s">
        <v>130</v>
      </c>
      <c r="E733" s="11" t="s">
        <v>25</v>
      </c>
      <c r="F733" s="12">
        <v>46189</v>
      </c>
      <c r="G733" s="11" t="s">
        <v>666</v>
      </c>
      <c r="H733">
        <v>1</v>
      </c>
      <c r="I733" s="11" t="s">
        <v>196</v>
      </c>
      <c r="M733" s="11" t="s">
        <v>95</v>
      </c>
      <c r="N733" s="11" t="s">
        <v>2413</v>
      </c>
      <c r="O733" s="11" t="s">
        <v>2414</v>
      </c>
      <c r="P733" s="11" t="s">
        <v>196</v>
      </c>
      <c r="Q733" s="11" t="s">
        <v>135</v>
      </c>
      <c r="U733" s="11" t="s">
        <v>671</v>
      </c>
      <c r="V733" s="11" t="s">
        <v>137</v>
      </c>
      <c r="W733" s="13">
        <v>46302.314618055556</v>
      </c>
    </row>
    <row r="734" spans="1:23">
      <c r="A734">
        <v>270822</v>
      </c>
      <c r="B734">
        <v>10478</v>
      </c>
      <c r="C734" s="11" t="s">
        <v>129</v>
      </c>
      <c r="D734" s="11" t="s">
        <v>130</v>
      </c>
      <c r="E734" s="11" t="s">
        <v>25</v>
      </c>
      <c r="F734" s="12">
        <v>46189</v>
      </c>
      <c r="G734" s="11" t="s">
        <v>439</v>
      </c>
      <c r="H734">
        <v>2</v>
      </c>
      <c r="I734" s="11" t="s">
        <v>175</v>
      </c>
      <c r="M734" s="11" t="s">
        <v>73</v>
      </c>
      <c r="N734" s="11" t="s">
        <v>2415</v>
      </c>
      <c r="O734" s="11" t="s">
        <v>2416</v>
      </c>
      <c r="P734" s="11" t="s">
        <v>2417</v>
      </c>
      <c r="Q734" s="11" t="s">
        <v>135</v>
      </c>
      <c r="U734" s="11" t="s">
        <v>443</v>
      </c>
      <c r="V734" s="11" t="s">
        <v>137</v>
      </c>
      <c r="W734" s="13">
        <v>46302.314618055556</v>
      </c>
    </row>
    <row r="735" spans="1:23">
      <c r="A735">
        <v>270823</v>
      </c>
      <c r="B735">
        <v>10479</v>
      </c>
      <c r="C735" s="11" t="s">
        <v>129</v>
      </c>
      <c r="D735" s="11" t="s">
        <v>130</v>
      </c>
      <c r="E735" s="11" t="s">
        <v>25</v>
      </c>
      <c r="F735" s="12">
        <v>46189</v>
      </c>
      <c r="G735" s="11" t="s">
        <v>226</v>
      </c>
      <c r="H735">
        <v>1</v>
      </c>
      <c r="I735" s="11" t="s">
        <v>2418</v>
      </c>
      <c r="M735" s="11" t="s">
        <v>87</v>
      </c>
      <c r="N735" s="11" t="s">
        <v>2419</v>
      </c>
      <c r="O735" s="11" t="s">
        <v>2420</v>
      </c>
      <c r="P735" s="11" t="s">
        <v>2418</v>
      </c>
      <c r="Q735" s="11" t="s">
        <v>135</v>
      </c>
      <c r="U735" s="11" t="s">
        <v>231</v>
      </c>
      <c r="V735" s="11" t="s">
        <v>137</v>
      </c>
      <c r="W735" s="13">
        <v>46302.314618055556</v>
      </c>
    </row>
    <row r="736" spans="1:23">
      <c r="A736">
        <v>270824</v>
      </c>
      <c r="B736">
        <v>10480</v>
      </c>
      <c r="C736" s="11" t="s">
        <v>129</v>
      </c>
      <c r="D736" s="11" t="s">
        <v>130</v>
      </c>
      <c r="E736" s="11" t="s">
        <v>25</v>
      </c>
      <c r="F736" s="12">
        <v>46189</v>
      </c>
      <c r="G736" s="11" t="s">
        <v>439</v>
      </c>
      <c r="H736">
        <v>2</v>
      </c>
      <c r="I736" s="11" t="s">
        <v>513</v>
      </c>
      <c r="M736" s="11" t="s">
        <v>73</v>
      </c>
      <c r="N736" s="11" t="s">
        <v>2421</v>
      </c>
      <c r="O736" s="11" t="s">
        <v>2422</v>
      </c>
      <c r="P736" s="11" t="s">
        <v>2423</v>
      </c>
      <c r="Q736" s="11" t="s">
        <v>135</v>
      </c>
      <c r="U736" s="11" t="s">
        <v>443</v>
      </c>
      <c r="V736" s="11" t="s">
        <v>137</v>
      </c>
      <c r="W736" s="13">
        <v>46302.314618055556</v>
      </c>
    </row>
    <row r="737" spans="1:23">
      <c r="A737">
        <v>270825</v>
      </c>
      <c r="B737">
        <v>10481</v>
      </c>
      <c r="C737" s="11" t="s">
        <v>129</v>
      </c>
      <c r="D737" s="11" t="s">
        <v>130</v>
      </c>
      <c r="E737" s="11" t="s">
        <v>25</v>
      </c>
      <c r="F737" s="12">
        <v>46189</v>
      </c>
      <c r="G737" s="11" t="s">
        <v>2266</v>
      </c>
      <c r="H737">
        <v>1</v>
      </c>
      <c r="I737" s="11" t="s">
        <v>2424</v>
      </c>
      <c r="M737" s="11" t="s">
        <v>91</v>
      </c>
      <c r="N737" s="11" t="s">
        <v>2425</v>
      </c>
      <c r="O737" s="11" t="s">
        <v>2426</v>
      </c>
      <c r="P737" s="11" t="s">
        <v>2424</v>
      </c>
      <c r="Q737" s="11" t="s">
        <v>135</v>
      </c>
      <c r="U737" s="11" t="s">
        <v>2270</v>
      </c>
      <c r="V737" s="11" t="s">
        <v>137</v>
      </c>
      <c r="W737" s="13">
        <v>46302.314618055556</v>
      </c>
    </row>
    <row r="738" spans="1:23">
      <c r="A738">
        <v>270826</v>
      </c>
      <c r="B738">
        <v>10482</v>
      </c>
      <c r="C738" s="11" t="s">
        <v>129</v>
      </c>
      <c r="D738" s="11" t="s">
        <v>130</v>
      </c>
      <c r="E738" s="11" t="s">
        <v>25</v>
      </c>
      <c r="F738" s="12">
        <v>46189</v>
      </c>
      <c r="G738" s="11" t="s">
        <v>226</v>
      </c>
      <c r="H738">
        <v>1</v>
      </c>
      <c r="I738" s="11" t="s">
        <v>2427</v>
      </c>
      <c r="M738" s="11" t="s">
        <v>87</v>
      </c>
      <c r="N738" s="11" t="s">
        <v>2066</v>
      </c>
      <c r="O738" s="11" t="s">
        <v>2428</v>
      </c>
      <c r="P738" s="11" t="s">
        <v>2427</v>
      </c>
      <c r="Q738" s="11" t="s">
        <v>135</v>
      </c>
      <c r="U738" s="11" t="s">
        <v>231</v>
      </c>
      <c r="V738" s="11" t="s">
        <v>137</v>
      </c>
      <c r="W738" s="13">
        <v>46302.314618055556</v>
      </c>
    </row>
    <row r="739" spans="1:23">
      <c r="A739">
        <v>271108</v>
      </c>
      <c r="B739">
        <v>9953</v>
      </c>
      <c r="C739" s="11" t="s">
        <v>129</v>
      </c>
      <c r="D739" s="11" t="s">
        <v>130</v>
      </c>
      <c r="E739" s="11" t="s">
        <v>25</v>
      </c>
      <c r="F739" s="12">
        <v>46190</v>
      </c>
      <c r="G739" s="11" t="s">
        <v>131</v>
      </c>
      <c r="H739">
        <v>1</v>
      </c>
      <c r="I739" s="11" t="s">
        <v>2429</v>
      </c>
      <c r="M739" s="11" t="s">
        <v>87</v>
      </c>
      <c r="N739" s="11" t="s">
        <v>1973</v>
      </c>
      <c r="O739" s="11" t="s">
        <v>2430</v>
      </c>
      <c r="P739" s="11" t="s">
        <v>2429</v>
      </c>
      <c r="Q739" s="11" t="s">
        <v>135</v>
      </c>
      <c r="U739" s="11" t="s">
        <v>136</v>
      </c>
      <c r="V739" s="11" t="s">
        <v>137</v>
      </c>
      <c r="W739" s="13">
        <v>46302.314618055556</v>
      </c>
    </row>
    <row r="740" spans="1:23">
      <c r="A740">
        <v>271109</v>
      </c>
      <c r="B740">
        <v>9954</v>
      </c>
      <c r="C740" s="11" t="s">
        <v>129</v>
      </c>
      <c r="D740" s="11" t="s">
        <v>130</v>
      </c>
      <c r="E740" s="11" t="s">
        <v>25</v>
      </c>
      <c r="F740" s="12">
        <v>46190</v>
      </c>
      <c r="G740" s="11" t="s">
        <v>212</v>
      </c>
      <c r="H740">
        <v>1</v>
      </c>
      <c r="I740" s="11" t="s">
        <v>2431</v>
      </c>
      <c r="M740" s="11" t="s">
        <v>40</v>
      </c>
      <c r="N740" s="11" t="s">
        <v>2432</v>
      </c>
      <c r="O740" s="11" t="s">
        <v>2433</v>
      </c>
      <c r="P740" s="11" t="s">
        <v>2431</v>
      </c>
      <c r="Q740" s="11" t="s">
        <v>2434</v>
      </c>
      <c r="U740" s="11" t="s">
        <v>216</v>
      </c>
      <c r="V740" s="11" t="s">
        <v>137</v>
      </c>
      <c r="W740" s="13">
        <v>46302.314618055556</v>
      </c>
    </row>
    <row r="741" spans="1:23">
      <c r="A741">
        <v>271110</v>
      </c>
      <c r="B741">
        <v>9956</v>
      </c>
      <c r="C741" s="11" t="s">
        <v>129</v>
      </c>
      <c r="D741" s="11" t="s">
        <v>130</v>
      </c>
      <c r="E741" s="11" t="s">
        <v>25</v>
      </c>
      <c r="F741" s="12">
        <v>46190</v>
      </c>
      <c r="G741" s="11" t="s">
        <v>1663</v>
      </c>
      <c r="H741">
        <v>1</v>
      </c>
      <c r="I741" s="11" t="s">
        <v>2435</v>
      </c>
      <c r="M741" s="11" t="s">
        <v>47</v>
      </c>
      <c r="N741" s="11" t="s">
        <v>2436</v>
      </c>
      <c r="O741" s="11" t="s">
        <v>2437</v>
      </c>
      <c r="P741" s="11" t="s">
        <v>2435</v>
      </c>
      <c r="Q741" s="11" t="s">
        <v>135</v>
      </c>
      <c r="U741" s="11" t="s">
        <v>1666</v>
      </c>
      <c r="V741" s="11" t="s">
        <v>137</v>
      </c>
      <c r="W741" s="13">
        <v>46302.314618055556</v>
      </c>
    </row>
    <row r="742" spans="1:23">
      <c r="A742">
        <v>271111</v>
      </c>
      <c r="B742">
        <v>9957</v>
      </c>
      <c r="C742" s="11" t="s">
        <v>129</v>
      </c>
      <c r="D742" s="11" t="s">
        <v>130</v>
      </c>
      <c r="E742" s="11" t="s">
        <v>25</v>
      </c>
      <c r="F742" s="12">
        <v>46190</v>
      </c>
      <c r="G742" s="11" t="s">
        <v>131</v>
      </c>
      <c r="H742">
        <v>1</v>
      </c>
      <c r="I742" s="11" t="s">
        <v>2438</v>
      </c>
      <c r="M742" s="11" t="s">
        <v>87</v>
      </c>
      <c r="N742" s="11" t="s">
        <v>2439</v>
      </c>
      <c r="O742" s="11" t="s">
        <v>2440</v>
      </c>
      <c r="P742" s="11" t="s">
        <v>2438</v>
      </c>
      <c r="Q742" s="11" t="s">
        <v>135</v>
      </c>
      <c r="U742" s="11" t="s">
        <v>136</v>
      </c>
      <c r="V742" s="11" t="s">
        <v>137</v>
      </c>
      <c r="W742" s="13">
        <v>46302.314618055556</v>
      </c>
    </row>
    <row r="743" spans="1:23">
      <c r="A743">
        <v>271112</v>
      </c>
      <c r="B743">
        <v>9958</v>
      </c>
      <c r="C743" s="11" t="s">
        <v>129</v>
      </c>
      <c r="D743" s="11" t="s">
        <v>130</v>
      </c>
      <c r="E743" s="11" t="s">
        <v>25</v>
      </c>
      <c r="F743" s="12">
        <v>46190</v>
      </c>
      <c r="G743" s="11" t="s">
        <v>143</v>
      </c>
      <c r="H743">
        <v>1</v>
      </c>
      <c r="I743" s="11" t="s">
        <v>2441</v>
      </c>
      <c r="M743" s="11" t="s">
        <v>39</v>
      </c>
      <c r="N743" s="11" t="s">
        <v>2442</v>
      </c>
      <c r="O743" s="11" t="s">
        <v>2443</v>
      </c>
      <c r="P743" s="11" t="s">
        <v>2441</v>
      </c>
      <c r="Q743" s="11" t="s">
        <v>135</v>
      </c>
      <c r="U743" s="11" t="s">
        <v>148</v>
      </c>
      <c r="V743" s="11" t="s">
        <v>137</v>
      </c>
      <c r="W743" s="13">
        <v>46302.314618055556</v>
      </c>
    </row>
    <row r="744" spans="1:23">
      <c r="A744">
        <v>271113</v>
      </c>
      <c r="B744">
        <v>9959</v>
      </c>
      <c r="C744" s="11" t="s">
        <v>129</v>
      </c>
      <c r="D744" s="11" t="s">
        <v>130</v>
      </c>
      <c r="E744" s="11" t="s">
        <v>25</v>
      </c>
      <c r="F744" s="12">
        <v>46190</v>
      </c>
      <c r="G744" s="11" t="s">
        <v>164</v>
      </c>
      <c r="H744">
        <v>1</v>
      </c>
      <c r="I744" s="11" t="s">
        <v>1223</v>
      </c>
      <c r="M744" s="11" t="s">
        <v>62</v>
      </c>
      <c r="N744" s="11" t="s">
        <v>2444</v>
      </c>
      <c r="O744" s="11" t="s">
        <v>2445</v>
      </c>
      <c r="P744" s="11" t="s">
        <v>1223</v>
      </c>
      <c r="Q744" s="11" t="s">
        <v>135</v>
      </c>
      <c r="U744" s="11" t="s">
        <v>168</v>
      </c>
      <c r="V744" s="11" t="s">
        <v>137</v>
      </c>
      <c r="W744" s="13">
        <v>46302.314618055556</v>
      </c>
    </row>
    <row r="745" spans="1:23">
      <c r="A745">
        <v>271114</v>
      </c>
      <c r="B745">
        <v>9960</v>
      </c>
      <c r="C745" s="11" t="s">
        <v>129</v>
      </c>
      <c r="D745" s="11" t="s">
        <v>130</v>
      </c>
      <c r="E745" s="11" t="s">
        <v>25</v>
      </c>
      <c r="F745" s="12">
        <v>46190</v>
      </c>
      <c r="G745" s="11" t="s">
        <v>143</v>
      </c>
      <c r="H745">
        <v>1</v>
      </c>
      <c r="I745" s="11" t="s">
        <v>2446</v>
      </c>
      <c r="M745" s="11" t="s">
        <v>39</v>
      </c>
      <c r="N745" s="11" t="s">
        <v>2447</v>
      </c>
      <c r="O745" s="11" t="s">
        <v>2448</v>
      </c>
      <c r="P745" s="11" t="s">
        <v>2446</v>
      </c>
      <c r="Q745" s="11" t="s">
        <v>135</v>
      </c>
      <c r="U745" s="11" t="s">
        <v>148</v>
      </c>
      <c r="V745" s="11" t="s">
        <v>137</v>
      </c>
      <c r="W745" s="13">
        <v>46302.314618055556</v>
      </c>
    </row>
    <row r="746" spans="1:23">
      <c r="A746">
        <v>271115</v>
      </c>
      <c r="B746">
        <v>9961</v>
      </c>
      <c r="C746" s="11" t="s">
        <v>129</v>
      </c>
      <c r="D746" s="11" t="s">
        <v>130</v>
      </c>
      <c r="E746" s="11" t="s">
        <v>25</v>
      </c>
      <c r="F746" s="12">
        <v>46190</v>
      </c>
      <c r="G746" s="11" t="s">
        <v>164</v>
      </c>
      <c r="H746">
        <v>1</v>
      </c>
      <c r="I746" s="11" t="s">
        <v>2449</v>
      </c>
      <c r="M746" s="11" t="s">
        <v>62</v>
      </c>
      <c r="N746" s="11" t="s">
        <v>2450</v>
      </c>
      <c r="O746" s="11" t="s">
        <v>2451</v>
      </c>
      <c r="P746" s="11" t="s">
        <v>2449</v>
      </c>
      <c r="Q746" s="11" t="s">
        <v>135</v>
      </c>
      <c r="U746" s="11" t="s">
        <v>168</v>
      </c>
      <c r="V746" s="11" t="s">
        <v>137</v>
      </c>
      <c r="W746" s="13">
        <v>46302.314618055556</v>
      </c>
    </row>
    <row r="747" spans="1:23">
      <c r="A747">
        <v>271116</v>
      </c>
      <c r="B747">
        <v>9962</v>
      </c>
      <c r="C747" s="11" t="s">
        <v>129</v>
      </c>
      <c r="D747" s="11" t="s">
        <v>130</v>
      </c>
      <c r="E747" s="11" t="s">
        <v>25</v>
      </c>
      <c r="F747" s="12">
        <v>46190</v>
      </c>
      <c r="G747" s="11" t="s">
        <v>174</v>
      </c>
      <c r="H747">
        <v>1</v>
      </c>
      <c r="I747" s="11" t="s">
        <v>2452</v>
      </c>
      <c r="M747" s="11" t="s">
        <v>92</v>
      </c>
      <c r="N747" s="11" t="s">
        <v>2453</v>
      </c>
      <c r="O747" s="11" t="s">
        <v>2454</v>
      </c>
      <c r="P747" s="11" t="s">
        <v>2452</v>
      </c>
      <c r="Q747" s="11" t="s">
        <v>135</v>
      </c>
      <c r="U747" s="11" t="s">
        <v>178</v>
      </c>
      <c r="V747" s="11" t="s">
        <v>137</v>
      </c>
      <c r="W747" s="13">
        <v>46302.314618055556</v>
      </c>
    </row>
    <row r="748" spans="1:23">
      <c r="A748">
        <v>271117</v>
      </c>
      <c r="B748">
        <v>9963</v>
      </c>
      <c r="C748" s="11" t="s">
        <v>129</v>
      </c>
      <c r="D748" s="11" t="s">
        <v>130</v>
      </c>
      <c r="E748" s="11" t="s">
        <v>25</v>
      </c>
      <c r="F748" s="12">
        <v>46190</v>
      </c>
      <c r="G748" s="11" t="s">
        <v>143</v>
      </c>
      <c r="H748">
        <v>1</v>
      </c>
      <c r="I748" s="11" t="s">
        <v>2455</v>
      </c>
      <c r="M748" s="11" t="s">
        <v>39</v>
      </c>
      <c r="N748" s="11" t="s">
        <v>2456</v>
      </c>
      <c r="O748" s="11" t="s">
        <v>2457</v>
      </c>
      <c r="P748" s="11" t="s">
        <v>2455</v>
      </c>
      <c r="Q748" s="11" t="s">
        <v>135</v>
      </c>
      <c r="U748" s="11" t="s">
        <v>148</v>
      </c>
      <c r="V748" s="11" t="s">
        <v>137</v>
      </c>
      <c r="W748" s="13">
        <v>46302.314618055556</v>
      </c>
    </row>
    <row r="749" spans="1:23">
      <c r="A749">
        <v>271118</v>
      </c>
      <c r="B749">
        <v>9964</v>
      </c>
      <c r="C749" s="11" t="s">
        <v>129</v>
      </c>
      <c r="D749" s="11" t="s">
        <v>130</v>
      </c>
      <c r="E749" s="11" t="s">
        <v>25</v>
      </c>
      <c r="F749" s="12">
        <v>46190</v>
      </c>
      <c r="G749" s="11" t="s">
        <v>164</v>
      </c>
      <c r="H749">
        <v>1</v>
      </c>
      <c r="I749" s="11" t="s">
        <v>301</v>
      </c>
      <c r="M749" s="11" t="s">
        <v>62</v>
      </c>
      <c r="N749" s="11" t="s">
        <v>2458</v>
      </c>
      <c r="O749" s="11" t="s">
        <v>1483</v>
      </c>
      <c r="P749" s="11" t="s">
        <v>301</v>
      </c>
      <c r="Q749" s="11" t="s">
        <v>135</v>
      </c>
      <c r="U749" s="11" t="s">
        <v>168</v>
      </c>
      <c r="V749" s="11" t="s">
        <v>137</v>
      </c>
      <c r="W749" s="13">
        <v>46302.314618055556</v>
      </c>
    </row>
    <row r="750" spans="1:23">
      <c r="A750">
        <v>271119</v>
      </c>
      <c r="B750">
        <v>9965</v>
      </c>
      <c r="C750" s="11" t="s">
        <v>129</v>
      </c>
      <c r="D750" s="11" t="s">
        <v>130</v>
      </c>
      <c r="E750" s="11" t="s">
        <v>25</v>
      </c>
      <c r="F750" s="12">
        <v>46190</v>
      </c>
      <c r="G750" s="11" t="s">
        <v>143</v>
      </c>
      <c r="H750">
        <v>1</v>
      </c>
      <c r="I750" s="11" t="s">
        <v>2094</v>
      </c>
      <c r="M750" s="11" t="s">
        <v>39</v>
      </c>
      <c r="N750" s="11" t="s">
        <v>2459</v>
      </c>
      <c r="O750" s="11" t="s">
        <v>2460</v>
      </c>
      <c r="P750" s="11" t="s">
        <v>2094</v>
      </c>
      <c r="Q750" s="11" t="s">
        <v>135</v>
      </c>
      <c r="U750" s="11" t="s">
        <v>148</v>
      </c>
      <c r="V750" s="11" t="s">
        <v>137</v>
      </c>
      <c r="W750" s="13">
        <v>46302.314618055556</v>
      </c>
    </row>
    <row r="751" spans="1:23">
      <c r="A751">
        <v>271120</v>
      </c>
      <c r="B751">
        <v>9966</v>
      </c>
      <c r="C751" s="11" t="s">
        <v>129</v>
      </c>
      <c r="D751" s="11" t="s">
        <v>130</v>
      </c>
      <c r="E751" s="11" t="s">
        <v>25</v>
      </c>
      <c r="F751" s="12">
        <v>46190</v>
      </c>
      <c r="G751" s="11" t="s">
        <v>131</v>
      </c>
      <c r="H751">
        <v>1</v>
      </c>
      <c r="I751" s="11" t="s">
        <v>2461</v>
      </c>
      <c r="M751" s="11" t="s">
        <v>87</v>
      </c>
      <c r="N751" s="11" t="s">
        <v>2462</v>
      </c>
      <c r="O751" s="11" t="s">
        <v>2463</v>
      </c>
      <c r="P751" s="11" t="s">
        <v>2461</v>
      </c>
      <c r="Q751" s="11" t="s">
        <v>135</v>
      </c>
      <c r="U751" s="11" t="s">
        <v>136</v>
      </c>
      <c r="V751" s="11" t="s">
        <v>137</v>
      </c>
      <c r="W751" s="13">
        <v>46302.314618055556</v>
      </c>
    </row>
    <row r="752" spans="1:23">
      <c r="A752">
        <v>271121</v>
      </c>
      <c r="B752">
        <v>9967</v>
      </c>
      <c r="C752" s="11" t="s">
        <v>129</v>
      </c>
      <c r="D752" s="11" t="s">
        <v>130</v>
      </c>
      <c r="E752" s="11" t="s">
        <v>25</v>
      </c>
      <c r="F752" s="12">
        <v>46190</v>
      </c>
      <c r="G752" s="11" t="s">
        <v>174</v>
      </c>
      <c r="H752">
        <v>1</v>
      </c>
      <c r="I752" s="11" t="s">
        <v>2464</v>
      </c>
      <c r="M752" s="11" t="s">
        <v>92</v>
      </c>
      <c r="N752" s="11" t="s">
        <v>2465</v>
      </c>
      <c r="O752" s="11" t="s">
        <v>2466</v>
      </c>
      <c r="P752" s="11" t="s">
        <v>2464</v>
      </c>
      <c r="Q752" s="11" t="s">
        <v>135</v>
      </c>
      <c r="U752" s="11" t="s">
        <v>178</v>
      </c>
      <c r="V752" s="11" t="s">
        <v>137</v>
      </c>
      <c r="W752" s="13">
        <v>46302.314618055556</v>
      </c>
    </row>
    <row r="753" spans="1:23">
      <c r="A753">
        <v>271122</v>
      </c>
      <c r="B753">
        <v>9968</v>
      </c>
      <c r="C753" s="11" t="s">
        <v>129</v>
      </c>
      <c r="D753" s="11" t="s">
        <v>130</v>
      </c>
      <c r="E753" s="11" t="s">
        <v>25</v>
      </c>
      <c r="F753" s="12">
        <v>46190</v>
      </c>
      <c r="G753" s="11" t="s">
        <v>149</v>
      </c>
      <c r="H753">
        <v>1</v>
      </c>
      <c r="I753" s="11" t="s">
        <v>2467</v>
      </c>
      <c r="M753" s="11" t="s">
        <v>77</v>
      </c>
      <c r="N753" s="11" t="s">
        <v>2468</v>
      </c>
      <c r="O753" s="11" t="s">
        <v>2469</v>
      </c>
      <c r="P753" s="11" t="s">
        <v>2467</v>
      </c>
      <c r="Q753" s="11" t="s">
        <v>135</v>
      </c>
      <c r="U753" s="11" t="s">
        <v>153</v>
      </c>
      <c r="V753" s="11" t="s">
        <v>137</v>
      </c>
      <c r="W753" s="13">
        <v>46302.314618055556</v>
      </c>
    </row>
    <row r="754" spans="1:23">
      <c r="A754">
        <v>271123</v>
      </c>
      <c r="B754">
        <v>9969</v>
      </c>
      <c r="C754" s="11" t="s">
        <v>129</v>
      </c>
      <c r="D754" s="11" t="s">
        <v>130</v>
      </c>
      <c r="E754" s="11" t="s">
        <v>25</v>
      </c>
      <c r="F754" s="12">
        <v>46190</v>
      </c>
      <c r="G754" s="11" t="s">
        <v>154</v>
      </c>
      <c r="H754">
        <v>1</v>
      </c>
      <c r="I754" s="11" t="s">
        <v>2470</v>
      </c>
      <c r="M754" s="11" t="s">
        <v>79</v>
      </c>
      <c r="N754" s="11" t="s">
        <v>2471</v>
      </c>
      <c r="O754" s="11" t="s">
        <v>2472</v>
      </c>
      <c r="P754" s="11" t="s">
        <v>2470</v>
      </c>
      <c r="Q754" s="11" t="s">
        <v>135</v>
      </c>
      <c r="U754" s="11" t="s">
        <v>158</v>
      </c>
      <c r="V754" s="11" t="s">
        <v>137</v>
      </c>
      <c r="W754" s="13">
        <v>46302.314618055556</v>
      </c>
    </row>
    <row r="755" spans="1:23">
      <c r="A755">
        <v>271124</v>
      </c>
      <c r="B755">
        <v>9970</v>
      </c>
      <c r="C755" s="11" t="s">
        <v>129</v>
      </c>
      <c r="D755" s="11" t="s">
        <v>130</v>
      </c>
      <c r="E755" s="11" t="s">
        <v>25</v>
      </c>
      <c r="F755" s="12">
        <v>46190</v>
      </c>
      <c r="G755" s="11" t="s">
        <v>523</v>
      </c>
      <c r="H755">
        <v>1</v>
      </c>
      <c r="I755" s="11" t="s">
        <v>2473</v>
      </c>
      <c r="M755" s="11" t="s">
        <v>80</v>
      </c>
      <c r="N755" s="11" t="s">
        <v>2474</v>
      </c>
      <c r="O755" s="11" t="s">
        <v>2475</v>
      </c>
      <c r="P755" s="11" t="s">
        <v>2473</v>
      </c>
      <c r="Q755" s="11" t="s">
        <v>135</v>
      </c>
      <c r="U755" s="11" t="s">
        <v>527</v>
      </c>
      <c r="V755" s="11" t="s">
        <v>137</v>
      </c>
      <c r="W755" s="13">
        <v>46302.314618055556</v>
      </c>
    </row>
    <row r="756" spans="1:23">
      <c r="A756">
        <v>271125</v>
      </c>
      <c r="B756">
        <v>9971</v>
      </c>
      <c r="C756" s="11" t="s">
        <v>129</v>
      </c>
      <c r="D756" s="11" t="s">
        <v>130</v>
      </c>
      <c r="E756" s="11" t="s">
        <v>25</v>
      </c>
      <c r="F756" s="12">
        <v>46190</v>
      </c>
      <c r="G756" s="11" t="s">
        <v>528</v>
      </c>
      <c r="H756">
        <v>1</v>
      </c>
      <c r="I756" s="11" t="s">
        <v>2476</v>
      </c>
      <c r="M756" s="11" t="s">
        <v>82</v>
      </c>
      <c r="N756" s="11" t="s">
        <v>2477</v>
      </c>
      <c r="O756" s="11" t="s">
        <v>2478</v>
      </c>
      <c r="P756" s="11" t="s">
        <v>2476</v>
      </c>
      <c r="Q756" s="11" t="s">
        <v>135</v>
      </c>
      <c r="U756" s="11" t="s">
        <v>532</v>
      </c>
      <c r="V756" s="11" t="s">
        <v>137</v>
      </c>
      <c r="W756" s="13">
        <v>46302.314618055556</v>
      </c>
    </row>
    <row r="757" spans="1:23">
      <c r="A757">
        <v>271126</v>
      </c>
      <c r="B757">
        <v>9972</v>
      </c>
      <c r="C757" s="11" t="s">
        <v>129</v>
      </c>
      <c r="D757" s="11" t="s">
        <v>130</v>
      </c>
      <c r="E757" s="11" t="s">
        <v>25</v>
      </c>
      <c r="F757" s="12">
        <v>46190</v>
      </c>
      <c r="G757" s="11" t="s">
        <v>179</v>
      </c>
      <c r="H757">
        <v>1</v>
      </c>
      <c r="I757" s="11" t="s">
        <v>2479</v>
      </c>
      <c r="M757" s="11" t="s">
        <v>83</v>
      </c>
      <c r="N757" s="11" t="s">
        <v>2480</v>
      </c>
      <c r="O757" s="11" t="s">
        <v>2481</v>
      </c>
      <c r="P757" s="11" t="s">
        <v>2479</v>
      </c>
      <c r="Q757" s="11" t="s">
        <v>135</v>
      </c>
      <c r="U757" s="11" t="s">
        <v>183</v>
      </c>
      <c r="V757" s="11" t="s">
        <v>137</v>
      </c>
      <c r="W757" s="13">
        <v>46302.314618055556</v>
      </c>
    </row>
    <row r="758" spans="1:23">
      <c r="A758">
        <v>271127</v>
      </c>
      <c r="B758">
        <v>9973</v>
      </c>
      <c r="C758" s="11" t="s">
        <v>129</v>
      </c>
      <c r="D758" s="11" t="s">
        <v>130</v>
      </c>
      <c r="E758" s="11" t="s">
        <v>25</v>
      </c>
      <c r="F758" s="12">
        <v>46190</v>
      </c>
      <c r="G758" s="11" t="s">
        <v>2266</v>
      </c>
      <c r="H758">
        <v>1</v>
      </c>
      <c r="I758" s="11" t="s">
        <v>2482</v>
      </c>
      <c r="M758" s="11" t="s">
        <v>91</v>
      </c>
      <c r="N758" s="11" t="s">
        <v>2483</v>
      </c>
      <c r="O758" s="11" t="s">
        <v>2484</v>
      </c>
      <c r="P758" s="11" t="s">
        <v>2482</v>
      </c>
      <c r="Q758" s="11" t="s">
        <v>135</v>
      </c>
      <c r="U758" s="11" t="s">
        <v>2270</v>
      </c>
      <c r="V758" s="11" t="s">
        <v>137</v>
      </c>
      <c r="W758" s="13">
        <v>46302.314618055556</v>
      </c>
    </row>
    <row r="759" spans="1:23">
      <c r="A759">
        <v>271128</v>
      </c>
      <c r="B759">
        <v>9974</v>
      </c>
      <c r="C759" s="11" t="s">
        <v>129</v>
      </c>
      <c r="D759" s="11" t="s">
        <v>130</v>
      </c>
      <c r="E759" s="11" t="s">
        <v>25</v>
      </c>
      <c r="F759" s="12">
        <v>46190</v>
      </c>
      <c r="G759" s="11" t="s">
        <v>164</v>
      </c>
      <c r="H759">
        <v>1</v>
      </c>
      <c r="I759" s="11" t="s">
        <v>2485</v>
      </c>
      <c r="M759" s="11" t="s">
        <v>62</v>
      </c>
      <c r="N759" s="11" t="s">
        <v>2486</v>
      </c>
      <c r="O759" s="11" t="s">
        <v>2487</v>
      </c>
      <c r="P759" s="11" t="s">
        <v>2485</v>
      </c>
      <c r="Q759" s="11" t="s">
        <v>135</v>
      </c>
      <c r="U759" s="11" t="s">
        <v>168</v>
      </c>
      <c r="V759" s="11" t="s">
        <v>137</v>
      </c>
      <c r="W759" s="13">
        <v>46302.314618055556</v>
      </c>
    </row>
    <row r="760" spans="1:23">
      <c r="A760">
        <v>271129</v>
      </c>
      <c r="B760">
        <v>9975</v>
      </c>
      <c r="C760" s="11" t="s">
        <v>129</v>
      </c>
      <c r="D760" s="11" t="s">
        <v>130</v>
      </c>
      <c r="E760" s="11" t="s">
        <v>25</v>
      </c>
      <c r="F760" s="12">
        <v>46190</v>
      </c>
      <c r="G760" s="11" t="s">
        <v>131</v>
      </c>
      <c r="H760">
        <v>1</v>
      </c>
      <c r="I760" s="11" t="s">
        <v>2488</v>
      </c>
      <c r="M760" s="11" t="s">
        <v>87</v>
      </c>
      <c r="N760" s="11" t="s">
        <v>907</v>
      </c>
      <c r="O760" s="11" t="s">
        <v>2489</v>
      </c>
      <c r="P760" s="11" t="s">
        <v>2488</v>
      </c>
      <c r="Q760" s="11" t="s">
        <v>135</v>
      </c>
      <c r="U760" s="11" t="s">
        <v>136</v>
      </c>
      <c r="V760" s="11" t="s">
        <v>137</v>
      </c>
      <c r="W760" s="13">
        <v>46302.314618055556</v>
      </c>
    </row>
    <row r="761" spans="1:23">
      <c r="A761">
        <v>271130</v>
      </c>
      <c r="B761">
        <v>9976</v>
      </c>
      <c r="C761" s="11" t="s">
        <v>129</v>
      </c>
      <c r="D761" s="11" t="s">
        <v>130</v>
      </c>
      <c r="E761" s="11" t="s">
        <v>25</v>
      </c>
      <c r="F761" s="12">
        <v>46190</v>
      </c>
      <c r="G761" s="11" t="s">
        <v>174</v>
      </c>
      <c r="H761">
        <v>1</v>
      </c>
      <c r="I761" s="11" t="s">
        <v>1752</v>
      </c>
      <c r="M761" s="11" t="s">
        <v>92</v>
      </c>
      <c r="N761" s="11" t="s">
        <v>2026</v>
      </c>
      <c r="O761" s="11" t="s">
        <v>2490</v>
      </c>
      <c r="P761" s="11" t="s">
        <v>1752</v>
      </c>
      <c r="Q761" s="11" t="s">
        <v>135</v>
      </c>
      <c r="U761" s="11" t="s">
        <v>178</v>
      </c>
      <c r="V761" s="11" t="s">
        <v>137</v>
      </c>
      <c r="W761" s="13">
        <v>46302.314618055556</v>
      </c>
    </row>
    <row r="762" spans="1:23">
      <c r="A762">
        <v>271131</v>
      </c>
      <c r="B762">
        <v>9977</v>
      </c>
      <c r="C762" s="11" t="s">
        <v>129</v>
      </c>
      <c r="D762" s="11" t="s">
        <v>130</v>
      </c>
      <c r="E762" s="11" t="s">
        <v>25</v>
      </c>
      <c r="F762" s="12">
        <v>46190</v>
      </c>
      <c r="G762" s="11" t="s">
        <v>217</v>
      </c>
      <c r="H762">
        <v>1</v>
      </c>
      <c r="I762" s="11" t="s">
        <v>2491</v>
      </c>
      <c r="M762" s="11" t="s">
        <v>86</v>
      </c>
      <c r="N762" s="11" t="s">
        <v>1789</v>
      </c>
      <c r="O762" s="11" t="s">
        <v>2492</v>
      </c>
      <c r="P762" s="11" t="s">
        <v>2491</v>
      </c>
      <c r="Q762" s="11" t="s">
        <v>135</v>
      </c>
      <c r="U762" s="11" t="s">
        <v>221</v>
      </c>
      <c r="V762" s="11" t="s">
        <v>137</v>
      </c>
      <c r="W762" s="13">
        <v>46302.314618055556</v>
      </c>
    </row>
    <row r="763" spans="1:23">
      <c r="A763">
        <v>271132</v>
      </c>
      <c r="B763">
        <v>9955</v>
      </c>
      <c r="C763" s="11" t="s">
        <v>129</v>
      </c>
      <c r="D763" s="11" t="s">
        <v>130</v>
      </c>
      <c r="E763" s="11" t="s">
        <v>25</v>
      </c>
      <c r="F763" s="12">
        <v>46190</v>
      </c>
      <c r="G763" s="11" t="s">
        <v>401</v>
      </c>
      <c r="H763">
        <v>1</v>
      </c>
      <c r="I763" s="11" t="s">
        <v>2434</v>
      </c>
      <c r="M763" s="11" t="s">
        <v>90</v>
      </c>
      <c r="N763" s="11" t="s">
        <v>978</v>
      </c>
      <c r="O763" s="11" t="s">
        <v>2493</v>
      </c>
      <c r="P763" s="11" t="s">
        <v>2434</v>
      </c>
      <c r="Q763" s="11" t="s">
        <v>135</v>
      </c>
      <c r="R763">
        <v>9954</v>
      </c>
      <c r="U763" s="11" t="s">
        <v>404</v>
      </c>
      <c r="V763" s="11" t="s">
        <v>137</v>
      </c>
      <c r="W763" s="13">
        <v>46302.314618055556</v>
      </c>
    </row>
    <row r="764" spans="1:23">
      <c r="A764">
        <v>271696</v>
      </c>
      <c r="B764">
        <v>10734</v>
      </c>
      <c r="C764" s="11" t="s">
        <v>129</v>
      </c>
      <c r="D764" s="11" t="s">
        <v>130</v>
      </c>
      <c r="E764" s="11" t="s">
        <v>25</v>
      </c>
      <c r="F764" s="12">
        <v>46192</v>
      </c>
      <c r="G764" s="11" t="s">
        <v>226</v>
      </c>
      <c r="H764">
        <v>1</v>
      </c>
      <c r="I764" s="11" t="s">
        <v>2494</v>
      </c>
      <c r="M764" s="11" t="s">
        <v>87</v>
      </c>
      <c r="N764" s="11" t="s">
        <v>2378</v>
      </c>
      <c r="O764" s="11" t="s">
        <v>2495</v>
      </c>
      <c r="P764" s="11" t="s">
        <v>2494</v>
      </c>
      <c r="Q764" s="11" t="s">
        <v>135</v>
      </c>
      <c r="U764" s="11" t="s">
        <v>231</v>
      </c>
      <c r="V764" s="11" t="s">
        <v>137</v>
      </c>
      <c r="W764" s="13">
        <v>46302.314618055556</v>
      </c>
    </row>
    <row r="765" spans="1:23">
      <c r="A765">
        <v>271697</v>
      </c>
      <c r="B765">
        <v>10735</v>
      </c>
      <c r="C765" s="11" t="s">
        <v>129</v>
      </c>
      <c r="D765" s="11" t="s">
        <v>130</v>
      </c>
      <c r="E765" s="11" t="s">
        <v>25</v>
      </c>
      <c r="F765" s="12">
        <v>46192</v>
      </c>
      <c r="G765" s="11" t="s">
        <v>439</v>
      </c>
      <c r="H765">
        <v>4</v>
      </c>
      <c r="I765" s="11" t="s">
        <v>2496</v>
      </c>
      <c r="M765" s="11" t="s">
        <v>73</v>
      </c>
      <c r="N765" s="11" t="s">
        <v>2497</v>
      </c>
      <c r="O765" s="11" t="s">
        <v>2498</v>
      </c>
      <c r="P765" s="11" t="s">
        <v>170</v>
      </c>
      <c r="Q765" s="11" t="s">
        <v>1188</v>
      </c>
      <c r="U765" s="11" t="s">
        <v>443</v>
      </c>
      <c r="V765" s="11" t="s">
        <v>137</v>
      </c>
      <c r="W765" s="13">
        <v>46302.314618055556</v>
      </c>
    </row>
    <row r="766" spans="1:23">
      <c r="A766">
        <v>271698</v>
      </c>
      <c r="B766">
        <v>10737</v>
      </c>
      <c r="C766" s="11" t="s">
        <v>129</v>
      </c>
      <c r="D766" s="11" t="s">
        <v>130</v>
      </c>
      <c r="E766" s="11" t="s">
        <v>25</v>
      </c>
      <c r="F766" s="12">
        <v>46192</v>
      </c>
      <c r="G766" s="11" t="s">
        <v>439</v>
      </c>
      <c r="H766">
        <v>1</v>
      </c>
      <c r="I766" s="11" t="s">
        <v>1746</v>
      </c>
      <c r="M766" s="11" t="s">
        <v>73</v>
      </c>
      <c r="N766" s="11" t="s">
        <v>2499</v>
      </c>
      <c r="O766" s="11" t="s">
        <v>2500</v>
      </c>
      <c r="P766" s="11" t="s">
        <v>1746</v>
      </c>
      <c r="Q766" s="11" t="s">
        <v>135</v>
      </c>
      <c r="U766" s="11" t="s">
        <v>443</v>
      </c>
      <c r="V766" s="11" t="s">
        <v>137</v>
      </c>
      <c r="W766" s="13">
        <v>46302.314618055556</v>
      </c>
    </row>
    <row r="767" spans="1:23">
      <c r="A767">
        <v>271699</v>
      </c>
      <c r="B767">
        <v>10738</v>
      </c>
      <c r="C767" s="11" t="s">
        <v>129</v>
      </c>
      <c r="D767" s="11" t="s">
        <v>130</v>
      </c>
      <c r="E767" s="11" t="s">
        <v>25</v>
      </c>
      <c r="F767" s="12">
        <v>46192</v>
      </c>
      <c r="G767" s="11" t="s">
        <v>226</v>
      </c>
      <c r="H767">
        <v>1</v>
      </c>
      <c r="I767" s="11" t="s">
        <v>2501</v>
      </c>
      <c r="M767" s="11" t="s">
        <v>87</v>
      </c>
      <c r="N767" s="11" t="s">
        <v>2502</v>
      </c>
      <c r="O767" s="11" t="s">
        <v>2503</v>
      </c>
      <c r="P767" s="11" t="s">
        <v>2501</v>
      </c>
      <c r="Q767" s="11" t="s">
        <v>135</v>
      </c>
      <c r="U767" s="11" t="s">
        <v>231</v>
      </c>
      <c r="V767" s="11" t="s">
        <v>137</v>
      </c>
      <c r="W767" s="13">
        <v>46302.314618055556</v>
      </c>
    </row>
    <row r="768" spans="1:23">
      <c r="A768">
        <v>271700</v>
      </c>
      <c r="B768">
        <v>10739</v>
      </c>
      <c r="C768" s="11" t="s">
        <v>129</v>
      </c>
      <c r="D768" s="11" t="s">
        <v>130</v>
      </c>
      <c r="E768" s="11" t="s">
        <v>25</v>
      </c>
      <c r="F768" s="12">
        <v>46192</v>
      </c>
      <c r="G768" s="11" t="s">
        <v>439</v>
      </c>
      <c r="H768">
        <v>2</v>
      </c>
      <c r="I768" s="11" t="s">
        <v>2504</v>
      </c>
      <c r="M768" s="11" t="s">
        <v>73</v>
      </c>
      <c r="N768" s="11" t="s">
        <v>2505</v>
      </c>
      <c r="O768" s="11" t="s">
        <v>2506</v>
      </c>
      <c r="P768" s="11" t="s">
        <v>2507</v>
      </c>
      <c r="Q768" s="11" t="s">
        <v>135</v>
      </c>
      <c r="U768" s="11" t="s">
        <v>443</v>
      </c>
      <c r="V768" s="11" t="s">
        <v>137</v>
      </c>
      <c r="W768" s="13">
        <v>46302.314618055556</v>
      </c>
    </row>
    <row r="769" spans="1:23">
      <c r="A769">
        <v>271701</v>
      </c>
      <c r="B769">
        <v>10740</v>
      </c>
      <c r="C769" s="11" t="s">
        <v>129</v>
      </c>
      <c r="D769" s="11" t="s">
        <v>130</v>
      </c>
      <c r="E769" s="11" t="s">
        <v>25</v>
      </c>
      <c r="F769" s="12">
        <v>46192</v>
      </c>
      <c r="G769" s="11" t="s">
        <v>439</v>
      </c>
      <c r="H769">
        <v>1</v>
      </c>
      <c r="I769" s="11" t="s">
        <v>2508</v>
      </c>
      <c r="M769" s="11" t="s">
        <v>73</v>
      </c>
      <c r="N769" s="11" t="s">
        <v>2509</v>
      </c>
      <c r="O769" s="11" t="s">
        <v>2510</v>
      </c>
      <c r="P769" s="11" t="s">
        <v>2508</v>
      </c>
      <c r="Q769" s="11" t="s">
        <v>135</v>
      </c>
      <c r="U769" s="11" t="s">
        <v>443</v>
      </c>
      <c r="V769" s="11" t="s">
        <v>137</v>
      </c>
      <c r="W769" s="13">
        <v>46302.314618055556</v>
      </c>
    </row>
    <row r="770" spans="1:23">
      <c r="A770">
        <v>271702</v>
      </c>
      <c r="B770">
        <v>10741</v>
      </c>
      <c r="C770" s="11" t="s">
        <v>129</v>
      </c>
      <c r="D770" s="11" t="s">
        <v>130</v>
      </c>
      <c r="E770" s="11" t="s">
        <v>25</v>
      </c>
      <c r="F770" s="12">
        <v>46192</v>
      </c>
      <c r="G770" s="11" t="s">
        <v>439</v>
      </c>
      <c r="H770">
        <v>1</v>
      </c>
      <c r="I770" s="11" t="s">
        <v>2511</v>
      </c>
      <c r="M770" s="11" t="s">
        <v>73</v>
      </c>
      <c r="N770" s="11" t="s">
        <v>2512</v>
      </c>
      <c r="O770" s="11" t="s">
        <v>2513</v>
      </c>
      <c r="P770" s="11" t="s">
        <v>2511</v>
      </c>
      <c r="Q770" s="11" t="s">
        <v>135</v>
      </c>
      <c r="U770" s="11" t="s">
        <v>443</v>
      </c>
      <c r="V770" s="11" t="s">
        <v>137</v>
      </c>
      <c r="W770" s="13">
        <v>46302.314618055556</v>
      </c>
    </row>
    <row r="771" spans="1:23">
      <c r="A771">
        <v>271703</v>
      </c>
      <c r="B771">
        <v>10742</v>
      </c>
      <c r="C771" s="11" t="s">
        <v>129</v>
      </c>
      <c r="D771" s="11" t="s">
        <v>130</v>
      </c>
      <c r="E771" s="11" t="s">
        <v>25</v>
      </c>
      <c r="F771" s="12">
        <v>46192</v>
      </c>
      <c r="G771" s="11" t="s">
        <v>226</v>
      </c>
      <c r="H771">
        <v>1</v>
      </c>
      <c r="I771" s="11" t="s">
        <v>2514</v>
      </c>
      <c r="M771" s="11" t="s">
        <v>87</v>
      </c>
      <c r="N771" s="11" t="s">
        <v>2515</v>
      </c>
      <c r="O771" s="11" t="s">
        <v>2516</v>
      </c>
      <c r="P771" s="11" t="s">
        <v>2514</v>
      </c>
      <c r="Q771" s="11" t="s">
        <v>135</v>
      </c>
      <c r="U771" s="11" t="s">
        <v>231</v>
      </c>
      <c r="V771" s="11" t="s">
        <v>137</v>
      </c>
      <c r="W771" s="13">
        <v>46302.314618055556</v>
      </c>
    </row>
    <row r="772" spans="1:23">
      <c r="A772">
        <v>271704</v>
      </c>
      <c r="B772">
        <v>10743</v>
      </c>
      <c r="C772" s="11" t="s">
        <v>129</v>
      </c>
      <c r="D772" s="11" t="s">
        <v>130</v>
      </c>
      <c r="E772" s="11" t="s">
        <v>25</v>
      </c>
      <c r="F772" s="12">
        <v>46192</v>
      </c>
      <c r="G772" s="11" t="s">
        <v>263</v>
      </c>
      <c r="H772">
        <v>1</v>
      </c>
      <c r="I772" s="11" t="s">
        <v>2517</v>
      </c>
      <c r="M772" s="11" t="s">
        <v>92</v>
      </c>
      <c r="N772" s="11" t="s">
        <v>2518</v>
      </c>
      <c r="O772" s="11" t="s">
        <v>2519</v>
      </c>
      <c r="P772" s="11" t="s">
        <v>2517</v>
      </c>
      <c r="Q772" s="11" t="s">
        <v>135</v>
      </c>
      <c r="U772" s="11" t="s">
        <v>267</v>
      </c>
      <c r="V772" s="11" t="s">
        <v>137</v>
      </c>
      <c r="W772" s="13">
        <v>46302.314618055556</v>
      </c>
    </row>
    <row r="773" spans="1:23">
      <c r="A773">
        <v>271705</v>
      </c>
      <c r="B773">
        <v>10744</v>
      </c>
      <c r="C773" s="11" t="s">
        <v>129</v>
      </c>
      <c r="D773" s="11" t="s">
        <v>130</v>
      </c>
      <c r="E773" s="11" t="s">
        <v>25</v>
      </c>
      <c r="F773" s="12">
        <v>46192</v>
      </c>
      <c r="G773" s="11" t="s">
        <v>1052</v>
      </c>
      <c r="H773">
        <v>1</v>
      </c>
      <c r="I773" s="11" t="s">
        <v>2520</v>
      </c>
      <c r="M773" s="11" t="s">
        <v>84</v>
      </c>
      <c r="N773" s="11" t="s">
        <v>2521</v>
      </c>
      <c r="O773" s="11" t="s">
        <v>2522</v>
      </c>
      <c r="P773" s="11" t="s">
        <v>2520</v>
      </c>
      <c r="Q773" s="11" t="s">
        <v>135</v>
      </c>
      <c r="U773" s="11" t="s">
        <v>1056</v>
      </c>
      <c r="V773" s="11" t="s">
        <v>137</v>
      </c>
      <c r="W773" s="13">
        <v>46302.314618055556</v>
      </c>
    </row>
    <row r="774" spans="1:23">
      <c r="A774">
        <v>271706</v>
      </c>
      <c r="B774">
        <v>10745</v>
      </c>
      <c r="C774" s="11" t="s">
        <v>129</v>
      </c>
      <c r="D774" s="11" t="s">
        <v>130</v>
      </c>
      <c r="E774" s="11" t="s">
        <v>25</v>
      </c>
      <c r="F774" s="12">
        <v>46192</v>
      </c>
      <c r="G774" s="11" t="s">
        <v>439</v>
      </c>
      <c r="H774">
        <v>1</v>
      </c>
      <c r="I774" s="11" t="s">
        <v>2523</v>
      </c>
      <c r="M774" s="11" t="s">
        <v>73</v>
      </c>
      <c r="N774" s="11" t="s">
        <v>2524</v>
      </c>
      <c r="O774" s="11" t="s">
        <v>2525</v>
      </c>
      <c r="P774" s="11" t="s">
        <v>2523</v>
      </c>
      <c r="Q774" s="11" t="s">
        <v>135</v>
      </c>
      <c r="U774" s="11" t="s">
        <v>443</v>
      </c>
      <c r="V774" s="11" t="s">
        <v>137</v>
      </c>
      <c r="W774" s="13">
        <v>46302.314618055556</v>
      </c>
    </row>
    <row r="775" spans="1:23">
      <c r="A775">
        <v>271707</v>
      </c>
      <c r="B775">
        <v>10746</v>
      </c>
      <c r="C775" s="11" t="s">
        <v>129</v>
      </c>
      <c r="D775" s="11" t="s">
        <v>130</v>
      </c>
      <c r="E775" s="11" t="s">
        <v>25</v>
      </c>
      <c r="F775" s="12">
        <v>46192</v>
      </c>
      <c r="G775" s="11" t="s">
        <v>439</v>
      </c>
      <c r="H775">
        <v>4</v>
      </c>
      <c r="I775" s="11" t="s">
        <v>2526</v>
      </c>
      <c r="M775" s="11" t="s">
        <v>73</v>
      </c>
      <c r="N775" s="11" t="s">
        <v>2527</v>
      </c>
      <c r="O775" s="11" t="s">
        <v>2528</v>
      </c>
      <c r="P775" s="11" t="s">
        <v>2529</v>
      </c>
      <c r="Q775" s="11" t="s">
        <v>135</v>
      </c>
      <c r="U775" s="11" t="s">
        <v>443</v>
      </c>
      <c r="V775" s="11" t="s">
        <v>137</v>
      </c>
      <c r="W775" s="13">
        <v>46302.314618055556</v>
      </c>
    </row>
    <row r="776" spans="1:23">
      <c r="A776">
        <v>271708</v>
      </c>
      <c r="B776">
        <v>10747</v>
      </c>
      <c r="C776" s="11" t="s">
        <v>129</v>
      </c>
      <c r="D776" s="11" t="s">
        <v>130</v>
      </c>
      <c r="E776" s="11" t="s">
        <v>25</v>
      </c>
      <c r="F776" s="12">
        <v>46192</v>
      </c>
      <c r="G776" s="11" t="s">
        <v>226</v>
      </c>
      <c r="H776">
        <v>1</v>
      </c>
      <c r="I776" s="11" t="s">
        <v>2530</v>
      </c>
      <c r="M776" s="11" t="s">
        <v>87</v>
      </c>
      <c r="N776" s="11" t="s">
        <v>2531</v>
      </c>
      <c r="O776" s="11" t="s">
        <v>2532</v>
      </c>
      <c r="P776" s="11" t="s">
        <v>2530</v>
      </c>
      <c r="Q776" s="11" t="s">
        <v>135</v>
      </c>
      <c r="U776" s="11" t="s">
        <v>231</v>
      </c>
      <c r="V776" s="11" t="s">
        <v>137</v>
      </c>
      <c r="W776" s="13">
        <v>46302.314618055556</v>
      </c>
    </row>
    <row r="777" spans="1:23">
      <c r="A777">
        <v>271709</v>
      </c>
      <c r="B777">
        <v>10748</v>
      </c>
      <c r="C777" s="11" t="s">
        <v>129</v>
      </c>
      <c r="D777" s="11" t="s">
        <v>130</v>
      </c>
      <c r="E777" s="11" t="s">
        <v>25</v>
      </c>
      <c r="F777" s="12">
        <v>46192</v>
      </c>
      <c r="G777" s="11" t="s">
        <v>439</v>
      </c>
      <c r="H777">
        <v>1</v>
      </c>
      <c r="I777" s="11" t="s">
        <v>2533</v>
      </c>
      <c r="M777" s="11" t="s">
        <v>73</v>
      </c>
      <c r="N777" s="11" t="s">
        <v>2534</v>
      </c>
      <c r="O777" s="11" t="s">
        <v>1182</v>
      </c>
      <c r="P777" s="11" t="s">
        <v>2533</v>
      </c>
      <c r="Q777" s="11" t="s">
        <v>135</v>
      </c>
      <c r="U777" s="11" t="s">
        <v>443</v>
      </c>
      <c r="V777" s="11" t="s">
        <v>137</v>
      </c>
      <c r="W777" s="13">
        <v>46302.314618055556</v>
      </c>
    </row>
    <row r="778" spans="1:23">
      <c r="A778">
        <v>271710</v>
      </c>
      <c r="B778">
        <v>10749</v>
      </c>
      <c r="C778" s="11" t="s">
        <v>129</v>
      </c>
      <c r="D778" s="11" t="s">
        <v>130</v>
      </c>
      <c r="E778" s="11" t="s">
        <v>25</v>
      </c>
      <c r="F778" s="12">
        <v>46192</v>
      </c>
      <c r="G778" s="11" t="s">
        <v>439</v>
      </c>
      <c r="H778">
        <v>1</v>
      </c>
      <c r="I778" s="11" t="s">
        <v>2535</v>
      </c>
      <c r="M778" s="11" t="s">
        <v>73</v>
      </c>
      <c r="N778" s="11" t="s">
        <v>2536</v>
      </c>
      <c r="O778" s="11" t="s">
        <v>2537</v>
      </c>
      <c r="P778" s="11" t="s">
        <v>2535</v>
      </c>
      <c r="Q778" s="11" t="s">
        <v>135</v>
      </c>
      <c r="U778" s="11" t="s">
        <v>443</v>
      </c>
      <c r="V778" s="11" t="s">
        <v>137</v>
      </c>
      <c r="W778" s="13">
        <v>46302.314618055556</v>
      </c>
    </row>
    <row r="779" spans="1:23">
      <c r="A779">
        <v>271711</v>
      </c>
      <c r="B779">
        <v>10750</v>
      </c>
      <c r="C779" s="11" t="s">
        <v>129</v>
      </c>
      <c r="D779" s="11" t="s">
        <v>130</v>
      </c>
      <c r="E779" s="11" t="s">
        <v>25</v>
      </c>
      <c r="F779" s="12">
        <v>46192</v>
      </c>
      <c r="G779" s="11" t="s">
        <v>226</v>
      </c>
      <c r="H779">
        <v>1</v>
      </c>
      <c r="I779" s="11" t="s">
        <v>2538</v>
      </c>
      <c r="M779" s="11" t="s">
        <v>87</v>
      </c>
      <c r="N779" s="11" t="s">
        <v>2539</v>
      </c>
      <c r="O779" s="11" t="s">
        <v>2540</v>
      </c>
      <c r="P779" s="11" t="s">
        <v>2538</v>
      </c>
      <c r="Q779" s="11" t="s">
        <v>135</v>
      </c>
      <c r="U779" s="11" t="s">
        <v>231</v>
      </c>
      <c r="V779" s="11" t="s">
        <v>137</v>
      </c>
      <c r="W779" s="13">
        <v>46302.314618055556</v>
      </c>
    </row>
    <row r="780" spans="1:23">
      <c r="A780">
        <v>271712</v>
      </c>
      <c r="B780">
        <v>10736</v>
      </c>
      <c r="C780" s="11" t="s">
        <v>129</v>
      </c>
      <c r="D780" s="11" t="s">
        <v>130</v>
      </c>
      <c r="E780" s="11" t="s">
        <v>25</v>
      </c>
      <c r="F780" s="12">
        <v>46192</v>
      </c>
      <c r="G780" s="11" t="s">
        <v>308</v>
      </c>
      <c r="H780">
        <v>1</v>
      </c>
      <c r="I780" s="11" t="s">
        <v>1188</v>
      </c>
      <c r="M780" s="11" t="s">
        <v>90</v>
      </c>
      <c r="N780" s="11" t="s">
        <v>2541</v>
      </c>
      <c r="O780" s="11" t="s">
        <v>2542</v>
      </c>
      <c r="P780" s="11" t="s">
        <v>1188</v>
      </c>
      <c r="Q780" s="11" t="s">
        <v>135</v>
      </c>
      <c r="R780">
        <v>10735</v>
      </c>
      <c r="U780" s="11" t="s">
        <v>311</v>
      </c>
      <c r="V780" s="11" t="s">
        <v>137</v>
      </c>
      <c r="W780" s="13">
        <v>46302.314618055556</v>
      </c>
    </row>
    <row r="781" spans="1:23">
      <c r="A781">
        <v>272507</v>
      </c>
      <c r="B781">
        <v>10563</v>
      </c>
      <c r="C781" s="11" t="s">
        <v>129</v>
      </c>
      <c r="D781" s="11" t="s">
        <v>130</v>
      </c>
      <c r="E781" s="11" t="s">
        <v>25</v>
      </c>
      <c r="F781" s="12">
        <v>46197</v>
      </c>
      <c r="G781" s="11" t="s">
        <v>131</v>
      </c>
      <c r="H781">
        <v>1</v>
      </c>
      <c r="I781" s="11" t="s">
        <v>730</v>
      </c>
      <c r="M781" s="11" t="s">
        <v>87</v>
      </c>
      <c r="N781" s="11" t="s">
        <v>2543</v>
      </c>
      <c r="O781" s="11" t="s">
        <v>2544</v>
      </c>
      <c r="P781" s="11" t="s">
        <v>730</v>
      </c>
      <c r="Q781" s="11" t="s">
        <v>135</v>
      </c>
      <c r="U781" s="11" t="s">
        <v>136</v>
      </c>
      <c r="V781" s="11" t="s">
        <v>137</v>
      </c>
      <c r="W781" s="13">
        <v>46302.314618055556</v>
      </c>
    </row>
    <row r="782" spans="1:23">
      <c r="A782">
        <v>272508</v>
      </c>
      <c r="B782">
        <v>10564</v>
      </c>
      <c r="C782" s="11" t="s">
        <v>129</v>
      </c>
      <c r="D782" s="11" t="s">
        <v>130</v>
      </c>
      <c r="E782" s="11" t="s">
        <v>25</v>
      </c>
      <c r="F782" s="12">
        <v>46197</v>
      </c>
      <c r="G782" s="11" t="s">
        <v>143</v>
      </c>
      <c r="H782">
        <v>1</v>
      </c>
      <c r="I782" s="11" t="s">
        <v>2545</v>
      </c>
      <c r="M782" s="11" t="s">
        <v>39</v>
      </c>
      <c r="N782" s="11" t="s">
        <v>2546</v>
      </c>
      <c r="O782" s="11" t="s">
        <v>2547</v>
      </c>
      <c r="P782" s="11" t="s">
        <v>2545</v>
      </c>
      <c r="Q782" s="11" t="s">
        <v>135</v>
      </c>
      <c r="U782" s="11" t="s">
        <v>148</v>
      </c>
      <c r="V782" s="11" t="s">
        <v>137</v>
      </c>
      <c r="W782" s="13">
        <v>46302.314618055556</v>
      </c>
    </row>
    <row r="783" spans="1:23">
      <c r="A783">
        <v>272509</v>
      </c>
      <c r="B783">
        <v>10565</v>
      </c>
      <c r="C783" s="11" t="s">
        <v>129</v>
      </c>
      <c r="D783" s="11" t="s">
        <v>130</v>
      </c>
      <c r="E783" s="11" t="s">
        <v>25</v>
      </c>
      <c r="F783" s="12">
        <v>46197</v>
      </c>
      <c r="G783" s="11" t="s">
        <v>222</v>
      </c>
      <c r="H783">
        <v>1</v>
      </c>
      <c r="I783" s="11" t="s">
        <v>2548</v>
      </c>
      <c r="M783" s="11" t="s">
        <v>90</v>
      </c>
      <c r="N783" s="11" t="s">
        <v>2549</v>
      </c>
      <c r="O783" s="11" t="s">
        <v>2550</v>
      </c>
      <c r="P783" s="11" t="s">
        <v>2548</v>
      </c>
      <c r="Q783" s="11" t="s">
        <v>135</v>
      </c>
      <c r="U783" s="11" t="s">
        <v>225</v>
      </c>
      <c r="V783" s="11" t="s">
        <v>137</v>
      </c>
      <c r="W783" s="13">
        <v>46302.314618055556</v>
      </c>
    </row>
    <row r="784" spans="1:23">
      <c r="A784">
        <v>272510</v>
      </c>
      <c r="B784">
        <v>10566</v>
      </c>
      <c r="C784" s="11" t="s">
        <v>129</v>
      </c>
      <c r="D784" s="11" t="s">
        <v>130</v>
      </c>
      <c r="E784" s="11" t="s">
        <v>25</v>
      </c>
      <c r="F784" s="12">
        <v>46197</v>
      </c>
      <c r="G784" s="11" t="s">
        <v>131</v>
      </c>
      <c r="H784">
        <v>1</v>
      </c>
      <c r="I784" s="11" t="s">
        <v>1899</v>
      </c>
      <c r="M784" s="11" t="s">
        <v>87</v>
      </c>
      <c r="N784" s="11" t="s">
        <v>2551</v>
      </c>
      <c r="O784" s="11" t="s">
        <v>2552</v>
      </c>
      <c r="P784" s="11" t="s">
        <v>1899</v>
      </c>
      <c r="Q784" s="11" t="s">
        <v>135</v>
      </c>
      <c r="U784" s="11" t="s">
        <v>136</v>
      </c>
      <c r="V784" s="11" t="s">
        <v>137</v>
      </c>
      <c r="W784" s="13">
        <v>46302.314618055556</v>
      </c>
    </row>
    <row r="785" spans="1:23">
      <c r="A785">
        <v>272511</v>
      </c>
      <c r="B785">
        <v>10567</v>
      </c>
      <c r="C785" s="11" t="s">
        <v>129</v>
      </c>
      <c r="D785" s="11" t="s">
        <v>130</v>
      </c>
      <c r="E785" s="11" t="s">
        <v>25</v>
      </c>
      <c r="F785" s="12">
        <v>46197</v>
      </c>
      <c r="G785" s="11" t="s">
        <v>1848</v>
      </c>
      <c r="H785">
        <v>3</v>
      </c>
      <c r="I785" s="11" t="s">
        <v>1403</v>
      </c>
      <c r="M785" s="11" t="s">
        <v>56</v>
      </c>
      <c r="N785" s="11" t="s">
        <v>2553</v>
      </c>
      <c r="O785" s="11" t="s">
        <v>2554</v>
      </c>
      <c r="P785" s="11" t="s">
        <v>2555</v>
      </c>
      <c r="Q785" s="11" t="s">
        <v>135</v>
      </c>
      <c r="U785" s="11" t="s">
        <v>1852</v>
      </c>
      <c r="V785" s="11" t="s">
        <v>137</v>
      </c>
      <c r="W785" s="13">
        <v>46302.314618055556</v>
      </c>
    </row>
    <row r="786" spans="1:23">
      <c r="A786">
        <v>272512</v>
      </c>
      <c r="B786">
        <v>10568</v>
      </c>
      <c r="C786" s="11" t="s">
        <v>129</v>
      </c>
      <c r="D786" s="11" t="s">
        <v>130</v>
      </c>
      <c r="E786" s="11" t="s">
        <v>25</v>
      </c>
      <c r="F786" s="12">
        <v>46197</v>
      </c>
      <c r="G786" s="11" t="s">
        <v>2556</v>
      </c>
      <c r="H786">
        <v>1</v>
      </c>
      <c r="I786" s="11" t="s">
        <v>2240</v>
      </c>
      <c r="M786" s="11" t="s">
        <v>41</v>
      </c>
      <c r="N786" s="11" t="s">
        <v>2557</v>
      </c>
      <c r="O786" s="11" t="s">
        <v>2558</v>
      </c>
      <c r="P786" s="11" t="s">
        <v>2240</v>
      </c>
      <c r="Q786" s="11" t="s">
        <v>135</v>
      </c>
      <c r="U786" s="11" t="s">
        <v>2559</v>
      </c>
      <c r="V786" s="11" t="s">
        <v>137</v>
      </c>
      <c r="W786" s="13">
        <v>46302.314618055556</v>
      </c>
    </row>
    <row r="787" spans="1:23">
      <c r="A787">
        <v>272513</v>
      </c>
      <c r="B787">
        <v>10569</v>
      </c>
      <c r="C787" s="11" t="s">
        <v>129</v>
      </c>
      <c r="D787" s="11" t="s">
        <v>130</v>
      </c>
      <c r="E787" s="11" t="s">
        <v>25</v>
      </c>
      <c r="F787" s="12">
        <v>46197</v>
      </c>
      <c r="G787" s="11" t="s">
        <v>131</v>
      </c>
      <c r="H787">
        <v>1</v>
      </c>
      <c r="I787" s="11" t="s">
        <v>2560</v>
      </c>
      <c r="M787" s="11" t="s">
        <v>87</v>
      </c>
      <c r="N787" s="11" t="s">
        <v>2561</v>
      </c>
      <c r="O787" s="11" t="s">
        <v>2562</v>
      </c>
      <c r="P787" s="11" t="s">
        <v>2560</v>
      </c>
      <c r="Q787" s="11" t="s">
        <v>135</v>
      </c>
      <c r="U787" s="11" t="s">
        <v>136</v>
      </c>
      <c r="V787" s="11" t="s">
        <v>137</v>
      </c>
      <c r="W787" s="13">
        <v>46302.314618055556</v>
      </c>
    </row>
    <row r="788" spans="1:23">
      <c r="A788">
        <v>272514</v>
      </c>
      <c r="B788">
        <v>10570</v>
      </c>
      <c r="C788" s="11" t="s">
        <v>129</v>
      </c>
      <c r="D788" s="11" t="s">
        <v>130</v>
      </c>
      <c r="E788" s="11" t="s">
        <v>25</v>
      </c>
      <c r="F788" s="12">
        <v>46197</v>
      </c>
      <c r="G788" s="11" t="s">
        <v>607</v>
      </c>
      <c r="H788">
        <v>1</v>
      </c>
      <c r="I788" s="11" t="s">
        <v>2563</v>
      </c>
      <c r="M788" s="11" t="s">
        <v>42</v>
      </c>
      <c r="N788" s="11" t="s">
        <v>2564</v>
      </c>
      <c r="O788" s="11" t="s">
        <v>2565</v>
      </c>
      <c r="P788" s="11" t="s">
        <v>2563</v>
      </c>
      <c r="Q788" s="11" t="s">
        <v>135</v>
      </c>
      <c r="U788" s="11" t="s">
        <v>611</v>
      </c>
      <c r="V788" s="11" t="s">
        <v>137</v>
      </c>
      <c r="W788" s="13">
        <v>46302.314618055556</v>
      </c>
    </row>
    <row r="789" spans="1:23">
      <c r="A789">
        <v>272515</v>
      </c>
      <c r="B789">
        <v>10571</v>
      </c>
      <c r="C789" s="11" t="s">
        <v>129</v>
      </c>
      <c r="D789" s="11" t="s">
        <v>130</v>
      </c>
      <c r="E789" s="11" t="s">
        <v>25</v>
      </c>
      <c r="F789" s="12">
        <v>46197</v>
      </c>
      <c r="G789" s="11" t="s">
        <v>164</v>
      </c>
      <c r="H789">
        <v>2</v>
      </c>
      <c r="I789" s="11" t="s">
        <v>2566</v>
      </c>
      <c r="M789" s="11" t="s">
        <v>62</v>
      </c>
      <c r="N789" s="11" t="s">
        <v>2567</v>
      </c>
      <c r="O789" s="11" t="s">
        <v>2568</v>
      </c>
      <c r="P789" s="11" t="s">
        <v>2569</v>
      </c>
      <c r="Q789" s="11" t="s">
        <v>135</v>
      </c>
      <c r="U789" s="11" t="s">
        <v>168</v>
      </c>
      <c r="V789" s="11" t="s">
        <v>137</v>
      </c>
      <c r="W789" s="13">
        <v>46302.314618055556</v>
      </c>
    </row>
    <row r="790" spans="1:23">
      <c r="A790">
        <v>272516</v>
      </c>
      <c r="B790">
        <v>10572</v>
      </c>
      <c r="C790" s="11" t="s">
        <v>129</v>
      </c>
      <c r="D790" s="11" t="s">
        <v>130</v>
      </c>
      <c r="E790" s="11" t="s">
        <v>25</v>
      </c>
      <c r="F790" s="12">
        <v>46197</v>
      </c>
      <c r="G790" s="11" t="s">
        <v>195</v>
      </c>
      <c r="H790">
        <v>1</v>
      </c>
      <c r="I790" s="11" t="s">
        <v>1618</v>
      </c>
      <c r="M790" s="11" t="s">
        <v>68</v>
      </c>
      <c r="N790" s="11" t="s">
        <v>2570</v>
      </c>
      <c r="O790" s="11" t="s">
        <v>2571</v>
      </c>
      <c r="P790" s="11" t="s">
        <v>1618</v>
      </c>
      <c r="Q790" s="11" t="s">
        <v>135</v>
      </c>
      <c r="U790" s="11" t="s">
        <v>199</v>
      </c>
      <c r="V790" s="11" t="s">
        <v>137</v>
      </c>
      <c r="W790" s="13">
        <v>46302.314618055556</v>
      </c>
    </row>
    <row r="791" spans="1:23">
      <c r="A791">
        <v>272517</v>
      </c>
      <c r="B791">
        <v>10573</v>
      </c>
      <c r="C791" s="11" t="s">
        <v>129</v>
      </c>
      <c r="D791" s="11" t="s">
        <v>130</v>
      </c>
      <c r="E791" s="11" t="s">
        <v>25</v>
      </c>
      <c r="F791" s="12">
        <v>46197</v>
      </c>
      <c r="G791" s="11" t="s">
        <v>143</v>
      </c>
      <c r="H791">
        <v>1</v>
      </c>
      <c r="I791" s="11" t="s">
        <v>2289</v>
      </c>
      <c r="M791" s="11" t="s">
        <v>39</v>
      </c>
      <c r="N791" s="11" t="s">
        <v>2395</v>
      </c>
      <c r="O791" s="11" t="s">
        <v>2572</v>
      </c>
      <c r="P791" s="11" t="s">
        <v>2289</v>
      </c>
      <c r="Q791" s="11" t="s">
        <v>135</v>
      </c>
      <c r="U791" s="11" t="s">
        <v>148</v>
      </c>
      <c r="V791" s="11" t="s">
        <v>137</v>
      </c>
      <c r="W791" s="13">
        <v>46302.314618055556</v>
      </c>
    </row>
    <row r="792" spans="1:23">
      <c r="A792">
        <v>272518</v>
      </c>
      <c r="B792">
        <v>10574</v>
      </c>
      <c r="C792" s="11" t="s">
        <v>129</v>
      </c>
      <c r="D792" s="11" t="s">
        <v>130</v>
      </c>
      <c r="E792" s="11" t="s">
        <v>25</v>
      </c>
      <c r="F792" s="12">
        <v>46197</v>
      </c>
      <c r="G792" s="11" t="s">
        <v>164</v>
      </c>
      <c r="H792">
        <v>1</v>
      </c>
      <c r="I792" s="11" t="s">
        <v>1752</v>
      </c>
      <c r="M792" s="11" t="s">
        <v>62</v>
      </c>
      <c r="N792" s="11" t="s">
        <v>162</v>
      </c>
      <c r="O792" s="11" t="s">
        <v>2573</v>
      </c>
      <c r="P792" s="11" t="s">
        <v>1752</v>
      </c>
      <c r="Q792" s="11" t="s">
        <v>135</v>
      </c>
      <c r="U792" s="11" t="s">
        <v>168</v>
      </c>
      <c r="V792" s="11" t="s">
        <v>137</v>
      </c>
      <c r="W792" s="13">
        <v>46302.314618055556</v>
      </c>
    </row>
    <row r="793" spans="1:23">
      <c r="A793">
        <v>272519</v>
      </c>
      <c r="B793">
        <v>10575</v>
      </c>
      <c r="C793" s="11" t="s">
        <v>129</v>
      </c>
      <c r="D793" s="11" t="s">
        <v>130</v>
      </c>
      <c r="E793" s="11" t="s">
        <v>25</v>
      </c>
      <c r="F793" s="12">
        <v>46197</v>
      </c>
      <c r="G793" s="11" t="s">
        <v>131</v>
      </c>
      <c r="H793">
        <v>1</v>
      </c>
      <c r="I793" s="11" t="s">
        <v>2382</v>
      </c>
      <c r="M793" s="11" t="s">
        <v>87</v>
      </c>
      <c r="N793" s="11" t="s">
        <v>2574</v>
      </c>
      <c r="O793" s="11" t="s">
        <v>2575</v>
      </c>
      <c r="P793" s="11" t="s">
        <v>2382</v>
      </c>
      <c r="Q793" s="11" t="s">
        <v>135</v>
      </c>
      <c r="U793" s="11" t="s">
        <v>136</v>
      </c>
      <c r="V793" s="11" t="s">
        <v>137</v>
      </c>
      <c r="W793" s="13">
        <v>46302.314618055556</v>
      </c>
    </row>
    <row r="794" spans="1:23">
      <c r="A794">
        <v>272520</v>
      </c>
      <c r="B794">
        <v>10576</v>
      </c>
      <c r="C794" s="11" t="s">
        <v>129</v>
      </c>
      <c r="D794" s="11" t="s">
        <v>130</v>
      </c>
      <c r="E794" s="11" t="s">
        <v>25</v>
      </c>
      <c r="F794" s="12">
        <v>46197</v>
      </c>
      <c r="G794" s="11" t="s">
        <v>174</v>
      </c>
      <c r="H794">
        <v>1</v>
      </c>
      <c r="I794" s="11" t="s">
        <v>2576</v>
      </c>
      <c r="M794" s="11" t="s">
        <v>92</v>
      </c>
      <c r="N794" s="11" t="s">
        <v>2577</v>
      </c>
      <c r="O794" s="11" t="s">
        <v>2578</v>
      </c>
      <c r="P794" s="11" t="s">
        <v>2576</v>
      </c>
      <c r="Q794" s="11" t="s">
        <v>135</v>
      </c>
      <c r="U794" s="11" t="s">
        <v>178</v>
      </c>
      <c r="V794" s="11" t="s">
        <v>137</v>
      </c>
      <c r="W794" s="13">
        <v>46302.314618055556</v>
      </c>
    </row>
    <row r="795" spans="1:23">
      <c r="A795">
        <v>272521</v>
      </c>
      <c r="B795">
        <v>10577</v>
      </c>
      <c r="C795" s="11" t="s">
        <v>129</v>
      </c>
      <c r="D795" s="11" t="s">
        <v>130</v>
      </c>
      <c r="E795" s="11" t="s">
        <v>25</v>
      </c>
      <c r="F795" s="12">
        <v>46197</v>
      </c>
      <c r="G795" s="11" t="s">
        <v>159</v>
      </c>
      <c r="H795">
        <v>1</v>
      </c>
      <c r="I795" s="11" t="s">
        <v>1305</v>
      </c>
      <c r="M795" s="11" t="s">
        <v>95</v>
      </c>
      <c r="N795" s="11" t="s">
        <v>2579</v>
      </c>
      <c r="O795" s="11" t="s">
        <v>2580</v>
      </c>
      <c r="P795" s="11" t="s">
        <v>1305</v>
      </c>
      <c r="Q795" s="11" t="s">
        <v>135</v>
      </c>
      <c r="U795" s="11" t="s">
        <v>163</v>
      </c>
      <c r="V795" s="11" t="s">
        <v>137</v>
      </c>
      <c r="W795" s="13">
        <v>46302.314618055556</v>
      </c>
    </row>
    <row r="796" spans="1:23">
      <c r="A796">
        <v>272522</v>
      </c>
      <c r="B796">
        <v>10578</v>
      </c>
      <c r="C796" s="11" t="s">
        <v>129</v>
      </c>
      <c r="D796" s="11" t="s">
        <v>130</v>
      </c>
      <c r="E796" s="11" t="s">
        <v>25</v>
      </c>
      <c r="F796" s="12">
        <v>46197</v>
      </c>
      <c r="G796" s="11" t="s">
        <v>131</v>
      </c>
      <c r="H796">
        <v>1</v>
      </c>
      <c r="I796" s="11" t="s">
        <v>2581</v>
      </c>
      <c r="M796" s="11" t="s">
        <v>87</v>
      </c>
      <c r="N796" s="11" t="s">
        <v>2582</v>
      </c>
      <c r="O796" s="11" t="s">
        <v>2583</v>
      </c>
      <c r="P796" s="11" t="s">
        <v>2581</v>
      </c>
      <c r="Q796" s="11" t="s">
        <v>135</v>
      </c>
      <c r="U796" s="11" t="s">
        <v>136</v>
      </c>
      <c r="V796" s="11" t="s">
        <v>137</v>
      </c>
      <c r="W796" s="13">
        <v>46302.314618055556</v>
      </c>
    </row>
    <row r="797" spans="1:23">
      <c r="A797">
        <v>272523</v>
      </c>
      <c r="B797">
        <v>10579</v>
      </c>
      <c r="C797" s="11" t="s">
        <v>129</v>
      </c>
      <c r="D797" s="11" t="s">
        <v>130</v>
      </c>
      <c r="E797" s="11" t="s">
        <v>25</v>
      </c>
      <c r="F797" s="12">
        <v>46197</v>
      </c>
      <c r="G797" s="11" t="s">
        <v>174</v>
      </c>
      <c r="H797">
        <v>1</v>
      </c>
      <c r="I797" s="11" t="s">
        <v>2584</v>
      </c>
      <c r="M797" s="11" t="s">
        <v>92</v>
      </c>
      <c r="N797" s="11" t="s">
        <v>2585</v>
      </c>
      <c r="O797" s="11" t="s">
        <v>2586</v>
      </c>
      <c r="P797" s="11" t="s">
        <v>2584</v>
      </c>
      <c r="Q797" s="11" t="s">
        <v>2587</v>
      </c>
      <c r="U797" s="11" t="s">
        <v>178</v>
      </c>
      <c r="V797" s="11" t="s">
        <v>137</v>
      </c>
      <c r="W797" s="13">
        <v>46302.314618055556</v>
      </c>
    </row>
    <row r="798" spans="1:23">
      <c r="A798">
        <v>272524</v>
      </c>
      <c r="B798">
        <v>10581</v>
      </c>
      <c r="C798" s="11" t="s">
        <v>129</v>
      </c>
      <c r="D798" s="11" t="s">
        <v>130</v>
      </c>
      <c r="E798" s="11" t="s">
        <v>25</v>
      </c>
      <c r="F798" s="12">
        <v>46197</v>
      </c>
      <c r="G798" s="11" t="s">
        <v>179</v>
      </c>
      <c r="H798">
        <v>1</v>
      </c>
      <c r="I798" s="11" t="s">
        <v>2588</v>
      </c>
      <c r="M798" s="11" t="s">
        <v>83</v>
      </c>
      <c r="N798" s="11" t="s">
        <v>2589</v>
      </c>
      <c r="O798" s="11" t="s">
        <v>2590</v>
      </c>
      <c r="P798" s="11" t="s">
        <v>2588</v>
      </c>
      <c r="Q798" s="11" t="s">
        <v>135</v>
      </c>
      <c r="U798" s="11" t="s">
        <v>183</v>
      </c>
      <c r="V798" s="11" t="s">
        <v>137</v>
      </c>
      <c r="W798" s="13">
        <v>46302.314618055556</v>
      </c>
    </row>
    <row r="799" spans="1:23">
      <c r="A799">
        <v>272525</v>
      </c>
      <c r="B799">
        <v>10582</v>
      </c>
      <c r="C799" s="11" t="s">
        <v>129</v>
      </c>
      <c r="D799" s="11" t="s">
        <v>130</v>
      </c>
      <c r="E799" s="11" t="s">
        <v>25</v>
      </c>
      <c r="F799" s="12">
        <v>46197</v>
      </c>
      <c r="G799" s="11" t="s">
        <v>512</v>
      </c>
      <c r="H799">
        <v>2</v>
      </c>
      <c r="I799" s="11" t="s">
        <v>2591</v>
      </c>
      <c r="M799" s="11" t="s">
        <v>44</v>
      </c>
      <c r="N799" s="11" t="s">
        <v>2592</v>
      </c>
      <c r="O799" s="11" t="s">
        <v>2593</v>
      </c>
      <c r="P799" s="11" t="s">
        <v>2594</v>
      </c>
      <c r="Q799" s="11" t="s">
        <v>2595</v>
      </c>
      <c r="U799" s="11" t="s">
        <v>516</v>
      </c>
      <c r="V799" s="11" t="s">
        <v>137</v>
      </c>
      <c r="W799" s="13">
        <v>46302.314618055556</v>
      </c>
    </row>
    <row r="800" spans="1:23">
      <c r="A800">
        <v>272526</v>
      </c>
      <c r="B800">
        <v>10584</v>
      </c>
      <c r="C800" s="11" t="s">
        <v>129</v>
      </c>
      <c r="D800" s="11" t="s">
        <v>130</v>
      </c>
      <c r="E800" s="11" t="s">
        <v>25</v>
      </c>
      <c r="F800" s="12">
        <v>46197</v>
      </c>
      <c r="G800" s="11" t="s">
        <v>217</v>
      </c>
      <c r="H800">
        <v>1</v>
      </c>
      <c r="I800" s="11" t="s">
        <v>2065</v>
      </c>
      <c r="M800" s="11" t="s">
        <v>86</v>
      </c>
      <c r="N800" s="11" t="s">
        <v>2596</v>
      </c>
      <c r="O800" s="11" t="s">
        <v>2597</v>
      </c>
      <c r="P800" s="11" t="s">
        <v>2065</v>
      </c>
      <c r="Q800" s="11" t="s">
        <v>135</v>
      </c>
      <c r="U800" s="11" t="s">
        <v>221</v>
      </c>
      <c r="V800" s="11" t="s">
        <v>137</v>
      </c>
      <c r="W800" s="13">
        <v>46302.314618055556</v>
      </c>
    </row>
    <row r="801" spans="1:23">
      <c r="A801">
        <v>272527</v>
      </c>
      <c r="B801">
        <v>10585</v>
      </c>
      <c r="C801" s="11" t="s">
        <v>129</v>
      </c>
      <c r="D801" s="11" t="s">
        <v>130</v>
      </c>
      <c r="E801" s="11" t="s">
        <v>25</v>
      </c>
      <c r="F801" s="12">
        <v>46197</v>
      </c>
      <c r="G801" s="11" t="s">
        <v>131</v>
      </c>
      <c r="H801">
        <v>1</v>
      </c>
      <c r="I801" s="11" t="s">
        <v>2598</v>
      </c>
      <c r="M801" s="11" t="s">
        <v>87</v>
      </c>
      <c r="N801" s="11" t="s">
        <v>2599</v>
      </c>
      <c r="O801" s="11" t="s">
        <v>2600</v>
      </c>
      <c r="P801" s="11" t="s">
        <v>2598</v>
      </c>
      <c r="Q801" s="11" t="s">
        <v>135</v>
      </c>
      <c r="U801" s="11" t="s">
        <v>136</v>
      </c>
      <c r="V801" s="11" t="s">
        <v>137</v>
      </c>
      <c r="W801" s="13">
        <v>46302.314618055556</v>
      </c>
    </row>
    <row r="802" spans="1:23">
      <c r="A802">
        <v>272528</v>
      </c>
      <c r="B802">
        <v>10580</v>
      </c>
      <c r="C802" s="11" t="s">
        <v>129</v>
      </c>
      <c r="D802" s="11" t="s">
        <v>130</v>
      </c>
      <c r="E802" s="11" t="s">
        <v>25</v>
      </c>
      <c r="F802" s="12">
        <v>46197</v>
      </c>
      <c r="G802" s="11" t="s">
        <v>131</v>
      </c>
      <c r="H802">
        <v>1</v>
      </c>
      <c r="I802" s="11" t="s">
        <v>2587</v>
      </c>
      <c r="M802" s="11" t="s">
        <v>87</v>
      </c>
      <c r="N802" s="11" t="s">
        <v>2601</v>
      </c>
      <c r="O802" s="11" t="s">
        <v>2602</v>
      </c>
      <c r="P802" s="11" t="s">
        <v>2587</v>
      </c>
      <c r="Q802" s="11" t="s">
        <v>135</v>
      </c>
      <c r="R802">
        <v>10579</v>
      </c>
      <c r="U802" s="11" t="s">
        <v>136</v>
      </c>
      <c r="V802" s="11" t="s">
        <v>137</v>
      </c>
      <c r="W802" s="13">
        <v>46302.314618055556</v>
      </c>
    </row>
    <row r="803" spans="1:23">
      <c r="A803">
        <v>272529</v>
      </c>
      <c r="B803">
        <v>10583</v>
      </c>
      <c r="C803" s="11" t="s">
        <v>129</v>
      </c>
      <c r="D803" s="11" t="s">
        <v>130</v>
      </c>
      <c r="E803" s="11" t="s">
        <v>25</v>
      </c>
      <c r="F803" s="12">
        <v>46197</v>
      </c>
      <c r="G803" s="11" t="s">
        <v>131</v>
      </c>
      <c r="H803">
        <v>1</v>
      </c>
      <c r="I803" s="11" t="s">
        <v>2595</v>
      </c>
      <c r="M803" s="11" t="s">
        <v>87</v>
      </c>
      <c r="N803" s="11" t="s">
        <v>2603</v>
      </c>
      <c r="O803" s="11" t="s">
        <v>2604</v>
      </c>
      <c r="P803" s="11" t="s">
        <v>2595</v>
      </c>
      <c r="Q803" s="11" t="s">
        <v>135</v>
      </c>
      <c r="R803">
        <v>10582</v>
      </c>
      <c r="U803" s="11" t="s">
        <v>136</v>
      </c>
      <c r="V803" s="11" t="s">
        <v>137</v>
      </c>
      <c r="W803" s="13">
        <v>46302.314618055556</v>
      </c>
    </row>
    <row r="804" spans="1:23">
      <c r="A804">
        <v>272790</v>
      </c>
      <c r="B804">
        <v>10813</v>
      </c>
      <c r="C804" s="11" t="s">
        <v>129</v>
      </c>
      <c r="D804" s="11" t="s">
        <v>130</v>
      </c>
      <c r="E804" s="11" t="s">
        <v>25</v>
      </c>
      <c r="F804" s="12">
        <v>46198</v>
      </c>
      <c r="G804" s="11" t="s">
        <v>226</v>
      </c>
      <c r="H804">
        <v>1</v>
      </c>
      <c r="I804" s="11" t="s">
        <v>2605</v>
      </c>
      <c r="M804" s="11" t="s">
        <v>87</v>
      </c>
      <c r="N804" s="11" t="s">
        <v>2606</v>
      </c>
      <c r="O804" s="11" t="s">
        <v>2607</v>
      </c>
      <c r="P804" s="11" t="s">
        <v>2605</v>
      </c>
      <c r="Q804" s="11" t="s">
        <v>135</v>
      </c>
      <c r="U804" s="11" t="s">
        <v>231</v>
      </c>
      <c r="V804" s="11" t="s">
        <v>137</v>
      </c>
      <c r="W804" s="13">
        <v>46302.314618055556</v>
      </c>
    </row>
    <row r="805" spans="1:23">
      <c r="A805">
        <v>272791</v>
      </c>
      <c r="B805">
        <v>10814</v>
      </c>
      <c r="C805" s="11" t="s">
        <v>129</v>
      </c>
      <c r="D805" s="11" t="s">
        <v>130</v>
      </c>
      <c r="E805" s="11" t="s">
        <v>25</v>
      </c>
      <c r="F805" s="12">
        <v>46198</v>
      </c>
      <c r="G805" s="11" t="s">
        <v>439</v>
      </c>
      <c r="H805">
        <v>1</v>
      </c>
      <c r="I805" s="11" t="s">
        <v>196</v>
      </c>
      <c r="M805" s="11" t="s">
        <v>73</v>
      </c>
      <c r="N805" s="11" t="s">
        <v>2608</v>
      </c>
      <c r="O805" s="11" t="s">
        <v>2609</v>
      </c>
      <c r="P805" s="11" t="s">
        <v>196</v>
      </c>
      <c r="Q805" s="11" t="s">
        <v>135</v>
      </c>
      <c r="U805" s="11" t="s">
        <v>443</v>
      </c>
      <c r="V805" s="11" t="s">
        <v>137</v>
      </c>
      <c r="W805" s="13">
        <v>46302.314618055556</v>
      </c>
    </row>
    <row r="806" spans="1:23">
      <c r="A806">
        <v>272792</v>
      </c>
      <c r="B806">
        <v>10815</v>
      </c>
      <c r="C806" s="11" t="s">
        <v>129</v>
      </c>
      <c r="D806" s="11" t="s">
        <v>130</v>
      </c>
      <c r="E806" s="11" t="s">
        <v>25</v>
      </c>
      <c r="F806" s="12">
        <v>46198</v>
      </c>
      <c r="G806" s="11" t="s">
        <v>226</v>
      </c>
      <c r="H806">
        <v>1</v>
      </c>
      <c r="I806" s="11" t="s">
        <v>2610</v>
      </c>
      <c r="M806" s="11" t="s">
        <v>87</v>
      </c>
      <c r="N806" s="11" t="s">
        <v>2611</v>
      </c>
      <c r="O806" s="11" t="s">
        <v>1607</v>
      </c>
      <c r="P806" s="11" t="s">
        <v>2610</v>
      </c>
      <c r="Q806" s="11" t="s">
        <v>135</v>
      </c>
      <c r="U806" s="11" t="s">
        <v>231</v>
      </c>
      <c r="V806" s="11" t="s">
        <v>137</v>
      </c>
      <c r="W806" s="13">
        <v>46302.314618055556</v>
      </c>
    </row>
    <row r="807" spans="1:23">
      <c r="A807">
        <v>272793</v>
      </c>
      <c r="B807">
        <v>10816</v>
      </c>
      <c r="C807" s="11" t="s">
        <v>129</v>
      </c>
      <c r="D807" s="11" t="s">
        <v>130</v>
      </c>
      <c r="E807" s="11" t="s">
        <v>25</v>
      </c>
      <c r="F807" s="12">
        <v>46198</v>
      </c>
      <c r="G807" s="11" t="s">
        <v>308</v>
      </c>
      <c r="H807">
        <v>1</v>
      </c>
      <c r="I807" s="11" t="s">
        <v>2612</v>
      </c>
      <c r="M807" s="11" t="s">
        <v>90</v>
      </c>
      <c r="N807" s="11" t="s">
        <v>2541</v>
      </c>
      <c r="O807" s="11" t="s">
        <v>2613</v>
      </c>
      <c r="P807" s="11" t="s">
        <v>2612</v>
      </c>
      <c r="Q807" s="11" t="s">
        <v>135</v>
      </c>
      <c r="U807" s="11" t="s">
        <v>311</v>
      </c>
      <c r="V807" s="11" t="s">
        <v>137</v>
      </c>
      <c r="W807" s="13">
        <v>46302.314618055556</v>
      </c>
    </row>
    <row r="808" spans="1:23">
      <c r="A808">
        <v>272794</v>
      </c>
      <c r="B808">
        <v>10817</v>
      </c>
      <c r="C808" s="11" t="s">
        <v>129</v>
      </c>
      <c r="D808" s="11" t="s">
        <v>130</v>
      </c>
      <c r="E808" s="11" t="s">
        <v>25</v>
      </c>
      <c r="F808" s="12">
        <v>46198</v>
      </c>
      <c r="G808" s="11" t="s">
        <v>439</v>
      </c>
      <c r="H808">
        <v>1</v>
      </c>
      <c r="I808" s="11" t="s">
        <v>1562</v>
      </c>
      <c r="M808" s="11" t="s">
        <v>73</v>
      </c>
      <c r="N808" s="11" t="s">
        <v>2614</v>
      </c>
      <c r="O808" s="11" t="s">
        <v>2615</v>
      </c>
      <c r="P808" s="11" t="s">
        <v>1562</v>
      </c>
      <c r="Q808" s="11" t="s">
        <v>135</v>
      </c>
      <c r="U808" s="11" t="s">
        <v>443</v>
      </c>
      <c r="V808" s="11" t="s">
        <v>137</v>
      </c>
      <c r="W808" s="13">
        <v>46302.314618055556</v>
      </c>
    </row>
    <row r="809" spans="1:23">
      <c r="A809">
        <v>272795</v>
      </c>
      <c r="B809">
        <v>10818</v>
      </c>
      <c r="C809" s="11" t="s">
        <v>129</v>
      </c>
      <c r="D809" s="11" t="s">
        <v>130</v>
      </c>
      <c r="E809" s="11" t="s">
        <v>25</v>
      </c>
      <c r="F809" s="12">
        <v>46198</v>
      </c>
      <c r="G809" s="11" t="s">
        <v>242</v>
      </c>
      <c r="H809">
        <v>1</v>
      </c>
      <c r="I809" s="11" t="s">
        <v>218</v>
      </c>
      <c r="M809" s="11" t="s">
        <v>76</v>
      </c>
      <c r="N809" s="11" t="s">
        <v>2616</v>
      </c>
      <c r="O809" s="11" t="s">
        <v>2617</v>
      </c>
      <c r="P809" s="11" t="s">
        <v>218</v>
      </c>
      <c r="Q809" s="11" t="s">
        <v>135</v>
      </c>
      <c r="U809" s="11" t="s">
        <v>245</v>
      </c>
      <c r="V809" s="11" t="s">
        <v>137</v>
      </c>
      <c r="W809" s="13">
        <v>46302.314618055556</v>
      </c>
    </row>
    <row r="810" spans="1:23">
      <c r="A810">
        <v>272796</v>
      </c>
      <c r="B810">
        <v>10819</v>
      </c>
      <c r="C810" s="11" t="s">
        <v>129</v>
      </c>
      <c r="D810" s="11" t="s">
        <v>130</v>
      </c>
      <c r="E810" s="11" t="s">
        <v>25</v>
      </c>
      <c r="F810" s="12">
        <v>46198</v>
      </c>
      <c r="G810" s="11" t="s">
        <v>242</v>
      </c>
      <c r="H810">
        <v>1</v>
      </c>
      <c r="I810" s="11" t="s">
        <v>1712</v>
      </c>
      <c r="M810" s="11" t="s">
        <v>76</v>
      </c>
      <c r="N810" s="11" t="s">
        <v>2618</v>
      </c>
      <c r="O810" s="11" t="s">
        <v>2619</v>
      </c>
      <c r="P810" s="11" t="s">
        <v>1712</v>
      </c>
      <c r="Q810" s="11" t="s">
        <v>135</v>
      </c>
      <c r="U810" s="11" t="s">
        <v>245</v>
      </c>
      <c r="V810" s="11" t="s">
        <v>137</v>
      </c>
      <c r="W810" s="13">
        <v>46302.314618055556</v>
      </c>
    </row>
    <row r="811" spans="1:23">
      <c r="A811">
        <v>272797</v>
      </c>
      <c r="B811">
        <v>10820</v>
      </c>
      <c r="C811" s="11" t="s">
        <v>129</v>
      </c>
      <c r="D811" s="11" t="s">
        <v>130</v>
      </c>
      <c r="E811" s="11" t="s">
        <v>25</v>
      </c>
      <c r="F811" s="12">
        <v>46198</v>
      </c>
      <c r="G811" s="11" t="s">
        <v>226</v>
      </c>
      <c r="H811">
        <v>1</v>
      </c>
      <c r="I811" s="11" t="s">
        <v>2620</v>
      </c>
      <c r="M811" s="11" t="s">
        <v>87</v>
      </c>
      <c r="N811" s="11" t="s">
        <v>2621</v>
      </c>
      <c r="O811" s="11" t="s">
        <v>2622</v>
      </c>
      <c r="P811" s="11" t="s">
        <v>2620</v>
      </c>
      <c r="Q811" s="11" t="s">
        <v>135</v>
      </c>
      <c r="U811" s="11" t="s">
        <v>231</v>
      </c>
      <c r="V811" s="11" t="s">
        <v>137</v>
      </c>
      <c r="W811" s="13">
        <v>46302.314618055556</v>
      </c>
    </row>
    <row r="812" spans="1:23">
      <c r="A812">
        <v>272798</v>
      </c>
      <c r="B812">
        <v>10821</v>
      </c>
      <c r="C812" s="11" t="s">
        <v>129</v>
      </c>
      <c r="D812" s="11" t="s">
        <v>130</v>
      </c>
      <c r="E812" s="11" t="s">
        <v>25</v>
      </c>
      <c r="F812" s="12">
        <v>46198</v>
      </c>
      <c r="G812" s="11" t="s">
        <v>237</v>
      </c>
      <c r="H812">
        <v>2</v>
      </c>
      <c r="I812" s="11" t="s">
        <v>2623</v>
      </c>
      <c r="M812" s="11" t="s">
        <v>71</v>
      </c>
      <c r="N812" s="11" t="s">
        <v>2624</v>
      </c>
      <c r="O812" s="11" t="s">
        <v>2625</v>
      </c>
      <c r="P812" s="11" t="s">
        <v>2626</v>
      </c>
      <c r="Q812" s="11" t="s">
        <v>135</v>
      </c>
      <c r="U812" s="11" t="s">
        <v>241</v>
      </c>
      <c r="V812" s="11" t="s">
        <v>137</v>
      </c>
      <c r="W812" s="13">
        <v>46302.314618055556</v>
      </c>
    </row>
    <row r="813" spans="1:23">
      <c r="A813">
        <v>272799</v>
      </c>
      <c r="B813">
        <v>10822</v>
      </c>
      <c r="C813" s="11" t="s">
        <v>129</v>
      </c>
      <c r="D813" s="11" t="s">
        <v>130</v>
      </c>
      <c r="E813" s="11" t="s">
        <v>25</v>
      </c>
      <c r="F813" s="12">
        <v>46198</v>
      </c>
      <c r="G813" s="11" t="s">
        <v>439</v>
      </c>
      <c r="H813">
        <v>1</v>
      </c>
      <c r="I813" s="11" t="s">
        <v>2627</v>
      </c>
      <c r="M813" s="11" t="s">
        <v>73</v>
      </c>
      <c r="N813" s="11" t="s">
        <v>2628</v>
      </c>
      <c r="O813" s="11" t="s">
        <v>2629</v>
      </c>
      <c r="P813" s="11" t="s">
        <v>2627</v>
      </c>
      <c r="Q813" s="11" t="s">
        <v>135</v>
      </c>
      <c r="U813" s="11" t="s">
        <v>443</v>
      </c>
      <c r="V813" s="11" t="s">
        <v>137</v>
      </c>
      <c r="W813" s="13">
        <v>46302.314618055556</v>
      </c>
    </row>
    <row r="814" spans="1:23">
      <c r="A814">
        <v>272800</v>
      </c>
      <c r="B814">
        <v>10823</v>
      </c>
      <c r="C814" s="11" t="s">
        <v>129</v>
      </c>
      <c r="D814" s="11" t="s">
        <v>130</v>
      </c>
      <c r="E814" s="11" t="s">
        <v>25</v>
      </c>
      <c r="F814" s="12">
        <v>46198</v>
      </c>
      <c r="G814" s="11" t="s">
        <v>263</v>
      </c>
      <c r="H814">
        <v>1</v>
      </c>
      <c r="I814" s="11" t="s">
        <v>2630</v>
      </c>
      <c r="M814" s="11" t="s">
        <v>92</v>
      </c>
      <c r="N814" s="11" t="s">
        <v>2631</v>
      </c>
      <c r="O814" s="11" t="s">
        <v>2632</v>
      </c>
      <c r="P814" s="11" t="s">
        <v>2630</v>
      </c>
      <c r="Q814" s="11" t="s">
        <v>135</v>
      </c>
      <c r="U814" s="11" t="s">
        <v>267</v>
      </c>
      <c r="V814" s="11" t="s">
        <v>137</v>
      </c>
      <c r="W814" s="13">
        <v>46302.314618055556</v>
      </c>
    </row>
    <row r="815" spans="1:23">
      <c r="A815">
        <v>272801</v>
      </c>
      <c r="B815">
        <v>10824</v>
      </c>
      <c r="C815" s="11" t="s">
        <v>129</v>
      </c>
      <c r="D815" s="11" t="s">
        <v>130</v>
      </c>
      <c r="E815" s="11" t="s">
        <v>25</v>
      </c>
      <c r="F815" s="12">
        <v>46198</v>
      </c>
      <c r="G815" s="11" t="s">
        <v>237</v>
      </c>
      <c r="H815">
        <v>2</v>
      </c>
      <c r="I815" s="11" t="s">
        <v>2633</v>
      </c>
      <c r="M815" s="11" t="s">
        <v>71</v>
      </c>
      <c r="N815" s="11" t="s">
        <v>2634</v>
      </c>
      <c r="O815" s="11" t="s">
        <v>2635</v>
      </c>
      <c r="P815" s="11" t="s">
        <v>2636</v>
      </c>
      <c r="Q815" s="11" t="s">
        <v>135</v>
      </c>
      <c r="U815" s="11" t="s">
        <v>241</v>
      </c>
      <c r="V815" s="11" t="s">
        <v>137</v>
      </c>
      <c r="W815" s="13">
        <v>46302.314618055556</v>
      </c>
    </row>
    <row r="816" spans="1:23">
      <c r="A816">
        <v>272802</v>
      </c>
      <c r="B816">
        <v>10825</v>
      </c>
      <c r="C816" s="11" t="s">
        <v>129</v>
      </c>
      <c r="D816" s="11" t="s">
        <v>130</v>
      </c>
      <c r="E816" s="11" t="s">
        <v>25</v>
      </c>
      <c r="F816" s="12">
        <v>46198</v>
      </c>
      <c r="G816" s="11" t="s">
        <v>237</v>
      </c>
      <c r="H816">
        <v>1</v>
      </c>
      <c r="I816" s="11" t="s">
        <v>702</v>
      </c>
      <c r="M816" s="11" t="s">
        <v>71</v>
      </c>
      <c r="N816" s="11" t="s">
        <v>2637</v>
      </c>
      <c r="O816" s="11" t="s">
        <v>2638</v>
      </c>
      <c r="P816" s="11" t="s">
        <v>702</v>
      </c>
      <c r="Q816" s="11" t="s">
        <v>135</v>
      </c>
      <c r="U816" s="11" t="s">
        <v>241</v>
      </c>
      <c r="V816" s="11" t="s">
        <v>137</v>
      </c>
      <c r="W816" s="13">
        <v>46302.314618055556</v>
      </c>
    </row>
    <row r="817" spans="1:23">
      <c r="A817">
        <v>272803</v>
      </c>
      <c r="B817">
        <v>10826</v>
      </c>
      <c r="C817" s="11" t="s">
        <v>129</v>
      </c>
      <c r="D817" s="11" t="s">
        <v>130</v>
      </c>
      <c r="E817" s="11" t="s">
        <v>25</v>
      </c>
      <c r="F817" s="12">
        <v>46198</v>
      </c>
      <c r="G817" s="11" t="s">
        <v>237</v>
      </c>
      <c r="H817">
        <v>1</v>
      </c>
      <c r="I817" s="11" t="s">
        <v>2639</v>
      </c>
      <c r="M817" s="11" t="s">
        <v>71</v>
      </c>
      <c r="N817" s="11" t="s">
        <v>2640</v>
      </c>
      <c r="O817" s="11" t="s">
        <v>2641</v>
      </c>
      <c r="P817" s="11" t="s">
        <v>2639</v>
      </c>
      <c r="Q817" s="11" t="s">
        <v>135</v>
      </c>
      <c r="U817" s="11" t="s">
        <v>241</v>
      </c>
      <c r="V817" s="11" t="s">
        <v>137</v>
      </c>
      <c r="W817" s="13">
        <v>46302.314618055556</v>
      </c>
    </row>
    <row r="818" spans="1:23">
      <c r="A818">
        <v>272804</v>
      </c>
      <c r="B818">
        <v>10827</v>
      </c>
      <c r="C818" s="11" t="s">
        <v>129</v>
      </c>
      <c r="D818" s="11" t="s">
        <v>130</v>
      </c>
      <c r="E818" s="11" t="s">
        <v>25</v>
      </c>
      <c r="F818" s="12">
        <v>46198</v>
      </c>
      <c r="G818" s="11" t="s">
        <v>237</v>
      </c>
      <c r="H818">
        <v>1</v>
      </c>
      <c r="I818" s="11" t="s">
        <v>2642</v>
      </c>
      <c r="M818" s="11" t="s">
        <v>71</v>
      </c>
      <c r="N818" s="11" t="s">
        <v>2643</v>
      </c>
      <c r="O818" s="11" t="s">
        <v>2644</v>
      </c>
      <c r="P818" s="11" t="s">
        <v>2642</v>
      </c>
      <c r="Q818" s="11" t="s">
        <v>135</v>
      </c>
      <c r="U818" s="11" t="s">
        <v>241</v>
      </c>
      <c r="V818" s="11" t="s">
        <v>137</v>
      </c>
      <c r="W818" s="13">
        <v>46302.314618055556</v>
      </c>
    </row>
    <row r="819" spans="1:23">
      <c r="A819">
        <v>272805</v>
      </c>
      <c r="B819">
        <v>10828</v>
      </c>
      <c r="C819" s="11" t="s">
        <v>129</v>
      </c>
      <c r="D819" s="11" t="s">
        <v>130</v>
      </c>
      <c r="E819" s="11" t="s">
        <v>25</v>
      </c>
      <c r="F819" s="12">
        <v>46198</v>
      </c>
      <c r="G819" s="11" t="s">
        <v>237</v>
      </c>
      <c r="H819">
        <v>1</v>
      </c>
      <c r="I819" s="11" t="s">
        <v>2645</v>
      </c>
      <c r="M819" s="11" t="s">
        <v>71</v>
      </c>
      <c r="N819" s="11" t="s">
        <v>2646</v>
      </c>
      <c r="O819" s="11" t="s">
        <v>2647</v>
      </c>
      <c r="P819" s="11" t="s">
        <v>2645</v>
      </c>
      <c r="Q819" s="11" t="s">
        <v>135</v>
      </c>
      <c r="U819" s="11" t="s">
        <v>241</v>
      </c>
      <c r="V819" s="11" t="s">
        <v>137</v>
      </c>
      <c r="W819" s="13">
        <v>46302.314618055556</v>
      </c>
    </row>
    <row r="820" spans="1:23">
      <c r="A820">
        <v>272806</v>
      </c>
      <c r="B820">
        <v>10829</v>
      </c>
      <c r="C820" s="11" t="s">
        <v>129</v>
      </c>
      <c r="D820" s="11" t="s">
        <v>130</v>
      </c>
      <c r="E820" s="11" t="s">
        <v>25</v>
      </c>
      <c r="F820" s="12">
        <v>46198</v>
      </c>
      <c r="G820" s="11" t="s">
        <v>237</v>
      </c>
      <c r="H820">
        <v>1</v>
      </c>
      <c r="I820" s="11" t="s">
        <v>200</v>
      </c>
      <c r="M820" s="11" t="s">
        <v>71</v>
      </c>
      <c r="N820" s="11" t="s">
        <v>2648</v>
      </c>
      <c r="O820" s="11" t="s">
        <v>2649</v>
      </c>
      <c r="P820" s="11" t="s">
        <v>200</v>
      </c>
      <c r="Q820" s="11" t="s">
        <v>135</v>
      </c>
      <c r="U820" s="11" t="s">
        <v>241</v>
      </c>
      <c r="V820" s="11" t="s">
        <v>137</v>
      </c>
      <c r="W820" s="13">
        <v>46302.314618055556</v>
      </c>
    </row>
    <row r="821" spans="1:23">
      <c r="A821">
        <v>272807</v>
      </c>
      <c r="B821">
        <v>10830</v>
      </c>
      <c r="C821" s="11" t="s">
        <v>129</v>
      </c>
      <c r="D821" s="11" t="s">
        <v>130</v>
      </c>
      <c r="E821" s="11" t="s">
        <v>25</v>
      </c>
      <c r="F821" s="12">
        <v>46198</v>
      </c>
      <c r="G821" s="11" t="s">
        <v>237</v>
      </c>
      <c r="H821">
        <v>1</v>
      </c>
      <c r="I821" s="11" t="s">
        <v>2650</v>
      </c>
      <c r="M821" s="11" t="s">
        <v>71</v>
      </c>
      <c r="N821" s="11" t="s">
        <v>2651</v>
      </c>
      <c r="O821" s="11" t="s">
        <v>2652</v>
      </c>
      <c r="P821" s="11" t="s">
        <v>2650</v>
      </c>
      <c r="Q821" s="11" t="s">
        <v>135</v>
      </c>
      <c r="U821" s="11" t="s">
        <v>241</v>
      </c>
      <c r="V821" s="11" t="s">
        <v>137</v>
      </c>
      <c r="W821" s="13">
        <v>46302.314618055556</v>
      </c>
    </row>
    <row r="822" spans="1:23">
      <c r="A822">
        <v>272808</v>
      </c>
      <c r="B822">
        <v>10831</v>
      </c>
      <c r="C822" s="11" t="s">
        <v>129</v>
      </c>
      <c r="D822" s="11" t="s">
        <v>130</v>
      </c>
      <c r="E822" s="11" t="s">
        <v>25</v>
      </c>
      <c r="F822" s="12">
        <v>46198</v>
      </c>
      <c r="G822" s="11" t="s">
        <v>226</v>
      </c>
      <c r="H822">
        <v>1</v>
      </c>
      <c r="I822" s="11" t="s">
        <v>2653</v>
      </c>
      <c r="M822" s="11" t="s">
        <v>87</v>
      </c>
      <c r="N822" s="11" t="s">
        <v>2654</v>
      </c>
      <c r="O822" s="11" t="s">
        <v>2655</v>
      </c>
      <c r="P822" s="11" t="s">
        <v>2653</v>
      </c>
      <c r="Q822" s="11" t="s">
        <v>135</v>
      </c>
      <c r="U822" s="11" t="s">
        <v>231</v>
      </c>
      <c r="V822" s="11" t="s">
        <v>137</v>
      </c>
      <c r="W822" s="13">
        <v>46302.314618055556</v>
      </c>
    </row>
    <row r="823" spans="1:23">
      <c r="A823">
        <v>272809</v>
      </c>
      <c r="B823">
        <v>10832</v>
      </c>
      <c r="C823" s="11" t="s">
        <v>129</v>
      </c>
      <c r="D823" s="11" t="s">
        <v>130</v>
      </c>
      <c r="E823" s="11" t="s">
        <v>25</v>
      </c>
      <c r="F823" s="12">
        <v>46198</v>
      </c>
      <c r="G823" s="11" t="s">
        <v>2266</v>
      </c>
      <c r="H823">
        <v>1</v>
      </c>
      <c r="I823" s="11" t="s">
        <v>2656</v>
      </c>
      <c r="M823" s="11" t="s">
        <v>91</v>
      </c>
      <c r="N823" s="11" t="s">
        <v>2657</v>
      </c>
      <c r="O823" s="11" t="s">
        <v>2658</v>
      </c>
      <c r="P823" s="11" t="s">
        <v>2656</v>
      </c>
      <c r="Q823" s="11" t="s">
        <v>135</v>
      </c>
      <c r="U823" s="11" t="s">
        <v>2270</v>
      </c>
      <c r="V823" s="11" t="s">
        <v>137</v>
      </c>
      <c r="W823" s="13">
        <v>46302.314618055556</v>
      </c>
    </row>
    <row r="824" spans="1:23">
      <c r="A824">
        <v>272810</v>
      </c>
      <c r="B824">
        <v>10833</v>
      </c>
      <c r="C824" s="11" t="s">
        <v>129</v>
      </c>
      <c r="D824" s="11" t="s">
        <v>130</v>
      </c>
      <c r="E824" s="11" t="s">
        <v>25</v>
      </c>
      <c r="F824" s="12">
        <v>46198</v>
      </c>
      <c r="G824" s="11" t="s">
        <v>237</v>
      </c>
      <c r="H824">
        <v>1</v>
      </c>
      <c r="I824" s="11" t="s">
        <v>1619</v>
      </c>
      <c r="M824" s="11" t="s">
        <v>71</v>
      </c>
      <c r="N824" s="11" t="s">
        <v>2659</v>
      </c>
      <c r="O824" s="11" t="s">
        <v>2660</v>
      </c>
      <c r="P824" s="11" t="s">
        <v>1619</v>
      </c>
      <c r="Q824" s="11" t="s">
        <v>135</v>
      </c>
      <c r="U824" s="11" t="s">
        <v>241</v>
      </c>
      <c r="V824" s="11" t="s">
        <v>137</v>
      </c>
      <c r="W824" s="13">
        <v>46302.314618055556</v>
      </c>
    </row>
    <row r="825" spans="1:23">
      <c r="A825">
        <v>272811</v>
      </c>
      <c r="B825">
        <v>10834</v>
      </c>
      <c r="C825" s="11" t="s">
        <v>129</v>
      </c>
      <c r="D825" s="11" t="s">
        <v>130</v>
      </c>
      <c r="E825" s="11" t="s">
        <v>25</v>
      </c>
      <c r="F825" s="12">
        <v>46198</v>
      </c>
      <c r="G825" s="11" t="s">
        <v>237</v>
      </c>
      <c r="H825">
        <v>1</v>
      </c>
      <c r="I825" s="11" t="s">
        <v>2661</v>
      </c>
      <c r="M825" s="11" t="s">
        <v>71</v>
      </c>
      <c r="N825" s="11" t="s">
        <v>2662</v>
      </c>
      <c r="O825" s="11" t="s">
        <v>2663</v>
      </c>
      <c r="P825" s="11" t="s">
        <v>2661</v>
      </c>
      <c r="Q825" s="11" t="s">
        <v>135</v>
      </c>
      <c r="U825" s="11" t="s">
        <v>241</v>
      </c>
      <c r="V825" s="11" t="s">
        <v>137</v>
      </c>
      <c r="W825" s="13">
        <v>46302.314618055556</v>
      </c>
    </row>
    <row r="826" spans="1:23">
      <c r="A826">
        <v>272812</v>
      </c>
      <c r="B826">
        <v>10835</v>
      </c>
      <c r="C826" s="11" t="s">
        <v>129</v>
      </c>
      <c r="D826" s="11" t="s">
        <v>130</v>
      </c>
      <c r="E826" s="11" t="s">
        <v>25</v>
      </c>
      <c r="F826" s="12">
        <v>46198</v>
      </c>
      <c r="G826" s="11" t="s">
        <v>237</v>
      </c>
      <c r="H826">
        <v>1</v>
      </c>
      <c r="I826" s="11" t="s">
        <v>2664</v>
      </c>
      <c r="M826" s="11" t="s">
        <v>71</v>
      </c>
      <c r="N826" s="11" t="s">
        <v>2665</v>
      </c>
      <c r="O826" s="11" t="s">
        <v>2666</v>
      </c>
      <c r="P826" s="11" t="s">
        <v>2664</v>
      </c>
      <c r="Q826" s="11" t="s">
        <v>135</v>
      </c>
      <c r="U826" s="11" t="s">
        <v>241</v>
      </c>
      <c r="V826" s="11" t="s">
        <v>137</v>
      </c>
      <c r="W826" s="13">
        <v>46302.314618055556</v>
      </c>
    </row>
    <row r="827" spans="1:23">
      <c r="A827">
        <v>273095</v>
      </c>
      <c r="B827">
        <v>10605</v>
      </c>
      <c r="C827" s="11" t="s">
        <v>129</v>
      </c>
      <c r="D827" s="11" t="s">
        <v>130</v>
      </c>
      <c r="E827" s="11" t="s">
        <v>25</v>
      </c>
      <c r="F827" s="12">
        <v>46199</v>
      </c>
      <c r="G827" s="11" t="s">
        <v>226</v>
      </c>
      <c r="H827">
        <v>1</v>
      </c>
      <c r="I827" s="11" t="s">
        <v>2667</v>
      </c>
      <c r="M827" s="11" t="s">
        <v>87</v>
      </c>
      <c r="N827" s="11" t="s">
        <v>2668</v>
      </c>
      <c r="O827" s="11" t="s">
        <v>978</v>
      </c>
      <c r="P827" s="11" t="s">
        <v>2667</v>
      </c>
      <c r="Q827" s="11" t="s">
        <v>135</v>
      </c>
      <c r="U827" s="11" t="s">
        <v>231</v>
      </c>
      <c r="V827" s="11" t="s">
        <v>137</v>
      </c>
      <c r="W827" s="13">
        <v>46302.314618055556</v>
      </c>
    </row>
    <row r="828" spans="1:23">
      <c r="A828">
        <v>273096</v>
      </c>
      <c r="B828">
        <v>10606</v>
      </c>
      <c r="C828" s="11" t="s">
        <v>129</v>
      </c>
      <c r="D828" s="11" t="s">
        <v>130</v>
      </c>
      <c r="E828" s="11" t="s">
        <v>25</v>
      </c>
      <c r="F828" s="12">
        <v>46199</v>
      </c>
      <c r="G828" s="11" t="s">
        <v>308</v>
      </c>
      <c r="H828">
        <v>1</v>
      </c>
      <c r="I828" s="11" t="s">
        <v>2610</v>
      </c>
      <c r="M828" s="11" t="s">
        <v>90</v>
      </c>
      <c r="N828" s="11" t="s">
        <v>1130</v>
      </c>
      <c r="O828" s="11" t="s">
        <v>2669</v>
      </c>
      <c r="P828" s="11" t="s">
        <v>2610</v>
      </c>
      <c r="Q828" s="11" t="s">
        <v>135</v>
      </c>
      <c r="U828" s="11" t="s">
        <v>311</v>
      </c>
      <c r="V828" s="11" t="s">
        <v>137</v>
      </c>
      <c r="W828" s="13">
        <v>46302.314618055556</v>
      </c>
    </row>
    <row r="829" spans="1:23">
      <c r="A829">
        <v>273097</v>
      </c>
      <c r="B829">
        <v>10607</v>
      </c>
      <c r="C829" s="11" t="s">
        <v>129</v>
      </c>
      <c r="D829" s="11" t="s">
        <v>130</v>
      </c>
      <c r="E829" s="11" t="s">
        <v>25</v>
      </c>
      <c r="F829" s="12">
        <v>46199</v>
      </c>
      <c r="G829" s="11" t="s">
        <v>232</v>
      </c>
      <c r="H829">
        <v>1</v>
      </c>
      <c r="I829" s="11" t="s">
        <v>2670</v>
      </c>
      <c r="M829" s="11" t="s">
        <v>89</v>
      </c>
      <c r="N829" s="11" t="s">
        <v>2671</v>
      </c>
      <c r="O829" s="11" t="s">
        <v>2672</v>
      </c>
      <c r="P829" s="11" t="s">
        <v>2670</v>
      </c>
      <c r="Q829" s="11" t="s">
        <v>135</v>
      </c>
      <c r="U829" s="11" t="s">
        <v>236</v>
      </c>
      <c r="V829" s="11" t="s">
        <v>137</v>
      </c>
      <c r="W829" s="13">
        <v>46302.314618055556</v>
      </c>
    </row>
    <row r="830" spans="1:23">
      <c r="A830">
        <v>273098</v>
      </c>
      <c r="B830">
        <v>10608</v>
      </c>
      <c r="C830" s="11" t="s">
        <v>129</v>
      </c>
      <c r="D830" s="11" t="s">
        <v>130</v>
      </c>
      <c r="E830" s="11" t="s">
        <v>25</v>
      </c>
      <c r="F830" s="12">
        <v>46199</v>
      </c>
      <c r="G830" s="11" t="s">
        <v>237</v>
      </c>
      <c r="H830">
        <v>2</v>
      </c>
      <c r="I830" s="11" t="s">
        <v>2673</v>
      </c>
      <c r="M830" s="11" t="s">
        <v>71</v>
      </c>
      <c r="N830" s="11" t="s">
        <v>2674</v>
      </c>
      <c r="O830" s="11" t="s">
        <v>2675</v>
      </c>
      <c r="P830" s="11" t="s">
        <v>2676</v>
      </c>
      <c r="Q830" s="11" t="s">
        <v>135</v>
      </c>
      <c r="U830" s="11" t="s">
        <v>241</v>
      </c>
      <c r="V830" s="11" t="s">
        <v>137</v>
      </c>
      <c r="W830" s="13">
        <v>46302.314618055556</v>
      </c>
    </row>
    <row r="831" spans="1:23">
      <c r="A831">
        <v>273099</v>
      </c>
      <c r="B831">
        <v>10609</v>
      </c>
      <c r="C831" s="11" t="s">
        <v>129</v>
      </c>
      <c r="D831" s="11" t="s">
        <v>130</v>
      </c>
      <c r="E831" s="11" t="s">
        <v>25</v>
      </c>
      <c r="F831" s="12">
        <v>46199</v>
      </c>
      <c r="G831" s="11" t="s">
        <v>226</v>
      </c>
      <c r="H831">
        <v>1</v>
      </c>
      <c r="I831" s="11" t="s">
        <v>2677</v>
      </c>
      <c r="M831" s="11" t="s">
        <v>87</v>
      </c>
      <c r="N831" s="11" t="s">
        <v>2678</v>
      </c>
      <c r="O831" s="11" t="s">
        <v>2679</v>
      </c>
      <c r="P831" s="11" t="s">
        <v>2677</v>
      </c>
      <c r="Q831" s="11" t="s">
        <v>135</v>
      </c>
      <c r="U831" s="11" t="s">
        <v>231</v>
      </c>
      <c r="V831" s="11" t="s">
        <v>137</v>
      </c>
      <c r="W831" s="13">
        <v>46302.314618055556</v>
      </c>
    </row>
    <row r="832" spans="1:23">
      <c r="A832">
        <v>273100</v>
      </c>
      <c r="B832">
        <v>10610</v>
      </c>
      <c r="C832" s="11" t="s">
        <v>129</v>
      </c>
      <c r="D832" s="11" t="s">
        <v>130</v>
      </c>
      <c r="E832" s="11" t="s">
        <v>25</v>
      </c>
      <c r="F832" s="12">
        <v>46199</v>
      </c>
      <c r="G832" s="11" t="s">
        <v>804</v>
      </c>
      <c r="H832">
        <v>5</v>
      </c>
      <c r="I832" s="11" t="s">
        <v>2680</v>
      </c>
      <c r="M832" s="11" t="s">
        <v>76</v>
      </c>
      <c r="N832" s="11" t="s">
        <v>2681</v>
      </c>
      <c r="O832" s="11" t="s">
        <v>2682</v>
      </c>
      <c r="P832" s="11" t="s">
        <v>2683</v>
      </c>
      <c r="Q832" s="11" t="s">
        <v>135</v>
      </c>
      <c r="U832" s="11" t="s">
        <v>808</v>
      </c>
      <c r="V832" s="11" t="s">
        <v>137</v>
      </c>
      <c r="W832" s="13">
        <v>46302.314618055556</v>
      </c>
    </row>
    <row r="833" spans="1:23">
      <c r="A833">
        <v>273101</v>
      </c>
      <c r="B833">
        <v>10611</v>
      </c>
      <c r="C833" s="11" t="s">
        <v>129</v>
      </c>
      <c r="D833" s="11" t="s">
        <v>130</v>
      </c>
      <c r="E833" s="11" t="s">
        <v>25</v>
      </c>
      <c r="F833" s="12">
        <v>46199</v>
      </c>
      <c r="G833" s="11" t="s">
        <v>1679</v>
      </c>
      <c r="H833">
        <v>1</v>
      </c>
      <c r="I833" s="11" t="s">
        <v>2148</v>
      </c>
      <c r="M833" s="11" t="s">
        <v>87</v>
      </c>
      <c r="N833" s="11" t="s">
        <v>2684</v>
      </c>
      <c r="O833" s="11" t="s">
        <v>2685</v>
      </c>
      <c r="P833" s="11" t="s">
        <v>2148</v>
      </c>
      <c r="Q833" s="11" t="s">
        <v>135</v>
      </c>
      <c r="U833" s="11" t="s">
        <v>1682</v>
      </c>
      <c r="V833" s="11" t="s">
        <v>137</v>
      </c>
      <c r="W833" s="13">
        <v>46302.314618055556</v>
      </c>
    </row>
    <row r="834" spans="1:23">
      <c r="A834">
        <v>273102</v>
      </c>
      <c r="B834">
        <v>10612</v>
      </c>
      <c r="C834" s="11" t="s">
        <v>129</v>
      </c>
      <c r="D834" s="11" t="s">
        <v>130</v>
      </c>
      <c r="E834" s="11" t="s">
        <v>25</v>
      </c>
      <c r="F834" s="12">
        <v>46199</v>
      </c>
      <c r="G834" s="11" t="s">
        <v>263</v>
      </c>
      <c r="H834">
        <v>1</v>
      </c>
      <c r="I834" s="11" t="s">
        <v>2686</v>
      </c>
      <c r="M834" s="11" t="s">
        <v>92</v>
      </c>
      <c r="N834" s="11" t="s">
        <v>2687</v>
      </c>
      <c r="O834" s="11" t="s">
        <v>2688</v>
      </c>
      <c r="P834" s="11" t="s">
        <v>2686</v>
      </c>
      <c r="Q834" s="11" t="s">
        <v>135</v>
      </c>
      <c r="U834" s="11" t="s">
        <v>267</v>
      </c>
      <c r="V834" s="11" t="s">
        <v>137</v>
      </c>
      <c r="W834" s="13">
        <v>46302.314618055556</v>
      </c>
    </row>
    <row r="835" spans="1:23">
      <c r="A835">
        <v>273103</v>
      </c>
      <c r="B835">
        <v>10613</v>
      </c>
      <c r="C835" s="11" t="s">
        <v>129</v>
      </c>
      <c r="D835" s="11" t="s">
        <v>130</v>
      </c>
      <c r="E835" s="11" t="s">
        <v>25</v>
      </c>
      <c r="F835" s="12">
        <v>46199</v>
      </c>
      <c r="G835" s="11" t="s">
        <v>274</v>
      </c>
      <c r="H835">
        <v>1</v>
      </c>
      <c r="I835" s="11" t="s">
        <v>2689</v>
      </c>
      <c r="M835" s="11" t="s">
        <v>77</v>
      </c>
      <c r="N835" s="11" t="s">
        <v>2690</v>
      </c>
      <c r="O835" s="11" t="s">
        <v>2691</v>
      </c>
      <c r="P835" s="11" t="s">
        <v>2689</v>
      </c>
      <c r="Q835" s="11" t="s">
        <v>135</v>
      </c>
      <c r="U835" s="11" t="s">
        <v>278</v>
      </c>
      <c r="V835" s="11" t="s">
        <v>137</v>
      </c>
      <c r="W835" s="13">
        <v>46302.314618055556</v>
      </c>
    </row>
    <row r="836" spans="1:23">
      <c r="A836">
        <v>273104</v>
      </c>
      <c r="B836">
        <v>10614</v>
      </c>
      <c r="C836" s="11" t="s">
        <v>129</v>
      </c>
      <c r="D836" s="11" t="s">
        <v>130</v>
      </c>
      <c r="E836" s="11" t="s">
        <v>25</v>
      </c>
      <c r="F836" s="12">
        <v>46199</v>
      </c>
      <c r="G836" s="11" t="s">
        <v>284</v>
      </c>
      <c r="H836">
        <v>1</v>
      </c>
      <c r="I836" s="11" t="s">
        <v>2692</v>
      </c>
      <c r="M836" s="11" t="s">
        <v>80</v>
      </c>
      <c r="N836" s="11" t="s">
        <v>2693</v>
      </c>
      <c r="O836" s="11" t="s">
        <v>2694</v>
      </c>
      <c r="P836" s="11" t="s">
        <v>2692</v>
      </c>
      <c r="Q836" s="11" t="s">
        <v>135</v>
      </c>
      <c r="U836" s="11" t="s">
        <v>288</v>
      </c>
      <c r="V836" s="11" t="s">
        <v>137</v>
      </c>
      <c r="W836" s="13">
        <v>46302.314618055556</v>
      </c>
    </row>
    <row r="837" spans="1:23">
      <c r="A837">
        <v>273105</v>
      </c>
      <c r="B837">
        <v>10615</v>
      </c>
      <c r="C837" s="11" t="s">
        <v>129</v>
      </c>
      <c r="D837" s="11" t="s">
        <v>130</v>
      </c>
      <c r="E837" s="11" t="s">
        <v>25</v>
      </c>
      <c r="F837" s="12">
        <v>46199</v>
      </c>
      <c r="G837" s="11" t="s">
        <v>1052</v>
      </c>
      <c r="H837">
        <v>1</v>
      </c>
      <c r="I837" s="11" t="s">
        <v>2695</v>
      </c>
      <c r="M837" s="11" t="s">
        <v>84</v>
      </c>
      <c r="N837" s="11" t="s">
        <v>2696</v>
      </c>
      <c r="O837" s="11" t="s">
        <v>2697</v>
      </c>
      <c r="P837" s="11" t="s">
        <v>2695</v>
      </c>
      <c r="Q837" s="11" t="s">
        <v>135</v>
      </c>
      <c r="U837" s="11" t="s">
        <v>1056</v>
      </c>
      <c r="V837" s="11" t="s">
        <v>137</v>
      </c>
      <c r="W837" s="13">
        <v>46302.314618055556</v>
      </c>
    </row>
    <row r="838" spans="1:23">
      <c r="A838">
        <v>273106</v>
      </c>
      <c r="B838">
        <v>10616</v>
      </c>
      <c r="C838" s="11" t="s">
        <v>129</v>
      </c>
      <c r="D838" s="11" t="s">
        <v>130</v>
      </c>
      <c r="E838" s="11" t="s">
        <v>25</v>
      </c>
      <c r="F838" s="12">
        <v>46199</v>
      </c>
      <c r="G838" s="11" t="s">
        <v>842</v>
      </c>
      <c r="H838">
        <v>1</v>
      </c>
      <c r="I838" s="11" t="s">
        <v>2698</v>
      </c>
      <c r="M838" s="11" t="s">
        <v>71</v>
      </c>
      <c r="N838" s="11" t="s">
        <v>2699</v>
      </c>
      <c r="O838" s="11" t="s">
        <v>2700</v>
      </c>
      <c r="P838" s="11" t="s">
        <v>2698</v>
      </c>
      <c r="Q838" s="11" t="s">
        <v>135</v>
      </c>
      <c r="U838" s="11" t="s">
        <v>846</v>
      </c>
      <c r="V838" s="11" t="s">
        <v>137</v>
      </c>
      <c r="W838" s="13">
        <v>46302.314618055556</v>
      </c>
    </row>
    <row r="839" spans="1:23">
      <c r="A839">
        <v>273107</v>
      </c>
      <c r="B839">
        <v>10617</v>
      </c>
      <c r="C839" s="11" t="s">
        <v>129</v>
      </c>
      <c r="D839" s="11" t="s">
        <v>130</v>
      </c>
      <c r="E839" s="11" t="s">
        <v>25</v>
      </c>
      <c r="F839" s="12">
        <v>46199</v>
      </c>
      <c r="G839" s="11" t="s">
        <v>823</v>
      </c>
      <c r="H839">
        <v>1</v>
      </c>
      <c r="I839" s="11" t="s">
        <v>2701</v>
      </c>
      <c r="M839" s="11" t="s">
        <v>92</v>
      </c>
      <c r="N839" s="11" t="s">
        <v>2702</v>
      </c>
      <c r="O839" s="11" t="s">
        <v>2703</v>
      </c>
      <c r="P839" s="11" t="s">
        <v>2701</v>
      </c>
      <c r="Q839" s="11" t="s">
        <v>135</v>
      </c>
      <c r="U839" s="11" t="s">
        <v>827</v>
      </c>
      <c r="V839" s="11" t="s">
        <v>137</v>
      </c>
      <c r="W839" s="13">
        <v>46302.314618055556</v>
      </c>
    </row>
    <row r="840" spans="1:23">
      <c r="A840">
        <v>273108</v>
      </c>
      <c r="B840">
        <v>10618</v>
      </c>
      <c r="C840" s="11" t="s">
        <v>129</v>
      </c>
      <c r="D840" s="11" t="s">
        <v>130</v>
      </c>
      <c r="E840" s="11" t="s">
        <v>25</v>
      </c>
      <c r="F840" s="12">
        <v>46199</v>
      </c>
      <c r="G840" s="11" t="s">
        <v>804</v>
      </c>
      <c r="H840">
        <v>5</v>
      </c>
      <c r="I840" s="11" t="s">
        <v>2704</v>
      </c>
      <c r="M840" s="11" t="s">
        <v>76</v>
      </c>
      <c r="N840" s="11" t="s">
        <v>2705</v>
      </c>
      <c r="O840" s="11" t="s">
        <v>2706</v>
      </c>
      <c r="P840" s="11" t="s">
        <v>2707</v>
      </c>
      <c r="Q840" s="11" t="s">
        <v>135</v>
      </c>
      <c r="U840" s="11" t="s">
        <v>808</v>
      </c>
      <c r="V840" s="11" t="s">
        <v>137</v>
      </c>
      <c r="W840" s="13">
        <v>46302.314618055556</v>
      </c>
    </row>
    <row r="841" spans="1:23">
      <c r="A841">
        <v>273109</v>
      </c>
      <c r="B841">
        <v>10619</v>
      </c>
      <c r="C841" s="11" t="s">
        <v>129</v>
      </c>
      <c r="D841" s="11" t="s">
        <v>130</v>
      </c>
      <c r="E841" s="11" t="s">
        <v>25</v>
      </c>
      <c r="F841" s="12">
        <v>46199</v>
      </c>
      <c r="G841" s="11" t="s">
        <v>226</v>
      </c>
      <c r="H841">
        <v>1</v>
      </c>
      <c r="I841" s="11" t="s">
        <v>2708</v>
      </c>
      <c r="M841" s="11" t="s">
        <v>87</v>
      </c>
      <c r="N841" s="11" t="s">
        <v>2709</v>
      </c>
      <c r="O841" s="11" t="s">
        <v>2710</v>
      </c>
      <c r="P841" s="11" t="s">
        <v>2708</v>
      </c>
      <c r="Q841" s="11" t="s">
        <v>135</v>
      </c>
      <c r="U841" s="11" t="s">
        <v>231</v>
      </c>
      <c r="V841" s="11" t="s">
        <v>137</v>
      </c>
      <c r="W841" s="13">
        <v>46302.314618055556</v>
      </c>
    </row>
    <row r="842" spans="1:23">
      <c r="A842">
        <v>273399</v>
      </c>
      <c r="B842">
        <v>10052</v>
      </c>
      <c r="C842" s="11" t="s">
        <v>129</v>
      </c>
      <c r="D842" s="11" t="s">
        <v>130</v>
      </c>
      <c r="E842" s="11" t="s">
        <v>25</v>
      </c>
      <c r="F842" s="12">
        <v>46202</v>
      </c>
      <c r="G842" s="11" t="s">
        <v>131</v>
      </c>
      <c r="H842">
        <v>1</v>
      </c>
      <c r="I842" s="11" t="s">
        <v>1800</v>
      </c>
      <c r="M842" s="11" t="s">
        <v>87</v>
      </c>
      <c r="N842" s="11" t="s">
        <v>2711</v>
      </c>
      <c r="O842" s="11" t="s">
        <v>2712</v>
      </c>
      <c r="P842" s="11" t="s">
        <v>1800</v>
      </c>
      <c r="Q842" s="11" t="s">
        <v>135</v>
      </c>
      <c r="U842" s="11" t="s">
        <v>136</v>
      </c>
      <c r="V842" s="11" t="s">
        <v>137</v>
      </c>
      <c r="W842" s="13">
        <v>46302.314618055556</v>
      </c>
    </row>
    <row r="843" spans="1:23">
      <c r="A843">
        <v>273400</v>
      </c>
      <c r="B843">
        <v>10053</v>
      </c>
      <c r="C843" s="11" t="s">
        <v>129</v>
      </c>
      <c r="D843" s="11" t="s">
        <v>130</v>
      </c>
      <c r="E843" s="11" t="s">
        <v>25</v>
      </c>
      <c r="F843" s="12">
        <v>46202</v>
      </c>
      <c r="G843" s="11" t="s">
        <v>1740</v>
      </c>
      <c r="H843">
        <v>8</v>
      </c>
      <c r="I843" s="11" t="s">
        <v>2713</v>
      </c>
      <c r="M843" s="11" t="s">
        <v>69</v>
      </c>
      <c r="N843" s="11" t="s">
        <v>2714</v>
      </c>
      <c r="O843" s="11" t="s">
        <v>2715</v>
      </c>
      <c r="P843" s="11" t="s">
        <v>2716</v>
      </c>
      <c r="Q843" s="11" t="s">
        <v>2717</v>
      </c>
      <c r="U843" s="11" t="s">
        <v>1745</v>
      </c>
      <c r="V843" s="11" t="s">
        <v>137</v>
      </c>
      <c r="W843" s="13">
        <v>46302.314618055556</v>
      </c>
    </row>
    <row r="844" spans="1:23">
      <c r="A844">
        <v>273401</v>
      </c>
      <c r="B844">
        <v>10055</v>
      </c>
      <c r="C844" s="11" t="s">
        <v>129</v>
      </c>
      <c r="D844" s="11" t="s">
        <v>130</v>
      </c>
      <c r="E844" s="11" t="s">
        <v>25</v>
      </c>
      <c r="F844" s="12">
        <v>46202</v>
      </c>
      <c r="G844" s="11" t="s">
        <v>143</v>
      </c>
      <c r="H844">
        <v>1</v>
      </c>
      <c r="I844" s="11" t="s">
        <v>2718</v>
      </c>
      <c r="M844" s="11" t="s">
        <v>39</v>
      </c>
      <c r="N844" s="11" t="s">
        <v>2719</v>
      </c>
      <c r="O844" s="11" t="s">
        <v>2720</v>
      </c>
      <c r="P844" s="11" t="s">
        <v>2718</v>
      </c>
      <c r="Q844" s="11" t="s">
        <v>135</v>
      </c>
      <c r="U844" s="11" t="s">
        <v>148</v>
      </c>
      <c r="V844" s="11" t="s">
        <v>137</v>
      </c>
      <c r="W844" s="13">
        <v>46302.314618055556</v>
      </c>
    </row>
    <row r="845" spans="1:23">
      <c r="A845">
        <v>273402</v>
      </c>
      <c r="B845">
        <v>10056</v>
      </c>
      <c r="C845" s="11" t="s">
        <v>129</v>
      </c>
      <c r="D845" s="11" t="s">
        <v>130</v>
      </c>
      <c r="E845" s="11" t="s">
        <v>25</v>
      </c>
      <c r="F845" s="12">
        <v>46202</v>
      </c>
      <c r="G845" s="11" t="s">
        <v>143</v>
      </c>
      <c r="H845">
        <v>1</v>
      </c>
      <c r="I845" s="11" t="s">
        <v>1468</v>
      </c>
      <c r="M845" s="11" t="s">
        <v>39</v>
      </c>
      <c r="N845" s="11" t="s">
        <v>2721</v>
      </c>
      <c r="O845" s="11" t="s">
        <v>2722</v>
      </c>
      <c r="P845" s="11" t="s">
        <v>1468</v>
      </c>
      <c r="Q845" s="11" t="s">
        <v>135</v>
      </c>
      <c r="U845" s="11" t="s">
        <v>148</v>
      </c>
      <c r="V845" s="11" t="s">
        <v>137</v>
      </c>
      <c r="W845" s="13">
        <v>46302.314618055556</v>
      </c>
    </row>
    <row r="846" spans="1:23">
      <c r="A846">
        <v>273403</v>
      </c>
      <c r="B846">
        <v>10057</v>
      </c>
      <c r="C846" s="11" t="s">
        <v>129</v>
      </c>
      <c r="D846" s="11" t="s">
        <v>130</v>
      </c>
      <c r="E846" s="11" t="s">
        <v>25</v>
      </c>
      <c r="F846" s="12">
        <v>46202</v>
      </c>
      <c r="G846" s="11" t="s">
        <v>143</v>
      </c>
      <c r="H846">
        <v>1</v>
      </c>
      <c r="I846" s="11" t="s">
        <v>2485</v>
      </c>
      <c r="M846" s="11" t="s">
        <v>39</v>
      </c>
      <c r="N846" s="11" t="s">
        <v>2723</v>
      </c>
      <c r="O846" s="11" t="s">
        <v>2724</v>
      </c>
      <c r="P846" s="11" t="s">
        <v>2485</v>
      </c>
      <c r="Q846" s="11" t="s">
        <v>135</v>
      </c>
      <c r="U846" s="11" t="s">
        <v>148</v>
      </c>
      <c r="V846" s="11" t="s">
        <v>137</v>
      </c>
      <c r="W846" s="13">
        <v>46302.314618055556</v>
      </c>
    </row>
    <row r="847" spans="1:23">
      <c r="A847">
        <v>273404</v>
      </c>
      <c r="B847">
        <v>10058</v>
      </c>
      <c r="C847" s="11" t="s">
        <v>129</v>
      </c>
      <c r="D847" s="11" t="s">
        <v>130</v>
      </c>
      <c r="E847" s="11" t="s">
        <v>25</v>
      </c>
      <c r="F847" s="12">
        <v>46202</v>
      </c>
      <c r="G847" s="11" t="s">
        <v>195</v>
      </c>
      <c r="H847">
        <v>1</v>
      </c>
      <c r="I847" s="11" t="s">
        <v>2452</v>
      </c>
      <c r="M847" s="11" t="s">
        <v>68</v>
      </c>
      <c r="N847" s="11" t="s">
        <v>2725</v>
      </c>
      <c r="O847" s="11" t="s">
        <v>2726</v>
      </c>
      <c r="P847" s="11" t="s">
        <v>2452</v>
      </c>
      <c r="Q847" s="11" t="s">
        <v>135</v>
      </c>
      <c r="U847" s="11" t="s">
        <v>199</v>
      </c>
      <c r="V847" s="11" t="s">
        <v>137</v>
      </c>
      <c r="W847" s="13">
        <v>46302.314618055556</v>
      </c>
    </row>
    <row r="848" spans="1:23">
      <c r="A848">
        <v>273405</v>
      </c>
      <c r="B848">
        <v>10059</v>
      </c>
      <c r="C848" s="11" t="s">
        <v>129</v>
      </c>
      <c r="D848" s="11" t="s">
        <v>130</v>
      </c>
      <c r="E848" s="11" t="s">
        <v>25</v>
      </c>
      <c r="F848" s="12">
        <v>46202</v>
      </c>
      <c r="G848" s="11" t="s">
        <v>143</v>
      </c>
      <c r="H848">
        <v>1</v>
      </c>
      <c r="I848" s="11" t="s">
        <v>2171</v>
      </c>
      <c r="M848" s="11" t="s">
        <v>39</v>
      </c>
      <c r="N848" s="11" t="s">
        <v>2727</v>
      </c>
      <c r="O848" s="11" t="s">
        <v>431</v>
      </c>
      <c r="P848" s="11" t="s">
        <v>2171</v>
      </c>
      <c r="Q848" s="11" t="s">
        <v>135</v>
      </c>
      <c r="U848" s="11" t="s">
        <v>148</v>
      </c>
      <c r="V848" s="11" t="s">
        <v>137</v>
      </c>
      <c r="W848" s="13">
        <v>46302.314618055556</v>
      </c>
    </row>
    <row r="849" spans="1:23">
      <c r="A849">
        <v>273406</v>
      </c>
      <c r="B849">
        <v>10060</v>
      </c>
      <c r="C849" s="11" t="s">
        <v>129</v>
      </c>
      <c r="D849" s="11" t="s">
        <v>130</v>
      </c>
      <c r="E849" s="11" t="s">
        <v>25</v>
      </c>
      <c r="F849" s="12">
        <v>46202</v>
      </c>
      <c r="G849" s="11" t="s">
        <v>195</v>
      </c>
      <c r="H849">
        <v>1</v>
      </c>
      <c r="I849" s="11" t="s">
        <v>1752</v>
      </c>
      <c r="M849" s="11" t="s">
        <v>68</v>
      </c>
      <c r="N849" s="11" t="s">
        <v>2728</v>
      </c>
      <c r="O849" s="11" t="s">
        <v>2729</v>
      </c>
      <c r="P849" s="11" t="s">
        <v>1752</v>
      </c>
      <c r="Q849" s="11" t="s">
        <v>135</v>
      </c>
      <c r="U849" s="11" t="s">
        <v>199</v>
      </c>
      <c r="V849" s="11" t="s">
        <v>137</v>
      </c>
      <c r="W849" s="13">
        <v>46302.314618055556</v>
      </c>
    </row>
    <row r="850" spans="1:23">
      <c r="A850">
        <v>273407</v>
      </c>
      <c r="B850">
        <v>10061</v>
      </c>
      <c r="C850" s="11" t="s">
        <v>129</v>
      </c>
      <c r="D850" s="11" t="s">
        <v>130</v>
      </c>
      <c r="E850" s="11" t="s">
        <v>25</v>
      </c>
      <c r="F850" s="12">
        <v>46202</v>
      </c>
      <c r="G850" s="11" t="s">
        <v>143</v>
      </c>
      <c r="H850">
        <v>1</v>
      </c>
      <c r="I850" s="11" t="s">
        <v>2730</v>
      </c>
      <c r="M850" s="11" t="s">
        <v>39</v>
      </c>
      <c r="N850" s="11" t="s">
        <v>2731</v>
      </c>
      <c r="O850" s="11" t="s">
        <v>2030</v>
      </c>
      <c r="P850" s="11" t="s">
        <v>2730</v>
      </c>
      <c r="Q850" s="11" t="s">
        <v>135</v>
      </c>
      <c r="U850" s="11" t="s">
        <v>148</v>
      </c>
      <c r="V850" s="11" t="s">
        <v>137</v>
      </c>
      <c r="W850" s="13">
        <v>46302.314618055556</v>
      </c>
    </row>
    <row r="851" spans="1:23">
      <c r="A851">
        <v>273408</v>
      </c>
      <c r="B851">
        <v>10062</v>
      </c>
      <c r="C851" s="11" t="s">
        <v>129</v>
      </c>
      <c r="D851" s="11" t="s">
        <v>130</v>
      </c>
      <c r="E851" s="11" t="s">
        <v>25</v>
      </c>
      <c r="F851" s="12">
        <v>46202</v>
      </c>
      <c r="G851" s="11" t="s">
        <v>195</v>
      </c>
      <c r="H851">
        <v>1</v>
      </c>
      <c r="I851" s="11" t="s">
        <v>2732</v>
      </c>
      <c r="M851" s="11" t="s">
        <v>68</v>
      </c>
      <c r="N851" s="11" t="s">
        <v>2733</v>
      </c>
      <c r="O851" s="11" t="s">
        <v>2734</v>
      </c>
      <c r="P851" s="11" t="s">
        <v>2732</v>
      </c>
      <c r="Q851" s="11" t="s">
        <v>135</v>
      </c>
      <c r="U851" s="11" t="s">
        <v>199</v>
      </c>
      <c r="V851" s="11" t="s">
        <v>137</v>
      </c>
      <c r="W851" s="13">
        <v>46302.314618055556</v>
      </c>
    </row>
    <row r="852" spans="1:23">
      <c r="A852">
        <v>273409</v>
      </c>
      <c r="B852">
        <v>10063</v>
      </c>
      <c r="C852" s="11" t="s">
        <v>129</v>
      </c>
      <c r="D852" s="11" t="s">
        <v>130</v>
      </c>
      <c r="E852" s="11" t="s">
        <v>25</v>
      </c>
      <c r="F852" s="12">
        <v>46202</v>
      </c>
      <c r="G852" s="11" t="s">
        <v>174</v>
      </c>
      <c r="H852">
        <v>1</v>
      </c>
      <c r="I852" s="11" t="s">
        <v>2735</v>
      </c>
      <c r="M852" s="11" t="s">
        <v>92</v>
      </c>
      <c r="N852" s="11" t="s">
        <v>2736</v>
      </c>
      <c r="O852" s="11" t="s">
        <v>2737</v>
      </c>
      <c r="P852" s="11" t="s">
        <v>2735</v>
      </c>
      <c r="Q852" s="11" t="s">
        <v>135</v>
      </c>
      <c r="U852" s="11" t="s">
        <v>178</v>
      </c>
      <c r="V852" s="11" t="s">
        <v>137</v>
      </c>
      <c r="W852" s="13">
        <v>46302.314618055556</v>
      </c>
    </row>
    <row r="853" spans="1:23">
      <c r="A853">
        <v>273410</v>
      </c>
      <c r="B853">
        <v>10064</v>
      </c>
      <c r="C853" s="11" t="s">
        <v>129</v>
      </c>
      <c r="D853" s="11" t="s">
        <v>130</v>
      </c>
      <c r="E853" s="11" t="s">
        <v>25</v>
      </c>
      <c r="F853" s="12">
        <v>46202</v>
      </c>
      <c r="G853" s="11" t="s">
        <v>143</v>
      </c>
      <c r="H853">
        <v>1</v>
      </c>
      <c r="I853" s="11" t="s">
        <v>2738</v>
      </c>
      <c r="M853" s="11" t="s">
        <v>39</v>
      </c>
      <c r="N853" s="11" t="s">
        <v>2739</v>
      </c>
      <c r="O853" s="11" t="s">
        <v>2740</v>
      </c>
      <c r="P853" s="11" t="s">
        <v>2738</v>
      </c>
      <c r="Q853" s="11" t="s">
        <v>135</v>
      </c>
      <c r="U853" s="11" t="s">
        <v>148</v>
      </c>
      <c r="V853" s="11" t="s">
        <v>137</v>
      </c>
      <c r="W853" s="13">
        <v>46302.314618055556</v>
      </c>
    </row>
    <row r="854" spans="1:23">
      <c r="A854">
        <v>273411</v>
      </c>
      <c r="B854">
        <v>10065</v>
      </c>
      <c r="C854" s="11" t="s">
        <v>129</v>
      </c>
      <c r="D854" s="11" t="s">
        <v>130</v>
      </c>
      <c r="E854" s="11" t="s">
        <v>25</v>
      </c>
      <c r="F854" s="12">
        <v>46202</v>
      </c>
      <c r="G854" s="11" t="s">
        <v>164</v>
      </c>
      <c r="H854">
        <v>1</v>
      </c>
      <c r="I854" s="11" t="s">
        <v>2741</v>
      </c>
      <c r="M854" s="11" t="s">
        <v>62</v>
      </c>
      <c r="N854" s="11" t="s">
        <v>2742</v>
      </c>
      <c r="O854" s="11" t="s">
        <v>2743</v>
      </c>
      <c r="P854" s="11" t="s">
        <v>2741</v>
      </c>
      <c r="Q854" s="11" t="s">
        <v>135</v>
      </c>
      <c r="U854" s="11" t="s">
        <v>168</v>
      </c>
      <c r="V854" s="11" t="s">
        <v>137</v>
      </c>
      <c r="W854" s="13">
        <v>46302.314618055556</v>
      </c>
    </row>
    <row r="855" spans="1:23">
      <c r="A855">
        <v>273412</v>
      </c>
      <c r="B855">
        <v>10066</v>
      </c>
      <c r="C855" s="11" t="s">
        <v>129</v>
      </c>
      <c r="D855" s="11" t="s">
        <v>130</v>
      </c>
      <c r="E855" s="11" t="s">
        <v>25</v>
      </c>
      <c r="F855" s="12">
        <v>46202</v>
      </c>
      <c r="G855" s="11" t="s">
        <v>143</v>
      </c>
      <c r="H855">
        <v>1</v>
      </c>
      <c r="I855" s="11" t="s">
        <v>2744</v>
      </c>
      <c r="M855" s="11" t="s">
        <v>39</v>
      </c>
      <c r="N855" s="11" t="s">
        <v>2745</v>
      </c>
      <c r="O855" s="11" t="s">
        <v>2746</v>
      </c>
      <c r="P855" s="11" t="s">
        <v>2744</v>
      </c>
      <c r="Q855" s="11" t="s">
        <v>135</v>
      </c>
      <c r="U855" s="11" t="s">
        <v>148</v>
      </c>
      <c r="V855" s="11" t="s">
        <v>137</v>
      </c>
      <c r="W855" s="13">
        <v>46302.314618055556</v>
      </c>
    </row>
    <row r="856" spans="1:23">
      <c r="A856">
        <v>273413</v>
      </c>
      <c r="B856">
        <v>10067</v>
      </c>
      <c r="C856" s="11" t="s">
        <v>129</v>
      </c>
      <c r="D856" s="11" t="s">
        <v>130</v>
      </c>
      <c r="E856" s="11" t="s">
        <v>25</v>
      </c>
      <c r="F856" s="12">
        <v>46202</v>
      </c>
      <c r="G856" s="11" t="s">
        <v>131</v>
      </c>
      <c r="H856">
        <v>1</v>
      </c>
      <c r="I856" s="11" t="s">
        <v>2747</v>
      </c>
      <c r="M856" s="11" t="s">
        <v>87</v>
      </c>
      <c r="N856" s="11" t="s">
        <v>2748</v>
      </c>
      <c r="O856" s="11" t="s">
        <v>2749</v>
      </c>
      <c r="P856" s="11" t="s">
        <v>2747</v>
      </c>
      <c r="Q856" s="11" t="s">
        <v>135</v>
      </c>
      <c r="U856" s="11" t="s">
        <v>136</v>
      </c>
      <c r="V856" s="11" t="s">
        <v>137</v>
      </c>
      <c r="W856" s="13">
        <v>46302.314618055556</v>
      </c>
    </row>
    <row r="857" spans="1:23">
      <c r="A857">
        <v>273414</v>
      </c>
      <c r="B857">
        <v>10068</v>
      </c>
      <c r="C857" s="11" t="s">
        <v>129</v>
      </c>
      <c r="D857" s="11" t="s">
        <v>130</v>
      </c>
      <c r="E857" s="11" t="s">
        <v>25</v>
      </c>
      <c r="F857" s="12">
        <v>46202</v>
      </c>
      <c r="G857" s="11" t="s">
        <v>174</v>
      </c>
      <c r="H857">
        <v>1</v>
      </c>
      <c r="I857" s="11" t="s">
        <v>2750</v>
      </c>
      <c r="M857" s="11" t="s">
        <v>92</v>
      </c>
      <c r="N857" s="11" t="s">
        <v>882</v>
      </c>
      <c r="O857" s="11" t="s">
        <v>2751</v>
      </c>
      <c r="P857" s="11" t="s">
        <v>2750</v>
      </c>
      <c r="Q857" s="11" t="s">
        <v>135</v>
      </c>
      <c r="U857" s="11" t="s">
        <v>178</v>
      </c>
      <c r="V857" s="11" t="s">
        <v>137</v>
      </c>
      <c r="W857" s="13">
        <v>46302.314618055556</v>
      </c>
    </row>
    <row r="858" spans="1:23">
      <c r="A858">
        <v>273415</v>
      </c>
      <c r="B858">
        <v>10069</v>
      </c>
      <c r="C858" s="11" t="s">
        <v>129</v>
      </c>
      <c r="D858" s="11" t="s">
        <v>130</v>
      </c>
      <c r="E858" s="11" t="s">
        <v>25</v>
      </c>
      <c r="F858" s="12">
        <v>46202</v>
      </c>
      <c r="G858" s="11" t="s">
        <v>149</v>
      </c>
      <c r="H858">
        <v>1</v>
      </c>
      <c r="I858" s="11" t="s">
        <v>2752</v>
      </c>
      <c r="M858" s="11" t="s">
        <v>77</v>
      </c>
      <c r="N858" s="11" t="s">
        <v>2753</v>
      </c>
      <c r="O858" s="11" t="s">
        <v>2754</v>
      </c>
      <c r="P858" s="11" t="s">
        <v>2752</v>
      </c>
      <c r="Q858" s="11" t="s">
        <v>135</v>
      </c>
      <c r="U858" s="11" t="s">
        <v>153</v>
      </c>
      <c r="V858" s="11" t="s">
        <v>137</v>
      </c>
      <c r="W858" s="13">
        <v>46302.314618055556</v>
      </c>
    </row>
    <row r="859" spans="1:23">
      <c r="A859">
        <v>273416</v>
      </c>
      <c r="B859">
        <v>10070</v>
      </c>
      <c r="C859" s="11" t="s">
        <v>129</v>
      </c>
      <c r="D859" s="11" t="s">
        <v>130</v>
      </c>
      <c r="E859" s="11" t="s">
        <v>25</v>
      </c>
      <c r="F859" s="12">
        <v>46202</v>
      </c>
      <c r="G859" s="11" t="s">
        <v>154</v>
      </c>
      <c r="H859">
        <v>1</v>
      </c>
      <c r="I859" s="11" t="s">
        <v>2755</v>
      </c>
      <c r="M859" s="11" t="s">
        <v>79</v>
      </c>
      <c r="N859" s="11" t="s">
        <v>2756</v>
      </c>
      <c r="O859" s="11" t="s">
        <v>2757</v>
      </c>
      <c r="P859" s="11" t="s">
        <v>2755</v>
      </c>
      <c r="Q859" s="11" t="s">
        <v>135</v>
      </c>
      <c r="U859" s="11" t="s">
        <v>158</v>
      </c>
      <c r="V859" s="11" t="s">
        <v>137</v>
      </c>
      <c r="W859" s="13">
        <v>46302.314618055556</v>
      </c>
    </row>
    <row r="860" spans="1:23">
      <c r="A860">
        <v>273417</v>
      </c>
      <c r="B860">
        <v>10071</v>
      </c>
      <c r="C860" s="11" t="s">
        <v>129</v>
      </c>
      <c r="D860" s="11" t="s">
        <v>130</v>
      </c>
      <c r="E860" s="11" t="s">
        <v>25</v>
      </c>
      <c r="F860" s="12">
        <v>46202</v>
      </c>
      <c r="G860" s="11" t="s">
        <v>523</v>
      </c>
      <c r="H860">
        <v>1</v>
      </c>
      <c r="I860" s="11" t="s">
        <v>2758</v>
      </c>
      <c r="M860" s="11" t="s">
        <v>80</v>
      </c>
      <c r="N860" s="11" t="s">
        <v>2759</v>
      </c>
      <c r="O860" s="11" t="s">
        <v>2760</v>
      </c>
      <c r="P860" s="11" t="s">
        <v>2758</v>
      </c>
      <c r="Q860" s="11" t="s">
        <v>135</v>
      </c>
      <c r="U860" s="11" t="s">
        <v>527</v>
      </c>
      <c r="V860" s="11" t="s">
        <v>137</v>
      </c>
      <c r="W860" s="13">
        <v>46302.314618055556</v>
      </c>
    </row>
    <row r="861" spans="1:23">
      <c r="A861">
        <v>273418</v>
      </c>
      <c r="B861">
        <v>10072</v>
      </c>
      <c r="C861" s="11" t="s">
        <v>129</v>
      </c>
      <c r="D861" s="11" t="s">
        <v>130</v>
      </c>
      <c r="E861" s="11" t="s">
        <v>25</v>
      </c>
      <c r="F861" s="12">
        <v>46202</v>
      </c>
      <c r="G861" s="11" t="s">
        <v>131</v>
      </c>
      <c r="H861">
        <v>1</v>
      </c>
      <c r="I861" s="11" t="s">
        <v>2761</v>
      </c>
      <c r="M861" s="11" t="s">
        <v>87</v>
      </c>
      <c r="N861" s="11" t="s">
        <v>2762</v>
      </c>
      <c r="O861" s="11" t="s">
        <v>2763</v>
      </c>
      <c r="P861" s="11" t="s">
        <v>2761</v>
      </c>
      <c r="Q861" s="11" t="s">
        <v>135</v>
      </c>
      <c r="U861" s="11" t="s">
        <v>136</v>
      </c>
      <c r="V861" s="11" t="s">
        <v>137</v>
      </c>
      <c r="W861" s="13">
        <v>46302.314618055556</v>
      </c>
    </row>
    <row r="862" spans="1:23">
      <c r="A862">
        <v>273419</v>
      </c>
      <c r="B862">
        <v>10073</v>
      </c>
      <c r="C862" s="11" t="s">
        <v>129</v>
      </c>
      <c r="D862" s="11" t="s">
        <v>130</v>
      </c>
      <c r="E862" s="11" t="s">
        <v>25</v>
      </c>
      <c r="F862" s="12">
        <v>46202</v>
      </c>
      <c r="G862" s="11" t="s">
        <v>528</v>
      </c>
      <c r="H862">
        <v>1</v>
      </c>
      <c r="I862" s="11" t="s">
        <v>2400</v>
      </c>
      <c r="M862" s="11" t="s">
        <v>82</v>
      </c>
      <c r="N862" s="11" t="s">
        <v>2764</v>
      </c>
      <c r="O862" s="11" t="s">
        <v>2765</v>
      </c>
      <c r="P862" s="11" t="s">
        <v>2400</v>
      </c>
      <c r="Q862" s="11" t="s">
        <v>135</v>
      </c>
      <c r="U862" s="11" t="s">
        <v>532</v>
      </c>
      <c r="V862" s="11" t="s">
        <v>137</v>
      </c>
      <c r="W862" s="13">
        <v>46302.314618055556</v>
      </c>
    </row>
    <row r="863" spans="1:23">
      <c r="A863">
        <v>273420</v>
      </c>
      <c r="B863">
        <v>10074</v>
      </c>
      <c r="C863" s="11" t="s">
        <v>129</v>
      </c>
      <c r="D863" s="11" t="s">
        <v>130</v>
      </c>
      <c r="E863" s="11" t="s">
        <v>25</v>
      </c>
      <c r="F863" s="12">
        <v>46202</v>
      </c>
      <c r="G863" s="11" t="s">
        <v>179</v>
      </c>
      <c r="H863">
        <v>1</v>
      </c>
      <c r="I863" s="11" t="s">
        <v>2766</v>
      </c>
      <c r="M863" s="11" t="s">
        <v>83</v>
      </c>
      <c r="N863" s="11" t="s">
        <v>2767</v>
      </c>
      <c r="O863" s="11" t="s">
        <v>2768</v>
      </c>
      <c r="P863" s="11" t="s">
        <v>2766</v>
      </c>
      <c r="Q863" s="11" t="s">
        <v>135</v>
      </c>
      <c r="U863" s="11" t="s">
        <v>183</v>
      </c>
      <c r="V863" s="11" t="s">
        <v>137</v>
      </c>
      <c r="W863" s="13">
        <v>46302.314618055556</v>
      </c>
    </row>
    <row r="864" spans="1:23">
      <c r="A864">
        <v>273421</v>
      </c>
      <c r="B864">
        <v>10075</v>
      </c>
      <c r="C864" s="11" t="s">
        <v>129</v>
      </c>
      <c r="D864" s="11" t="s">
        <v>130</v>
      </c>
      <c r="E864" s="11" t="s">
        <v>25</v>
      </c>
      <c r="F864" s="12">
        <v>46202</v>
      </c>
      <c r="G864" s="11" t="s">
        <v>131</v>
      </c>
      <c r="H864">
        <v>1</v>
      </c>
      <c r="I864" s="11" t="s">
        <v>384</v>
      </c>
      <c r="M864" s="11" t="s">
        <v>87</v>
      </c>
      <c r="N864" s="11" t="s">
        <v>2769</v>
      </c>
      <c r="O864" s="11" t="s">
        <v>2770</v>
      </c>
      <c r="P864" s="11" t="s">
        <v>384</v>
      </c>
      <c r="Q864" s="11" t="s">
        <v>135</v>
      </c>
      <c r="U864" s="11" t="s">
        <v>136</v>
      </c>
      <c r="V864" s="11" t="s">
        <v>137</v>
      </c>
      <c r="W864" s="13">
        <v>46302.314618055556</v>
      </c>
    </row>
    <row r="865" spans="1:23">
      <c r="A865">
        <v>273422</v>
      </c>
      <c r="B865">
        <v>10076</v>
      </c>
      <c r="C865" s="11" t="s">
        <v>129</v>
      </c>
      <c r="D865" s="11" t="s">
        <v>130</v>
      </c>
      <c r="E865" s="11" t="s">
        <v>25</v>
      </c>
      <c r="F865" s="12">
        <v>46202</v>
      </c>
      <c r="G865" s="11" t="s">
        <v>1823</v>
      </c>
      <c r="H865">
        <v>1</v>
      </c>
      <c r="I865" s="11" t="s">
        <v>586</v>
      </c>
      <c r="M865" s="11" t="s">
        <v>61</v>
      </c>
      <c r="N865" s="11" t="s">
        <v>2771</v>
      </c>
      <c r="O865" s="11" t="s">
        <v>2772</v>
      </c>
      <c r="P865" s="11" t="s">
        <v>586</v>
      </c>
      <c r="Q865" s="11" t="s">
        <v>135</v>
      </c>
      <c r="U865" s="11" t="s">
        <v>1827</v>
      </c>
      <c r="V865" s="11" t="s">
        <v>137</v>
      </c>
      <c r="W865" s="13">
        <v>46302.314618055556</v>
      </c>
    </row>
    <row r="866" spans="1:23">
      <c r="A866">
        <v>273423</v>
      </c>
      <c r="B866">
        <v>10077</v>
      </c>
      <c r="C866" s="11" t="s">
        <v>129</v>
      </c>
      <c r="D866" s="11" t="s">
        <v>130</v>
      </c>
      <c r="E866" s="11" t="s">
        <v>25</v>
      </c>
      <c r="F866" s="12">
        <v>46202</v>
      </c>
      <c r="G866" s="11" t="s">
        <v>504</v>
      </c>
      <c r="H866">
        <v>1</v>
      </c>
      <c r="I866" s="11" t="s">
        <v>2773</v>
      </c>
      <c r="M866" s="11" t="s">
        <v>53</v>
      </c>
      <c r="N866" s="11" t="s">
        <v>2774</v>
      </c>
      <c r="O866" s="11" t="s">
        <v>2775</v>
      </c>
      <c r="P866" s="11" t="s">
        <v>2773</v>
      </c>
      <c r="Q866" s="11" t="s">
        <v>135</v>
      </c>
      <c r="U866" s="11" t="s">
        <v>508</v>
      </c>
      <c r="V866" s="11" t="s">
        <v>137</v>
      </c>
      <c r="W866" s="13">
        <v>46302.314618055556</v>
      </c>
    </row>
    <row r="867" spans="1:23">
      <c r="A867">
        <v>273424</v>
      </c>
      <c r="B867">
        <v>10078</v>
      </c>
      <c r="C867" s="11" t="s">
        <v>129</v>
      </c>
      <c r="D867" s="11" t="s">
        <v>130</v>
      </c>
      <c r="E867" s="11" t="s">
        <v>25</v>
      </c>
      <c r="F867" s="12">
        <v>46202</v>
      </c>
      <c r="G867" s="11" t="s">
        <v>217</v>
      </c>
      <c r="H867">
        <v>1</v>
      </c>
      <c r="I867" s="11" t="s">
        <v>2776</v>
      </c>
      <c r="M867" s="11" t="s">
        <v>86</v>
      </c>
      <c r="N867" s="11" t="s">
        <v>2777</v>
      </c>
      <c r="O867" s="11" t="s">
        <v>1221</v>
      </c>
      <c r="P867" s="11" t="s">
        <v>2776</v>
      </c>
      <c r="Q867" s="11" t="s">
        <v>135</v>
      </c>
      <c r="U867" s="11" t="s">
        <v>221</v>
      </c>
      <c r="V867" s="11" t="s">
        <v>137</v>
      </c>
      <c r="W867" s="13">
        <v>46302.314618055556</v>
      </c>
    </row>
    <row r="868" spans="1:23">
      <c r="A868">
        <v>273425</v>
      </c>
      <c r="B868">
        <v>10079</v>
      </c>
      <c r="C868" s="11" t="s">
        <v>129</v>
      </c>
      <c r="D868" s="11" t="s">
        <v>130</v>
      </c>
      <c r="E868" s="11" t="s">
        <v>25</v>
      </c>
      <c r="F868" s="12">
        <v>46202</v>
      </c>
      <c r="G868" s="11" t="s">
        <v>138</v>
      </c>
      <c r="H868">
        <v>1</v>
      </c>
      <c r="I868" s="11" t="s">
        <v>862</v>
      </c>
      <c r="M868" s="11" t="s">
        <v>89</v>
      </c>
      <c r="N868" s="11" t="s">
        <v>2778</v>
      </c>
      <c r="O868" s="11" t="s">
        <v>2779</v>
      </c>
      <c r="P868" s="11" t="s">
        <v>862</v>
      </c>
      <c r="Q868" s="11" t="s">
        <v>135</v>
      </c>
      <c r="U868" s="11" t="s">
        <v>142</v>
      </c>
      <c r="V868" s="11" t="s">
        <v>137</v>
      </c>
      <c r="W868" s="13">
        <v>46302.314618055556</v>
      </c>
    </row>
    <row r="869" spans="1:23">
      <c r="A869">
        <v>273426</v>
      </c>
      <c r="B869">
        <v>10054</v>
      </c>
      <c r="C869" s="11" t="s">
        <v>129</v>
      </c>
      <c r="D869" s="11" t="s">
        <v>130</v>
      </c>
      <c r="E869" s="11" t="s">
        <v>25</v>
      </c>
      <c r="F869" s="12">
        <v>46202</v>
      </c>
      <c r="G869" s="11" t="s">
        <v>401</v>
      </c>
      <c r="H869">
        <v>1</v>
      </c>
      <c r="I869" s="11" t="s">
        <v>2717</v>
      </c>
      <c r="M869" s="11" t="s">
        <v>90</v>
      </c>
      <c r="N869" s="11" t="s">
        <v>2780</v>
      </c>
      <c r="O869" s="11" t="s">
        <v>2781</v>
      </c>
      <c r="P869" s="11" t="s">
        <v>2717</v>
      </c>
      <c r="Q869" s="11" t="s">
        <v>135</v>
      </c>
      <c r="R869">
        <v>10053</v>
      </c>
      <c r="U869" s="11" t="s">
        <v>404</v>
      </c>
      <c r="V869" s="11" t="s">
        <v>137</v>
      </c>
      <c r="W869" s="13">
        <v>46302.314618055556</v>
      </c>
    </row>
    <row r="870" spans="1:23">
      <c r="A870">
        <v>273716</v>
      </c>
      <c r="B870">
        <v>10644</v>
      </c>
      <c r="C870" s="11" t="s">
        <v>129</v>
      </c>
      <c r="D870" s="11" t="s">
        <v>130</v>
      </c>
      <c r="E870" s="11" t="s">
        <v>25</v>
      </c>
      <c r="F870" s="12">
        <v>46203</v>
      </c>
      <c r="G870" s="11" t="s">
        <v>226</v>
      </c>
      <c r="H870">
        <v>1</v>
      </c>
      <c r="I870" s="11" t="s">
        <v>2782</v>
      </c>
      <c r="M870" s="11" t="s">
        <v>87</v>
      </c>
      <c r="N870" s="11" t="s">
        <v>2783</v>
      </c>
      <c r="O870" s="11" t="s">
        <v>2784</v>
      </c>
      <c r="P870" s="11" t="s">
        <v>2782</v>
      </c>
      <c r="Q870" s="11" t="s">
        <v>135</v>
      </c>
      <c r="U870" s="11" t="s">
        <v>231</v>
      </c>
      <c r="V870" s="11" t="s">
        <v>137</v>
      </c>
      <c r="W870" s="13">
        <v>46302.314618055556</v>
      </c>
    </row>
    <row r="871" spans="1:23">
      <c r="A871">
        <v>273717</v>
      </c>
      <c r="B871">
        <v>10645</v>
      </c>
      <c r="C871" s="11" t="s">
        <v>129</v>
      </c>
      <c r="D871" s="11" t="s">
        <v>130</v>
      </c>
      <c r="E871" s="11" t="s">
        <v>25</v>
      </c>
      <c r="F871" s="12">
        <v>46203</v>
      </c>
      <c r="G871" s="11" t="s">
        <v>232</v>
      </c>
      <c r="H871">
        <v>1</v>
      </c>
      <c r="I871" s="11" t="s">
        <v>2785</v>
      </c>
      <c r="M871" s="11" t="s">
        <v>89</v>
      </c>
      <c r="N871" s="11" t="s">
        <v>2786</v>
      </c>
      <c r="O871" s="11" t="s">
        <v>2787</v>
      </c>
      <c r="P871" s="11" t="s">
        <v>2785</v>
      </c>
      <c r="Q871" s="11" t="s">
        <v>2057</v>
      </c>
      <c r="U871" s="11" t="s">
        <v>236</v>
      </c>
      <c r="V871" s="11" t="s">
        <v>137</v>
      </c>
      <c r="W871" s="13">
        <v>46302.314618055556</v>
      </c>
    </row>
    <row r="872" spans="1:23">
      <c r="A872">
        <v>273718</v>
      </c>
      <c r="B872">
        <v>10647</v>
      </c>
      <c r="C872" s="11" t="s">
        <v>129</v>
      </c>
      <c r="D872" s="11" t="s">
        <v>130</v>
      </c>
      <c r="E872" s="11" t="s">
        <v>25</v>
      </c>
      <c r="F872" s="12">
        <v>46203</v>
      </c>
      <c r="G872" s="11" t="s">
        <v>804</v>
      </c>
      <c r="H872">
        <v>3</v>
      </c>
      <c r="I872" s="11" t="s">
        <v>2788</v>
      </c>
      <c r="M872" s="11" t="s">
        <v>76</v>
      </c>
      <c r="N872" s="11" t="s">
        <v>2789</v>
      </c>
      <c r="O872" s="11" t="s">
        <v>2790</v>
      </c>
      <c r="P872" s="11" t="s">
        <v>2782</v>
      </c>
      <c r="Q872" s="11" t="s">
        <v>135</v>
      </c>
      <c r="U872" s="11" t="s">
        <v>808</v>
      </c>
      <c r="V872" s="11" t="s">
        <v>137</v>
      </c>
      <c r="W872" s="13">
        <v>46302.314618055556</v>
      </c>
    </row>
    <row r="873" spans="1:23">
      <c r="A873">
        <v>273719</v>
      </c>
      <c r="B873">
        <v>10648</v>
      </c>
      <c r="C873" s="11" t="s">
        <v>129</v>
      </c>
      <c r="D873" s="11" t="s">
        <v>130</v>
      </c>
      <c r="E873" s="11" t="s">
        <v>25</v>
      </c>
      <c r="F873" s="12">
        <v>46203</v>
      </c>
      <c r="G873" s="11" t="s">
        <v>1679</v>
      </c>
      <c r="H873">
        <v>1</v>
      </c>
      <c r="I873" s="11" t="s">
        <v>2620</v>
      </c>
      <c r="M873" s="11" t="s">
        <v>87</v>
      </c>
      <c r="N873" s="11" t="s">
        <v>2791</v>
      </c>
      <c r="O873" s="11" t="s">
        <v>2792</v>
      </c>
      <c r="P873" s="11" t="s">
        <v>2620</v>
      </c>
      <c r="Q873" s="11" t="s">
        <v>135</v>
      </c>
      <c r="U873" s="11" t="s">
        <v>1682</v>
      </c>
      <c r="V873" s="11" t="s">
        <v>137</v>
      </c>
      <c r="W873" s="13">
        <v>46302.314618055556</v>
      </c>
    </row>
    <row r="874" spans="1:23">
      <c r="A874">
        <v>273720</v>
      </c>
      <c r="B874">
        <v>10649</v>
      </c>
      <c r="C874" s="11" t="s">
        <v>129</v>
      </c>
      <c r="D874" s="11" t="s">
        <v>130</v>
      </c>
      <c r="E874" s="11" t="s">
        <v>25</v>
      </c>
      <c r="F874" s="12">
        <v>46203</v>
      </c>
      <c r="G874" s="11" t="s">
        <v>804</v>
      </c>
      <c r="H874">
        <v>5</v>
      </c>
      <c r="I874" s="11" t="s">
        <v>2793</v>
      </c>
      <c r="M874" s="11" t="s">
        <v>76</v>
      </c>
      <c r="N874" s="11" t="s">
        <v>2794</v>
      </c>
      <c r="O874" s="11" t="s">
        <v>2795</v>
      </c>
      <c r="P874" s="11" t="s">
        <v>2796</v>
      </c>
      <c r="Q874" s="11" t="s">
        <v>135</v>
      </c>
      <c r="U874" s="11" t="s">
        <v>808</v>
      </c>
      <c r="V874" s="11" t="s">
        <v>137</v>
      </c>
      <c r="W874" s="13">
        <v>46302.314618055556</v>
      </c>
    </row>
    <row r="875" spans="1:23">
      <c r="A875">
        <v>273721</v>
      </c>
      <c r="B875">
        <v>10650</v>
      </c>
      <c r="C875" s="11" t="s">
        <v>129</v>
      </c>
      <c r="D875" s="11" t="s">
        <v>130</v>
      </c>
      <c r="E875" s="11" t="s">
        <v>25</v>
      </c>
      <c r="F875" s="12">
        <v>46203</v>
      </c>
      <c r="G875" s="11" t="s">
        <v>2797</v>
      </c>
      <c r="H875">
        <v>1</v>
      </c>
      <c r="I875" s="11" t="s">
        <v>2798</v>
      </c>
      <c r="M875" s="11" t="s">
        <v>89</v>
      </c>
      <c r="N875" s="11" t="s">
        <v>2799</v>
      </c>
      <c r="O875" s="11" t="s">
        <v>2800</v>
      </c>
      <c r="P875" s="11" t="s">
        <v>2798</v>
      </c>
      <c r="Q875" s="11" t="s">
        <v>135</v>
      </c>
      <c r="U875" s="11" t="s">
        <v>2801</v>
      </c>
      <c r="V875" s="11" t="s">
        <v>137</v>
      </c>
      <c r="W875" s="13">
        <v>46302.314618055556</v>
      </c>
    </row>
    <row r="876" spans="1:23">
      <c r="A876">
        <v>273722</v>
      </c>
      <c r="B876">
        <v>10651</v>
      </c>
      <c r="C876" s="11" t="s">
        <v>129</v>
      </c>
      <c r="D876" s="11" t="s">
        <v>130</v>
      </c>
      <c r="E876" s="11" t="s">
        <v>25</v>
      </c>
      <c r="F876" s="12">
        <v>46203</v>
      </c>
      <c r="G876" s="11" t="s">
        <v>804</v>
      </c>
      <c r="H876">
        <v>1</v>
      </c>
      <c r="I876" s="11" t="s">
        <v>2802</v>
      </c>
      <c r="M876" s="11" t="s">
        <v>76</v>
      </c>
      <c r="N876" s="11" t="s">
        <v>2803</v>
      </c>
      <c r="O876" s="11" t="s">
        <v>2804</v>
      </c>
      <c r="P876" s="11" t="s">
        <v>2802</v>
      </c>
      <c r="Q876" s="11" t="s">
        <v>135</v>
      </c>
      <c r="U876" s="11" t="s">
        <v>808</v>
      </c>
      <c r="V876" s="11" t="s">
        <v>137</v>
      </c>
      <c r="W876" s="13">
        <v>46302.314618055556</v>
      </c>
    </row>
    <row r="877" spans="1:23">
      <c r="A877">
        <v>273723</v>
      </c>
      <c r="B877">
        <v>10652</v>
      </c>
      <c r="C877" s="11" t="s">
        <v>129</v>
      </c>
      <c r="D877" s="11" t="s">
        <v>130</v>
      </c>
      <c r="E877" s="11" t="s">
        <v>25</v>
      </c>
      <c r="F877" s="12">
        <v>46203</v>
      </c>
      <c r="G877" s="11" t="s">
        <v>226</v>
      </c>
      <c r="H877">
        <v>1</v>
      </c>
      <c r="I877" s="11" t="s">
        <v>2171</v>
      </c>
      <c r="M877" s="11" t="s">
        <v>87</v>
      </c>
      <c r="N877" s="11" t="s">
        <v>2805</v>
      </c>
      <c r="O877" s="11" t="s">
        <v>2806</v>
      </c>
      <c r="P877" s="11" t="s">
        <v>2171</v>
      </c>
      <c r="Q877" s="11" t="s">
        <v>135</v>
      </c>
      <c r="U877" s="11" t="s">
        <v>231</v>
      </c>
      <c r="V877" s="11" t="s">
        <v>137</v>
      </c>
      <c r="W877" s="13">
        <v>46302.314618055556</v>
      </c>
    </row>
    <row r="878" spans="1:23">
      <c r="A878">
        <v>273724</v>
      </c>
      <c r="B878">
        <v>10653</v>
      </c>
      <c r="C878" s="11" t="s">
        <v>129</v>
      </c>
      <c r="D878" s="11" t="s">
        <v>130</v>
      </c>
      <c r="E878" s="11" t="s">
        <v>25</v>
      </c>
      <c r="F878" s="12">
        <v>46203</v>
      </c>
      <c r="G878" s="11" t="s">
        <v>263</v>
      </c>
      <c r="H878">
        <v>1</v>
      </c>
      <c r="I878" s="11" t="s">
        <v>2807</v>
      </c>
      <c r="M878" s="11" t="s">
        <v>92</v>
      </c>
      <c r="N878" s="11" t="s">
        <v>2808</v>
      </c>
      <c r="O878" s="11" t="s">
        <v>2809</v>
      </c>
      <c r="P878" s="11" t="s">
        <v>2807</v>
      </c>
      <c r="Q878" s="11" t="s">
        <v>135</v>
      </c>
      <c r="U878" s="11" t="s">
        <v>267</v>
      </c>
      <c r="V878" s="11" t="s">
        <v>137</v>
      </c>
      <c r="W878" s="13">
        <v>46302.314618055556</v>
      </c>
    </row>
    <row r="879" spans="1:23">
      <c r="A879">
        <v>273725</v>
      </c>
      <c r="B879">
        <v>10654</v>
      </c>
      <c r="C879" s="11" t="s">
        <v>129</v>
      </c>
      <c r="D879" s="11" t="s">
        <v>130</v>
      </c>
      <c r="E879" s="11" t="s">
        <v>25</v>
      </c>
      <c r="F879" s="12">
        <v>46203</v>
      </c>
      <c r="G879" s="11" t="s">
        <v>274</v>
      </c>
      <c r="H879">
        <v>1</v>
      </c>
      <c r="I879" s="11" t="s">
        <v>2810</v>
      </c>
      <c r="M879" s="11" t="s">
        <v>77</v>
      </c>
      <c r="N879" s="11" t="s">
        <v>2811</v>
      </c>
      <c r="O879" s="11" t="s">
        <v>2812</v>
      </c>
      <c r="P879" s="11" t="s">
        <v>2810</v>
      </c>
      <c r="Q879" s="11" t="s">
        <v>135</v>
      </c>
      <c r="U879" s="11" t="s">
        <v>278</v>
      </c>
      <c r="V879" s="11" t="s">
        <v>137</v>
      </c>
      <c r="W879" s="13">
        <v>46302.314618055556</v>
      </c>
    </row>
    <row r="880" spans="1:23">
      <c r="A880">
        <v>273726</v>
      </c>
      <c r="B880">
        <v>10655</v>
      </c>
      <c r="C880" s="11" t="s">
        <v>129</v>
      </c>
      <c r="D880" s="11" t="s">
        <v>130</v>
      </c>
      <c r="E880" s="11" t="s">
        <v>25</v>
      </c>
      <c r="F880" s="12">
        <v>46203</v>
      </c>
      <c r="G880" s="11" t="s">
        <v>284</v>
      </c>
      <c r="H880">
        <v>1</v>
      </c>
      <c r="I880" s="11" t="s">
        <v>2813</v>
      </c>
      <c r="M880" s="11" t="s">
        <v>80</v>
      </c>
      <c r="N880" s="11" t="s">
        <v>2814</v>
      </c>
      <c r="O880" s="11" t="s">
        <v>2815</v>
      </c>
      <c r="P880" s="11" t="s">
        <v>2813</v>
      </c>
      <c r="Q880" s="11" t="s">
        <v>135</v>
      </c>
      <c r="U880" s="11" t="s">
        <v>288</v>
      </c>
      <c r="V880" s="11" t="s">
        <v>137</v>
      </c>
      <c r="W880" s="13">
        <v>46302.314618055556</v>
      </c>
    </row>
    <row r="881" spans="1:23">
      <c r="A881">
        <v>273727</v>
      </c>
      <c r="B881">
        <v>10656</v>
      </c>
      <c r="C881" s="11" t="s">
        <v>129</v>
      </c>
      <c r="D881" s="11" t="s">
        <v>130</v>
      </c>
      <c r="E881" s="11" t="s">
        <v>25</v>
      </c>
      <c r="F881" s="12">
        <v>46203</v>
      </c>
      <c r="G881" s="11" t="s">
        <v>279</v>
      </c>
      <c r="H881">
        <v>1</v>
      </c>
      <c r="I881" s="11" t="s">
        <v>196</v>
      </c>
      <c r="M881" s="11" t="s">
        <v>79</v>
      </c>
      <c r="N881" s="11" t="s">
        <v>2816</v>
      </c>
      <c r="O881" s="11" t="s">
        <v>2817</v>
      </c>
      <c r="P881" s="11" t="s">
        <v>196</v>
      </c>
      <c r="Q881" s="11" t="s">
        <v>135</v>
      </c>
      <c r="U881" s="11" t="s">
        <v>283</v>
      </c>
      <c r="V881" s="11" t="s">
        <v>137</v>
      </c>
      <c r="W881" s="13">
        <v>46302.314618055556</v>
      </c>
    </row>
    <row r="882" spans="1:23">
      <c r="A882">
        <v>273728</v>
      </c>
      <c r="B882">
        <v>10657</v>
      </c>
      <c r="C882" s="11" t="s">
        <v>129</v>
      </c>
      <c r="D882" s="11" t="s">
        <v>130</v>
      </c>
      <c r="E882" s="11" t="s">
        <v>25</v>
      </c>
      <c r="F882" s="12">
        <v>46203</v>
      </c>
      <c r="G882" s="11" t="s">
        <v>226</v>
      </c>
      <c r="H882">
        <v>1</v>
      </c>
      <c r="I882" s="11" t="s">
        <v>2818</v>
      </c>
      <c r="M882" s="11" t="s">
        <v>87</v>
      </c>
      <c r="N882" s="11" t="s">
        <v>2819</v>
      </c>
      <c r="O882" s="11" t="s">
        <v>2820</v>
      </c>
      <c r="P882" s="11" t="s">
        <v>2818</v>
      </c>
      <c r="Q882" s="11" t="s">
        <v>135</v>
      </c>
      <c r="U882" s="11" t="s">
        <v>231</v>
      </c>
      <c r="V882" s="11" t="s">
        <v>137</v>
      </c>
      <c r="W882" s="13">
        <v>46302.314618055556</v>
      </c>
    </row>
    <row r="883" spans="1:23">
      <c r="A883">
        <v>273729</v>
      </c>
      <c r="B883">
        <v>10658</v>
      </c>
      <c r="C883" s="11" t="s">
        <v>129</v>
      </c>
      <c r="D883" s="11" t="s">
        <v>130</v>
      </c>
      <c r="E883" s="11" t="s">
        <v>25</v>
      </c>
      <c r="F883" s="12">
        <v>46203</v>
      </c>
      <c r="G883" s="11" t="s">
        <v>804</v>
      </c>
      <c r="H883">
        <v>1</v>
      </c>
      <c r="I883" s="11" t="s">
        <v>2821</v>
      </c>
      <c r="M883" s="11" t="s">
        <v>76</v>
      </c>
      <c r="N883" s="11" t="s">
        <v>2822</v>
      </c>
      <c r="O883" s="11" t="s">
        <v>2823</v>
      </c>
      <c r="P883" s="11" t="s">
        <v>2821</v>
      </c>
      <c r="Q883" s="11" t="s">
        <v>135</v>
      </c>
      <c r="U883" s="11" t="s">
        <v>808</v>
      </c>
      <c r="V883" s="11" t="s">
        <v>137</v>
      </c>
      <c r="W883" s="13">
        <v>46302.314618055556</v>
      </c>
    </row>
    <row r="884" spans="1:23">
      <c r="A884">
        <v>273730</v>
      </c>
      <c r="B884">
        <v>10659</v>
      </c>
      <c r="C884" s="11" t="s">
        <v>129</v>
      </c>
      <c r="D884" s="11" t="s">
        <v>130</v>
      </c>
      <c r="E884" s="11" t="s">
        <v>25</v>
      </c>
      <c r="F884" s="12">
        <v>46203</v>
      </c>
      <c r="G884" s="11" t="s">
        <v>1679</v>
      </c>
      <c r="H884">
        <v>1</v>
      </c>
      <c r="I884" s="11" t="s">
        <v>2824</v>
      </c>
      <c r="M884" s="11" t="s">
        <v>87</v>
      </c>
      <c r="N884" s="11" t="s">
        <v>2825</v>
      </c>
      <c r="O884" s="11" t="s">
        <v>2826</v>
      </c>
      <c r="P884" s="11" t="s">
        <v>2824</v>
      </c>
      <c r="Q884" s="11" t="s">
        <v>135</v>
      </c>
      <c r="U884" s="11" t="s">
        <v>1682</v>
      </c>
      <c r="V884" s="11" t="s">
        <v>137</v>
      </c>
      <c r="W884" s="13">
        <v>46302.314618055556</v>
      </c>
    </row>
    <row r="885" spans="1:23">
      <c r="A885">
        <v>273731</v>
      </c>
      <c r="B885">
        <v>10660</v>
      </c>
      <c r="C885" s="11" t="s">
        <v>129</v>
      </c>
      <c r="D885" s="11" t="s">
        <v>130</v>
      </c>
      <c r="E885" s="11" t="s">
        <v>25</v>
      </c>
      <c r="F885" s="12">
        <v>46203</v>
      </c>
      <c r="G885" s="11" t="s">
        <v>804</v>
      </c>
      <c r="H885">
        <v>2</v>
      </c>
      <c r="I885" s="11" t="s">
        <v>2827</v>
      </c>
      <c r="M885" s="11" t="s">
        <v>76</v>
      </c>
      <c r="N885" s="11" t="s">
        <v>2828</v>
      </c>
      <c r="O885" s="11" t="s">
        <v>2829</v>
      </c>
      <c r="P885" s="11" t="s">
        <v>1634</v>
      </c>
      <c r="Q885" s="11" t="s">
        <v>135</v>
      </c>
      <c r="U885" s="11" t="s">
        <v>808</v>
      </c>
      <c r="V885" s="11" t="s">
        <v>137</v>
      </c>
      <c r="W885" s="13">
        <v>46302.314618055556</v>
      </c>
    </row>
    <row r="886" spans="1:23">
      <c r="A886">
        <v>273732</v>
      </c>
      <c r="B886">
        <v>10661</v>
      </c>
      <c r="C886" s="11" t="s">
        <v>129</v>
      </c>
      <c r="D886" s="11" t="s">
        <v>130</v>
      </c>
      <c r="E886" s="11" t="s">
        <v>25</v>
      </c>
      <c r="F886" s="12">
        <v>46203</v>
      </c>
      <c r="G886" s="11" t="s">
        <v>1679</v>
      </c>
      <c r="H886">
        <v>1</v>
      </c>
      <c r="I886" s="11" t="s">
        <v>2830</v>
      </c>
      <c r="M886" s="11" t="s">
        <v>87</v>
      </c>
      <c r="N886" s="11" t="s">
        <v>2831</v>
      </c>
      <c r="O886" s="11" t="s">
        <v>2832</v>
      </c>
      <c r="P886" s="11" t="s">
        <v>2830</v>
      </c>
      <c r="Q886" s="11" t="s">
        <v>135</v>
      </c>
      <c r="U886" s="11" t="s">
        <v>1682</v>
      </c>
      <c r="V886" s="11" t="s">
        <v>137</v>
      </c>
      <c r="W886" s="13">
        <v>46302.314618055556</v>
      </c>
    </row>
    <row r="887" spans="1:23">
      <c r="A887">
        <v>273733</v>
      </c>
      <c r="B887">
        <v>10662</v>
      </c>
      <c r="C887" s="11" t="s">
        <v>129</v>
      </c>
      <c r="D887" s="11" t="s">
        <v>130</v>
      </c>
      <c r="E887" s="11" t="s">
        <v>25</v>
      </c>
      <c r="F887" s="12">
        <v>46203</v>
      </c>
      <c r="G887" s="11" t="s">
        <v>804</v>
      </c>
      <c r="H887">
        <v>2</v>
      </c>
      <c r="I887" s="11" t="s">
        <v>2833</v>
      </c>
      <c r="M887" s="11" t="s">
        <v>76</v>
      </c>
      <c r="N887" s="11" t="s">
        <v>2834</v>
      </c>
      <c r="O887" s="11" t="s">
        <v>2835</v>
      </c>
      <c r="P887" s="11" t="s">
        <v>2427</v>
      </c>
      <c r="Q887" s="11" t="s">
        <v>135</v>
      </c>
      <c r="U887" s="11" t="s">
        <v>808</v>
      </c>
      <c r="V887" s="11" t="s">
        <v>137</v>
      </c>
      <c r="W887" s="13">
        <v>46302.314618055556</v>
      </c>
    </row>
    <row r="888" spans="1:23">
      <c r="A888">
        <v>273734</v>
      </c>
      <c r="B888">
        <v>10663</v>
      </c>
      <c r="C888" s="11" t="s">
        <v>129</v>
      </c>
      <c r="D888" s="11" t="s">
        <v>130</v>
      </c>
      <c r="E888" s="11" t="s">
        <v>25</v>
      </c>
      <c r="F888" s="12">
        <v>46203</v>
      </c>
      <c r="G888" s="11" t="s">
        <v>2266</v>
      </c>
      <c r="H888">
        <v>1</v>
      </c>
      <c r="I888" s="11" t="s">
        <v>2836</v>
      </c>
      <c r="M888" s="11" t="s">
        <v>91</v>
      </c>
      <c r="N888" s="11" t="s">
        <v>2837</v>
      </c>
      <c r="O888" s="11" t="s">
        <v>2838</v>
      </c>
      <c r="P888" s="11" t="s">
        <v>2836</v>
      </c>
      <c r="Q888" s="11" t="s">
        <v>135</v>
      </c>
      <c r="U888" s="11" t="s">
        <v>2270</v>
      </c>
      <c r="V888" s="11" t="s">
        <v>137</v>
      </c>
      <c r="W888" s="13">
        <v>46302.314618055556</v>
      </c>
    </row>
    <row r="889" spans="1:23">
      <c r="A889">
        <v>273735</v>
      </c>
      <c r="B889">
        <v>10664</v>
      </c>
      <c r="C889" s="11" t="s">
        <v>129</v>
      </c>
      <c r="D889" s="11" t="s">
        <v>130</v>
      </c>
      <c r="E889" s="11" t="s">
        <v>25</v>
      </c>
      <c r="F889" s="12">
        <v>46203</v>
      </c>
      <c r="G889" s="11" t="s">
        <v>237</v>
      </c>
      <c r="H889">
        <v>1</v>
      </c>
      <c r="I889" s="11" t="s">
        <v>246</v>
      </c>
      <c r="M889" s="11" t="s">
        <v>71</v>
      </c>
      <c r="N889" s="11" t="s">
        <v>2839</v>
      </c>
      <c r="O889" s="11" t="s">
        <v>2840</v>
      </c>
      <c r="P889" s="11" t="s">
        <v>246</v>
      </c>
      <c r="Q889" s="11" t="s">
        <v>135</v>
      </c>
      <c r="U889" s="11" t="s">
        <v>241</v>
      </c>
      <c r="V889" s="11" t="s">
        <v>137</v>
      </c>
      <c r="W889" s="13">
        <v>46302.314618055556</v>
      </c>
    </row>
    <row r="890" spans="1:23">
      <c r="A890">
        <v>273736</v>
      </c>
      <c r="B890">
        <v>10665</v>
      </c>
      <c r="C890" s="11" t="s">
        <v>129</v>
      </c>
      <c r="D890" s="11" t="s">
        <v>130</v>
      </c>
      <c r="E890" s="11" t="s">
        <v>25</v>
      </c>
      <c r="F890" s="12">
        <v>46203</v>
      </c>
      <c r="G890" s="11" t="s">
        <v>804</v>
      </c>
      <c r="H890">
        <v>1</v>
      </c>
      <c r="I890" s="11" t="s">
        <v>2158</v>
      </c>
      <c r="M890" s="11" t="s">
        <v>76</v>
      </c>
      <c r="N890" s="11" t="s">
        <v>2841</v>
      </c>
      <c r="O890" s="11" t="s">
        <v>2842</v>
      </c>
      <c r="P890" s="11" t="s">
        <v>2158</v>
      </c>
      <c r="Q890" s="11" t="s">
        <v>135</v>
      </c>
      <c r="U890" s="11" t="s">
        <v>808</v>
      </c>
      <c r="V890" s="11" t="s">
        <v>137</v>
      </c>
      <c r="W890" s="13">
        <v>46302.314618055556</v>
      </c>
    </row>
    <row r="891" spans="1:23">
      <c r="A891">
        <v>273737</v>
      </c>
      <c r="B891">
        <v>10666</v>
      </c>
      <c r="C891" s="11" t="s">
        <v>129</v>
      </c>
      <c r="D891" s="11" t="s">
        <v>130</v>
      </c>
      <c r="E891" s="11" t="s">
        <v>25</v>
      </c>
      <c r="F891" s="12">
        <v>46203</v>
      </c>
      <c r="G891" s="11" t="s">
        <v>226</v>
      </c>
      <c r="H891">
        <v>1</v>
      </c>
      <c r="I891" s="11" t="s">
        <v>2843</v>
      </c>
      <c r="M891" s="11" t="s">
        <v>87</v>
      </c>
      <c r="N891" s="11" t="s">
        <v>2844</v>
      </c>
      <c r="O891" s="11" t="s">
        <v>2845</v>
      </c>
      <c r="P891" s="11" t="s">
        <v>2843</v>
      </c>
      <c r="Q891" s="11" t="s">
        <v>135</v>
      </c>
      <c r="U891" s="11" t="s">
        <v>231</v>
      </c>
      <c r="V891" s="11" t="s">
        <v>137</v>
      </c>
      <c r="W891" s="13">
        <v>46302.314618055556</v>
      </c>
    </row>
    <row r="892" spans="1:23">
      <c r="A892">
        <v>273738</v>
      </c>
      <c r="B892">
        <v>10646</v>
      </c>
      <c r="C892" s="11" t="s">
        <v>129</v>
      </c>
      <c r="D892" s="11" t="s">
        <v>130</v>
      </c>
      <c r="E892" s="11" t="s">
        <v>25</v>
      </c>
      <c r="F892" s="12">
        <v>46203</v>
      </c>
      <c r="G892" s="11" t="s">
        <v>308</v>
      </c>
      <c r="H892">
        <v>1</v>
      </c>
      <c r="I892" s="11" t="s">
        <v>2057</v>
      </c>
      <c r="M892" s="11" t="s">
        <v>90</v>
      </c>
      <c r="N892" s="11" t="s">
        <v>1079</v>
      </c>
      <c r="O892" s="11" t="s">
        <v>802</v>
      </c>
      <c r="P892" s="11" t="s">
        <v>2057</v>
      </c>
      <c r="Q892" s="11" t="s">
        <v>135</v>
      </c>
      <c r="R892">
        <v>10645</v>
      </c>
      <c r="U892" s="11" t="s">
        <v>311</v>
      </c>
      <c r="V892" s="11" t="s">
        <v>137</v>
      </c>
      <c r="W892" s="13">
        <v>46302.314618055556</v>
      </c>
    </row>
    <row r="893" spans="1:23">
      <c r="A893">
        <v>274000</v>
      </c>
      <c r="B893">
        <v>10101</v>
      </c>
      <c r="C893" s="11" t="s">
        <v>129</v>
      </c>
      <c r="D893" s="11" t="s">
        <v>130</v>
      </c>
      <c r="E893" s="11" t="s">
        <v>25</v>
      </c>
      <c r="F893" s="12">
        <v>46204</v>
      </c>
      <c r="G893" s="11" t="s">
        <v>131</v>
      </c>
      <c r="H893">
        <v>1</v>
      </c>
      <c r="I893" s="11" t="s">
        <v>2846</v>
      </c>
      <c r="M893" s="11" t="s">
        <v>87</v>
      </c>
      <c r="N893" s="11" t="s">
        <v>2847</v>
      </c>
      <c r="O893" s="11" t="s">
        <v>2848</v>
      </c>
      <c r="P893" s="11" t="s">
        <v>2846</v>
      </c>
      <c r="Q893" s="11" t="s">
        <v>135</v>
      </c>
      <c r="U893" s="11" t="s">
        <v>136</v>
      </c>
      <c r="V893" s="11" t="s">
        <v>137</v>
      </c>
      <c r="W893" s="13">
        <v>46302.314618055556</v>
      </c>
    </row>
    <row r="894" spans="1:23">
      <c r="A894">
        <v>274001</v>
      </c>
      <c r="B894">
        <v>10102</v>
      </c>
      <c r="C894" s="11" t="s">
        <v>129</v>
      </c>
      <c r="D894" s="11" t="s">
        <v>130</v>
      </c>
      <c r="E894" s="11" t="s">
        <v>25</v>
      </c>
      <c r="F894" s="12">
        <v>46204</v>
      </c>
      <c r="G894" s="11" t="s">
        <v>164</v>
      </c>
      <c r="H894">
        <v>1</v>
      </c>
      <c r="I894" s="11" t="s">
        <v>686</v>
      </c>
      <c r="M894" s="11" t="s">
        <v>62</v>
      </c>
      <c r="N894" s="11" t="s">
        <v>2849</v>
      </c>
      <c r="O894" s="11" t="s">
        <v>2850</v>
      </c>
      <c r="P894" s="11" t="s">
        <v>686</v>
      </c>
      <c r="Q894" s="11" t="s">
        <v>135</v>
      </c>
      <c r="U894" s="11" t="s">
        <v>168</v>
      </c>
      <c r="V894" s="11" t="s">
        <v>137</v>
      </c>
      <c r="W894" s="13">
        <v>46302.314618055556</v>
      </c>
    </row>
    <row r="895" spans="1:23">
      <c r="A895">
        <v>274002</v>
      </c>
      <c r="B895">
        <v>10103</v>
      </c>
      <c r="C895" s="11" t="s">
        <v>129</v>
      </c>
      <c r="D895" s="11" t="s">
        <v>130</v>
      </c>
      <c r="E895" s="11" t="s">
        <v>25</v>
      </c>
      <c r="F895" s="12">
        <v>46204</v>
      </c>
      <c r="G895" s="11" t="s">
        <v>222</v>
      </c>
      <c r="H895">
        <v>1</v>
      </c>
      <c r="I895" s="11" t="s">
        <v>2851</v>
      </c>
      <c r="M895" s="11" t="s">
        <v>90</v>
      </c>
      <c r="N895" s="11" t="s">
        <v>2852</v>
      </c>
      <c r="O895" s="11" t="s">
        <v>2853</v>
      </c>
      <c r="P895" s="11" t="s">
        <v>2851</v>
      </c>
      <c r="Q895" s="11" t="s">
        <v>135</v>
      </c>
      <c r="U895" s="11" t="s">
        <v>225</v>
      </c>
      <c r="V895" s="11" t="s">
        <v>137</v>
      </c>
      <c r="W895" s="13">
        <v>46302.314618055556</v>
      </c>
    </row>
    <row r="896" spans="1:23">
      <c r="A896">
        <v>274003</v>
      </c>
      <c r="B896">
        <v>10104</v>
      </c>
      <c r="C896" s="11" t="s">
        <v>129</v>
      </c>
      <c r="D896" s="11" t="s">
        <v>130</v>
      </c>
      <c r="E896" s="11" t="s">
        <v>25</v>
      </c>
      <c r="F896" s="12">
        <v>46204</v>
      </c>
      <c r="G896" s="11" t="s">
        <v>131</v>
      </c>
      <c r="H896">
        <v>1</v>
      </c>
      <c r="I896" s="11" t="s">
        <v>2417</v>
      </c>
      <c r="M896" s="11" t="s">
        <v>87</v>
      </c>
      <c r="N896" s="11" t="s">
        <v>2854</v>
      </c>
      <c r="O896" s="11" t="s">
        <v>2855</v>
      </c>
      <c r="P896" s="11" t="s">
        <v>2417</v>
      </c>
      <c r="Q896" s="11" t="s">
        <v>2163</v>
      </c>
      <c r="U896" s="11" t="s">
        <v>136</v>
      </c>
      <c r="V896" s="11" t="s">
        <v>137</v>
      </c>
      <c r="W896" s="13">
        <v>46302.314618055556</v>
      </c>
    </row>
    <row r="897" spans="1:23">
      <c r="A897">
        <v>274004</v>
      </c>
      <c r="B897">
        <v>10106</v>
      </c>
      <c r="C897" s="11" t="s">
        <v>129</v>
      </c>
      <c r="D897" s="11" t="s">
        <v>130</v>
      </c>
      <c r="E897" s="11" t="s">
        <v>25</v>
      </c>
      <c r="F897" s="12">
        <v>46204</v>
      </c>
      <c r="G897" s="11" t="s">
        <v>164</v>
      </c>
      <c r="H897">
        <v>1</v>
      </c>
      <c r="I897" s="11" t="s">
        <v>2856</v>
      </c>
      <c r="M897" s="11" t="s">
        <v>62</v>
      </c>
      <c r="N897" s="11" t="s">
        <v>2857</v>
      </c>
      <c r="O897" s="11" t="s">
        <v>2858</v>
      </c>
      <c r="P897" s="11" t="s">
        <v>2856</v>
      </c>
      <c r="Q897" s="11" t="s">
        <v>135</v>
      </c>
      <c r="U897" s="11" t="s">
        <v>168</v>
      </c>
      <c r="V897" s="11" t="s">
        <v>137</v>
      </c>
      <c r="W897" s="13">
        <v>46302.314618055556</v>
      </c>
    </row>
    <row r="898" spans="1:23">
      <c r="A898">
        <v>274005</v>
      </c>
      <c r="B898">
        <v>10107</v>
      </c>
      <c r="C898" s="11" t="s">
        <v>129</v>
      </c>
      <c r="D898" s="11" t="s">
        <v>130</v>
      </c>
      <c r="E898" s="11" t="s">
        <v>25</v>
      </c>
      <c r="F898" s="12">
        <v>46204</v>
      </c>
      <c r="G898" s="11" t="s">
        <v>164</v>
      </c>
      <c r="H898">
        <v>1</v>
      </c>
      <c r="I898" s="11" t="s">
        <v>615</v>
      </c>
      <c r="M898" s="11" t="s">
        <v>62</v>
      </c>
      <c r="N898" s="11" t="s">
        <v>2859</v>
      </c>
      <c r="O898" s="11" t="s">
        <v>2860</v>
      </c>
      <c r="P898" s="11" t="s">
        <v>615</v>
      </c>
      <c r="Q898" s="11" t="s">
        <v>135</v>
      </c>
      <c r="U898" s="11" t="s">
        <v>168</v>
      </c>
      <c r="V898" s="11" t="s">
        <v>137</v>
      </c>
      <c r="W898" s="13">
        <v>46302.314618055556</v>
      </c>
    </row>
    <row r="899" spans="1:23">
      <c r="A899">
        <v>274006</v>
      </c>
      <c r="B899">
        <v>10108</v>
      </c>
      <c r="C899" s="11" t="s">
        <v>129</v>
      </c>
      <c r="D899" s="11" t="s">
        <v>130</v>
      </c>
      <c r="E899" s="11" t="s">
        <v>25</v>
      </c>
      <c r="F899" s="12">
        <v>46204</v>
      </c>
      <c r="G899" s="11" t="s">
        <v>2861</v>
      </c>
      <c r="H899">
        <v>1</v>
      </c>
      <c r="I899" s="11" t="s">
        <v>2862</v>
      </c>
      <c r="M899" s="11" t="s">
        <v>57</v>
      </c>
      <c r="N899" s="11" t="s">
        <v>2863</v>
      </c>
      <c r="O899" s="11" t="s">
        <v>330</v>
      </c>
      <c r="P899" s="11" t="s">
        <v>2862</v>
      </c>
      <c r="Q899" s="11" t="s">
        <v>135</v>
      </c>
      <c r="U899" s="11" t="s">
        <v>2864</v>
      </c>
      <c r="V899" s="11" t="s">
        <v>137</v>
      </c>
      <c r="W899" s="13">
        <v>46302.314618055556</v>
      </c>
    </row>
    <row r="900" spans="1:23">
      <c r="A900">
        <v>274007</v>
      </c>
      <c r="B900">
        <v>10109</v>
      </c>
      <c r="C900" s="11" t="s">
        <v>129</v>
      </c>
      <c r="D900" s="11" t="s">
        <v>130</v>
      </c>
      <c r="E900" s="11" t="s">
        <v>25</v>
      </c>
      <c r="F900" s="12">
        <v>46204</v>
      </c>
      <c r="G900" s="11" t="s">
        <v>504</v>
      </c>
      <c r="H900">
        <v>1</v>
      </c>
      <c r="I900" s="11" t="s">
        <v>2865</v>
      </c>
      <c r="M900" s="11" t="s">
        <v>53</v>
      </c>
      <c r="N900" s="11" t="s">
        <v>2866</v>
      </c>
      <c r="O900" s="11" t="s">
        <v>2867</v>
      </c>
      <c r="P900" s="11" t="s">
        <v>2865</v>
      </c>
      <c r="Q900" s="11" t="s">
        <v>135</v>
      </c>
      <c r="U900" s="11" t="s">
        <v>508</v>
      </c>
      <c r="V900" s="11" t="s">
        <v>137</v>
      </c>
      <c r="W900" s="13">
        <v>46302.314618055556</v>
      </c>
    </row>
    <row r="901" spans="1:23">
      <c r="A901">
        <v>274008</v>
      </c>
      <c r="B901">
        <v>10110</v>
      </c>
      <c r="C901" s="11" t="s">
        <v>129</v>
      </c>
      <c r="D901" s="11" t="s">
        <v>130</v>
      </c>
      <c r="E901" s="11" t="s">
        <v>25</v>
      </c>
      <c r="F901" s="12">
        <v>46204</v>
      </c>
      <c r="G901" s="11" t="s">
        <v>131</v>
      </c>
      <c r="H901">
        <v>1</v>
      </c>
      <c r="I901" s="11" t="s">
        <v>2868</v>
      </c>
      <c r="M901" s="11" t="s">
        <v>87</v>
      </c>
      <c r="N901" s="11" t="s">
        <v>2869</v>
      </c>
      <c r="O901" s="11" t="s">
        <v>2870</v>
      </c>
      <c r="P901" s="11" t="s">
        <v>2868</v>
      </c>
      <c r="Q901" s="11" t="s">
        <v>135</v>
      </c>
      <c r="U901" s="11" t="s">
        <v>136</v>
      </c>
      <c r="V901" s="11" t="s">
        <v>137</v>
      </c>
      <c r="W901" s="13">
        <v>46302.314618055556</v>
      </c>
    </row>
    <row r="902" spans="1:23">
      <c r="A902">
        <v>274009</v>
      </c>
      <c r="B902">
        <v>10111</v>
      </c>
      <c r="C902" s="11" t="s">
        <v>129</v>
      </c>
      <c r="D902" s="11" t="s">
        <v>130</v>
      </c>
      <c r="E902" s="11" t="s">
        <v>25</v>
      </c>
      <c r="F902" s="12">
        <v>46204</v>
      </c>
      <c r="G902" s="11" t="s">
        <v>143</v>
      </c>
      <c r="H902">
        <v>1</v>
      </c>
      <c r="I902" s="11" t="s">
        <v>2871</v>
      </c>
      <c r="M902" s="11" t="s">
        <v>39</v>
      </c>
      <c r="N902" s="11" t="s">
        <v>2872</v>
      </c>
      <c r="O902" s="11" t="s">
        <v>2873</v>
      </c>
      <c r="P902" s="11" t="s">
        <v>2871</v>
      </c>
      <c r="Q902" s="11" t="s">
        <v>135</v>
      </c>
      <c r="U902" s="11" t="s">
        <v>148</v>
      </c>
      <c r="V902" s="11" t="s">
        <v>137</v>
      </c>
      <c r="W902" s="13">
        <v>46302.314618055556</v>
      </c>
    </row>
    <row r="903" spans="1:23">
      <c r="A903">
        <v>274010</v>
      </c>
      <c r="B903">
        <v>10112</v>
      </c>
      <c r="C903" s="11" t="s">
        <v>129</v>
      </c>
      <c r="D903" s="11" t="s">
        <v>130</v>
      </c>
      <c r="E903" s="11" t="s">
        <v>25</v>
      </c>
      <c r="F903" s="12">
        <v>46204</v>
      </c>
      <c r="G903" s="11" t="s">
        <v>195</v>
      </c>
      <c r="H903">
        <v>1</v>
      </c>
      <c r="I903" s="11" t="s">
        <v>1644</v>
      </c>
      <c r="M903" s="11" t="s">
        <v>68</v>
      </c>
      <c r="N903" s="11" t="s">
        <v>2874</v>
      </c>
      <c r="O903" s="11" t="s">
        <v>2875</v>
      </c>
      <c r="P903" s="11" t="s">
        <v>1644</v>
      </c>
      <c r="Q903" s="11" t="s">
        <v>135</v>
      </c>
      <c r="U903" s="11" t="s">
        <v>199</v>
      </c>
      <c r="V903" s="11" t="s">
        <v>137</v>
      </c>
      <c r="W903" s="13">
        <v>46302.314618055556</v>
      </c>
    </row>
    <row r="904" spans="1:23">
      <c r="A904">
        <v>274011</v>
      </c>
      <c r="B904">
        <v>10113</v>
      </c>
      <c r="C904" s="11" t="s">
        <v>129</v>
      </c>
      <c r="D904" s="11" t="s">
        <v>130</v>
      </c>
      <c r="E904" s="11" t="s">
        <v>25</v>
      </c>
      <c r="F904" s="12">
        <v>46204</v>
      </c>
      <c r="G904" s="11" t="s">
        <v>159</v>
      </c>
      <c r="H904">
        <v>1</v>
      </c>
      <c r="I904" s="11" t="s">
        <v>2876</v>
      </c>
      <c r="M904" s="11" t="s">
        <v>95</v>
      </c>
      <c r="N904" s="11" t="s">
        <v>2877</v>
      </c>
      <c r="O904" s="11" t="s">
        <v>2878</v>
      </c>
      <c r="P904" s="11" t="s">
        <v>2876</v>
      </c>
      <c r="Q904" s="11" t="s">
        <v>135</v>
      </c>
      <c r="U904" s="11" t="s">
        <v>163</v>
      </c>
      <c r="V904" s="11" t="s">
        <v>137</v>
      </c>
      <c r="W904" s="13">
        <v>46302.314618055556</v>
      </c>
    </row>
    <row r="905" spans="1:23">
      <c r="A905">
        <v>274012</v>
      </c>
      <c r="B905">
        <v>10114</v>
      </c>
      <c r="C905" s="11" t="s">
        <v>129</v>
      </c>
      <c r="D905" s="11" t="s">
        <v>130</v>
      </c>
      <c r="E905" s="11" t="s">
        <v>25</v>
      </c>
      <c r="F905" s="12">
        <v>46204</v>
      </c>
      <c r="G905" s="11" t="s">
        <v>1848</v>
      </c>
      <c r="H905">
        <v>1</v>
      </c>
      <c r="I905" s="11" t="s">
        <v>862</v>
      </c>
      <c r="M905" s="11" t="s">
        <v>56</v>
      </c>
      <c r="N905" s="11" t="s">
        <v>2879</v>
      </c>
      <c r="O905" s="11" t="s">
        <v>1239</v>
      </c>
      <c r="P905" s="11" t="s">
        <v>862</v>
      </c>
      <c r="Q905" s="11" t="s">
        <v>135</v>
      </c>
      <c r="U905" s="11" t="s">
        <v>1852</v>
      </c>
      <c r="V905" s="11" t="s">
        <v>137</v>
      </c>
      <c r="W905" s="13">
        <v>46302.314618055556</v>
      </c>
    </row>
    <row r="906" spans="1:23">
      <c r="A906">
        <v>274013</v>
      </c>
      <c r="B906">
        <v>10115</v>
      </c>
      <c r="C906" s="11" t="s">
        <v>129</v>
      </c>
      <c r="D906" s="11" t="s">
        <v>130</v>
      </c>
      <c r="E906" s="11" t="s">
        <v>25</v>
      </c>
      <c r="F906" s="12">
        <v>46204</v>
      </c>
      <c r="G906" s="11" t="s">
        <v>174</v>
      </c>
      <c r="H906">
        <v>1</v>
      </c>
      <c r="I906" s="11" t="s">
        <v>2880</v>
      </c>
      <c r="M906" s="11" t="s">
        <v>92</v>
      </c>
      <c r="N906" s="11" t="s">
        <v>1427</v>
      </c>
      <c r="O906" s="11" t="s">
        <v>2881</v>
      </c>
      <c r="P906" s="11" t="s">
        <v>2880</v>
      </c>
      <c r="Q906" s="11" t="s">
        <v>135</v>
      </c>
      <c r="U906" s="11" t="s">
        <v>178</v>
      </c>
      <c r="V906" s="11" t="s">
        <v>137</v>
      </c>
      <c r="W906" s="13">
        <v>46302.314618055556</v>
      </c>
    </row>
    <row r="907" spans="1:23">
      <c r="A907">
        <v>274014</v>
      </c>
      <c r="B907">
        <v>10116</v>
      </c>
      <c r="C907" s="11" t="s">
        <v>129</v>
      </c>
      <c r="D907" s="11" t="s">
        <v>130</v>
      </c>
      <c r="E907" s="11" t="s">
        <v>25</v>
      </c>
      <c r="F907" s="12">
        <v>46204</v>
      </c>
      <c r="G907" s="11" t="s">
        <v>179</v>
      </c>
      <c r="H907">
        <v>1</v>
      </c>
      <c r="I907" s="11" t="s">
        <v>2882</v>
      </c>
      <c r="M907" s="11" t="s">
        <v>83</v>
      </c>
      <c r="N907" s="11" t="s">
        <v>2883</v>
      </c>
      <c r="O907" s="11" t="s">
        <v>2884</v>
      </c>
      <c r="P907" s="11" t="s">
        <v>2882</v>
      </c>
      <c r="Q907" s="11" t="s">
        <v>135</v>
      </c>
      <c r="U907" s="11" t="s">
        <v>183</v>
      </c>
      <c r="V907" s="11" t="s">
        <v>137</v>
      </c>
      <c r="W907" s="13">
        <v>46302.314618055556</v>
      </c>
    </row>
    <row r="908" spans="1:23">
      <c r="A908">
        <v>274015</v>
      </c>
      <c r="B908">
        <v>10117</v>
      </c>
      <c r="C908" s="11" t="s">
        <v>129</v>
      </c>
      <c r="D908" s="11" t="s">
        <v>130</v>
      </c>
      <c r="E908" s="11" t="s">
        <v>25</v>
      </c>
      <c r="F908" s="12">
        <v>46204</v>
      </c>
      <c r="G908" s="11" t="s">
        <v>143</v>
      </c>
      <c r="H908">
        <v>1</v>
      </c>
      <c r="I908" s="11" t="s">
        <v>1886</v>
      </c>
      <c r="M908" s="11" t="s">
        <v>39</v>
      </c>
      <c r="N908" s="11" t="s">
        <v>2885</v>
      </c>
      <c r="O908" s="11" t="s">
        <v>2886</v>
      </c>
      <c r="P908" s="11" t="s">
        <v>1886</v>
      </c>
      <c r="Q908" s="11" t="s">
        <v>135</v>
      </c>
      <c r="U908" s="11" t="s">
        <v>148</v>
      </c>
      <c r="V908" s="11" t="s">
        <v>137</v>
      </c>
      <c r="W908" s="13">
        <v>46302.314618055556</v>
      </c>
    </row>
    <row r="909" spans="1:23">
      <c r="A909">
        <v>274016</v>
      </c>
      <c r="B909">
        <v>10118</v>
      </c>
      <c r="C909" s="11" t="s">
        <v>129</v>
      </c>
      <c r="D909" s="11" t="s">
        <v>130</v>
      </c>
      <c r="E909" s="11" t="s">
        <v>25</v>
      </c>
      <c r="F909" s="12">
        <v>46204</v>
      </c>
      <c r="G909" s="11" t="s">
        <v>164</v>
      </c>
      <c r="H909">
        <v>1</v>
      </c>
      <c r="I909" s="11" t="s">
        <v>1849</v>
      </c>
      <c r="M909" s="11" t="s">
        <v>62</v>
      </c>
      <c r="N909" s="11" t="s">
        <v>2887</v>
      </c>
      <c r="O909" s="11" t="s">
        <v>2888</v>
      </c>
      <c r="P909" s="11" t="s">
        <v>1849</v>
      </c>
      <c r="Q909" s="11" t="s">
        <v>135</v>
      </c>
      <c r="U909" s="11" t="s">
        <v>168</v>
      </c>
      <c r="V909" s="11" t="s">
        <v>137</v>
      </c>
      <c r="W909" s="13">
        <v>46302.314618055556</v>
      </c>
    </row>
    <row r="910" spans="1:23">
      <c r="A910">
        <v>274017</v>
      </c>
      <c r="B910">
        <v>10119</v>
      </c>
      <c r="C910" s="11" t="s">
        <v>129</v>
      </c>
      <c r="D910" s="11" t="s">
        <v>130</v>
      </c>
      <c r="E910" s="11" t="s">
        <v>25</v>
      </c>
      <c r="F910" s="12">
        <v>46204</v>
      </c>
      <c r="G910" s="11" t="s">
        <v>143</v>
      </c>
      <c r="H910">
        <v>1</v>
      </c>
      <c r="I910" s="11" t="s">
        <v>2889</v>
      </c>
      <c r="M910" s="11" t="s">
        <v>39</v>
      </c>
      <c r="N910" s="11" t="s">
        <v>2890</v>
      </c>
      <c r="O910" s="11" t="s">
        <v>2891</v>
      </c>
      <c r="P910" s="11" t="s">
        <v>2889</v>
      </c>
      <c r="Q910" s="11" t="s">
        <v>135</v>
      </c>
      <c r="U910" s="11" t="s">
        <v>148</v>
      </c>
      <c r="V910" s="11" t="s">
        <v>137</v>
      </c>
      <c r="W910" s="13">
        <v>46302.314618055556</v>
      </c>
    </row>
    <row r="911" spans="1:23">
      <c r="A911">
        <v>274018</v>
      </c>
      <c r="B911">
        <v>10120</v>
      </c>
      <c r="C911" s="11" t="s">
        <v>129</v>
      </c>
      <c r="D911" s="11" t="s">
        <v>130</v>
      </c>
      <c r="E911" s="11" t="s">
        <v>25</v>
      </c>
      <c r="F911" s="12">
        <v>46204</v>
      </c>
      <c r="G911" s="11" t="s">
        <v>195</v>
      </c>
      <c r="H911">
        <v>1</v>
      </c>
      <c r="I911" s="11" t="s">
        <v>2892</v>
      </c>
      <c r="M911" s="11" t="s">
        <v>68</v>
      </c>
      <c r="N911" s="11" t="s">
        <v>2893</v>
      </c>
      <c r="O911" s="11" t="s">
        <v>2894</v>
      </c>
      <c r="P911" s="11" t="s">
        <v>2892</v>
      </c>
      <c r="Q911" s="11" t="s">
        <v>135</v>
      </c>
      <c r="U911" s="11" t="s">
        <v>199</v>
      </c>
      <c r="V911" s="11" t="s">
        <v>137</v>
      </c>
      <c r="W911" s="13">
        <v>46302.314618055556</v>
      </c>
    </row>
    <row r="912" spans="1:23">
      <c r="A912">
        <v>274019</v>
      </c>
      <c r="B912">
        <v>10121</v>
      </c>
      <c r="C912" s="11" t="s">
        <v>129</v>
      </c>
      <c r="D912" s="11" t="s">
        <v>130</v>
      </c>
      <c r="E912" s="11" t="s">
        <v>25</v>
      </c>
      <c r="F912" s="12">
        <v>46204</v>
      </c>
      <c r="G912" s="11" t="s">
        <v>164</v>
      </c>
      <c r="H912">
        <v>1</v>
      </c>
      <c r="I912" s="11" t="s">
        <v>2410</v>
      </c>
      <c r="M912" s="11" t="s">
        <v>62</v>
      </c>
      <c r="N912" s="11" t="s">
        <v>2895</v>
      </c>
      <c r="O912" s="11" t="s">
        <v>2896</v>
      </c>
      <c r="P912" s="11" t="s">
        <v>2410</v>
      </c>
      <c r="Q912" s="11" t="s">
        <v>135</v>
      </c>
      <c r="U912" s="11" t="s">
        <v>168</v>
      </c>
      <c r="V912" s="11" t="s">
        <v>137</v>
      </c>
      <c r="W912" s="13">
        <v>46302.314618055556</v>
      </c>
    </row>
    <row r="913" spans="1:23">
      <c r="A913">
        <v>274020</v>
      </c>
      <c r="B913">
        <v>10122</v>
      </c>
      <c r="C913" s="11" t="s">
        <v>129</v>
      </c>
      <c r="D913" s="11" t="s">
        <v>130</v>
      </c>
      <c r="E913" s="11" t="s">
        <v>25</v>
      </c>
      <c r="F913" s="12">
        <v>46204</v>
      </c>
      <c r="G913" s="11" t="s">
        <v>143</v>
      </c>
      <c r="H913">
        <v>1</v>
      </c>
      <c r="I913" s="11" t="s">
        <v>2897</v>
      </c>
      <c r="M913" s="11" t="s">
        <v>39</v>
      </c>
      <c r="N913" s="11" t="s">
        <v>2898</v>
      </c>
      <c r="O913" s="11" t="s">
        <v>2899</v>
      </c>
      <c r="P913" s="11" t="s">
        <v>2897</v>
      </c>
      <c r="Q913" s="11" t="s">
        <v>135</v>
      </c>
      <c r="U913" s="11" t="s">
        <v>148</v>
      </c>
      <c r="V913" s="11" t="s">
        <v>137</v>
      </c>
      <c r="W913" s="13">
        <v>46302.314618055556</v>
      </c>
    </row>
    <row r="914" spans="1:23">
      <c r="A914">
        <v>274021</v>
      </c>
      <c r="B914">
        <v>10123</v>
      </c>
      <c r="C914" s="11" t="s">
        <v>129</v>
      </c>
      <c r="D914" s="11" t="s">
        <v>130</v>
      </c>
      <c r="E914" s="11" t="s">
        <v>25</v>
      </c>
      <c r="F914" s="12">
        <v>46204</v>
      </c>
      <c r="G914" s="11" t="s">
        <v>1848</v>
      </c>
      <c r="H914">
        <v>1</v>
      </c>
      <c r="I914" s="11" t="s">
        <v>2900</v>
      </c>
      <c r="M914" s="11" t="s">
        <v>56</v>
      </c>
      <c r="N914" s="11" t="s">
        <v>2901</v>
      </c>
      <c r="O914" s="11" t="s">
        <v>2902</v>
      </c>
      <c r="P914" s="11" t="s">
        <v>2900</v>
      </c>
      <c r="Q914" s="11" t="s">
        <v>135</v>
      </c>
      <c r="U914" s="11" t="s">
        <v>1852</v>
      </c>
      <c r="V914" s="11" t="s">
        <v>137</v>
      </c>
      <c r="W914" s="13">
        <v>46302.314618055556</v>
      </c>
    </row>
    <row r="915" spans="1:23">
      <c r="A915">
        <v>274022</v>
      </c>
      <c r="B915">
        <v>10124</v>
      </c>
      <c r="C915" s="11" t="s">
        <v>129</v>
      </c>
      <c r="D915" s="11" t="s">
        <v>130</v>
      </c>
      <c r="E915" s="11" t="s">
        <v>25</v>
      </c>
      <c r="F915" s="12">
        <v>46204</v>
      </c>
      <c r="G915" s="11" t="s">
        <v>131</v>
      </c>
      <c r="H915">
        <v>1</v>
      </c>
      <c r="I915" s="11" t="s">
        <v>1899</v>
      </c>
      <c r="M915" s="11" t="s">
        <v>87</v>
      </c>
      <c r="N915" s="11" t="s">
        <v>2903</v>
      </c>
      <c r="O915" s="11" t="s">
        <v>2904</v>
      </c>
      <c r="P915" s="11" t="s">
        <v>1899</v>
      </c>
      <c r="Q915" s="11" t="s">
        <v>135</v>
      </c>
      <c r="U915" s="11" t="s">
        <v>136</v>
      </c>
      <c r="V915" s="11" t="s">
        <v>137</v>
      </c>
      <c r="W915" s="13">
        <v>46302.314618055556</v>
      </c>
    </row>
    <row r="916" spans="1:23">
      <c r="A916">
        <v>274023</v>
      </c>
      <c r="B916">
        <v>10125</v>
      </c>
      <c r="C916" s="11" t="s">
        <v>129</v>
      </c>
      <c r="D916" s="11" t="s">
        <v>130</v>
      </c>
      <c r="E916" s="11" t="s">
        <v>25</v>
      </c>
      <c r="F916" s="12">
        <v>46204</v>
      </c>
      <c r="G916" s="11" t="s">
        <v>143</v>
      </c>
      <c r="H916">
        <v>1</v>
      </c>
      <c r="I916" s="11" t="s">
        <v>2905</v>
      </c>
      <c r="M916" s="11" t="s">
        <v>39</v>
      </c>
      <c r="N916" s="11" t="s">
        <v>2906</v>
      </c>
      <c r="O916" s="11" t="s">
        <v>2907</v>
      </c>
      <c r="P916" s="11" t="s">
        <v>2905</v>
      </c>
      <c r="Q916" s="11" t="s">
        <v>135</v>
      </c>
      <c r="U916" s="11" t="s">
        <v>148</v>
      </c>
      <c r="V916" s="11" t="s">
        <v>137</v>
      </c>
      <c r="W916" s="13">
        <v>46302.314618055556</v>
      </c>
    </row>
    <row r="917" spans="1:23">
      <c r="A917">
        <v>274024</v>
      </c>
      <c r="B917">
        <v>10126</v>
      </c>
      <c r="C917" s="11" t="s">
        <v>129</v>
      </c>
      <c r="D917" s="11" t="s">
        <v>130</v>
      </c>
      <c r="E917" s="11" t="s">
        <v>25</v>
      </c>
      <c r="F917" s="12">
        <v>46204</v>
      </c>
      <c r="G917" s="11" t="s">
        <v>195</v>
      </c>
      <c r="H917">
        <v>1</v>
      </c>
      <c r="I917" s="11" t="s">
        <v>2494</v>
      </c>
      <c r="M917" s="11" t="s">
        <v>68</v>
      </c>
      <c r="N917" s="11" t="s">
        <v>2908</v>
      </c>
      <c r="O917" s="11" t="s">
        <v>2909</v>
      </c>
      <c r="P917" s="11" t="s">
        <v>2494</v>
      </c>
      <c r="Q917" s="11" t="s">
        <v>135</v>
      </c>
      <c r="U917" s="11" t="s">
        <v>199</v>
      </c>
      <c r="V917" s="11" t="s">
        <v>137</v>
      </c>
      <c r="W917" s="13">
        <v>46302.314618055556</v>
      </c>
    </row>
    <row r="918" spans="1:23">
      <c r="A918">
        <v>274025</v>
      </c>
      <c r="B918">
        <v>10127</v>
      </c>
      <c r="C918" s="11" t="s">
        <v>129</v>
      </c>
      <c r="D918" s="11" t="s">
        <v>130</v>
      </c>
      <c r="E918" s="11" t="s">
        <v>25</v>
      </c>
      <c r="F918" s="12">
        <v>46204</v>
      </c>
      <c r="G918" s="11" t="s">
        <v>143</v>
      </c>
      <c r="H918">
        <v>1</v>
      </c>
      <c r="I918" s="11" t="s">
        <v>2910</v>
      </c>
      <c r="M918" s="11" t="s">
        <v>39</v>
      </c>
      <c r="N918" s="11" t="s">
        <v>2911</v>
      </c>
      <c r="O918" s="11" t="s">
        <v>2912</v>
      </c>
      <c r="P918" s="11" t="s">
        <v>2910</v>
      </c>
      <c r="Q918" s="11" t="s">
        <v>135</v>
      </c>
      <c r="U918" s="11" t="s">
        <v>148</v>
      </c>
      <c r="V918" s="11" t="s">
        <v>137</v>
      </c>
      <c r="W918" s="13">
        <v>46302.314618055556</v>
      </c>
    </row>
    <row r="919" spans="1:23">
      <c r="A919">
        <v>274026</v>
      </c>
      <c r="B919">
        <v>10128</v>
      </c>
      <c r="C919" s="11" t="s">
        <v>129</v>
      </c>
      <c r="D919" s="11" t="s">
        <v>130</v>
      </c>
      <c r="E919" s="11" t="s">
        <v>25</v>
      </c>
      <c r="F919" s="12">
        <v>46204</v>
      </c>
      <c r="G919" s="11" t="s">
        <v>195</v>
      </c>
      <c r="H919">
        <v>1</v>
      </c>
      <c r="I919" s="11" t="s">
        <v>2913</v>
      </c>
      <c r="M919" s="11" t="s">
        <v>68</v>
      </c>
      <c r="N919" s="11" t="s">
        <v>2914</v>
      </c>
      <c r="O919" s="11" t="s">
        <v>2915</v>
      </c>
      <c r="P919" s="11" t="s">
        <v>2913</v>
      </c>
      <c r="Q919" s="11" t="s">
        <v>135</v>
      </c>
      <c r="U919" s="11" t="s">
        <v>199</v>
      </c>
      <c r="V919" s="11" t="s">
        <v>137</v>
      </c>
      <c r="W919" s="13">
        <v>46302.314618055556</v>
      </c>
    </row>
    <row r="920" spans="1:23">
      <c r="A920">
        <v>274027</v>
      </c>
      <c r="B920">
        <v>10129</v>
      </c>
      <c r="C920" s="11" t="s">
        <v>129</v>
      </c>
      <c r="D920" s="11" t="s">
        <v>130</v>
      </c>
      <c r="E920" s="11" t="s">
        <v>25</v>
      </c>
      <c r="F920" s="12">
        <v>46204</v>
      </c>
      <c r="G920" s="11" t="s">
        <v>143</v>
      </c>
      <c r="H920">
        <v>1</v>
      </c>
      <c r="I920" s="11" t="s">
        <v>1247</v>
      </c>
      <c r="M920" s="11" t="s">
        <v>39</v>
      </c>
      <c r="N920" s="11" t="s">
        <v>2916</v>
      </c>
      <c r="O920" s="11" t="s">
        <v>2917</v>
      </c>
      <c r="P920" s="11" t="s">
        <v>1247</v>
      </c>
      <c r="Q920" s="11" t="s">
        <v>135</v>
      </c>
      <c r="U920" s="11" t="s">
        <v>148</v>
      </c>
      <c r="V920" s="11" t="s">
        <v>137</v>
      </c>
      <c r="W920" s="13">
        <v>46302.314618055556</v>
      </c>
    </row>
    <row r="921" spans="1:23">
      <c r="A921">
        <v>274028</v>
      </c>
      <c r="B921">
        <v>10130</v>
      </c>
      <c r="C921" s="11" t="s">
        <v>129</v>
      </c>
      <c r="D921" s="11" t="s">
        <v>130</v>
      </c>
      <c r="E921" s="11" t="s">
        <v>25</v>
      </c>
      <c r="F921" s="12">
        <v>46204</v>
      </c>
      <c r="G921" s="11" t="s">
        <v>1848</v>
      </c>
      <c r="H921">
        <v>1</v>
      </c>
      <c r="I921" s="11" t="s">
        <v>627</v>
      </c>
      <c r="M921" s="11" t="s">
        <v>56</v>
      </c>
      <c r="N921" s="11" t="s">
        <v>2918</v>
      </c>
      <c r="O921" s="11" t="s">
        <v>2919</v>
      </c>
      <c r="P921" s="11" t="s">
        <v>627</v>
      </c>
      <c r="Q921" s="11" t="s">
        <v>135</v>
      </c>
      <c r="U921" s="11" t="s">
        <v>1852</v>
      </c>
      <c r="V921" s="11" t="s">
        <v>137</v>
      </c>
      <c r="W921" s="13">
        <v>46302.314618055556</v>
      </c>
    </row>
    <row r="922" spans="1:23">
      <c r="A922">
        <v>274029</v>
      </c>
      <c r="B922">
        <v>10131</v>
      </c>
      <c r="C922" s="11" t="s">
        <v>129</v>
      </c>
      <c r="D922" s="11" t="s">
        <v>130</v>
      </c>
      <c r="E922" s="11" t="s">
        <v>25</v>
      </c>
      <c r="F922" s="12">
        <v>46204</v>
      </c>
      <c r="G922" s="11" t="s">
        <v>217</v>
      </c>
      <c r="H922">
        <v>1</v>
      </c>
      <c r="I922" s="11" t="s">
        <v>2920</v>
      </c>
      <c r="M922" s="11" t="s">
        <v>86</v>
      </c>
      <c r="N922" s="11" t="s">
        <v>2921</v>
      </c>
      <c r="O922" s="11" t="s">
        <v>2922</v>
      </c>
      <c r="P922" s="11" t="s">
        <v>2920</v>
      </c>
      <c r="Q922" s="11" t="s">
        <v>135</v>
      </c>
      <c r="U922" s="11" t="s">
        <v>221</v>
      </c>
      <c r="V922" s="11" t="s">
        <v>137</v>
      </c>
      <c r="W922" s="13">
        <v>46302.314618055556</v>
      </c>
    </row>
    <row r="923" spans="1:23">
      <c r="A923">
        <v>274030</v>
      </c>
      <c r="B923">
        <v>10105</v>
      </c>
      <c r="C923" s="11" t="s">
        <v>129</v>
      </c>
      <c r="D923" s="11" t="s">
        <v>130</v>
      </c>
      <c r="E923" s="11" t="s">
        <v>25</v>
      </c>
      <c r="F923" s="12">
        <v>46204</v>
      </c>
      <c r="G923" s="11" t="s">
        <v>131</v>
      </c>
      <c r="H923">
        <v>1</v>
      </c>
      <c r="I923" s="11" t="s">
        <v>2163</v>
      </c>
      <c r="M923" s="11" t="s">
        <v>87</v>
      </c>
      <c r="N923" s="11" t="s">
        <v>2923</v>
      </c>
      <c r="O923" s="11" t="s">
        <v>2924</v>
      </c>
      <c r="P923" s="11" t="s">
        <v>2163</v>
      </c>
      <c r="Q923" s="11" t="s">
        <v>135</v>
      </c>
      <c r="R923">
        <v>10104</v>
      </c>
      <c r="U923" s="11" t="s">
        <v>136</v>
      </c>
      <c r="V923" s="11" t="s">
        <v>137</v>
      </c>
      <c r="W923" s="13">
        <v>46302.314618055556</v>
      </c>
    </row>
    <row r="924" spans="1:23">
      <c r="A924">
        <v>274625</v>
      </c>
      <c r="B924">
        <v>10711</v>
      </c>
      <c r="C924" s="11" t="s">
        <v>129</v>
      </c>
      <c r="D924" s="11" t="s">
        <v>130</v>
      </c>
      <c r="E924" s="11" t="s">
        <v>25</v>
      </c>
      <c r="F924" s="12">
        <v>46206</v>
      </c>
      <c r="G924" s="11" t="s">
        <v>226</v>
      </c>
      <c r="H924">
        <v>1</v>
      </c>
      <c r="I924" s="11" t="s">
        <v>2925</v>
      </c>
      <c r="M924" s="11" t="s">
        <v>87</v>
      </c>
      <c r="N924" s="11" t="s">
        <v>1860</v>
      </c>
      <c r="O924" s="11" t="s">
        <v>2926</v>
      </c>
      <c r="P924" s="11" t="s">
        <v>2925</v>
      </c>
      <c r="Q924" s="11" t="s">
        <v>135</v>
      </c>
      <c r="U924" s="11" t="s">
        <v>231</v>
      </c>
      <c r="V924" s="11" t="s">
        <v>137</v>
      </c>
      <c r="W924" s="13">
        <v>46302.314618055556</v>
      </c>
    </row>
    <row r="925" spans="1:23">
      <c r="A925">
        <v>274626</v>
      </c>
      <c r="B925">
        <v>10712</v>
      </c>
      <c r="C925" s="11" t="s">
        <v>129</v>
      </c>
      <c r="D925" s="11" t="s">
        <v>130</v>
      </c>
      <c r="E925" s="11" t="s">
        <v>25</v>
      </c>
      <c r="F925" s="12">
        <v>46206</v>
      </c>
      <c r="G925" s="11" t="s">
        <v>237</v>
      </c>
      <c r="H925">
        <v>1</v>
      </c>
      <c r="I925" s="11" t="s">
        <v>2927</v>
      </c>
      <c r="M925" s="11" t="s">
        <v>71</v>
      </c>
      <c r="N925" s="11" t="s">
        <v>2928</v>
      </c>
      <c r="O925" s="11" t="s">
        <v>2929</v>
      </c>
      <c r="P925" s="11" t="s">
        <v>2927</v>
      </c>
      <c r="Q925" s="11" t="s">
        <v>135</v>
      </c>
      <c r="U925" s="11" t="s">
        <v>241</v>
      </c>
      <c r="V925" s="11" t="s">
        <v>137</v>
      </c>
      <c r="W925" s="13">
        <v>46302.314618055556</v>
      </c>
    </row>
    <row r="926" spans="1:23">
      <c r="A926">
        <v>274627</v>
      </c>
      <c r="B926">
        <v>10713</v>
      </c>
      <c r="C926" s="11" t="s">
        <v>129</v>
      </c>
      <c r="D926" s="11" t="s">
        <v>130</v>
      </c>
      <c r="E926" s="11" t="s">
        <v>25</v>
      </c>
      <c r="F926" s="12">
        <v>46206</v>
      </c>
      <c r="G926" s="11" t="s">
        <v>226</v>
      </c>
      <c r="H926">
        <v>1</v>
      </c>
      <c r="I926" s="11" t="s">
        <v>753</v>
      </c>
      <c r="M926" s="11" t="s">
        <v>87</v>
      </c>
      <c r="N926" s="11" t="s">
        <v>2930</v>
      </c>
      <c r="O926" s="11" t="s">
        <v>2931</v>
      </c>
      <c r="P926" s="11" t="s">
        <v>753</v>
      </c>
      <c r="Q926" s="11" t="s">
        <v>135</v>
      </c>
      <c r="U926" s="11" t="s">
        <v>231</v>
      </c>
      <c r="V926" s="11" t="s">
        <v>137</v>
      </c>
      <c r="W926" s="13">
        <v>46302.314618055556</v>
      </c>
    </row>
    <row r="927" spans="1:23">
      <c r="A927">
        <v>274628</v>
      </c>
      <c r="B927">
        <v>10714</v>
      </c>
      <c r="C927" s="11" t="s">
        <v>129</v>
      </c>
      <c r="D927" s="11" t="s">
        <v>130</v>
      </c>
      <c r="E927" s="11" t="s">
        <v>25</v>
      </c>
      <c r="F927" s="12">
        <v>46206</v>
      </c>
      <c r="G927" s="11" t="s">
        <v>439</v>
      </c>
      <c r="H927">
        <v>1</v>
      </c>
      <c r="I927" s="11" t="s">
        <v>2932</v>
      </c>
      <c r="M927" s="11" t="s">
        <v>73</v>
      </c>
      <c r="N927" s="11" t="s">
        <v>2933</v>
      </c>
      <c r="O927" s="11" t="s">
        <v>2934</v>
      </c>
      <c r="P927" s="11" t="s">
        <v>2932</v>
      </c>
      <c r="Q927" s="11" t="s">
        <v>135</v>
      </c>
      <c r="U927" s="11" t="s">
        <v>443</v>
      </c>
      <c r="V927" s="11" t="s">
        <v>137</v>
      </c>
      <c r="W927" s="13">
        <v>46302.314618055556</v>
      </c>
    </row>
    <row r="928" spans="1:23">
      <c r="A928">
        <v>274629</v>
      </c>
      <c r="B928">
        <v>10715</v>
      </c>
      <c r="C928" s="11" t="s">
        <v>129</v>
      </c>
      <c r="D928" s="11" t="s">
        <v>130</v>
      </c>
      <c r="E928" s="11" t="s">
        <v>25</v>
      </c>
      <c r="F928" s="12">
        <v>46206</v>
      </c>
      <c r="G928" s="11" t="s">
        <v>237</v>
      </c>
      <c r="H928">
        <v>1</v>
      </c>
      <c r="I928" s="11" t="s">
        <v>2935</v>
      </c>
      <c r="M928" s="11" t="s">
        <v>71</v>
      </c>
      <c r="N928" s="11" t="s">
        <v>2936</v>
      </c>
      <c r="O928" s="11" t="s">
        <v>2937</v>
      </c>
      <c r="P928" s="11" t="s">
        <v>2935</v>
      </c>
      <c r="Q928" s="11" t="s">
        <v>135</v>
      </c>
      <c r="U928" s="11" t="s">
        <v>241</v>
      </c>
      <c r="V928" s="11" t="s">
        <v>137</v>
      </c>
      <c r="W928" s="13">
        <v>46302.314618055556</v>
      </c>
    </row>
    <row r="929" spans="1:23">
      <c r="A929">
        <v>274630</v>
      </c>
      <c r="B929">
        <v>10716</v>
      </c>
      <c r="C929" s="11" t="s">
        <v>129</v>
      </c>
      <c r="D929" s="11" t="s">
        <v>130</v>
      </c>
      <c r="E929" s="11" t="s">
        <v>25</v>
      </c>
      <c r="F929" s="12">
        <v>46206</v>
      </c>
      <c r="G929" s="11" t="s">
        <v>237</v>
      </c>
      <c r="H929">
        <v>1</v>
      </c>
      <c r="I929" s="11" t="s">
        <v>2938</v>
      </c>
      <c r="M929" s="11" t="s">
        <v>71</v>
      </c>
      <c r="N929" s="11" t="s">
        <v>2939</v>
      </c>
      <c r="O929" s="11" t="s">
        <v>2940</v>
      </c>
      <c r="P929" s="11" t="s">
        <v>2938</v>
      </c>
      <c r="Q929" s="11" t="s">
        <v>135</v>
      </c>
      <c r="U929" s="11" t="s">
        <v>241</v>
      </c>
      <c r="V929" s="11" t="s">
        <v>137</v>
      </c>
      <c r="W929" s="13">
        <v>46302.314618055556</v>
      </c>
    </row>
    <row r="930" spans="1:23">
      <c r="A930">
        <v>274631</v>
      </c>
      <c r="B930">
        <v>10717</v>
      </c>
      <c r="C930" s="11" t="s">
        <v>129</v>
      </c>
      <c r="D930" s="11" t="s">
        <v>130</v>
      </c>
      <c r="E930" s="11" t="s">
        <v>25</v>
      </c>
      <c r="F930" s="12">
        <v>46206</v>
      </c>
      <c r="G930" s="11" t="s">
        <v>263</v>
      </c>
      <c r="H930">
        <v>1</v>
      </c>
      <c r="I930" s="11" t="s">
        <v>2892</v>
      </c>
      <c r="M930" s="11" t="s">
        <v>92</v>
      </c>
      <c r="N930" s="11" t="s">
        <v>2941</v>
      </c>
      <c r="O930" s="11" t="s">
        <v>2942</v>
      </c>
      <c r="P930" s="11" t="s">
        <v>2892</v>
      </c>
      <c r="Q930" s="11" t="s">
        <v>135</v>
      </c>
      <c r="U930" s="11" t="s">
        <v>267</v>
      </c>
      <c r="V930" s="11" t="s">
        <v>137</v>
      </c>
      <c r="W930" s="13">
        <v>46302.314618055556</v>
      </c>
    </row>
    <row r="931" spans="1:23">
      <c r="A931">
        <v>274632</v>
      </c>
      <c r="B931">
        <v>10718</v>
      </c>
      <c r="C931" s="11" t="s">
        <v>129</v>
      </c>
      <c r="D931" s="11" t="s">
        <v>130</v>
      </c>
      <c r="E931" s="11" t="s">
        <v>25</v>
      </c>
      <c r="F931" s="12">
        <v>46206</v>
      </c>
      <c r="G931" s="11" t="s">
        <v>237</v>
      </c>
      <c r="H931">
        <v>1</v>
      </c>
      <c r="I931" s="11" t="s">
        <v>2943</v>
      </c>
      <c r="M931" s="11" t="s">
        <v>71</v>
      </c>
      <c r="N931" s="11" t="s">
        <v>2944</v>
      </c>
      <c r="O931" s="11" t="s">
        <v>2945</v>
      </c>
      <c r="P931" s="11" t="s">
        <v>2943</v>
      </c>
      <c r="Q931" s="11" t="s">
        <v>135</v>
      </c>
      <c r="U931" s="11" t="s">
        <v>241</v>
      </c>
      <c r="V931" s="11" t="s">
        <v>137</v>
      </c>
      <c r="W931" s="13">
        <v>46302.314618055556</v>
      </c>
    </row>
    <row r="932" spans="1:23">
      <c r="A932">
        <v>274633</v>
      </c>
      <c r="B932">
        <v>10719</v>
      </c>
      <c r="C932" s="11" t="s">
        <v>129</v>
      </c>
      <c r="D932" s="11" t="s">
        <v>130</v>
      </c>
      <c r="E932" s="11" t="s">
        <v>25</v>
      </c>
      <c r="F932" s="12">
        <v>46206</v>
      </c>
      <c r="G932" s="11" t="s">
        <v>226</v>
      </c>
      <c r="H932">
        <v>1</v>
      </c>
      <c r="I932" s="11" t="s">
        <v>2946</v>
      </c>
      <c r="M932" s="11" t="s">
        <v>87</v>
      </c>
      <c r="N932" s="11" t="s">
        <v>2947</v>
      </c>
      <c r="O932" s="11" t="s">
        <v>2948</v>
      </c>
      <c r="P932" s="11" t="s">
        <v>2946</v>
      </c>
      <c r="Q932" s="11" t="s">
        <v>135</v>
      </c>
      <c r="U932" s="11" t="s">
        <v>231</v>
      </c>
      <c r="V932" s="11" t="s">
        <v>137</v>
      </c>
      <c r="W932" s="13">
        <v>46302.314618055556</v>
      </c>
    </row>
    <row r="933" spans="1:23">
      <c r="A933">
        <v>274634</v>
      </c>
      <c r="B933">
        <v>10720</v>
      </c>
      <c r="C933" s="11" t="s">
        <v>129</v>
      </c>
      <c r="D933" s="11" t="s">
        <v>130</v>
      </c>
      <c r="E933" s="11" t="s">
        <v>25</v>
      </c>
      <c r="F933" s="12">
        <v>46206</v>
      </c>
      <c r="G933" s="11" t="s">
        <v>263</v>
      </c>
      <c r="H933">
        <v>1</v>
      </c>
      <c r="I933" s="11" t="s">
        <v>2949</v>
      </c>
      <c r="M933" s="11" t="s">
        <v>92</v>
      </c>
      <c r="N933" s="11" t="s">
        <v>2950</v>
      </c>
      <c r="O933" s="11" t="s">
        <v>2951</v>
      </c>
      <c r="P933" s="11" t="s">
        <v>2949</v>
      </c>
      <c r="Q933" s="11" t="s">
        <v>135</v>
      </c>
      <c r="U933" s="11" t="s">
        <v>267</v>
      </c>
      <c r="V933" s="11" t="s">
        <v>137</v>
      </c>
      <c r="W933" s="13">
        <v>46302.314618055556</v>
      </c>
    </row>
    <row r="934" spans="1:23">
      <c r="A934">
        <v>274635</v>
      </c>
      <c r="B934">
        <v>10721</v>
      </c>
      <c r="C934" s="11" t="s">
        <v>129</v>
      </c>
      <c r="D934" s="11" t="s">
        <v>130</v>
      </c>
      <c r="E934" s="11" t="s">
        <v>25</v>
      </c>
      <c r="F934" s="12">
        <v>46206</v>
      </c>
      <c r="G934" s="11" t="s">
        <v>1052</v>
      </c>
      <c r="H934">
        <v>1</v>
      </c>
      <c r="I934" s="11" t="s">
        <v>2952</v>
      </c>
      <c r="M934" s="11" t="s">
        <v>84</v>
      </c>
      <c r="N934" s="11" t="s">
        <v>2953</v>
      </c>
      <c r="O934" s="11" t="s">
        <v>2954</v>
      </c>
      <c r="P934" s="11" t="s">
        <v>2952</v>
      </c>
      <c r="Q934" s="11" t="s">
        <v>135</v>
      </c>
      <c r="U934" s="11" t="s">
        <v>1056</v>
      </c>
      <c r="V934" s="11" t="s">
        <v>137</v>
      </c>
      <c r="W934" s="13">
        <v>46302.314618055556</v>
      </c>
    </row>
    <row r="935" spans="1:23">
      <c r="A935">
        <v>274636</v>
      </c>
      <c r="B935">
        <v>10722</v>
      </c>
      <c r="C935" s="11" t="s">
        <v>129</v>
      </c>
      <c r="D935" s="11" t="s">
        <v>130</v>
      </c>
      <c r="E935" s="11" t="s">
        <v>25</v>
      </c>
      <c r="F935" s="12">
        <v>46206</v>
      </c>
      <c r="G935" s="11" t="s">
        <v>226</v>
      </c>
      <c r="H935">
        <v>1</v>
      </c>
      <c r="I935" s="11" t="s">
        <v>910</v>
      </c>
      <c r="M935" s="11" t="s">
        <v>87</v>
      </c>
      <c r="N935" s="11" t="s">
        <v>2955</v>
      </c>
      <c r="O935" s="11" t="s">
        <v>2956</v>
      </c>
      <c r="P935" s="11" t="s">
        <v>910</v>
      </c>
      <c r="Q935" s="11" t="s">
        <v>135</v>
      </c>
      <c r="U935" s="11" t="s">
        <v>231</v>
      </c>
      <c r="V935" s="11" t="s">
        <v>137</v>
      </c>
      <c r="W935" s="13">
        <v>46302.314618055556</v>
      </c>
    </row>
    <row r="936" spans="1:23">
      <c r="A936">
        <v>274637</v>
      </c>
      <c r="B936">
        <v>10723</v>
      </c>
      <c r="C936" s="11" t="s">
        <v>129</v>
      </c>
      <c r="D936" s="11" t="s">
        <v>130</v>
      </c>
      <c r="E936" s="11" t="s">
        <v>25</v>
      </c>
      <c r="F936" s="12">
        <v>46206</v>
      </c>
      <c r="G936" s="11" t="s">
        <v>416</v>
      </c>
      <c r="H936">
        <v>1</v>
      </c>
      <c r="I936" s="11" t="s">
        <v>2957</v>
      </c>
      <c r="M936" s="11" t="s">
        <v>75</v>
      </c>
      <c r="N936" s="11" t="s">
        <v>2958</v>
      </c>
      <c r="O936" s="11" t="s">
        <v>2959</v>
      </c>
      <c r="P936" s="11" t="s">
        <v>2957</v>
      </c>
      <c r="Q936" s="11" t="s">
        <v>135</v>
      </c>
      <c r="U936" s="11" t="s">
        <v>420</v>
      </c>
      <c r="V936" s="11" t="s">
        <v>137</v>
      </c>
      <c r="W936" s="13">
        <v>46302.314618055556</v>
      </c>
    </row>
    <row r="937" spans="1:23">
      <c r="A937">
        <v>274638</v>
      </c>
      <c r="B937">
        <v>10724</v>
      </c>
      <c r="C937" s="11" t="s">
        <v>129</v>
      </c>
      <c r="D937" s="11" t="s">
        <v>130</v>
      </c>
      <c r="E937" s="11" t="s">
        <v>25</v>
      </c>
      <c r="F937" s="12">
        <v>46206</v>
      </c>
      <c r="G937" s="11" t="s">
        <v>237</v>
      </c>
      <c r="H937">
        <v>1</v>
      </c>
      <c r="I937" s="11" t="s">
        <v>2960</v>
      </c>
      <c r="M937" s="11" t="s">
        <v>71</v>
      </c>
      <c r="N937" s="11" t="s">
        <v>903</v>
      </c>
      <c r="O937" s="11" t="s">
        <v>2961</v>
      </c>
      <c r="P937" s="11" t="s">
        <v>2960</v>
      </c>
      <c r="Q937" s="11" t="s">
        <v>135</v>
      </c>
      <c r="U937" s="11" t="s">
        <v>241</v>
      </c>
      <c r="V937" s="11" t="s">
        <v>137</v>
      </c>
      <c r="W937" s="13">
        <v>46302.314618055556</v>
      </c>
    </row>
    <row r="938" spans="1:23">
      <c r="A938">
        <v>274639</v>
      </c>
      <c r="B938">
        <v>10725</v>
      </c>
      <c r="C938" s="11" t="s">
        <v>129</v>
      </c>
      <c r="D938" s="11" t="s">
        <v>130</v>
      </c>
      <c r="E938" s="11" t="s">
        <v>25</v>
      </c>
      <c r="F938" s="12">
        <v>46206</v>
      </c>
      <c r="G938" s="11" t="s">
        <v>263</v>
      </c>
      <c r="H938">
        <v>1</v>
      </c>
      <c r="I938" s="11" t="s">
        <v>2962</v>
      </c>
      <c r="M938" s="11" t="s">
        <v>92</v>
      </c>
      <c r="N938" s="11" t="s">
        <v>2963</v>
      </c>
      <c r="O938" s="11" t="s">
        <v>2964</v>
      </c>
      <c r="P938" s="11" t="s">
        <v>2962</v>
      </c>
      <c r="Q938" s="11" t="s">
        <v>135</v>
      </c>
      <c r="U938" s="11" t="s">
        <v>267</v>
      </c>
      <c r="V938" s="11" t="s">
        <v>137</v>
      </c>
      <c r="W938" s="13">
        <v>46302.314618055556</v>
      </c>
    </row>
    <row r="939" spans="1:23">
      <c r="A939">
        <v>274640</v>
      </c>
      <c r="B939">
        <v>10726</v>
      </c>
      <c r="C939" s="11" t="s">
        <v>129</v>
      </c>
      <c r="D939" s="11" t="s">
        <v>130</v>
      </c>
      <c r="E939" s="11" t="s">
        <v>25</v>
      </c>
      <c r="F939" s="12">
        <v>46206</v>
      </c>
      <c r="G939" s="11" t="s">
        <v>416</v>
      </c>
      <c r="H939">
        <v>1</v>
      </c>
      <c r="I939" s="11" t="s">
        <v>2965</v>
      </c>
      <c r="M939" s="11" t="s">
        <v>75</v>
      </c>
      <c r="N939" s="11" t="s">
        <v>2966</v>
      </c>
      <c r="O939" s="11" t="s">
        <v>2967</v>
      </c>
      <c r="P939" s="11" t="s">
        <v>2965</v>
      </c>
      <c r="Q939" s="11" t="s">
        <v>135</v>
      </c>
      <c r="U939" s="11" t="s">
        <v>420</v>
      </c>
      <c r="V939" s="11" t="s">
        <v>137</v>
      </c>
      <c r="W939" s="13">
        <v>46302.314618055556</v>
      </c>
    </row>
    <row r="940" spans="1:23">
      <c r="A940">
        <v>274641</v>
      </c>
      <c r="B940">
        <v>10727</v>
      </c>
      <c r="C940" s="11" t="s">
        <v>129</v>
      </c>
      <c r="D940" s="11" t="s">
        <v>130</v>
      </c>
      <c r="E940" s="11" t="s">
        <v>25</v>
      </c>
      <c r="F940" s="12">
        <v>46206</v>
      </c>
      <c r="G940" s="11" t="s">
        <v>242</v>
      </c>
      <c r="H940">
        <v>1</v>
      </c>
      <c r="I940" s="11" t="s">
        <v>2968</v>
      </c>
      <c r="M940" s="11" t="s">
        <v>76</v>
      </c>
      <c r="N940" s="11" t="s">
        <v>2969</v>
      </c>
      <c r="O940" s="11" t="s">
        <v>2970</v>
      </c>
      <c r="P940" s="11" t="s">
        <v>2968</v>
      </c>
      <c r="Q940" s="11" t="s">
        <v>135</v>
      </c>
      <c r="U940" s="11" t="s">
        <v>245</v>
      </c>
      <c r="V940" s="11" t="s">
        <v>137</v>
      </c>
      <c r="W940" s="13">
        <v>46302.314618055556</v>
      </c>
    </row>
    <row r="941" spans="1:23">
      <c r="A941">
        <v>274642</v>
      </c>
      <c r="B941">
        <v>10728</v>
      </c>
      <c r="C941" s="11" t="s">
        <v>129</v>
      </c>
      <c r="D941" s="11" t="s">
        <v>130</v>
      </c>
      <c r="E941" s="11" t="s">
        <v>25</v>
      </c>
      <c r="F941" s="12">
        <v>46206</v>
      </c>
      <c r="G941" s="11" t="s">
        <v>226</v>
      </c>
      <c r="H941">
        <v>1</v>
      </c>
      <c r="I941" s="11" t="s">
        <v>542</v>
      </c>
      <c r="M941" s="11" t="s">
        <v>87</v>
      </c>
      <c r="N941" s="11" t="s">
        <v>2971</v>
      </c>
      <c r="O941" s="11" t="s">
        <v>2972</v>
      </c>
      <c r="P941" s="11" t="s">
        <v>542</v>
      </c>
      <c r="Q941" s="11" t="s">
        <v>135</v>
      </c>
      <c r="U941" s="11" t="s">
        <v>231</v>
      </c>
      <c r="V941" s="11" t="s">
        <v>137</v>
      </c>
      <c r="W941" s="13">
        <v>46302.314618055556</v>
      </c>
    </row>
    <row r="942" spans="1:23">
      <c r="A942">
        <v>275102</v>
      </c>
      <c r="B942">
        <v>10944</v>
      </c>
      <c r="C942" s="11" t="s">
        <v>129</v>
      </c>
      <c r="D942" s="11" t="s">
        <v>130</v>
      </c>
      <c r="E942" s="11" t="s">
        <v>25</v>
      </c>
      <c r="F942" s="12">
        <v>46210</v>
      </c>
      <c r="G942" s="11" t="s">
        <v>226</v>
      </c>
      <c r="H942">
        <v>1</v>
      </c>
      <c r="I942" s="11" t="s">
        <v>2973</v>
      </c>
      <c r="M942" s="11" t="s">
        <v>87</v>
      </c>
      <c r="N942" s="11" t="s">
        <v>2072</v>
      </c>
      <c r="O942" s="11" t="s">
        <v>2974</v>
      </c>
      <c r="P942" s="11" t="s">
        <v>2973</v>
      </c>
      <c r="Q942" s="11" t="s">
        <v>135</v>
      </c>
      <c r="U942" s="11" t="s">
        <v>231</v>
      </c>
      <c r="V942" s="11" t="s">
        <v>137</v>
      </c>
      <c r="W942" s="13">
        <v>46302.314618055556</v>
      </c>
    </row>
    <row r="943" spans="1:23">
      <c r="A943">
        <v>275103</v>
      </c>
      <c r="B943">
        <v>10945</v>
      </c>
      <c r="C943" s="11" t="s">
        <v>129</v>
      </c>
      <c r="D943" s="11" t="s">
        <v>130</v>
      </c>
      <c r="E943" s="11" t="s">
        <v>25</v>
      </c>
      <c r="F943" s="12">
        <v>46210</v>
      </c>
      <c r="G943" s="11" t="s">
        <v>804</v>
      </c>
      <c r="H943">
        <v>6</v>
      </c>
      <c r="I943" s="11" t="s">
        <v>2975</v>
      </c>
      <c r="M943" s="11" t="s">
        <v>76</v>
      </c>
      <c r="N943" s="11" t="s">
        <v>2976</v>
      </c>
      <c r="O943" s="11" t="s">
        <v>2977</v>
      </c>
      <c r="P943" s="11" t="s">
        <v>1134</v>
      </c>
      <c r="Q943" s="11" t="s">
        <v>2978</v>
      </c>
      <c r="U943" s="11" t="s">
        <v>808</v>
      </c>
      <c r="V943" s="11" t="s">
        <v>137</v>
      </c>
      <c r="W943" s="13">
        <v>46302.314618055556</v>
      </c>
    </row>
    <row r="944" spans="1:23">
      <c r="A944">
        <v>275104</v>
      </c>
      <c r="B944">
        <v>10947</v>
      </c>
      <c r="C944" s="11" t="s">
        <v>129</v>
      </c>
      <c r="D944" s="11" t="s">
        <v>130</v>
      </c>
      <c r="E944" s="11" t="s">
        <v>25</v>
      </c>
      <c r="F944" s="12">
        <v>46210</v>
      </c>
      <c r="G944" s="11" t="s">
        <v>1679</v>
      </c>
      <c r="H944">
        <v>1</v>
      </c>
      <c r="I944" s="11" t="s">
        <v>2979</v>
      </c>
      <c r="M944" s="11" t="s">
        <v>87</v>
      </c>
      <c r="N944" s="11" t="s">
        <v>2980</v>
      </c>
      <c r="O944" s="11" t="s">
        <v>2981</v>
      </c>
      <c r="P944" s="11" t="s">
        <v>2979</v>
      </c>
      <c r="Q944" s="11" t="s">
        <v>135</v>
      </c>
      <c r="U944" s="11" t="s">
        <v>1682</v>
      </c>
      <c r="V944" s="11" t="s">
        <v>137</v>
      </c>
      <c r="W944" s="13">
        <v>46302.314618055556</v>
      </c>
    </row>
    <row r="945" spans="1:23">
      <c r="A945">
        <v>275105</v>
      </c>
      <c r="B945">
        <v>10948</v>
      </c>
      <c r="C945" s="11" t="s">
        <v>129</v>
      </c>
      <c r="D945" s="11" t="s">
        <v>130</v>
      </c>
      <c r="E945" s="11" t="s">
        <v>25</v>
      </c>
      <c r="F945" s="12">
        <v>46210</v>
      </c>
      <c r="G945" s="11" t="s">
        <v>804</v>
      </c>
      <c r="H945">
        <v>1</v>
      </c>
      <c r="I945" s="11" t="s">
        <v>2982</v>
      </c>
      <c r="M945" s="11" t="s">
        <v>76</v>
      </c>
      <c r="N945" s="11" t="s">
        <v>2983</v>
      </c>
      <c r="O945" s="11" t="s">
        <v>2396</v>
      </c>
      <c r="P945" s="11" t="s">
        <v>2982</v>
      </c>
      <c r="Q945" s="11" t="s">
        <v>135</v>
      </c>
      <c r="U945" s="11" t="s">
        <v>808</v>
      </c>
      <c r="V945" s="11" t="s">
        <v>137</v>
      </c>
      <c r="W945" s="13">
        <v>46302.314618055556</v>
      </c>
    </row>
    <row r="946" spans="1:23">
      <c r="A946">
        <v>275106</v>
      </c>
      <c r="B946">
        <v>10949</v>
      </c>
      <c r="C946" s="11" t="s">
        <v>129</v>
      </c>
      <c r="D946" s="11" t="s">
        <v>130</v>
      </c>
      <c r="E946" s="11" t="s">
        <v>25</v>
      </c>
      <c r="F946" s="12">
        <v>46210</v>
      </c>
      <c r="G946" s="11" t="s">
        <v>823</v>
      </c>
      <c r="H946">
        <v>1</v>
      </c>
      <c r="I946" s="11" t="s">
        <v>555</v>
      </c>
      <c r="M946" s="11" t="s">
        <v>92</v>
      </c>
      <c r="N946" s="11" t="s">
        <v>2984</v>
      </c>
      <c r="O946" s="11" t="s">
        <v>2985</v>
      </c>
      <c r="P946" s="11" t="s">
        <v>555</v>
      </c>
      <c r="Q946" s="11" t="s">
        <v>135</v>
      </c>
      <c r="U946" s="11" t="s">
        <v>827</v>
      </c>
      <c r="V946" s="11" t="s">
        <v>137</v>
      </c>
      <c r="W946" s="13">
        <v>46302.314618055556</v>
      </c>
    </row>
    <row r="947" spans="1:23">
      <c r="A947">
        <v>275107</v>
      </c>
      <c r="B947">
        <v>10950</v>
      </c>
      <c r="C947" s="11" t="s">
        <v>129</v>
      </c>
      <c r="D947" s="11" t="s">
        <v>130</v>
      </c>
      <c r="E947" s="11" t="s">
        <v>25</v>
      </c>
      <c r="F947" s="12">
        <v>46210</v>
      </c>
      <c r="G947" s="11" t="s">
        <v>804</v>
      </c>
      <c r="H947">
        <v>1</v>
      </c>
      <c r="I947" s="11" t="s">
        <v>2986</v>
      </c>
      <c r="M947" s="11" t="s">
        <v>76</v>
      </c>
      <c r="N947" s="11" t="s">
        <v>2987</v>
      </c>
      <c r="O947" s="11" t="s">
        <v>2988</v>
      </c>
      <c r="P947" s="11" t="s">
        <v>2986</v>
      </c>
      <c r="Q947" s="11" t="s">
        <v>135</v>
      </c>
      <c r="U947" s="11" t="s">
        <v>808</v>
      </c>
      <c r="V947" s="11" t="s">
        <v>137</v>
      </c>
      <c r="W947" s="13">
        <v>46302.314618055556</v>
      </c>
    </row>
    <row r="948" spans="1:23">
      <c r="A948">
        <v>275108</v>
      </c>
      <c r="B948">
        <v>10951</v>
      </c>
      <c r="C948" s="11" t="s">
        <v>129</v>
      </c>
      <c r="D948" s="11" t="s">
        <v>130</v>
      </c>
      <c r="E948" s="11" t="s">
        <v>25</v>
      </c>
      <c r="F948" s="12">
        <v>46210</v>
      </c>
      <c r="G948" s="11" t="s">
        <v>226</v>
      </c>
      <c r="H948">
        <v>1</v>
      </c>
      <c r="I948" s="11" t="s">
        <v>2989</v>
      </c>
      <c r="M948" s="11" t="s">
        <v>87</v>
      </c>
      <c r="N948" s="11" t="s">
        <v>2990</v>
      </c>
      <c r="O948" s="11" t="s">
        <v>2629</v>
      </c>
      <c r="P948" s="11" t="s">
        <v>2989</v>
      </c>
      <c r="Q948" s="11" t="s">
        <v>135</v>
      </c>
      <c r="U948" s="11" t="s">
        <v>231</v>
      </c>
      <c r="V948" s="11" t="s">
        <v>137</v>
      </c>
      <c r="W948" s="13">
        <v>46302.314618055556</v>
      </c>
    </row>
    <row r="949" spans="1:23">
      <c r="A949">
        <v>275109</v>
      </c>
      <c r="B949">
        <v>10952</v>
      </c>
      <c r="C949" s="11" t="s">
        <v>129</v>
      </c>
      <c r="D949" s="11" t="s">
        <v>130</v>
      </c>
      <c r="E949" s="11" t="s">
        <v>25</v>
      </c>
      <c r="F949" s="12">
        <v>46210</v>
      </c>
      <c r="G949" s="11" t="s">
        <v>263</v>
      </c>
      <c r="H949">
        <v>1</v>
      </c>
      <c r="I949" s="11" t="s">
        <v>2991</v>
      </c>
      <c r="M949" s="11" t="s">
        <v>92</v>
      </c>
      <c r="N949" s="11" t="s">
        <v>2992</v>
      </c>
      <c r="O949" s="11" t="s">
        <v>2993</v>
      </c>
      <c r="P949" s="11" t="s">
        <v>2991</v>
      </c>
      <c r="Q949" s="11" t="s">
        <v>135</v>
      </c>
      <c r="U949" s="11" t="s">
        <v>267</v>
      </c>
      <c r="V949" s="11" t="s">
        <v>137</v>
      </c>
      <c r="W949" s="13">
        <v>46302.314618055556</v>
      </c>
    </row>
    <row r="950" spans="1:23">
      <c r="A950">
        <v>275110</v>
      </c>
      <c r="B950">
        <v>10953</v>
      </c>
      <c r="C950" s="11" t="s">
        <v>129</v>
      </c>
      <c r="D950" s="11" t="s">
        <v>130</v>
      </c>
      <c r="E950" s="11" t="s">
        <v>25</v>
      </c>
      <c r="F950" s="12">
        <v>46210</v>
      </c>
      <c r="G950" s="11" t="s">
        <v>274</v>
      </c>
      <c r="H950">
        <v>1</v>
      </c>
      <c r="I950" s="11" t="s">
        <v>1828</v>
      </c>
      <c r="M950" s="11" t="s">
        <v>77</v>
      </c>
      <c r="N950" s="11" t="s">
        <v>2994</v>
      </c>
      <c r="O950" s="11" t="s">
        <v>2995</v>
      </c>
      <c r="P950" s="11" t="s">
        <v>1828</v>
      </c>
      <c r="Q950" s="11" t="s">
        <v>135</v>
      </c>
      <c r="U950" s="11" t="s">
        <v>278</v>
      </c>
      <c r="V950" s="11" t="s">
        <v>137</v>
      </c>
      <c r="W950" s="13">
        <v>46302.314618055556</v>
      </c>
    </row>
    <row r="951" spans="1:23">
      <c r="A951">
        <v>275111</v>
      </c>
      <c r="B951">
        <v>10954</v>
      </c>
      <c r="C951" s="11" t="s">
        <v>129</v>
      </c>
      <c r="D951" s="11" t="s">
        <v>130</v>
      </c>
      <c r="E951" s="11" t="s">
        <v>25</v>
      </c>
      <c r="F951" s="12">
        <v>46210</v>
      </c>
      <c r="G951" s="11" t="s">
        <v>284</v>
      </c>
      <c r="H951">
        <v>1</v>
      </c>
      <c r="I951" s="11" t="s">
        <v>2996</v>
      </c>
      <c r="M951" s="11" t="s">
        <v>80</v>
      </c>
      <c r="N951" s="11" t="s">
        <v>2997</v>
      </c>
      <c r="O951" s="11" t="s">
        <v>2998</v>
      </c>
      <c r="P951" s="11" t="s">
        <v>2996</v>
      </c>
      <c r="Q951" s="11" t="s">
        <v>135</v>
      </c>
      <c r="U951" s="11" t="s">
        <v>288</v>
      </c>
      <c r="V951" s="11" t="s">
        <v>137</v>
      </c>
      <c r="W951" s="13">
        <v>46302.314618055556</v>
      </c>
    </row>
    <row r="952" spans="1:23">
      <c r="A952">
        <v>275112</v>
      </c>
      <c r="B952">
        <v>10955</v>
      </c>
      <c r="C952" s="11" t="s">
        <v>129</v>
      </c>
      <c r="D952" s="11" t="s">
        <v>130</v>
      </c>
      <c r="E952" s="11" t="s">
        <v>25</v>
      </c>
      <c r="F952" s="12">
        <v>46210</v>
      </c>
      <c r="G952" s="11" t="s">
        <v>279</v>
      </c>
      <c r="H952">
        <v>1</v>
      </c>
      <c r="I952" s="11" t="s">
        <v>332</v>
      </c>
      <c r="M952" s="11" t="s">
        <v>79</v>
      </c>
      <c r="N952" s="11" t="s">
        <v>2999</v>
      </c>
      <c r="O952" s="11" t="s">
        <v>3000</v>
      </c>
      <c r="P952" s="11" t="s">
        <v>332</v>
      </c>
      <c r="Q952" s="11" t="s">
        <v>135</v>
      </c>
      <c r="U952" s="11" t="s">
        <v>283</v>
      </c>
      <c r="V952" s="11" t="s">
        <v>137</v>
      </c>
      <c r="W952" s="13">
        <v>46302.314618055556</v>
      </c>
    </row>
    <row r="953" spans="1:23">
      <c r="A953">
        <v>275113</v>
      </c>
      <c r="B953">
        <v>10956</v>
      </c>
      <c r="C953" s="11" t="s">
        <v>129</v>
      </c>
      <c r="D953" s="11" t="s">
        <v>130</v>
      </c>
      <c r="E953" s="11" t="s">
        <v>25</v>
      </c>
      <c r="F953" s="12">
        <v>46210</v>
      </c>
      <c r="G953" s="11" t="s">
        <v>226</v>
      </c>
      <c r="H953">
        <v>1</v>
      </c>
      <c r="I953" s="11" t="s">
        <v>743</v>
      </c>
      <c r="M953" s="11" t="s">
        <v>87</v>
      </c>
      <c r="N953" s="11" t="s">
        <v>3001</v>
      </c>
      <c r="O953" s="11" t="s">
        <v>3002</v>
      </c>
      <c r="P953" s="11" t="s">
        <v>743</v>
      </c>
      <c r="Q953" s="11" t="s">
        <v>135</v>
      </c>
      <c r="U953" s="11" t="s">
        <v>231</v>
      </c>
      <c r="V953" s="11" t="s">
        <v>137</v>
      </c>
      <c r="W953" s="13">
        <v>46302.314618055556</v>
      </c>
    </row>
    <row r="954" spans="1:23">
      <c r="A954">
        <v>275114</v>
      </c>
      <c r="B954">
        <v>10957</v>
      </c>
      <c r="C954" s="11" t="s">
        <v>129</v>
      </c>
      <c r="D954" s="11" t="s">
        <v>130</v>
      </c>
      <c r="E954" s="11" t="s">
        <v>25</v>
      </c>
      <c r="F954" s="12">
        <v>46210</v>
      </c>
      <c r="G954" s="11" t="s">
        <v>804</v>
      </c>
      <c r="H954">
        <v>4</v>
      </c>
      <c r="I954" s="11" t="s">
        <v>3003</v>
      </c>
      <c r="M954" s="11" t="s">
        <v>76</v>
      </c>
      <c r="N954" s="11" t="s">
        <v>3004</v>
      </c>
      <c r="O954" s="11" t="s">
        <v>3005</v>
      </c>
      <c r="P954" s="11" t="s">
        <v>1317</v>
      </c>
      <c r="Q954" s="11" t="s">
        <v>135</v>
      </c>
      <c r="U954" s="11" t="s">
        <v>808</v>
      </c>
      <c r="V954" s="11" t="s">
        <v>137</v>
      </c>
      <c r="W954" s="13">
        <v>46302.314618055556</v>
      </c>
    </row>
    <row r="955" spans="1:23">
      <c r="A955">
        <v>275115</v>
      </c>
      <c r="B955">
        <v>10958</v>
      </c>
      <c r="C955" s="11" t="s">
        <v>129</v>
      </c>
      <c r="D955" s="11" t="s">
        <v>130</v>
      </c>
      <c r="E955" s="11" t="s">
        <v>25</v>
      </c>
      <c r="F955" s="12">
        <v>46210</v>
      </c>
      <c r="G955" s="11" t="s">
        <v>804</v>
      </c>
      <c r="H955">
        <v>1</v>
      </c>
      <c r="I955" s="11" t="s">
        <v>3006</v>
      </c>
      <c r="M955" s="11" t="s">
        <v>76</v>
      </c>
      <c r="N955" s="11" t="s">
        <v>3007</v>
      </c>
      <c r="O955" s="11" t="s">
        <v>3008</v>
      </c>
      <c r="P955" s="11" t="s">
        <v>3006</v>
      </c>
      <c r="Q955" s="11" t="s">
        <v>135</v>
      </c>
      <c r="U955" s="11" t="s">
        <v>808</v>
      </c>
      <c r="V955" s="11" t="s">
        <v>137</v>
      </c>
      <c r="W955" s="13">
        <v>46302.314618055556</v>
      </c>
    </row>
    <row r="956" spans="1:23">
      <c r="A956">
        <v>275116</v>
      </c>
      <c r="B956">
        <v>10959</v>
      </c>
      <c r="C956" s="11" t="s">
        <v>129</v>
      </c>
      <c r="D956" s="11" t="s">
        <v>130</v>
      </c>
      <c r="E956" s="11" t="s">
        <v>25</v>
      </c>
      <c r="F956" s="12">
        <v>46210</v>
      </c>
      <c r="G956" s="11" t="s">
        <v>2266</v>
      </c>
      <c r="H956">
        <v>1</v>
      </c>
      <c r="I956" s="11" t="s">
        <v>3009</v>
      </c>
      <c r="M956" s="11" t="s">
        <v>91</v>
      </c>
      <c r="N956" s="11" t="s">
        <v>3010</v>
      </c>
      <c r="O956" s="11" t="s">
        <v>3011</v>
      </c>
      <c r="P956" s="11" t="s">
        <v>3009</v>
      </c>
      <c r="Q956" s="11" t="s">
        <v>135</v>
      </c>
      <c r="U956" s="11" t="s">
        <v>2270</v>
      </c>
      <c r="V956" s="11" t="s">
        <v>137</v>
      </c>
      <c r="W956" s="13">
        <v>46302.314618055556</v>
      </c>
    </row>
    <row r="957" spans="1:23">
      <c r="A957">
        <v>275117</v>
      </c>
      <c r="B957">
        <v>10960</v>
      </c>
      <c r="C957" s="11" t="s">
        <v>129</v>
      </c>
      <c r="D957" s="11" t="s">
        <v>130</v>
      </c>
      <c r="E957" s="11" t="s">
        <v>25</v>
      </c>
      <c r="F957" s="12">
        <v>46210</v>
      </c>
      <c r="G957" s="11" t="s">
        <v>1679</v>
      </c>
      <c r="H957">
        <v>1</v>
      </c>
      <c r="I957" s="11" t="s">
        <v>3012</v>
      </c>
      <c r="M957" s="11" t="s">
        <v>87</v>
      </c>
      <c r="N957" s="11" t="s">
        <v>3013</v>
      </c>
      <c r="O957" s="11" t="s">
        <v>3014</v>
      </c>
      <c r="P957" s="11" t="s">
        <v>3012</v>
      </c>
      <c r="Q957" s="11" t="s">
        <v>135</v>
      </c>
      <c r="U957" s="11" t="s">
        <v>1682</v>
      </c>
      <c r="V957" s="11" t="s">
        <v>137</v>
      </c>
      <c r="W957" s="13">
        <v>46302.314618055556</v>
      </c>
    </row>
    <row r="958" spans="1:23">
      <c r="A958">
        <v>275118</v>
      </c>
      <c r="B958">
        <v>10961</v>
      </c>
      <c r="C958" s="11" t="s">
        <v>129</v>
      </c>
      <c r="D958" s="11" t="s">
        <v>130</v>
      </c>
      <c r="E958" s="11" t="s">
        <v>25</v>
      </c>
      <c r="F958" s="12">
        <v>46210</v>
      </c>
      <c r="G958" s="11" t="s">
        <v>823</v>
      </c>
      <c r="H958">
        <v>1</v>
      </c>
      <c r="I958" s="11" t="s">
        <v>3015</v>
      </c>
      <c r="M958" s="11" t="s">
        <v>92</v>
      </c>
      <c r="N958" s="11" t="s">
        <v>481</v>
      </c>
      <c r="O958" s="11" t="s">
        <v>3016</v>
      </c>
      <c r="P958" s="11" t="s">
        <v>3015</v>
      </c>
      <c r="Q958" s="11" t="s">
        <v>135</v>
      </c>
      <c r="U958" s="11" t="s">
        <v>827</v>
      </c>
      <c r="V958" s="11" t="s">
        <v>137</v>
      </c>
      <c r="W958" s="13">
        <v>46302.314618055556</v>
      </c>
    </row>
    <row r="959" spans="1:23">
      <c r="A959">
        <v>275119</v>
      </c>
      <c r="B959">
        <v>10962</v>
      </c>
      <c r="C959" s="11" t="s">
        <v>129</v>
      </c>
      <c r="D959" s="11" t="s">
        <v>130</v>
      </c>
      <c r="E959" s="11" t="s">
        <v>25</v>
      </c>
      <c r="F959" s="12">
        <v>46210</v>
      </c>
      <c r="G959" s="11" t="s">
        <v>804</v>
      </c>
      <c r="H959">
        <v>1</v>
      </c>
      <c r="I959" s="11" t="s">
        <v>2384</v>
      </c>
      <c r="M959" s="11" t="s">
        <v>76</v>
      </c>
      <c r="N959" s="11" t="s">
        <v>1077</v>
      </c>
      <c r="O959" s="11" t="s">
        <v>3017</v>
      </c>
      <c r="P959" s="11" t="s">
        <v>2384</v>
      </c>
      <c r="Q959" s="11" t="s">
        <v>135</v>
      </c>
      <c r="U959" s="11" t="s">
        <v>808</v>
      </c>
      <c r="V959" s="11" t="s">
        <v>137</v>
      </c>
      <c r="W959" s="13">
        <v>46302.314618055556</v>
      </c>
    </row>
    <row r="960" spans="1:23">
      <c r="A960">
        <v>275120</v>
      </c>
      <c r="B960">
        <v>10946</v>
      </c>
      <c r="C960" s="11" t="s">
        <v>129</v>
      </c>
      <c r="D960" s="11" t="s">
        <v>130</v>
      </c>
      <c r="E960" s="11" t="s">
        <v>25</v>
      </c>
      <c r="F960" s="12">
        <v>46210</v>
      </c>
      <c r="G960" s="11" t="s">
        <v>308</v>
      </c>
      <c r="H960">
        <v>1</v>
      </c>
      <c r="I960" s="11" t="s">
        <v>2978</v>
      </c>
      <c r="M960" s="11" t="s">
        <v>90</v>
      </c>
      <c r="N960" s="11" t="s">
        <v>661</v>
      </c>
      <c r="O960" s="11" t="s">
        <v>1345</v>
      </c>
      <c r="P960" s="11" t="s">
        <v>2978</v>
      </c>
      <c r="Q960" s="11" t="s">
        <v>135</v>
      </c>
      <c r="R960">
        <v>10945</v>
      </c>
      <c r="U960" s="11" t="s">
        <v>311</v>
      </c>
      <c r="V960" s="11" t="s">
        <v>137</v>
      </c>
      <c r="W960" s="13">
        <v>46302.314618055556</v>
      </c>
    </row>
    <row r="961" spans="1:23">
      <c r="A961">
        <v>275359</v>
      </c>
      <c r="B961">
        <v>10963</v>
      </c>
      <c r="C961" s="11" t="s">
        <v>129</v>
      </c>
      <c r="D961" s="11" t="s">
        <v>130</v>
      </c>
      <c r="E961" s="11" t="s">
        <v>25</v>
      </c>
      <c r="F961" s="12">
        <v>46211</v>
      </c>
      <c r="G961" s="11" t="s">
        <v>316</v>
      </c>
      <c r="H961">
        <v>1</v>
      </c>
      <c r="I961" s="11" t="s">
        <v>3018</v>
      </c>
      <c r="M961" s="11" t="s">
        <v>87</v>
      </c>
      <c r="N961" s="11" t="s">
        <v>3019</v>
      </c>
      <c r="O961" s="11" t="s">
        <v>3020</v>
      </c>
      <c r="P961" s="11" t="s">
        <v>3018</v>
      </c>
      <c r="Q961" s="11" t="s">
        <v>135</v>
      </c>
      <c r="U961" s="11" t="s">
        <v>320</v>
      </c>
      <c r="V961" s="11" t="s">
        <v>137</v>
      </c>
      <c r="W961" s="13">
        <v>46302.314618055556</v>
      </c>
    </row>
    <row r="962" spans="1:23">
      <c r="A962">
        <v>275360</v>
      </c>
      <c r="B962">
        <v>10964</v>
      </c>
      <c r="C962" s="11" t="s">
        <v>129</v>
      </c>
      <c r="D962" s="11" t="s">
        <v>130</v>
      </c>
      <c r="E962" s="11" t="s">
        <v>25</v>
      </c>
      <c r="F962" s="12">
        <v>46211</v>
      </c>
      <c r="G962" s="11" t="s">
        <v>1740</v>
      </c>
      <c r="H962">
        <v>1</v>
      </c>
      <c r="I962" s="11" t="s">
        <v>2798</v>
      </c>
      <c r="M962" s="11" t="s">
        <v>69</v>
      </c>
      <c r="N962" s="11" t="s">
        <v>3021</v>
      </c>
      <c r="O962" s="11" t="s">
        <v>3022</v>
      </c>
      <c r="P962" s="11" t="s">
        <v>2798</v>
      </c>
      <c r="Q962" s="11" t="s">
        <v>135</v>
      </c>
      <c r="U962" s="11" t="s">
        <v>1745</v>
      </c>
      <c r="V962" s="11" t="s">
        <v>137</v>
      </c>
      <c r="W962" s="13">
        <v>46302.314618055556</v>
      </c>
    </row>
    <row r="963" spans="1:23">
      <c r="A963">
        <v>275361</v>
      </c>
      <c r="B963">
        <v>10965</v>
      </c>
      <c r="C963" s="11" t="s">
        <v>129</v>
      </c>
      <c r="D963" s="11" t="s">
        <v>130</v>
      </c>
      <c r="E963" s="11" t="s">
        <v>25</v>
      </c>
      <c r="F963" s="12">
        <v>46211</v>
      </c>
      <c r="G963" s="11" t="s">
        <v>328</v>
      </c>
      <c r="H963">
        <v>10</v>
      </c>
      <c r="I963" s="11" t="s">
        <v>3023</v>
      </c>
      <c r="M963" s="11" t="s">
        <v>66</v>
      </c>
      <c r="N963" s="11" t="s">
        <v>3024</v>
      </c>
      <c r="O963" s="11" t="s">
        <v>3025</v>
      </c>
      <c r="P963" s="11" t="s">
        <v>3026</v>
      </c>
      <c r="Q963" s="11" t="s">
        <v>2148</v>
      </c>
      <c r="U963" s="11" t="s">
        <v>333</v>
      </c>
      <c r="V963" s="11" t="s">
        <v>137</v>
      </c>
      <c r="W963" s="13">
        <v>46302.314618055556</v>
      </c>
    </row>
    <row r="964" spans="1:23">
      <c r="A964">
        <v>275362</v>
      </c>
      <c r="B964">
        <v>10967</v>
      </c>
      <c r="C964" s="11" t="s">
        <v>129</v>
      </c>
      <c r="D964" s="11" t="s">
        <v>130</v>
      </c>
      <c r="E964" s="11" t="s">
        <v>25</v>
      </c>
      <c r="F964" s="12">
        <v>46211</v>
      </c>
      <c r="G964" s="11" t="s">
        <v>328</v>
      </c>
      <c r="H964">
        <v>3</v>
      </c>
      <c r="I964" s="11" t="s">
        <v>2639</v>
      </c>
      <c r="M964" s="11" t="s">
        <v>66</v>
      </c>
      <c r="N964" s="11" t="s">
        <v>425</v>
      </c>
      <c r="O964" s="11" t="s">
        <v>3027</v>
      </c>
      <c r="P964" s="11" t="s">
        <v>1011</v>
      </c>
      <c r="Q964" s="11" t="s">
        <v>135</v>
      </c>
      <c r="U964" s="11" t="s">
        <v>333</v>
      </c>
      <c r="V964" s="11" t="s">
        <v>137</v>
      </c>
      <c r="W964" s="13">
        <v>46302.314618055556</v>
      </c>
    </row>
    <row r="965" spans="1:23">
      <c r="A965">
        <v>275363</v>
      </c>
      <c r="B965">
        <v>10968</v>
      </c>
      <c r="C965" s="11" t="s">
        <v>129</v>
      </c>
      <c r="D965" s="11" t="s">
        <v>130</v>
      </c>
      <c r="E965" s="11" t="s">
        <v>25</v>
      </c>
      <c r="F965" s="12">
        <v>46211</v>
      </c>
      <c r="G965" s="11" t="s">
        <v>316</v>
      </c>
      <c r="H965">
        <v>1</v>
      </c>
      <c r="I965" s="11" t="s">
        <v>3028</v>
      </c>
      <c r="M965" s="11" t="s">
        <v>87</v>
      </c>
      <c r="N965" s="11" t="s">
        <v>3029</v>
      </c>
      <c r="O965" s="11" t="s">
        <v>3030</v>
      </c>
      <c r="P965" s="11" t="s">
        <v>3028</v>
      </c>
      <c r="Q965" s="11" t="s">
        <v>135</v>
      </c>
      <c r="U965" s="11" t="s">
        <v>320</v>
      </c>
      <c r="V965" s="11" t="s">
        <v>137</v>
      </c>
      <c r="W965" s="13">
        <v>46302.314618055556</v>
      </c>
    </row>
    <row r="966" spans="1:23">
      <c r="A966">
        <v>275364</v>
      </c>
      <c r="B966">
        <v>10969</v>
      </c>
      <c r="C966" s="11" t="s">
        <v>129</v>
      </c>
      <c r="D966" s="11" t="s">
        <v>130</v>
      </c>
      <c r="E966" s="11" t="s">
        <v>25</v>
      </c>
      <c r="F966" s="12">
        <v>46211</v>
      </c>
      <c r="G966" s="11" t="s">
        <v>930</v>
      </c>
      <c r="H966">
        <v>1</v>
      </c>
      <c r="I966" s="11" t="s">
        <v>2252</v>
      </c>
      <c r="M966" s="11" t="s">
        <v>50</v>
      </c>
      <c r="N966" s="11" t="s">
        <v>3031</v>
      </c>
      <c r="O966" s="11" t="s">
        <v>3032</v>
      </c>
      <c r="P966" s="11" t="s">
        <v>2252</v>
      </c>
      <c r="Q966" s="11" t="s">
        <v>135</v>
      </c>
      <c r="U966" s="11" t="s">
        <v>934</v>
      </c>
      <c r="V966" s="11" t="s">
        <v>137</v>
      </c>
      <c r="W966" s="13">
        <v>46302.314618055556</v>
      </c>
    </row>
    <row r="967" spans="1:23">
      <c r="A967">
        <v>275365</v>
      </c>
      <c r="B967">
        <v>10970</v>
      </c>
      <c r="C967" s="11" t="s">
        <v>129</v>
      </c>
      <c r="D967" s="11" t="s">
        <v>130</v>
      </c>
      <c r="E967" s="11" t="s">
        <v>25</v>
      </c>
      <c r="F967" s="12">
        <v>46211</v>
      </c>
      <c r="G967" s="11" t="s">
        <v>344</v>
      </c>
      <c r="H967">
        <v>1</v>
      </c>
      <c r="I967" s="11" t="s">
        <v>3033</v>
      </c>
      <c r="M967" s="11" t="s">
        <v>65</v>
      </c>
      <c r="N967" s="11" t="s">
        <v>3034</v>
      </c>
      <c r="O967" s="11" t="s">
        <v>3035</v>
      </c>
      <c r="P967" s="11" t="s">
        <v>3033</v>
      </c>
      <c r="Q967" s="11" t="s">
        <v>135</v>
      </c>
      <c r="U967" s="11" t="s">
        <v>348</v>
      </c>
      <c r="V967" s="11" t="s">
        <v>137</v>
      </c>
      <c r="W967" s="13">
        <v>46302.314618055556</v>
      </c>
    </row>
    <row r="968" spans="1:23">
      <c r="A968">
        <v>275366</v>
      </c>
      <c r="B968">
        <v>10971</v>
      </c>
      <c r="C968" s="11" t="s">
        <v>129</v>
      </c>
      <c r="D968" s="11" t="s">
        <v>130</v>
      </c>
      <c r="E968" s="11" t="s">
        <v>25</v>
      </c>
      <c r="F968" s="12">
        <v>46211</v>
      </c>
      <c r="G968" s="11" t="s">
        <v>316</v>
      </c>
      <c r="H968">
        <v>1</v>
      </c>
      <c r="I968" s="11" t="s">
        <v>1036</v>
      </c>
      <c r="M968" s="11" t="s">
        <v>87</v>
      </c>
      <c r="N968" s="11" t="s">
        <v>3036</v>
      </c>
      <c r="O968" s="11" t="s">
        <v>3037</v>
      </c>
      <c r="P968" s="11" t="s">
        <v>1036</v>
      </c>
      <c r="Q968" s="11" t="s">
        <v>135</v>
      </c>
      <c r="U968" s="11" t="s">
        <v>320</v>
      </c>
      <c r="V968" s="11" t="s">
        <v>137</v>
      </c>
      <c r="W968" s="13">
        <v>46302.314618055556</v>
      </c>
    </row>
    <row r="969" spans="1:23">
      <c r="A969">
        <v>275367</v>
      </c>
      <c r="B969">
        <v>10972</v>
      </c>
      <c r="C969" s="11" t="s">
        <v>129</v>
      </c>
      <c r="D969" s="11" t="s">
        <v>130</v>
      </c>
      <c r="E969" s="11" t="s">
        <v>25</v>
      </c>
      <c r="F969" s="12">
        <v>46211</v>
      </c>
      <c r="G969" s="11" t="s">
        <v>339</v>
      </c>
      <c r="H969">
        <v>1</v>
      </c>
      <c r="I969" s="11" t="s">
        <v>1232</v>
      </c>
      <c r="M969" s="11" t="s">
        <v>92</v>
      </c>
      <c r="N969" s="11" t="s">
        <v>3038</v>
      </c>
      <c r="O969" s="11" t="s">
        <v>3039</v>
      </c>
      <c r="P969" s="11" t="s">
        <v>1232</v>
      </c>
      <c r="Q969" s="11" t="s">
        <v>135</v>
      </c>
      <c r="U969" s="11" t="s">
        <v>343</v>
      </c>
      <c r="V969" s="11" t="s">
        <v>137</v>
      </c>
      <c r="W969" s="13">
        <v>46302.314618055556</v>
      </c>
    </row>
    <row r="970" spans="1:23">
      <c r="A970">
        <v>275368</v>
      </c>
      <c r="B970">
        <v>10973</v>
      </c>
      <c r="C970" s="11" t="s">
        <v>129</v>
      </c>
      <c r="D970" s="11" t="s">
        <v>130</v>
      </c>
      <c r="E970" s="11" t="s">
        <v>25</v>
      </c>
      <c r="F970" s="12">
        <v>46211</v>
      </c>
      <c r="G970" s="11" t="s">
        <v>316</v>
      </c>
      <c r="H970">
        <v>1</v>
      </c>
      <c r="I970" s="11" t="s">
        <v>3040</v>
      </c>
      <c r="M970" s="11" t="s">
        <v>87</v>
      </c>
      <c r="N970" s="11" t="s">
        <v>3041</v>
      </c>
      <c r="O970" s="11" t="s">
        <v>2465</v>
      </c>
      <c r="P970" s="11" t="s">
        <v>3040</v>
      </c>
      <c r="Q970" s="11" t="s">
        <v>135</v>
      </c>
      <c r="U970" s="11" t="s">
        <v>320</v>
      </c>
      <c r="V970" s="11" t="s">
        <v>137</v>
      </c>
      <c r="W970" s="13">
        <v>46302.314618055556</v>
      </c>
    </row>
    <row r="971" spans="1:23">
      <c r="A971">
        <v>275369</v>
      </c>
      <c r="B971">
        <v>10974</v>
      </c>
      <c r="C971" s="11" t="s">
        <v>129</v>
      </c>
      <c r="D971" s="11" t="s">
        <v>130</v>
      </c>
      <c r="E971" s="11" t="s">
        <v>25</v>
      </c>
      <c r="F971" s="12">
        <v>46211</v>
      </c>
      <c r="G971" s="11" t="s">
        <v>339</v>
      </c>
      <c r="H971">
        <v>1</v>
      </c>
      <c r="I971" s="11" t="s">
        <v>3042</v>
      </c>
      <c r="M971" s="11" t="s">
        <v>92</v>
      </c>
      <c r="N971" s="11" t="s">
        <v>3043</v>
      </c>
      <c r="O971" s="11" t="s">
        <v>1650</v>
      </c>
      <c r="P971" s="11" t="s">
        <v>3042</v>
      </c>
      <c r="Q971" s="11" t="s">
        <v>135</v>
      </c>
      <c r="U971" s="11" t="s">
        <v>343</v>
      </c>
      <c r="V971" s="11" t="s">
        <v>137</v>
      </c>
      <c r="W971" s="13">
        <v>46302.314618055556</v>
      </c>
    </row>
    <row r="972" spans="1:23">
      <c r="A972">
        <v>275370</v>
      </c>
      <c r="B972">
        <v>10975</v>
      </c>
      <c r="C972" s="11" t="s">
        <v>129</v>
      </c>
      <c r="D972" s="11" t="s">
        <v>130</v>
      </c>
      <c r="E972" s="11" t="s">
        <v>25</v>
      </c>
      <c r="F972" s="12">
        <v>46211</v>
      </c>
      <c r="G972" s="11" t="s">
        <v>355</v>
      </c>
      <c r="H972">
        <v>1</v>
      </c>
      <c r="I972" s="11" t="s">
        <v>3044</v>
      </c>
      <c r="M972" s="11" t="s">
        <v>77</v>
      </c>
      <c r="N972" s="11" t="s">
        <v>3045</v>
      </c>
      <c r="O972" s="11" t="s">
        <v>3046</v>
      </c>
      <c r="P972" s="11" t="s">
        <v>3044</v>
      </c>
      <c r="Q972" s="11" t="s">
        <v>135</v>
      </c>
      <c r="U972" s="11" t="s">
        <v>359</v>
      </c>
      <c r="V972" s="11" t="s">
        <v>137</v>
      </c>
      <c r="W972" s="13">
        <v>46302.314618055556</v>
      </c>
    </row>
    <row r="973" spans="1:23">
      <c r="A973">
        <v>275371</v>
      </c>
      <c r="B973">
        <v>10976</v>
      </c>
      <c r="C973" s="11" t="s">
        <v>129</v>
      </c>
      <c r="D973" s="11" t="s">
        <v>130</v>
      </c>
      <c r="E973" s="11" t="s">
        <v>25</v>
      </c>
      <c r="F973" s="12">
        <v>46211</v>
      </c>
      <c r="G973" s="11" t="s">
        <v>360</v>
      </c>
      <c r="H973">
        <v>1</v>
      </c>
      <c r="I973" s="11" t="s">
        <v>2892</v>
      </c>
      <c r="M973" s="11" t="s">
        <v>79</v>
      </c>
      <c r="N973" s="11" t="s">
        <v>3047</v>
      </c>
      <c r="O973" s="11" t="s">
        <v>3048</v>
      </c>
      <c r="P973" s="11" t="s">
        <v>2892</v>
      </c>
      <c r="Q973" s="11" t="s">
        <v>135</v>
      </c>
      <c r="U973" s="11" t="s">
        <v>364</v>
      </c>
      <c r="V973" s="11" t="s">
        <v>137</v>
      </c>
      <c r="W973" s="13">
        <v>46302.314618055556</v>
      </c>
    </row>
    <row r="974" spans="1:23">
      <c r="A974">
        <v>275372</v>
      </c>
      <c r="B974">
        <v>10977</v>
      </c>
      <c r="C974" s="11" t="s">
        <v>129</v>
      </c>
      <c r="D974" s="11" t="s">
        <v>130</v>
      </c>
      <c r="E974" s="11" t="s">
        <v>25</v>
      </c>
      <c r="F974" s="12">
        <v>46211</v>
      </c>
      <c r="G974" s="11" t="s">
        <v>1777</v>
      </c>
      <c r="H974">
        <v>1</v>
      </c>
      <c r="I974" s="11" t="s">
        <v>3049</v>
      </c>
      <c r="M974" s="11" t="s">
        <v>80</v>
      </c>
      <c r="N974" s="11" t="s">
        <v>3050</v>
      </c>
      <c r="O974" s="11" t="s">
        <v>3051</v>
      </c>
      <c r="P974" s="11" t="s">
        <v>3049</v>
      </c>
      <c r="Q974" s="11" t="s">
        <v>135</v>
      </c>
      <c r="U974" s="11" t="s">
        <v>1781</v>
      </c>
      <c r="V974" s="11" t="s">
        <v>137</v>
      </c>
      <c r="W974" s="13">
        <v>46302.314618055556</v>
      </c>
    </row>
    <row r="975" spans="1:23">
      <c r="A975">
        <v>275373</v>
      </c>
      <c r="B975">
        <v>10978</v>
      </c>
      <c r="C975" s="11" t="s">
        <v>129</v>
      </c>
      <c r="D975" s="11" t="s">
        <v>130</v>
      </c>
      <c r="E975" s="11" t="s">
        <v>25</v>
      </c>
      <c r="F975" s="12">
        <v>46211</v>
      </c>
      <c r="G975" s="11" t="s">
        <v>1782</v>
      </c>
      <c r="H975">
        <v>1</v>
      </c>
      <c r="I975" s="11" t="s">
        <v>3052</v>
      </c>
      <c r="M975" s="11" t="s">
        <v>82</v>
      </c>
      <c r="N975" s="11" t="s">
        <v>3053</v>
      </c>
      <c r="O975" s="11" t="s">
        <v>3054</v>
      </c>
      <c r="P975" s="11" t="s">
        <v>3052</v>
      </c>
      <c r="Q975" s="11" t="s">
        <v>135</v>
      </c>
      <c r="U975" s="11" t="s">
        <v>1786</v>
      </c>
      <c r="V975" s="11" t="s">
        <v>137</v>
      </c>
      <c r="W975" s="13">
        <v>46302.314618055556</v>
      </c>
    </row>
    <row r="976" spans="1:23">
      <c r="A976">
        <v>275374</v>
      </c>
      <c r="B976">
        <v>10979</v>
      </c>
      <c r="C976" s="11" t="s">
        <v>129</v>
      </c>
      <c r="D976" s="11" t="s">
        <v>130</v>
      </c>
      <c r="E976" s="11" t="s">
        <v>25</v>
      </c>
      <c r="F976" s="12">
        <v>46211</v>
      </c>
      <c r="G976" s="11" t="s">
        <v>3055</v>
      </c>
      <c r="H976">
        <v>1</v>
      </c>
      <c r="I976" s="11" t="s">
        <v>3056</v>
      </c>
      <c r="M976" s="11" t="s">
        <v>83</v>
      </c>
      <c r="N976" s="11" t="s">
        <v>3057</v>
      </c>
      <c r="O976" s="11" t="s">
        <v>3058</v>
      </c>
      <c r="P976" s="11" t="s">
        <v>3056</v>
      </c>
      <c r="Q976" s="11" t="s">
        <v>135</v>
      </c>
      <c r="U976" s="11" t="s">
        <v>3059</v>
      </c>
      <c r="V976" s="11" t="s">
        <v>137</v>
      </c>
      <c r="W976" s="13">
        <v>46302.314618055556</v>
      </c>
    </row>
    <row r="977" spans="1:23">
      <c r="A977">
        <v>275375</v>
      </c>
      <c r="B977">
        <v>10980</v>
      </c>
      <c r="C977" s="11" t="s">
        <v>129</v>
      </c>
      <c r="D977" s="11" t="s">
        <v>130</v>
      </c>
      <c r="E977" s="11" t="s">
        <v>25</v>
      </c>
      <c r="F977" s="12">
        <v>46211</v>
      </c>
      <c r="G977" s="11" t="s">
        <v>316</v>
      </c>
      <c r="H977">
        <v>1</v>
      </c>
      <c r="I977" s="11" t="s">
        <v>3060</v>
      </c>
      <c r="M977" s="11" t="s">
        <v>87</v>
      </c>
      <c r="N977" s="11" t="s">
        <v>3061</v>
      </c>
      <c r="O977" s="11" t="s">
        <v>3062</v>
      </c>
      <c r="P977" s="11" t="s">
        <v>3060</v>
      </c>
      <c r="Q977" s="11" t="s">
        <v>135</v>
      </c>
      <c r="U977" s="11" t="s">
        <v>320</v>
      </c>
      <c r="V977" s="11" t="s">
        <v>137</v>
      </c>
      <c r="W977" s="13">
        <v>46302.314618055556</v>
      </c>
    </row>
    <row r="978" spans="1:23">
      <c r="A978">
        <v>275376</v>
      </c>
      <c r="B978">
        <v>10981</v>
      </c>
      <c r="C978" s="11" t="s">
        <v>129</v>
      </c>
      <c r="D978" s="11" t="s">
        <v>130</v>
      </c>
      <c r="E978" s="11" t="s">
        <v>25</v>
      </c>
      <c r="F978" s="12">
        <v>46211</v>
      </c>
      <c r="G978" s="11" t="s">
        <v>328</v>
      </c>
      <c r="H978">
        <v>5</v>
      </c>
      <c r="I978" s="11" t="s">
        <v>3063</v>
      </c>
      <c r="M978" s="11" t="s">
        <v>66</v>
      </c>
      <c r="N978" s="11" t="s">
        <v>3064</v>
      </c>
      <c r="O978" s="11" t="s">
        <v>2061</v>
      </c>
      <c r="P978" s="11" t="s">
        <v>937</v>
      </c>
      <c r="Q978" s="11" t="s">
        <v>135</v>
      </c>
      <c r="U978" s="11" t="s">
        <v>333</v>
      </c>
      <c r="V978" s="11" t="s">
        <v>137</v>
      </c>
      <c r="W978" s="13">
        <v>46302.314618055556</v>
      </c>
    </row>
    <row r="979" spans="1:23">
      <c r="A979">
        <v>275377</v>
      </c>
      <c r="B979">
        <v>10982</v>
      </c>
      <c r="C979" s="11" t="s">
        <v>129</v>
      </c>
      <c r="D979" s="11" t="s">
        <v>130</v>
      </c>
      <c r="E979" s="11" t="s">
        <v>25</v>
      </c>
      <c r="F979" s="12">
        <v>46211</v>
      </c>
      <c r="G979" s="11" t="s">
        <v>339</v>
      </c>
      <c r="H979">
        <v>1</v>
      </c>
      <c r="I979" s="11" t="s">
        <v>877</v>
      </c>
      <c r="M979" s="11" t="s">
        <v>92</v>
      </c>
      <c r="N979" s="11" t="s">
        <v>3065</v>
      </c>
      <c r="O979" s="11" t="s">
        <v>3066</v>
      </c>
      <c r="P979" s="11" t="s">
        <v>877</v>
      </c>
      <c r="Q979" s="11" t="s">
        <v>135</v>
      </c>
      <c r="U979" s="11" t="s">
        <v>343</v>
      </c>
      <c r="V979" s="11" t="s">
        <v>137</v>
      </c>
      <c r="W979" s="13">
        <v>46302.314618055556</v>
      </c>
    </row>
    <row r="980" spans="1:23">
      <c r="A980">
        <v>275378</v>
      </c>
      <c r="B980">
        <v>10983</v>
      </c>
      <c r="C980" s="11" t="s">
        <v>129</v>
      </c>
      <c r="D980" s="11" t="s">
        <v>130</v>
      </c>
      <c r="E980" s="11" t="s">
        <v>25</v>
      </c>
      <c r="F980" s="12">
        <v>46211</v>
      </c>
      <c r="G980" s="11" t="s">
        <v>328</v>
      </c>
      <c r="H980">
        <v>4</v>
      </c>
      <c r="I980" s="11" t="s">
        <v>3067</v>
      </c>
      <c r="M980" s="11" t="s">
        <v>66</v>
      </c>
      <c r="N980" s="11" t="s">
        <v>3068</v>
      </c>
      <c r="O980" s="11" t="s">
        <v>3069</v>
      </c>
      <c r="P980" s="11" t="s">
        <v>1284</v>
      </c>
      <c r="Q980" s="11" t="s">
        <v>135</v>
      </c>
      <c r="U980" s="11" t="s">
        <v>333</v>
      </c>
      <c r="V980" s="11" t="s">
        <v>137</v>
      </c>
      <c r="W980" s="13">
        <v>46302.314618055556</v>
      </c>
    </row>
    <row r="981" spans="1:23">
      <c r="A981">
        <v>275379</v>
      </c>
      <c r="B981">
        <v>10984</v>
      </c>
      <c r="C981" s="11" t="s">
        <v>129</v>
      </c>
      <c r="D981" s="11" t="s">
        <v>130</v>
      </c>
      <c r="E981" s="11" t="s">
        <v>25</v>
      </c>
      <c r="F981" s="12">
        <v>46211</v>
      </c>
      <c r="G981" s="11" t="s">
        <v>328</v>
      </c>
      <c r="H981">
        <v>2</v>
      </c>
      <c r="I981" s="11" t="s">
        <v>3070</v>
      </c>
      <c r="M981" s="11" t="s">
        <v>66</v>
      </c>
      <c r="N981" s="11" t="s">
        <v>3071</v>
      </c>
      <c r="O981" s="11" t="s">
        <v>3072</v>
      </c>
      <c r="P981" s="11" t="s">
        <v>3073</v>
      </c>
      <c r="Q981" s="11" t="s">
        <v>135</v>
      </c>
      <c r="U981" s="11" t="s">
        <v>333</v>
      </c>
      <c r="V981" s="11" t="s">
        <v>137</v>
      </c>
      <c r="W981" s="13">
        <v>46302.314618055556</v>
      </c>
    </row>
    <row r="982" spans="1:23">
      <c r="A982">
        <v>275380</v>
      </c>
      <c r="B982">
        <v>10985</v>
      </c>
      <c r="C982" s="11" t="s">
        <v>129</v>
      </c>
      <c r="D982" s="11" t="s">
        <v>130</v>
      </c>
      <c r="E982" s="11" t="s">
        <v>25</v>
      </c>
      <c r="F982" s="12">
        <v>46211</v>
      </c>
      <c r="G982" s="11" t="s">
        <v>316</v>
      </c>
      <c r="H982">
        <v>1</v>
      </c>
      <c r="I982" s="11" t="s">
        <v>2079</v>
      </c>
      <c r="M982" s="11" t="s">
        <v>87</v>
      </c>
      <c r="N982" s="11" t="s">
        <v>3074</v>
      </c>
      <c r="O982" s="11" t="s">
        <v>488</v>
      </c>
      <c r="P982" s="11" t="s">
        <v>2079</v>
      </c>
      <c r="Q982" s="11" t="s">
        <v>135</v>
      </c>
      <c r="U982" s="11" t="s">
        <v>320</v>
      </c>
      <c r="V982" s="11" t="s">
        <v>137</v>
      </c>
      <c r="W982" s="13">
        <v>46302.314618055556</v>
      </c>
    </row>
    <row r="983" spans="1:23">
      <c r="A983">
        <v>275381</v>
      </c>
      <c r="B983">
        <v>10966</v>
      </c>
      <c r="C983" s="11" t="s">
        <v>129</v>
      </c>
      <c r="D983" s="11" t="s">
        <v>130</v>
      </c>
      <c r="E983" s="11" t="s">
        <v>25</v>
      </c>
      <c r="F983" s="12">
        <v>46211</v>
      </c>
      <c r="G983" s="11" t="s">
        <v>401</v>
      </c>
      <c r="H983">
        <v>1</v>
      </c>
      <c r="I983" s="11" t="s">
        <v>2148</v>
      </c>
      <c r="M983" s="11" t="s">
        <v>90</v>
      </c>
      <c r="N983" s="11" t="s">
        <v>402</v>
      </c>
      <c r="O983" s="11" t="s">
        <v>2613</v>
      </c>
      <c r="P983" s="11" t="s">
        <v>2148</v>
      </c>
      <c r="Q983" s="11" t="s">
        <v>135</v>
      </c>
      <c r="R983">
        <v>10965</v>
      </c>
      <c r="U983" s="11" t="s">
        <v>404</v>
      </c>
      <c r="V983" s="11" t="s">
        <v>137</v>
      </c>
      <c r="W983" s="13">
        <v>46302.314618055556</v>
      </c>
    </row>
    <row r="984" spans="1:23">
      <c r="A984">
        <v>276142</v>
      </c>
      <c r="B984">
        <v>10764</v>
      </c>
      <c r="C984" s="11" t="s">
        <v>129</v>
      </c>
      <c r="D984" s="11" t="s">
        <v>130</v>
      </c>
      <c r="E984" s="11" t="s">
        <v>25</v>
      </c>
      <c r="F984" s="12">
        <v>46216</v>
      </c>
      <c r="G984" s="11" t="s">
        <v>316</v>
      </c>
      <c r="H984">
        <v>1</v>
      </c>
      <c r="I984" s="11" t="s">
        <v>3075</v>
      </c>
      <c r="M984" s="11" t="s">
        <v>87</v>
      </c>
      <c r="N984" s="11" t="s">
        <v>3076</v>
      </c>
      <c r="O984" s="11" t="s">
        <v>3077</v>
      </c>
      <c r="P984" s="11" t="s">
        <v>3075</v>
      </c>
      <c r="Q984" s="11" t="s">
        <v>135</v>
      </c>
      <c r="U984" s="11" t="s">
        <v>320</v>
      </c>
      <c r="V984" s="11" t="s">
        <v>137</v>
      </c>
      <c r="W984" s="13">
        <v>46302.314618055556</v>
      </c>
    </row>
    <row r="985" spans="1:23">
      <c r="A985">
        <v>276143</v>
      </c>
      <c r="B985">
        <v>10765</v>
      </c>
      <c r="C985" s="11" t="s">
        <v>129</v>
      </c>
      <c r="D985" s="11" t="s">
        <v>130</v>
      </c>
      <c r="E985" s="11" t="s">
        <v>25</v>
      </c>
      <c r="F985" s="12">
        <v>46216</v>
      </c>
      <c r="G985" s="11" t="s">
        <v>921</v>
      </c>
      <c r="H985">
        <v>1</v>
      </c>
      <c r="I985" s="11" t="s">
        <v>3078</v>
      </c>
      <c r="M985" s="11" t="s">
        <v>95</v>
      </c>
      <c r="N985" s="11" t="s">
        <v>3079</v>
      </c>
      <c r="O985" s="11" t="s">
        <v>3080</v>
      </c>
      <c r="P985" s="11" t="s">
        <v>3078</v>
      </c>
      <c r="Q985" s="11" t="s">
        <v>135</v>
      </c>
      <c r="U985" s="11" t="s">
        <v>925</v>
      </c>
      <c r="V985" s="11" t="s">
        <v>137</v>
      </c>
      <c r="W985" s="13">
        <v>46302.314618055556</v>
      </c>
    </row>
    <row r="986" spans="1:23">
      <c r="A986">
        <v>276144</v>
      </c>
      <c r="B986">
        <v>10766</v>
      </c>
      <c r="C986" s="11" t="s">
        <v>129</v>
      </c>
      <c r="D986" s="11" t="s">
        <v>130</v>
      </c>
      <c r="E986" s="11" t="s">
        <v>25</v>
      </c>
      <c r="F986" s="12">
        <v>46216</v>
      </c>
      <c r="G986" s="11" t="s">
        <v>316</v>
      </c>
      <c r="H986">
        <v>1</v>
      </c>
      <c r="I986" s="11" t="s">
        <v>3081</v>
      </c>
      <c r="M986" s="11" t="s">
        <v>87</v>
      </c>
      <c r="N986" s="11" t="s">
        <v>3082</v>
      </c>
      <c r="O986" s="11" t="s">
        <v>3083</v>
      </c>
      <c r="P986" s="11" t="s">
        <v>3081</v>
      </c>
      <c r="Q986" s="11" t="s">
        <v>135</v>
      </c>
      <c r="U986" s="11" t="s">
        <v>320</v>
      </c>
      <c r="V986" s="11" t="s">
        <v>137</v>
      </c>
      <c r="W986" s="13">
        <v>46302.314618055556</v>
      </c>
    </row>
    <row r="987" spans="1:23">
      <c r="A987">
        <v>276145</v>
      </c>
      <c r="B987">
        <v>10767</v>
      </c>
      <c r="C987" s="11" t="s">
        <v>129</v>
      </c>
      <c r="D987" s="11" t="s">
        <v>130</v>
      </c>
      <c r="E987" s="11" t="s">
        <v>25</v>
      </c>
      <c r="F987" s="12">
        <v>46216</v>
      </c>
      <c r="G987" s="11" t="s">
        <v>328</v>
      </c>
      <c r="H987">
        <v>5</v>
      </c>
      <c r="I987" s="11" t="s">
        <v>3084</v>
      </c>
      <c r="M987" s="11" t="s">
        <v>66</v>
      </c>
      <c r="N987" s="11" t="s">
        <v>3085</v>
      </c>
      <c r="O987" s="11" t="s">
        <v>3086</v>
      </c>
      <c r="P987" s="11" t="s">
        <v>3087</v>
      </c>
      <c r="Q987" s="11" t="s">
        <v>135</v>
      </c>
      <c r="U987" s="11" t="s">
        <v>333</v>
      </c>
      <c r="V987" s="11" t="s">
        <v>137</v>
      </c>
      <c r="W987" s="13">
        <v>46302.314618055556</v>
      </c>
    </row>
    <row r="988" spans="1:23">
      <c r="A988">
        <v>276146</v>
      </c>
      <c r="B988">
        <v>10768</v>
      </c>
      <c r="C988" s="11" t="s">
        <v>129</v>
      </c>
      <c r="D988" s="11" t="s">
        <v>130</v>
      </c>
      <c r="E988" s="11" t="s">
        <v>25</v>
      </c>
      <c r="F988" s="12">
        <v>46216</v>
      </c>
      <c r="G988" s="11" t="s">
        <v>321</v>
      </c>
      <c r="H988">
        <v>1</v>
      </c>
      <c r="I988" s="11" t="s">
        <v>1358</v>
      </c>
      <c r="M988" s="11" t="s">
        <v>67</v>
      </c>
      <c r="N988" s="11" t="s">
        <v>3088</v>
      </c>
      <c r="O988" s="11" t="s">
        <v>3089</v>
      </c>
      <c r="P988" s="11" t="s">
        <v>1358</v>
      </c>
      <c r="Q988" s="11" t="s">
        <v>135</v>
      </c>
      <c r="U988" s="11" t="s">
        <v>327</v>
      </c>
      <c r="V988" s="11" t="s">
        <v>137</v>
      </c>
      <c r="W988" s="13">
        <v>46302.314618055556</v>
      </c>
    </row>
    <row r="989" spans="1:23">
      <c r="A989">
        <v>276147</v>
      </c>
      <c r="B989">
        <v>10769</v>
      </c>
      <c r="C989" s="11" t="s">
        <v>129</v>
      </c>
      <c r="D989" s="11" t="s">
        <v>130</v>
      </c>
      <c r="E989" s="11" t="s">
        <v>25</v>
      </c>
      <c r="F989" s="12">
        <v>46216</v>
      </c>
      <c r="G989" s="11" t="s">
        <v>316</v>
      </c>
      <c r="H989">
        <v>1</v>
      </c>
      <c r="I989" s="11" t="s">
        <v>2116</v>
      </c>
      <c r="M989" s="11" t="s">
        <v>87</v>
      </c>
      <c r="N989" s="11" t="s">
        <v>3090</v>
      </c>
      <c r="O989" s="11" t="s">
        <v>3091</v>
      </c>
      <c r="P989" s="11" t="s">
        <v>2116</v>
      </c>
      <c r="Q989" s="11" t="s">
        <v>135</v>
      </c>
      <c r="U989" s="11" t="s">
        <v>320</v>
      </c>
      <c r="V989" s="11" t="s">
        <v>137</v>
      </c>
      <c r="W989" s="13">
        <v>46302.314618055556</v>
      </c>
    </row>
    <row r="990" spans="1:23">
      <c r="A990">
        <v>276148</v>
      </c>
      <c r="B990">
        <v>10770</v>
      </c>
      <c r="C990" s="11" t="s">
        <v>129</v>
      </c>
      <c r="D990" s="11" t="s">
        <v>130</v>
      </c>
      <c r="E990" s="11" t="s">
        <v>25</v>
      </c>
      <c r="F990" s="12">
        <v>46216</v>
      </c>
      <c r="G990" s="11" t="s">
        <v>334</v>
      </c>
      <c r="H990">
        <v>2</v>
      </c>
      <c r="I990" s="11" t="s">
        <v>3092</v>
      </c>
      <c r="M990" s="11" t="s">
        <v>64</v>
      </c>
      <c r="N990" s="11" t="s">
        <v>3093</v>
      </c>
      <c r="O990" s="11" t="s">
        <v>3094</v>
      </c>
      <c r="P990" s="11" t="s">
        <v>3095</v>
      </c>
      <c r="Q990" s="11" t="s">
        <v>135</v>
      </c>
      <c r="U990" s="11" t="s">
        <v>338</v>
      </c>
      <c r="V990" s="11" t="s">
        <v>137</v>
      </c>
      <c r="W990" s="13">
        <v>46302.314618055556</v>
      </c>
    </row>
    <row r="991" spans="1:23">
      <c r="A991">
        <v>276149</v>
      </c>
      <c r="B991">
        <v>10771</v>
      </c>
      <c r="C991" s="11" t="s">
        <v>129</v>
      </c>
      <c r="D991" s="11" t="s">
        <v>130</v>
      </c>
      <c r="E991" s="11" t="s">
        <v>25</v>
      </c>
      <c r="F991" s="12">
        <v>46216</v>
      </c>
      <c r="G991" s="11" t="s">
        <v>921</v>
      </c>
      <c r="H991">
        <v>1</v>
      </c>
      <c r="I991" s="11" t="s">
        <v>3096</v>
      </c>
      <c r="M991" s="11" t="s">
        <v>95</v>
      </c>
      <c r="N991" s="11" t="s">
        <v>3097</v>
      </c>
      <c r="O991" s="11" t="s">
        <v>3098</v>
      </c>
      <c r="P991" s="11" t="s">
        <v>3096</v>
      </c>
      <c r="Q991" s="11" t="s">
        <v>135</v>
      </c>
      <c r="U991" s="11" t="s">
        <v>925</v>
      </c>
      <c r="V991" s="11" t="s">
        <v>137</v>
      </c>
      <c r="W991" s="13">
        <v>46302.314618055556</v>
      </c>
    </row>
    <row r="992" spans="1:23">
      <c r="A992">
        <v>276150</v>
      </c>
      <c r="B992">
        <v>10772</v>
      </c>
      <c r="C992" s="11" t="s">
        <v>129</v>
      </c>
      <c r="D992" s="11" t="s">
        <v>130</v>
      </c>
      <c r="E992" s="11" t="s">
        <v>25</v>
      </c>
      <c r="F992" s="12">
        <v>46216</v>
      </c>
      <c r="G992" s="11" t="s">
        <v>334</v>
      </c>
      <c r="H992">
        <v>2</v>
      </c>
      <c r="I992" s="11" t="s">
        <v>3099</v>
      </c>
      <c r="M992" s="11" t="s">
        <v>64</v>
      </c>
      <c r="N992" s="11" t="s">
        <v>3100</v>
      </c>
      <c r="O992" s="11" t="s">
        <v>3101</v>
      </c>
      <c r="P992" s="11" t="s">
        <v>340</v>
      </c>
      <c r="Q992" s="11" t="s">
        <v>135</v>
      </c>
      <c r="U992" s="11" t="s">
        <v>338</v>
      </c>
      <c r="V992" s="11" t="s">
        <v>137</v>
      </c>
      <c r="W992" s="13">
        <v>46302.314618055556</v>
      </c>
    </row>
    <row r="993" spans="1:23">
      <c r="A993">
        <v>276151</v>
      </c>
      <c r="B993">
        <v>10773</v>
      </c>
      <c r="C993" s="11" t="s">
        <v>129</v>
      </c>
      <c r="D993" s="11" t="s">
        <v>130</v>
      </c>
      <c r="E993" s="11" t="s">
        <v>25</v>
      </c>
      <c r="F993" s="12">
        <v>46216</v>
      </c>
      <c r="G993" s="11" t="s">
        <v>344</v>
      </c>
      <c r="H993">
        <v>1</v>
      </c>
      <c r="I993" s="11" t="s">
        <v>3102</v>
      </c>
      <c r="M993" s="11" t="s">
        <v>65</v>
      </c>
      <c r="N993" s="11" t="s">
        <v>3103</v>
      </c>
      <c r="O993" s="11" t="s">
        <v>3104</v>
      </c>
      <c r="P993" s="11" t="s">
        <v>3102</v>
      </c>
      <c r="Q993" s="11" t="s">
        <v>135</v>
      </c>
      <c r="U993" s="11" t="s">
        <v>348</v>
      </c>
      <c r="V993" s="11" t="s">
        <v>137</v>
      </c>
      <c r="W993" s="13">
        <v>46302.314618055556</v>
      </c>
    </row>
    <row r="994" spans="1:23">
      <c r="A994">
        <v>276152</v>
      </c>
      <c r="B994">
        <v>10774</v>
      </c>
      <c r="C994" s="11" t="s">
        <v>129</v>
      </c>
      <c r="D994" s="11" t="s">
        <v>130</v>
      </c>
      <c r="E994" s="11" t="s">
        <v>25</v>
      </c>
      <c r="F994" s="12">
        <v>46216</v>
      </c>
      <c r="G994" s="11" t="s">
        <v>316</v>
      </c>
      <c r="H994">
        <v>1</v>
      </c>
      <c r="I994" s="11" t="s">
        <v>3105</v>
      </c>
      <c r="M994" s="11" t="s">
        <v>87</v>
      </c>
      <c r="N994" s="11" t="s">
        <v>3106</v>
      </c>
      <c r="O994" s="11" t="s">
        <v>1940</v>
      </c>
      <c r="P994" s="11" t="s">
        <v>3105</v>
      </c>
      <c r="Q994" s="11" t="s">
        <v>135</v>
      </c>
      <c r="U994" s="11" t="s">
        <v>320</v>
      </c>
      <c r="V994" s="11" t="s">
        <v>137</v>
      </c>
      <c r="W994" s="13">
        <v>46302.314618055556</v>
      </c>
    </row>
    <row r="995" spans="1:23">
      <c r="A995">
        <v>276153</v>
      </c>
      <c r="B995">
        <v>10775</v>
      </c>
      <c r="C995" s="11" t="s">
        <v>129</v>
      </c>
      <c r="D995" s="11" t="s">
        <v>130</v>
      </c>
      <c r="E995" s="11" t="s">
        <v>25</v>
      </c>
      <c r="F995" s="12">
        <v>46216</v>
      </c>
      <c r="G995" s="11" t="s">
        <v>339</v>
      </c>
      <c r="H995">
        <v>1</v>
      </c>
      <c r="I995" s="11" t="s">
        <v>3107</v>
      </c>
      <c r="M995" s="11" t="s">
        <v>92</v>
      </c>
      <c r="N995" s="11" t="s">
        <v>1943</v>
      </c>
      <c r="O995" s="11" t="s">
        <v>2586</v>
      </c>
      <c r="P995" s="11" t="s">
        <v>3107</v>
      </c>
      <c r="Q995" s="11" t="s">
        <v>135</v>
      </c>
      <c r="U995" s="11" t="s">
        <v>343</v>
      </c>
      <c r="V995" s="11" t="s">
        <v>137</v>
      </c>
      <c r="W995" s="13">
        <v>46302.314618055556</v>
      </c>
    </row>
    <row r="996" spans="1:23">
      <c r="A996">
        <v>276154</v>
      </c>
      <c r="B996">
        <v>10776</v>
      </c>
      <c r="C996" s="11" t="s">
        <v>129</v>
      </c>
      <c r="D996" s="11" t="s">
        <v>130</v>
      </c>
      <c r="E996" s="11" t="s">
        <v>25</v>
      </c>
      <c r="F996" s="12">
        <v>46216</v>
      </c>
      <c r="G996" s="11" t="s">
        <v>1782</v>
      </c>
      <c r="H996">
        <v>1</v>
      </c>
      <c r="I996" s="11" t="s">
        <v>3108</v>
      </c>
      <c r="M996" s="11" t="s">
        <v>82</v>
      </c>
      <c r="N996" s="11" t="s">
        <v>2589</v>
      </c>
      <c r="O996" s="11" t="s">
        <v>3109</v>
      </c>
      <c r="P996" s="11" t="s">
        <v>3108</v>
      </c>
      <c r="Q996" s="11" t="s">
        <v>135</v>
      </c>
      <c r="U996" s="11" t="s">
        <v>1786</v>
      </c>
      <c r="V996" s="11" t="s">
        <v>137</v>
      </c>
      <c r="W996" s="13">
        <v>46302.314618055556</v>
      </c>
    </row>
    <row r="997" spans="1:23">
      <c r="A997">
        <v>276155</v>
      </c>
      <c r="B997">
        <v>10777</v>
      </c>
      <c r="C997" s="11" t="s">
        <v>129</v>
      </c>
      <c r="D997" s="11" t="s">
        <v>130</v>
      </c>
      <c r="E997" s="11" t="s">
        <v>25</v>
      </c>
      <c r="F997" s="12">
        <v>46216</v>
      </c>
      <c r="G997" s="11" t="s">
        <v>3110</v>
      </c>
      <c r="H997">
        <v>1</v>
      </c>
      <c r="I997" s="11" t="s">
        <v>3111</v>
      </c>
      <c r="M997" s="11" t="s">
        <v>84</v>
      </c>
      <c r="N997" s="11" t="s">
        <v>3112</v>
      </c>
      <c r="O997" s="11" t="s">
        <v>3113</v>
      </c>
      <c r="P997" s="11" t="s">
        <v>3111</v>
      </c>
      <c r="Q997" s="11" t="s">
        <v>135</v>
      </c>
      <c r="U997" s="11" t="s">
        <v>3114</v>
      </c>
      <c r="V997" s="11" t="s">
        <v>137</v>
      </c>
      <c r="W997" s="13">
        <v>46302.314618055556</v>
      </c>
    </row>
    <row r="998" spans="1:23">
      <c r="A998">
        <v>276156</v>
      </c>
      <c r="B998">
        <v>10778</v>
      </c>
      <c r="C998" s="11" t="s">
        <v>129</v>
      </c>
      <c r="D998" s="11" t="s">
        <v>130</v>
      </c>
      <c r="E998" s="11" t="s">
        <v>25</v>
      </c>
      <c r="F998" s="12">
        <v>46216</v>
      </c>
      <c r="G998" s="11" t="s">
        <v>344</v>
      </c>
      <c r="H998">
        <v>1</v>
      </c>
      <c r="I998" s="11" t="s">
        <v>1142</v>
      </c>
      <c r="M998" s="11" t="s">
        <v>65</v>
      </c>
      <c r="N998" s="11" t="s">
        <v>3115</v>
      </c>
      <c r="O998" s="11" t="s">
        <v>3116</v>
      </c>
      <c r="P998" s="11" t="s">
        <v>1142</v>
      </c>
      <c r="Q998" s="11" t="s">
        <v>135</v>
      </c>
      <c r="U998" s="11" t="s">
        <v>348</v>
      </c>
      <c r="V998" s="11" t="s">
        <v>137</v>
      </c>
      <c r="W998" s="13">
        <v>46302.314618055556</v>
      </c>
    </row>
    <row r="999" spans="1:23">
      <c r="A999">
        <v>276157</v>
      </c>
      <c r="B999">
        <v>10779</v>
      </c>
      <c r="C999" s="11" t="s">
        <v>129</v>
      </c>
      <c r="D999" s="11" t="s">
        <v>130</v>
      </c>
      <c r="E999" s="11" t="s">
        <v>25</v>
      </c>
      <c r="F999" s="12">
        <v>46216</v>
      </c>
      <c r="G999" s="11" t="s">
        <v>3117</v>
      </c>
      <c r="H999">
        <v>1</v>
      </c>
      <c r="I999" s="11" t="s">
        <v>3118</v>
      </c>
      <c r="M999" s="11" t="s">
        <v>63</v>
      </c>
      <c r="N999" s="11" t="s">
        <v>3119</v>
      </c>
      <c r="O999" s="11" t="s">
        <v>3120</v>
      </c>
      <c r="P999" s="11" t="s">
        <v>3118</v>
      </c>
      <c r="Q999" s="11" t="s">
        <v>135</v>
      </c>
      <c r="U999" s="11" t="s">
        <v>3121</v>
      </c>
      <c r="V999" s="11" t="s">
        <v>137</v>
      </c>
      <c r="W999" s="13">
        <v>46302.314618055556</v>
      </c>
    </row>
    <row r="1000" spans="1:23">
      <c r="A1000">
        <v>276158</v>
      </c>
      <c r="B1000">
        <v>10780</v>
      </c>
      <c r="C1000" s="11" t="s">
        <v>129</v>
      </c>
      <c r="D1000" s="11" t="s">
        <v>130</v>
      </c>
      <c r="E1000" s="11" t="s">
        <v>25</v>
      </c>
      <c r="F1000" s="12">
        <v>46216</v>
      </c>
      <c r="G1000" s="11" t="s">
        <v>316</v>
      </c>
      <c r="H1000">
        <v>1</v>
      </c>
      <c r="I1000" s="11" t="s">
        <v>1635</v>
      </c>
      <c r="M1000" s="11" t="s">
        <v>87</v>
      </c>
      <c r="N1000" s="11" t="s">
        <v>3122</v>
      </c>
      <c r="O1000" s="11" t="s">
        <v>3123</v>
      </c>
      <c r="P1000" s="11" t="s">
        <v>1635</v>
      </c>
      <c r="Q1000" s="11" t="s">
        <v>135</v>
      </c>
      <c r="U1000" s="11" t="s">
        <v>320</v>
      </c>
      <c r="V1000" s="11" t="s">
        <v>137</v>
      </c>
      <c r="W1000" s="13">
        <v>46302.314618055556</v>
      </c>
    </row>
    <row r="1001" spans="1:23">
      <c r="A1001">
        <v>276159</v>
      </c>
      <c r="B1001">
        <v>10781</v>
      </c>
      <c r="C1001" s="11" t="s">
        <v>129</v>
      </c>
      <c r="D1001" s="11" t="s">
        <v>130</v>
      </c>
      <c r="E1001" s="11" t="s">
        <v>25</v>
      </c>
      <c r="F1001" s="12">
        <v>46216</v>
      </c>
      <c r="G1001" s="11" t="s">
        <v>328</v>
      </c>
      <c r="H1001">
        <v>4</v>
      </c>
      <c r="I1001" s="11" t="s">
        <v>3124</v>
      </c>
      <c r="M1001" s="11" t="s">
        <v>66</v>
      </c>
      <c r="N1001" s="11" t="s">
        <v>3125</v>
      </c>
      <c r="O1001" s="11" t="s">
        <v>3126</v>
      </c>
      <c r="P1001" s="11" t="s">
        <v>3127</v>
      </c>
      <c r="Q1001" s="11" t="s">
        <v>135</v>
      </c>
      <c r="U1001" s="11" t="s">
        <v>333</v>
      </c>
      <c r="V1001" s="11" t="s">
        <v>137</v>
      </c>
      <c r="W1001" s="13">
        <v>46302.314618055556</v>
      </c>
    </row>
    <row r="1002" spans="1:23">
      <c r="A1002">
        <v>276160</v>
      </c>
      <c r="B1002">
        <v>10782</v>
      </c>
      <c r="C1002" s="11" t="s">
        <v>129</v>
      </c>
      <c r="D1002" s="11" t="s">
        <v>130</v>
      </c>
      <c r="E1002" s="11" t="s">
        <v>25</v>
      </c>
      <c r="F1002" s="12">
        <v>46216</v>
      </c>
      <c r="G1002" s="11" t="s">
        <v>316</v>
      </c>
      <c r="H1002">
        <v>1</v>
      </c>
      <c r="I1002" s="11" t="s">
        <v>3128</v>
      </c>
      <c r="M1002" s="11" t="s">
        <v>87</v>
      </c>
      <c r="N1002" s="11" t="s">
        <v>3129</v>
      </c>
      <c r="O1002" s="11" t="s">
        <v>3130</v>
      </c>
      <c r="P1002" s="11" t="s">
        <v>3128</v>
      </c>
      <c r="Q1002" s="11" t="s">
        <v>135</v>
      </c>
      <c r="U1002" s="11" t="s">
        <v>320</v>
      </c>
      <c r="V1002" s="11" t="s">
        <v>137</v>
      </c>
      <c r="W1002" s="13">
        <v>46302.314618055556</v>
      </c>
    </row>
    <row r="1003" spans="1:23">
      <c r="A1003">
        <v>276161</v>
      </c>
      <c r="B1003">
        <v>10783</v>
      </c>
      <c r="C1003" s="11" t="s">
        <v>129</v>
      </c>
      <c r="D1003" s="11" t="s">
        <v>130</v>
      </c>
      <c r="E1003" s="11" t="s">
        <v>25</v>
      </c>
      <c r="F1003" s="12">
        <v>46216</v>
      </c>
      <c r="G1003" s="11" t="s">
        <v>328</v>
      </c>
      <c r="H1003">
        <v>1</v>
      </c>
      <c r="I1003" s="11" t="s">
        <v>2062</v>
      </c>
      <c r="M1003" s="11" t="s">
        <v>66</v>
      </c>
      <c r="N1003" s="11" t="s">
        <v>3131</v>
      </c>
      <c r="O1003" s="11" t="s">
        <v>3132</v>
      </c>
      <c r="P1003" s="11" t="s">
        <v>2062</v>
      </c>
      <c r="Q1003" s="11" t="s">
        <v>135</v>
      </c>
      <c r="U1003" s="11" t="s">
        <v>333</v>
      </c>
      <c r="V1003" s="11" t="s">
        <v>137</v>
      </c>
      <c r="W1003" s="13">
        <v>46302.314618055556</v>
      </c>
    </row>
    <row r="1004" spans="1:23">
      <c r="A1004">
        <v>276162</v>
      </c>
      <c r="B1004">
        <v>10784</v>
      </c>
      <c r="C1004" s="11" t="s">
        <v>129</v>
      </c>
      <c r="D1004" s="11" t="s">
        <v>130</v>
      </c>
      <c r="E1004" s="11" t="s">
        <v>25</v>
      </c>
      <c r="F1004" s="12">
        <v>46216</v>
      </c>
      <c r="G1004" s="11" t="s">
        <v>321</v>
      </c>
      <c r="H1004">
        <v>1</v>
      </c>
      <c r="I1004" s="11" t="s">
        <v>3133</v>
      </c>
      <c r="M1004" s="11" t="s">
        <v>67</v>
      </c>
      <c r="N1004" s="11" t="s">
        <v>3134</v>
      </c>
      <c r="O1004" s="11" t="s">
        <v>3135</v>
      </c>
      <c r="P1004" s="11" t="s">
        <v>3133</v>
      </c>
      <c r="Q1004" s="11" t="s">
        <v>135</v>
      </c>
      <c r="U1004" s="11" t="s">
        <v>327</v>
      </c>
      <c r="V1004" s="11" t="s">
        <v>137</v>
      </c>
      <c r="W1004" s="13">
        <v>46302.314618055556</v>
      </c>
    </row>
    <row r="1005" spans="1:23">
      <c r="A1005">
        <v>276163</v>
      </c>
      <c r="B1005">
        <v>10785</v>
      </c>
      <c r="C1005" s="11" t="s">
        <v>129</v>
      </c>
      <c r="D1005" s="11" t="s">
        <v>130</v>
      </c>
      <c r="E1005" s="11" t="s">
        <v>25</v>
      </c>
      <c r="F1005" s="12">
        <v>46216</v>
      </c>
      <c r="G1005" s="11" t="s">
        <v>393</v>
      </c>
      <c r="H1005">
        <v>1</v>
      </c>
      <c r="I1005" s="11" t="s">
        <v>1451</v>
      </c>
      <c r="M1005" s="11" t="s">
        <v>86</v>
      </c>
      <c r="N1005" s="11" t="s">
        <v>3136</v>
      </c>
      <c r="O1005" s="11" t="s">
        <v>3137</v>
      </c>
      <c r="P1005" s="11" t="s">
        <v>1451</v>
      </c>
      <c r="Q1005" s="11" t="s">
        <v>135</v>
      </c>
      <c r="U1005" s="11" t="s">
        <v>397</v>
      </c>
      <c r="V1005" s="11" t="s">
        <v>137</v>
      </c>
      <c r="W1005" s="13">
        <v>46302.314618055556</v>
      </c>
    </row>
    <row r="1006" spans="1:23">
      <c r="A1006">
        <v>276441</v>
      </c>
      <c r="B1006">
        <v>10786</v>
      </c>
      <c r="C1006" s="11" t="s">
        <v>129</v>
      </c>
      <c r="D1006" s="11" t="s">
        <v>130</v>
      </c>
      <c r="E1006" s="11" t="s">
        <v>25</v>
      </c>
      <c r="F1006" s="12">
        <v>46217</v>
      </c>
      <c r="G1006" s="11" t="s">
        <v>131</v>
      </c>
      <c r="H1006">
        <v>1</v>
      </c>
      <c r="I1006" s="11" t="s">
        <v>468</v>
      </c>
      <c r="M1006" s="11" t="s">
        <v>87</v>
      </c>
      <c r="N1006" s="11" t="s">
        <v>3138</v>
      </c>
      <c r="O1006" s="11" t="s">
        <v>3139</v>
      </c>
      <c r="P1006" s="11" t="s">
        <v>468</v>
      </c>
      <c r="Q1006" s="11" t="s">
        <v>135</v>
      </c>
      <c r="U1006" s="11" t="s">
        <v>136</v>
      </c>
      <c r="V1006" s="11" t="s">
        <v>137</v>
      </c>
      <c r="W1006" s="13">
        <v>46302.314618055556</v>
      </c>
    </row>
    <row r="1007" spans="1:23">
      <c r="A1007">
        <v>276442</v>
      </c>
      <c r="B1007">
        <v>10787</v>
      </c>
      <c r="C1007" s="11" t="s">
        <v>129</v>
      </c>
      <c r="D1007" s="11" t="s">
        <v>130</v>
      </c>
      <c r="E1007" s="11" t="s">
        <v>25</v>
      </c>
      <c r="F1007" s="12">
        <v>46217</v>
      </c>
      <c r="G1007" s="11" t="s">
        <v>164</v>
      </c>
      <c r="H1007">
        <v>1</v>
      </c>
      <c r="I1007" s="11" t="s">
        <v>3140</v>
      </c>
      <c r="M1007" s="11" t="s">
        <v>62</v>
      </c>
      <c r="N1007" s="11" t="s">
        <v>3141</v>
      </c>
      <c r="O1007" s="11" t="s">
        <v>3142</v>
      </c>
      <c r="P1007" s="11" t="s">
        <v>3140</v>
      </c>
      <c r="Q1007" s="11" t="s">
        <v>863</v>
      </c>
      <c r="U1007" s="11" t="s">
        <v>168</v>
      </c>
      <c r="V1007" s="11" t="s">
        <v>137</v>
      </c>
      <c r="W1007" s="13">
        <v>46302.314618055556</v>
      </c>
    </row>
    <row r="1008" spans="1:23">
      <c r="A1008">
        <v>276443</v>
      </c>
      <c r="B1008">
        <v>10789</v>
      </c>
      <c r="C1008" s="11" t="s">
        <v>129</v>
      </c>
      <c r="D1008" s="11" t="s">
        <v>130</v>
      </c>
      <c r="E1008" s="11" t="s">
        <v>25</v>
      </c>
      <c r="F1008" s="12">
        <v>46217</v>
      </c>
      <c r="G1008" s="11" t="s">
        <v>195</v>
      </c>
      <c r="H1008">
        <v>1</v>
      </c>
      <c r="I1008" s="11" t="s">
        <v>3143</v>
      </c>
      <c r="M1008" s="11" t="s">
        <v>68</v>
      </c>
      <c r="N1008" s="11" t="s">
        <v>3144</v>
      </c>
      <c r="O1008" s="11" t="s">
        <v>3145</v>
      </c>
      <c r="P1008" s="11" t="s">
        <v>3143</v>
      </c>
      <c r="Q1008" s="11" t="s">
        <v>135</v>
      </c>
      <c r="U1008" s="11" t="s">
        <v>199</v>
      </c>
      <c r="V1008" s="11" t="s">
        <v>137</v>
      </c>
      <c r="W1008" s="13">
        <v>46302.314618055556</v>
      </c>
    </row>
    <row r="1009" spans="1:23">
      <c r="A1009">
        <v>276444</v>
      </c>
      <c r="B1009">
        <v>10790</v>
      </c>
      <c r="C1009" s="11" t="s">
        <v>129</v>
      </c>
      <c r="D1009" s="11" t="s">
        <v>130</v>
      </c>
      <c r="E1009" s="11" t="s">
        <v>25</v>
      </c>
      <c r="F1009" s="12">
        <v>46217</v>
      </c>
      <c r="G1009" s="11" t="s">
        <v>1361</v>
      </c>
      <c r="H1009">
        <v>1</v>
      </c>
      <c r="I1009" s="11" t="s">
        <v>2738</v>
      </c>
      <c r="M1009" s="11" t="s">
        <v>58</v>
      </c>
      <c r="N1009" s="11" t="s">
        <v>3146</v>
      </c>
      <c r="O1009" s="11" t="s">
        <v>3147</v>
      </c>
      <c r="P1009" s="11" t="s">
        <v>2738</v>
      </c>
      <c r="Q1009" s="11" t="s">
        <v>135</v>
      </c>
      <c r="U1009" s="11" t="s">
        <v>1365</v>
      </c>
      <c r="V1009" s="11" t="s">
        <v>137</v>
      </c>
      <c r="W1009" s="13">
        <v>46302.314618055556</v>
      </c>
    </row>
    <row r="1010" spans="1:23">
      <c r="A1010">
        <v>276445</v>
      </c>
      <c r="B1010">
        <v>10791</v>
      </c>
      <c r="C1010" s="11" t="s">
        <v>129</v>
      </c>
      <c r="D1010" s="11" t="s">
        <v>130</v>
      </c>
      <c r="E1010" s="11" t="s">
        <v>25</v>
      </c>
      <c r="F1010" s="12">
        <v>46217</v>
      </c>
      <c r="G1010" s="11" t="s">
        <v>143</v>
      </c>
      <c r="H1010">
        <v>1</v>
      </c>
      <c r="I1010" s="11" t="s">
        <v>2698</v>
      </c>
      <c r="M1010" s="11" t="s">
        <v>39</v>
      </c>
      <c r="N1010" s="11" t="s">
        <v>3148</v>
      </c>
      <c r="O1010" s="11" t="s">
        <v>3149</v>
      </c>
      <c r="P1010" s="11" t="s">
        <v>2698</v>
      </c>
      <c r="Q1010" s="11" t="s">
        <v>135</v>
      </c>
      <c r="U1010" s="11" t="s">
        <v>148</v>
      </c>
      <c r="V1010" s="11" t="s">
        <v>137</v>
      </c>
      <c r="W1010" s="13">
        <v>46302.314618055556</v>
      </c>
    </row>
    <row r="1011" spans="1:23">
      <c r="A1011">
        <v>276446</v>
      </c>
      <c r="B1011">
        <v>10792</v>
      </c>
      <c r="C1011" s="11" t="s">
        <v>129</v>
      </c>
      <c r="D1011" s="11" t="s">
        <v>130</v>
      </c>
      <c r="E1011" s="11" t="s">
        <v>25</v>
      </c>
      <c r="F1011" s="12">
        <v>46217</v>
      </c>
      <c r="G1011" s="11" t="s">
        <v>143</v>
      </c>
      <c r="H1011">
        <v>1</v>
      </c>
      <c r="I1011" s="11" t="s">
        <v>3150</v>
      </c>
      <c r="M1011" s="11" t="s">
        <v>39</v>
      </c>
      <c r="N1011" s="11" t="s">
        <v>1930</v>
      </c>
      <c r="O1011" s="11" t="s">
        <v>3031</v>
      </c>
      <c r="P1011" s="11" t="s">
        <v>3150</v>
      </c>
      <c r="Q1011" s="11" t="s">
        <v>135</v>
      </c>
      <c r="U1011" s="11" t="s">
        <v>148</v>
      </c>
      <c r="V1011" s="11" t="s">
        <v>137</v>
      </c>
      <c r="W1011" s="13">
        <v>46302.314618055556</v>
      </c>
    </row>
    <row r="1012" spans="1:23">
      <c r="A1012">
        <v>276447</v>
      </c>
      <c r="B1012">
        <v>10793</v>
      </c>
      <c r="C1012" s="11" t="s">
        <v>129</v>
      </c>
      <c r="D1012" s="11" t="s">
        <v>130</v>
      </c>
      <c r="E1012" s="11" t="s">
        <v>25</v>
      </c>
      <c r="F1012" s="12">
        <v>46217</v>
      </c>
      <c r="G1012" s="11" t="s">
        <v>195</v>
      </c>
      <c r="H1012">
        <v>1</v>
      </c>
      <c r="I1012" s="11" t="s">
        <v>3151</v>
      </c>
      <c r="M1012" s="11" t="s">
        <v>68</v>
      </c>
      <c r="N1012" s="11" t="s">
        <v>3152</v>
      </c>
      <c r="O1012" s="11" t="s">
        <v>3153</v>
      </c>
      <c r="P1012" s="11" t="s">
        <v>3151</v>
      </c>
      <c r="Q1012" s="11" t="s">
        <v>135</v>
      </c>
      <c r="U1012" s="11" t="s">
        <v>199</v>
      </c>
      <c r="V1012" s="11" t="s">
        <v>137</v>
      </c>
      <c r="W1012" s="13">
        <v>46302.314618055556</v>
      </c>
    </row>
    <row r="1013" spans="1:23">
      <c r="A1013">
        <v>276448</v>
      </c>
      <c r="B1013">
        <v>10794</v>
      </c>
      <c r="C1013" s="11" t="s">
        <v>129</v>
      </c>
      <c r="D1013" s="11" t="s">
        <v>130</v>
      </c>
      <c r="E1013" s="11" t="s">
        <v>25</v>
      </c>
      <c r="F1013" s="12">
        <v>46217</v>
      </c>
      <c r="G1013" s="11" t="s">
        <v>131</v>
      </c>
      <c r="H1013">
        <v>1</v>
      </c>
      <c r="I1013" s="11" t="s">
        <v>3154</v>
      </c>
      <c r="M1013" s="11" t="s">
        <v>87</v>
      </c>
      <c r="N1013" s="11" t="s">
        <v>3155</v>
      </c>
      <c r="O1013" s="11" t="s">
        <v>3156</v>
      </c>
      <c r="P1013" s="11" t="s">
        <v>3154</v>
      </c>
      <c r="Q1013" s="11" t="s">
        <v>135</v>
      </c>
      <c r="U1013" s="11" t="s">
        <v>136</v>
      </c>
      <c r="V1013" s="11" t="s">
        <v>137</v>
      </c>
      <c r="W1013" s="13">
        <v>46302.314618055556</v>
      </c>
    </row>
    <row r="1014" spans="1:23">
      <c r="A1014">
        <v>276449</v>
      </c>
      <c r="B1014">
        <v>10795</v>
      </c>
      <c r="C1014" s="11" t="s">
        <v>129</v>
      </c>
      <c r="D1014" s="11" t="s">
        <v>130</v>
      </c>
      <c r="E1014" s="11" t="s">
        <v>25</v>
      </c>
      <c r="F1014" s="12">
        <v>46217</v>
      </c>
      <c r="G1014" s="11" t="s">
        <v>143</v>
      </c>
      <c r="H1014">
        <v>1</v>
      </c>
      <c r="I1014" s="11" t="s">
        <v>3157</v>
      </c>
      <c r="M1014" s="11" t="s">
        <v>39</v>
      </c>
      <c r="N1014" s="11" t="s">
        <v>3158</v>
      </c>
      <c r="O1014" s="11" t="s">
        <v>3159</v>
      </c>
      <c r="P1014" s="11" t="s">
        <v>3157</v>
      </c>
      <c r="Q1014" s="11" t="s">
        <v>135</v>
      </c>
      <c r="U1014" s="11" t="s">
        <v>148</v>
      </c>
      <c r="V1014" s="11" t="s">
        <v>137</v>
      </c>
      <c r="W1014" s="13">
        <v>46302.314618055556</v>
      </c>
    </row>
    <row r="1015" spans="1:23">
      <c r="A1015">
        <v>276450</v>
      </c>
      <c r="B1015">
        <v>10796</v>
      </c>
      <c r="C1015" s="11" t="s">
        <v>129</v>
      </c>
      <c r="D1015" s="11" t="s">
        <v>130</v>
      </c>
      <c r="E1015" s="11" t="s">
        <v>25</v>
      </c>
      <c r="F1015" s="12">
        <v>46217</v>
      </c>
      <c r="G1015" s="11" t="s">
        <v>164</v>
      </c>
      <c r="H1015">
        <v>1</v>
      </c>
      <c r="I1015" s="11" t="s">
        <v>3160</v>
      </c>
      <c r="M1015" s="11" t="s">
        <v>62</v>
      </c>
      <c r="N1015" s="11" t="s">
        <v>3161</v>
      </c>
      <c r="O1015" s="11" t="s">
        <v>3162</v>
      </c>
      <c r="P1015" s="11" t="s">
        <v>3160</v>
      </c>
      <c r="Q1015" s="11" t="s">
        <v>135</v>
      </c>
      <c r="U1015" s="11" t="s">
        <v>168</v>
      </c>
      <c r="V1015" s="11" t="s">
        <v>137</v>
      </c>
      <c r="W1015" s="13">
        <v>46302.314618055556</v>
      </c>
    </row>
    <row r="1016" spans="1:23">
      <c r="A1016">
        <v>276451</v>
      </c>
      <c r="B1016">
        <v>10797</v>
      </c>
      <c r="C1016" s="11" t="s">
        <v>129</v>
      </c>
      <c r="D1016" s="11" t="s">
        <v>130</v>
      </c>
      <c r="E1016" s="11" t="s">
        <v>25</v>
      </c>
      <c r="F1016" s="12">
        <v>46217</v>
      </c>
      <c r="G1016" s="11" t="s">
        <v>143</v>
      </c>
      <c r="H1016">
        <v>1</v>
      </c>
      <c r="I1016" s="11" t="s">
        <v>3163</v>
      </c>
      <c r="M1016" s="11" t="s">
        <v>39</v>
      </c>
      <c r="N1016" s="11" t="s">
        <v>3164</v>
      </c>
      <c r="O1016" s="11" t="s">
        <v>3165</v>
      </c>
      <c r="P1016" s="11" t="s">
        <v>3163</v>
      </c>
      <c r="Q1016" s="11" t="s">
        <v>135</v>
      </c>
      <c r="U1016" s="11" t="s">
        <v>148</v>
      </c>
      <c r="V1016" s="11" t="s">
        <v>137</v>
      </c>
      <c r="W1016" s="13">
        <v>46302.314618055556</v>
      </c>
    </row>
    <row r="1017" spans="1:23">
      <c r="A1017">
        <v>276452</v>
      </c>
      <c r="B1017">
        <v>10798</v>
      </c>
      <c r="C1017" s="11" t="s">
        <v>129</v>
      </c>
      <c r="D1017" s="11" t="s">
        <v>130</v>
      </c>
      <c r="E1017" s="11" t="s">
        <v>25</v>
      </c>
      <c r="F1017" s="12">
        <v>46217</v>
      </c>
      <c r="G1017" s="11" t="s">
        <v>131</v>
      </c>
      <c r="H1017">
        <v>1</v>
      </c>
      <c r="I1017" s="11" t="s">
        <v>1320</v>
      </c>
      <c r="M1017" s="11" t="s">
        <v>87</v>
      </c>
      <c r="N1017" s="11" t="s">
        <v>3166</v>
      </c>
      <c r="O1017" s="11" t="s">
        <v>2988</v>
      </c>
      <c r="P1017" s="11" t="s">
        <v>1320</v>
      </c>
      <c r="Q1017" s="11" t="s">
        <v>135</v>
      </c>
      <c r="U1017" s="11" t="s">
        <v>136</v>
      </c>
      <c r="V1017" s="11" t="s">
        <v>137</v>
      </c>
      <c r="W1017" s="13">
        <v>46302.314618055556</v>
      </c>
    </row>
    <row r="1018" spans="1:23">
      <c r="A1018">
        <v>276453</v>
      </c>
      <c r="B1018">
        <v>10799</v>
      </c>
      <c r="C1018" s="11" t="s">
        <v>129</v>
      </c>
      <c r="D1018" s="11" t="s">
        <v>130</v>
      </c>
      <c r="E1018" s="11" t="s">
        <v>25</v>
      </c>
      <c r="F1018" s="12">
        <v>46217</v>
      </c>
      <c r="G1018" s="11" t="s">
        <v>195</v>
      </c>
      <c r="H1018">
        <v>1</v>
      </c>
      <c r="I1018" s="11" t="s">
        <v>2798</v>
      </c>
      <c r="M1018" s="11" t="s">
        <v>68</v>
      </c>
      <c r="N1018" s="11" t="s">
        <v>3167</v>
      </c>
      <c r="O1018" s="11" t="s">
        <v>1429</v>
      </c>
      <c r="P1018" s="11" t="s">
        <v>2798</v>
      </c>
      <c r="Q1018" s="11" t="s">
        <v>135</v>
      </c>
      <c r="U1018" s="11" t="s">
        <v>199</v>
      </c>
      <c r="V1018" s="11" t="s">
        <v>137</v>
      </c>
      <c r="W1018" s="13">
        <v>46302.314618055556</v>
      </c>
    </row>
    <row r="1019" spans="1:23">
      <c r="A1019">
        <v>276454</v>
      </c>
      <c r="B1019">
        <v>10800</v>
      </c>
      <c r="C1019" s="11" t="s">
        <v>129</v>
      </c>
      <c r="D1019" s="11" t="s">
        <v>130</v>
      </c>
      <c r="E1019" s="11" t="s">
        <v>25</v>
      </c>
      <c r="F1019" s="12">
        <v>46217</v>
      </c>
      <c r="G1019" s="11" t="s">
        <v>174</v>
      </c>
      <c r="H1019">
        <v>1</v>
      </c>
      <c r="I1019" s="11" t="s">
        <v>3168</v>
      </c>
      <c r="M1019" s="11" t="s">
        <v>92</v>
      </c>
      <c r="N1019" s="11" t="s">
        <v>3169</v>
      </c>
      <c r="O1019" s="11" t="s">
        <v>3170</v>
      </c>
      <c r="P1019" s="11" t="s">
        <v>3168</v>
      </c>
      <c r="Q1019" s="11" t="s">
        <v>135</v>
      </c>
      <c r="U1019" s="11" t="s">
        <v>178</v>
      </c>
      <c r="V1019" s="11" t="s">
        <v>137</v>
      </c>
      <c r="W1019" s="13">
        <v>46302.314618055556</v>
      </c>
    </row>
    <row r="1020" spans="1:23">
      <c r="A1020">
        <v>276455</v>
      </c>
      <c r="B1020">
        <v>10801</v>
      </c>
      <c r="C1020" s="11" t="s">
        <v>129</v>
      </c>
      <c r="D1020" s="11" t="s">
        <v>130</v>
      </c>
      <c r="E1020" s="11" t="s">
        <v>25</v>
      </c>
      <c r="F1020" s="12">
        <v>46217</v>
      </c>
      <c r="G1020" s="11" t="s">
        <v>179</v>
      </c>
      <c r="H1020">
        <v>1</v>
      </c>
      <c r="I1020" s="11" t="s">
        <v>3171</v>
      </c>
      <c r="M1020" s="11" t="s">
        <v>83</v>
      </c>
      <c r="N1020" s="11" t="s">
        <v>3172</v>
      </c>
      <c r="O1020" s="11" t="s">
        <v>3173</v>
      </c>
      <c r="P1020" s="11" t="s">
        <v>3171</v>
      </c>
      <c r="Q1020" s="11" t="s">
        <v>135</v>
      </c>
      <c r="U1020" s="11" t="s">
        <v>183</v>
      </c>
      <c r="V1020" s="11" t="s">
        <v>137</v>
      </c>
      <c r="W1020" s="13">
        <v>46302.314618055556</v>
      </c>
    </row>
    <row r="1021" spans="1:23">
      <c r="A1021">
        <v>276456</v>
      </c>
      <c r="B1021">
        <v>10802</v>
      </c>
      <c r="C1021" s="11" t="s">
        <v>129</v>
      </c>
      <c r="D1021" s="11" t="s">
        <v>130</v>
      </c>
      <c r="E1021" s="11" t="s">
        <v>25</v>
      </c>
      <c r="F1021" s="12">
        <v>46217</v>
      </c>
      <c r="G1021" s="11" t="s">
        <v>143</v>
      </c>
      <c r="H1021">
        <v>1</v>
      </c>
      <c r="I1021" s="11" t="s">
        <v>3174</v>
      </c>
      <c r="M1021" s="11" t="s">
        <v>39</v>
      </c>
      <c r="N1021" s="11" t="s">
        <v>3175</v>
      </c>
      <c r="O1021" s="11" t="s">
        <v>3176</v>
      </c>
      <c r="P1021" s="11" t="s">
        <v>3174</v>
      </c>
      <c r="Q1021" s="11" t="s">
        <v>135</v>
      </c>
      <c r="U1021" s="11" t="s">
        <v>148</v>
      </c>
      <c r="V1021" s="11" t="s">
        <v>137</v>
      </c>
      <c r="W1021" s="13">
        <v>46302.314618055556</v>
      </c>
    </row>
    <row r="1022" spans="1:23">
      <c r="A1022">
        <v>276457</v>
      </c>
      <c r="B1022">
        <v>10803</v>
      </c>
      <c r="C1022" s="11" t="s">
        <v>129</v>
      </c>
      <c r="D1022" s="11" t="s">
        <v>130</v>
      </c>
      <c r="E1022" s="11" t="s">
        <v>25</v>
      </c>
      <c r="F1022" s="12">
        <v>46217</v>
      </c>
      <c r="G1022" s="11" t="s">
        <v>164</v>
      </c>
      <c r="H1022">
        <v>1</v>
      </c>
      <c r="I1022" s="11" t="s">
        <v>3177</v>
      </c>
      <c r="M1022" s="11" t="s">
        <v>62</v>
      </c>
      <c r="N1022" s="11" t="s">
        <v>3178</v>
      </c>
      <c r="O1022" s="11" t="s">
        <v>3179</v>
      </c>
      <c r="P1022" s="11" t="s">
        <v>3177</v>
      </c>
      <c r="Q1022" s="11" t="s">
        <v>135</v>
      </c>
      <c r="U1022" s="11" t="s">
        <v>168</v>
      </c>
      <c r="V1022" s="11" t="s">
        <v>137</v>
      </c>
      <c r="W1022" s="13">
        <v>46302.314618055556</v>
      </c>
    </row>
    <row r="1023" spans="1:23">
      <c r="A1023">
        <v>276458</v>
      </c>
      <c r="B1023">
        <v>10804</v>
      </c>
      <c r="C1023" s="11" t="s">
        <v>129</v>
      </c>
      <c r="D1023" s="11" t="s">
        <v>130</v>
      </c>
      <c r="E1023" s="11" t="s">
        <v>25</v>
      </c>
      <c r="F1023" s="12">
        <v>46217</v>
      </c>
      <c r="G1023" s="11" t="s">
        <v>131</v>
      </c>
      <c r="H1023">
        <v>1</v>
      </c>
      <c r="I1023" s="11" t="s">
        <v>3180</v>
      </c>
      <c r="M1023" s="11" t="s">
        <v>87</v>
      </c>
      <c r="N1023" s="11" t="s">
        <v>3181</v>
      </c>
      <c r="O1023" s="11" t="s">
        <v>3182</v>
      </c>
      <c r="P1023" s="11" t="s">
        <v>3180</v>
      </c>
      <c r="Q1023" s="11" t="s">
        <v>135</v>
      </c>
      <c r="U1023" s="11" t="s">
        <v>136</v>
      </c>
      <c r="V1023" s="11" t="s">
        <v>137</v>
      </c>
      <c r="W1023" s="13">
        <v>46302.314618055556</v>
      </c>
    </row>
    <row r="1024" spans="1:23">
      <c r="A1024">
        <v>276459</v>
      </c>
      <c r="B1024">
        <v>10805</v>
      </c>
      <c r="C1024" s="11" t="s">
        <v>129</v>
      </c>
      <c r="D1024" s="11" t="s">
        <v>130</v>
      </c>
      <c r="E1024" s="11" t="s">
        <v>25</v>
      </c>
      <c r="F1024" s="12">
        <v>46217</v>
      </c>
      <c r="G1024" s="11" t="s">
        <v>143</v>
      </c>
      <c r="H1024">
        <v>1</v>
      </c>
      <c r="I1024" s="11" t="s">
        <v>1875</v>
      </c>
      <c r="M1024" s="11" t="s">
        <v>39</v>
      </c>
      <c r="N1024" s="11" t="s">
        <v>3183</v>
      </c>
      <c r="O1024" s="11" t="s">
        <v>3184</v>
      </c>
      <c r="P1024" s="11" t="s">
        <v>1875</v>
      </c>
      <c r="Q1024" s="11" t="s">
        <v>135</v>
      </c>
      <c r="U1024" s="11" t="s">
        <v>148</v>
      </c>
      <c r="V1024" s="11" t="s">
        <v>137</v>
      </c>
      <c r="W1024" s="13">
        <v>46302.314618055556</v>
      </c>
    </row>
    <row r="1025" spans="1:23">
      <c r="A1025">
        <v>276460</v>
      </c>
      <c r="B1025">
        <v>10806</v>
      </c>
      <c r="C1025" s="11" t="s">
        <v>129</v>
      </c>
      <c r="D1025" s="11" t="s">
        <v>130</v>
      </c>
      <c r="E1025" s="11" t="s">
        <v>25</v>
      </c>
      <c r="F1025" s="12">
        <v>46217</v>
      </c>
      <c r="G1025" s="11" t="s">
        <v>164</v>
      </c>
      <c r="H1025">
        <v>1</v>
      </c>
      <c r="I1025" s="11" t="s">
        <v>3185</v>
      </c>
      <c r="M1025" s="11" t="s">
        <v>62</v>
      </c>
      <c r="N1025" s="11" t="s">
        <v>3186</v>
      </c>
      <c r="O1025" s="11" t="s">
        <v>3187</v>
      </c>
      <c r="P1025" s="11" t="s">
        <v>3185</v>
      </c>
      <c r="Q1025" s="11" t="s">
        <v>135</v>
      </c>
      <c r="U1025" s="11" t="s">
        <v>168</v>
      </c>
      <c r="V1025" s="11" t="s">
        <v>137</v>
      </c>
      <c r="W1025" s="13">
        <v>46302.314618055556</v>
      </c>
    </row>
    <row r="1026" spans="1:23">
      <c r="A1026">
        <v>276461</v>
      </c>
      <c r="B1026">
        <v>10807</v>
      </c>
      <c r="C1026" s="11" t="s">
        <v>129</v>
      </c>
      <c r="D1026" s="11" t="s">
        <v>130</v>
      </c>
      <c r="E1026" s="11" t="s">
        <v>25</v>
      </c>
      <c r="F1026" s="12">
        <v>46217</v>
      </c>
      <c r="G1026" s="11" t="s">
        <v>1655</v>
      </c>
      <c r="H1026">
        <v>1</v>
      </c>
      <c r="I1026" s="11" t="s">
        <v>3188</v>
      </c>
      <c r="M1026" s="11" t="s">
        <v>60</v>
      </c>
      <c r="N1026" s="11" t="s">
        <v>3189</v>
      </c>
      <c r="O1026" s="11" t="s">
        <v>3190</v>
      </c>
      <c r="P1026" s="11" t="s">
        <v>3188</v>
      </c>
      <c r="Q1026" s="11" t="s">
        <v>135</v>
      </c>
      <c r="U1026" s="11" t="s">
        <v>1659</v>
      </c>
      <c r="V1026" s="11" t="s">
        <v>137</v>
      </c>
      <c r="W1026" s="13">
        <v>46302.314618055556</v>
      </c>
    </row>
    <row r="1027" spans="1:23">
      <c r="A1027">
        <v>276462</v>
      </c>
      <c r="B1027">
        <v>10808</v>
      </c>
      <c r="C1027" s="11" t="s">
        <v>129</v>
      </c>
      <c r="D1027" s="11" t="s">
        <v>130</v>
      </c>
      <c r="E1027" s="11" t="s">
        <v>25</v>
      </c>
      <c r="F1027" s="12">
        <v>46217</v>
      </c>
      <c r="G1027" s="11" t="s">
        <v>504</v>
      </c>
      <c r="H1027">
        <v>1</v>
      </c>
      <c r="I1027" s="11" t="s">
        <v>3191</v>
      </c>
      <c r="M1027" s="11" t="s">
        <v>53</v>
      </c>
      <c r="N1027" s="11" t="s">
        <v>3192</v>
      </c>
      <c r="O1027" s="11" t="s">
        <v>3193</v>
      </c>
      <c r="P1027" s="11" t="s">
        <v>3191</v>
      </c>
      <c r="Q1027" s="11" t="s">
        <v>135</v>
      </c>
      <c r="U1027" s="11" t="s">
        <v>508</v>
      </c>
      <c r="V1027" s="11" t="s">
        <v>137</v>
      </c>
      <c r="W1027" s="13">
        <v>46302.314618055556</v>
      </c>
    </row>
    <row r="1028" spans="1:23">
      <c r="A1028">
        <v>276463</v>
      </c>
      <c r="B1028">
        <v>10809</v>
      </c>
      <c r="C1028" s="11" t="s">
        <v>129</v>
      </c>
      <c r="D1028" s="11" t="s">
        <v>130</v>
      </c>
      <c r="E1028" s="11" t="s">
        <v>25</v>
      </c>
      <c r="F1028" s="12">
        <v>46217</v>
      </c>
      <c r="G1028" s="11" t="s">
        <v>131</v>
      </c>
      <c r="H1028">
        <v>1</v>
      </c>
      <c r="I1028" s="11" t="s">
        <v>3194</v>
      </c>
      <c r="M1028" s="11" t="s">
        <v>87</v>
      </c>
      <c r="N1028" s="11" t="s">
        <v>3195</v>
      </c>
      <c r="O1028" s="11" t="s">
        <v>3196</v>
      </c>
      <c r="P1028" s="11" t="s">
        <v>3194</v>
      </c>
      <c r="Q1028" s="11" t="s">
        <v>135</v>
      </c>
      <c r="U1028" s="11" t="s">
        <v>136</v>
      </c>
      <c r="V1028" s="11" t="s">
        <v>137</v>
      </c>
      <c r="W1028" s="13">
        <v>46302.314618055556</v>
      </c>
    </row>
    <row r="1029" spans="1:23">
      <c r="A1029">
        <v>276464</v>
      </c>
      <c r="B1029">
        <v>10810</v>
      </c>
      <c r="C1029" s="11" t="s">
        <v>129</v>
      </c>
      <c r="D1029" s="11" t="s">
        <v>130</v>
      </c>
      <c r="E1029" s="11" t="s">
        <v>25</v>
      </c>
      <c r="F1029" s="12">
        <v>46217</v>
      </c>
      <c r="G1029" s="11" t="s">
        <v>504</v>
      </c>
      <c r="H1029">
        <v>1</v>
      </c>
      <c r="I1029" s="11" t="s">
        <v>3197</v>
      </c>
      <c r="M1029" s="11" t="s">
        <v>53</v>
      </c>
      <c r="N1029" s="11" t="s">
        <v>3198</v>
      </c>
      <c r="O1029" s="11" t="s">
        <v>3199</v>
      </c>
      <c r="P1029" s="11" t="s">
        <v>3197</v>
      </c>
      <c r="Q1029" s="11" t="s">
        <v>135</v>
      </c>
      <c r="U1029" s="11" t="s">
        <v>508</v>
      </c>
      <c r="V1029" s="11" t="s">
        <v>137</v>
      </c>
      <c r="W1029" s="13">
        <v>46302.314618055556</v>
      </c>
    </row>
    <row r="1030" spans="1:23">
      <c r="A1030">
        <v>276465</v>
      </c>
      <c r="B1030">
        <v>10811</v>
      </c>
      <c r="C1030" s="11" t="s">
        <v>129</v>
      </c>
      <c r="D1030" s="11" t="s">
        <v>130</v>
      </c>
      <c r="E1030" s="11" t="s">
        <v>25</v>
      </c>
      <c r="F1030" s="12">
        <v>46217</v>
      </c>
      <c r="G1030" s="11" t="s">
        <v>607</v>
      </c>
      <c r="H1030">
        <v>1</v>
      </c>
      <c r="I1030" s="11" t="s">
        <v>3200</v>
      </c>
      <c r="M1030" s="11" t="s">
        <v>42</v>
      </c>
      <c r="N1030" s="11" t="s">
        <v>3201</v>
      </c>
      <c r="O1030" s="11" t="s">
        <v>3202</v>
      </c>
      <c r="P1030" s="11" t="s">
        <v>3200</v>
      </c>
      <c r="Q1030" s="11" t="s">
        <v>135</v>
      </c>
      <c r="U1030" s="11" t="s">
        <v>611</v>
      </c>
      <c r="V1030" s="11" t="s">
        <v>137</v>
      </c>
      <c r="W1030" s="13">
        <v>46302.314618055556</v>
      </c>
    </row>
    <row r="1031" spans="1:23">
      <c r="A1031">
        <v>276466</v>
      </c>
      <c r="B1031">
        <v>10812</v>
      </c>
      <c r="C1031" s="11" t="s">
        <v>129</v>
      </c>
      <c r="D1031" s="11" t="s">
        <v>130</v>
      </c>
      <c r="E1031" s="11" t="s">
        <v>25</v>
      </c>
      <c r="F1031" s="12">
        <v>46217</v>
      </c>
      <c r="G1031" s="11" t="s">
        <v>174</v>
      </c>
      <c r="H1031">
        <v>1</v>
      </c>
      <c r="I1031" s="11" t="s">
        <v>790</v>
      </c>
      <c r="M1031" s="11" t="s">
        <v>92</v>
      </c>
      <c r="N1031" s="11" t="s">
        <v>3203</v>
      </c>
      <c r="O1031" s="11" t="s">
        <v>3204</v>
      </c>
      <c r="P1031" s="11" t="s">
        <v>790</v>
      </c>
      <c r="Q1031" s="11" t="s">
        <v>135</v>
      </c>
      <c r="U1031" s="11" t="s">
        <v>178</v>
      </c>
      <c r="V1031" s="11" t="s">
        <v>137</v>
      </c>
      <c r="W1031" s="13">
        <v>46302.314618055556</v>
      </c>
    </row>
    <row r="1032" spans="1:23">
      <c r="A1032">
        <v>276467</v>
      </c>
      <c r="B1032">
        <v>10813</v>
      </c>
      <c r="C1032" s="11" t="s">
        <v>129</v>
      </c>
      <c r="D1032" s="11" t="s">
        <v>130</v>
      </c>
      <c r="E1032" s="11" t="s">
        <v>25</v>
      </c>
      <c r="F1032" s="12">
        <v>46217</v>
      </c>
      <c r="G1032" s="11" t="s">
        <v>138</v>
      </c>
      <c r="H1032">
        <v>1</v>
      </c>
      <c r="I1032" s="11" t="s">
        <v>3205</v>
      </c>
      <c r="M1032" s="11" t="s">
        <v>89</v>
      </c>
      <c r="N1032" s="11" t="s">
        <v>3206</v>
      </c>
      <c r="O1032" s="11" t="s">
        <v>3207</v>
      </c>
      <c r="P1032" s="11" t="s">
        <v>3205</v>
      </c>
      <c r="Q1032" s="11" t="s">
        <v>135</v>
      </c>
      <c r="U1032" s="11" t="s">
        <v>142</v>
      </c>
      <c r="V1032" s="11" t="s">
        <v>137</v>
      </c>
      <c r="W1032" s="13">
        <v>46302.314618055556</v>
      </c>
    </row>
    <row r="1033" spans="1:23">
      <c r="A1033">
        <v>276468</v>
      </c>
      <c r="B1033">
        <v>10814</v>
      </c>
      <c r="C1033" s="11" t="s">
        <v>129</v>
      </c>
      <c r="D1033" s="11" t="s">
        <v>130</v>
      </c>
      <c r="E1033" s="11" t="s">
        <v>25</v>
      </c>
      <c r="F1033" s="12">
        <v>46217</v>
      </c>
      <c r="G1033" s="11" t="s">
        <v>217</v>
      </c>
      <c r="H1033">
        <v>1</v>
      </c>
      <c r="I1033" s="11" t="s">
        <v>3208</v>
      </c>
      <c r="M1033" s="11" t="s">
        <v>86</v>
      </c>
      <c r="N1033" s="11" t="s">
        <v>3209</v>
      </c>
      <c r="O1033" s="11" t="s">
        <v>3210</v>
      </c>
      <c r="P1033" s="11" t="s">
        <v>3208</v>
      </c>
      <c r="Q1033" s="11" t="s">
        <v>135</v>
      </c>
      <c r="U1033" s="11" t="s">
        <v>221</v>
      </c>
      <c r="V1033" s="11" t="s">
        <v>137</v>
      </c>
      <c r="W1033" s="13">
        <v>46302.314618055556</v>
      </c>
    </row>
    <row r="1034" spans="1:23">
      <c r="A1034">
        <v>276469</v>
      </c>
      <c r="B1034">
        <v>10788</v>
      </c>
      <c r="C1034" s="11" t="s">
        <v>129</v>
      </c>
      <c r="D1034" s="11" t="s">
        <v>130</v>
      </c>
      <c r="E1034" s="11" t="s">
        <v>25</v>
      </c>
      <c r="F1034" s="12">
        <v>46217</v>
      </c>
      <c r="G1034" s="11" t="s">
        <v>222</v>
      </c>
      <c r="H1034">
        <v>1</v>
      </c>
      <c r="I1034" s="11" t="s">
        <v>863</v>
      </c>
      <c r="M1034" s="11" t="s">
        <v>90</v>
      </c>
      <c r="N1034" s="11" t="s">
        <v>797</v>
      </c>
      <c r="O1034" s="11" t="s">
        <v>1230</v>
      </c>
      <c r="P1034" s="11" t="s">
        <v>863</v>
      </c>
      <c r="Q1034" s="11" t="s">
        <v>135</v>
      </c>
      <c r="R1034">
        <v>10787</v>
      </c>
      <c r="U1034" s="11" t="s">
        <v>225</v>
      </c>
      <c r="V1034" s="11" t="s">
        <v>137</v>
      </c>
      <c r="W1034" s="13">
        <v>46302.314618055556</v>
      </c>
    </row>
    <row r="1035" spans="1:23">
      <c r="A1035">
        <v>276728</v>
      </c>
      <c r="B1035">
        <v>10265</v>
      </c>
      <c r="C1035" s="11" t="s">
        <v>129</v>
      </c>
      <c r="D1035" s="11" t="s">
        <v>130</v>
      </c>
      <c r="E1035" s="11" t="s">
        <v>25</v>
      </c>
      <c r="F1035" s="12">
        <v>46218</v>
      </c>
      <c r="G1035" s="11" t="s">
        <v>316</v>
      </c>
      <c r="H1035">
        <v>1</v>
      </c>
      <c r="I1035" s="11" t="s">
        <v>2730</v>
      </c>
      <c r="M1035" s="11" t="s">
        <v>87</v>
      </c>
      <c r="N1035" s="11" t="s">
        <v>3211</v>
      </c>
      <c r="O1035" s="11" t="s">
        <v>2546</v>
      </c>
      <c r="P1035" s="11" t="s">
        <v>2730</v>
      </c>
      <c r="Q1035" s="11" t="s">
        <v>135</v>
      </c>
      <c r="U1035" s="11" t="s">
        <v>320</v>
      </c>
      <c r="V1035" s="11" t="s">
        <v>137</v>
      </c>
      <c r="W1035" s="13">
        <v>46302.314618055556</v>
      </c>
    </row>
    <row r="1036" spans="1:23">
      <c r="A1036">
        <v>276729</v>
      </c>
      <c r="B1036">
        <v>10266</v>
      </c>
      <c r="C1036" s="11" t="s">
        <v>129</v>
      </c>
      <c r="D1036" s="11" t="s">
        <v>130</v>
      </c>
      <c r="E1036" s="11" t="s">
        <v>25</v>
      </c>
      <c r="F1036" s="12">
        <v>46218</v>
      </c>
      <c r="G1036" s="11" t="s">
        <v>143</v>
      </c>
      <c r="H1036">
        <v>1</v>
      </c>
      <c r="I1036" s="11" t="s">
        <v>2124</v>
      </c>
      <c r="M1036" s="11" t="s">
        <v>39</v>
      </c>
      <c r="N1036" s="11" t="s">
        <v>3212</v>
      </c>
      <c r="O1036" s="11" t="s">
        <v>3213</v>
      </c>
      <c r="P1036" s="11" t="s">
        <v>2124</v>
      </c>
      <c r="Q1036" s="11" t="s">
        <v>3214</v>
      </c>
      <c r="U1036" s="11" t="s">
        <v>148</v>
      </c>
      <c r="V1036" s="11" t="s">
        <v>137</v>
      </c>
      <c r="W1036" s="13">
        <v>46302.314618055556</v>
      </c>
    </row>
    <row r="1037" spans="1:23">
      <c r="A1037">
        <v>276730</v>
      </c>
      <c r="B1037">
        <v>10268</v>
      </c>
      <c r="C1037" s="11" t="s">
        <v>129</v>
      </c>
      <c r="D1037" s="11" t="s">
        <v>130</v>
      </c>
      <c r="E1037" s="11" t="s">
        <v>25</v>
      </c>
      <c r="F1037" s="12">
        <v>46218</v>
      </c>
      <c r="G1037" s="11" t="s">
        <v>1823</v>
      </c>
      <c r="H1037">
        <v>1</v>
      </c>
      <c r="I1037" s="11" t="s">
        <v>2034</v>
      </c>
      <c r="M1037" s="11" t="s">
        <v>61</v>
      </c>
      <c r="N1037" s="11" t="s">
        <v>3215</v>
      </c>
      <c r="O1037" s="11" t="s">
        <v>3216</v>
      </c>
      <c r="P1037" s="11" t="s">
        <v>2034</v>
      </c>
      <c r="Q1037" s="11" t="s">
        <v>135</v>
      </c>
      <c r="U1037" s="11" t="s">
        <v>1827</v>
      </c>
      <c r="V1037" s="11" t="s">
        <v>137</v>
      </c>
      <c r="W1037" s="13">
        <v>46302.314618055556</v>
      </c>
    </row>
    <row r="1038" spans="1:23">
      <c r="A1038">
        <v>276731</v>
      </c>
      <c r="B1038">
        <v>10269</v>
      </c>
      <c r="C1038" s="11" t="s">
        <v>129</v>
      </c>
      <c r="D1038" s="11" t="s">
        <v>130</v>
      </c>
      <c r="E1038" s="11" t="s">
        <v>25</v>
      </c>
      <c r="F1038" s="12">
        <v>46218</v>
      </c>
      <c r="G1038" s="11" t="s">
        <v>512</v>
      </c>
      <c r="H1038">
        <v>1</v>
      </c>
      <c r="I1038" s="11" t="s">
        <v>564</v>
      </c>
      <c r="M1038" s="11" t="s">
        <v>44</v>
      </c>
      <c r="N1038" s="11" t="s">
        <v>3217</v>
      </c>
      <c r="O1038" s="11" t="s">
        <v>3218</v>
      </c>
      <c r="P1038" s="11" t="s">
        <v>564</v>
      </c>
      <c r="Q1038" s="11" t="s">
        <v>135</v>
      </c>
      <c r="U1038" s="11" t="s">
        <v>516</v>
      </c>
      <c r="V1038" s="11" t="s">
        <v>137</v>
      </c>
      <c r="W1038" s="13">
        <v>46302.314618055556</v>
      </c>
    </row>
    <row r="1039" spans="1:23">
      <c r="A1039">
        <v>276732</v>
      </c>
      <c r="B1039">
        <v>10270</v>
      </c>
      <c r="C1039" s="11" t="s">
        <v>129</v>
      </c>
      <c r="D1039" s="11" t="s">
        <v>130</v>
      </c>
      <c r="E1039" s="11" t="s">
        <v>25</v>
      </c>
      <c r="F1039" s="12">
        <v>46218</v>
      </c>
      <c r="G1039" s="11" t="s">
        <v>143</v>
      </c>
      <c r="H1039">
        <v>1</v>
      </c>
      <c r="I1039" s="11" t="s">
        <v>3219</v>
      </c>
      <c r="M1039" s="11" t="s">
        <v>39</v>
      </c>
      <c r="N1039" s="11" t="s">
        <v>3220</v>
      </c>
      <c r="O1039" s="11" t="s">
        <v>3221</v>
      </c>
      <c r="P1039" s="11" t="s">
        <v>3219</v>
      </c>
      <c r="Q1039" s="11" t="s">
        <v>135</v>
      </c>
      <c r="U1039" s="11" t="s">
        <v>148</v>
      </c>
      <c r="V1039" s="11" t="s">
        <v>137</v>
      </c>
      <c r="W1039" s="13">
        <v>46302.314618055556</v>
      </c>
    </row>
    <row r="1040" spans="1:23">
      <c r="A1040">
        <v>276733</v>
      </c>
      <c r="B1040">
        <v>10271</v>
      </c>
      <c r="C1040" s="11" t="s">
        <v>129</v>
      </c>
      <c r="D1040" s="11" t="s">
        <v>130</v>
      </c>
      <c r="E1040" s="11" t="s">
        <v>25</v>
      </c>
      <c r="F1040" s="12">
        <v>46218</v>
      </c>
      <c r="G1040" s="11" t="s">
        <v>1663</v>
      </c>
      <c r="H1040">
        <v>1</v>
      </c>
      <c r="I1040" s="11" t="s">
        <v>3222</v>
      </c>
      <c r="M1040" s="11" t="s">
        <v>47</v>
      </c>
      <c r="N1040" s="11" t="s">
        <v>3223</v>
      </c>
      <c r="O1040" s="11" t="s">
        <v>3224</v>
      </c>
      <c r="P1040" s="11" t="s">
        <v>3222</v>
      </c>
      <c r="Q1040" s="11" t="s">
        <v>135</v>
      </c>
      <c r="U1040" s="11" t="s">
        <v>1666</v>
      </c>
      <c r="V1040" s="11" t="s">
        <v>137</v>
      </c>
      <c r="W1040" s="13">
        <v>46302.314618055556</v>
      </c>
    </row>
    <row r="1041" spans="1:23">
      <c r="A1041">
        <v>276734</v>
      </c>
      <c r="B1041">
        <v>10272</v>
      </c>
      <c r="C1041" s="11" t="s">
        <v>129</v>
      </c>
      <c r="D1041" s="11" t="s">
        <v>130</v>
      </c>
      <c r="E1041" s="11" t="s">
        <v>25</v>
      </c>
      <c r="F1041" s="12">
        <v>46218</v>
      </c>
      <c r="G1041" s="11" t="s">
        <v>504</v>
      </c>
      <c r="H1041">
        <v>2</v>
      </c>
      <c r="I1041" s="11" t="s">
        <v>3225</v>
      </c>
      <c r="M1041" s="11" t="s">
        <v>53</v>
      </c>
      <c r="N1041" s="11" t="s">
        <v>3226</v>
      </c>
      <c r="O1041" s="11" t="s">
        <v>3227</v>
      </c>
      <c r="P1041" s="11" t="s">
        <v>3228</v>
      </c>
      <c r="Q1041" s="11" t="s">
        <v>135</v>
      </c>
      <c r="U1041" s="11" t="s">
        <v>508</v>
      </c>
      <c r="V1041" s="11" t="s">
        <v>137</v>
      </c>
      <c r="W1041" s="13">
        <v>46302.314618055556</v>
      </c>
    </row>
    <row r="1042" spans="1:23">
      <c r="A1042">
        <v>276735</v>
      </c>
      <c r="B1042">
        <v>10273</v>
      </c>
      <c r="C1042" s="11" t="s">
        <v>129</v>
      </c>
      <c r="D1042" s="11" t="s">
        <v>130</v>
      </c>
      <c r="E1042" s="11" t="s">
        <v>25</v>
      </c>
      <c r="F1042" s="12">
        <v>46218</v>
      </c>
      <c r="G1042" s="11" t="s">
        <v>131</v>
      </c>
      <c r="H1042">
        <v>1</v>
      </c>
      <c r="I1042" s="11" t="s">
        <v>1541</v>
      </c>
      <c r="M1042" s="11" t="s">
        <v>87</v>
      </c>
      <c r="N1042" s="11" t="s">
        <v>3229</v>
      </c>
      <c r="O1042" s="11" t="s">
        <v>3230</v>
      </c>
      <c r="P1042" s="11" t="s">
        <v>1541</v>
      </c>
      <c r="Q1042" s="11" t="s">
        <v>135</v>
      </c>
      <c r="U1042" s="11" t="s">
        <v>136</v>
      </c>
      <c r="V1042" s="11" t="s">
        <v>137</v>
      </c>
      <c r="W1042" s="13">
        <v>46302.314618055556</v>
      </c>
    </row>
    <row r="1043" spans="1:23">
      <c r="A1043">
        <v>276736</v>
      </c>
      <c r="B1043">
        <v>10274</v>
      </c>
      <c r="C1043" s="11" t="s">
        <v>129</v>
      </c>
      <c r="D1043" s="11" t="s">
        <v>130</v>
      </c>
      <c r="E1043" s="11" t="s">
        <v>25</v>
      </c>
      <c r="F1043" s="12">
        <v>46218</v>
      </c>
      <c r="G1043" s="11" t="s">
        <v>512</v>
      </c>
      <c r="H1043">
        <v>1</v>
      </c>
      <c r="I1043" s="11" t="s">
        <v>3231</v>
      </c>
      <c r="M1043" s="11" t="s">
        <v>44</v>
      </c>
      <c r="N1043" s="11" t="s">
        <v>992</v>
      </c>
      <c r="O1043" s="11" t="s">
        <v>3232</v>
      </c>
      <c r="P1043" s="11" t="s">
        <v>3231</v>
      </c>
      <c r="Q1043" s="11" t="s">
        <v>135</v>
      </c>
      <c r="U1043" s="11" t="s">
        <v>516</v>
      </c>
      <c r="V1043" s="11" t="s">
        <v>137</v>
      </c>
      <c r="W1043" s="13">
        <v>46302.314618055556</v>
      </c>
    </row>
    <row r="1044" spans="1:23">
      <c r="A1044">
        <v>276737</v>
      </c>
      <c r="B1044">
        <v>10275</v>
      </c>
      <c r="C1044" s="11" t="s">
        <v>129</v>
      </c>
      <c r="D1044" s="11" t="s">
        <v>130</v>
      </c>
      <c r="E1044" s="11" t="s">
        <v>25</v>
      </c>
      <c r="F1044" s="12">
        <v>46218</v>
      </c>
      <c r="G1044" s="11" t="s">
        <v>1361</v>
      </c>
      <c r="H1044">
        <v>1</v>
      </c>
      <c r="I1044" s="11" t="s">
        <v>3233</v>
      </c>
      <c r="M1044" s="11" t="s">
        <v>58</v>
      </c>
      <c r="N1044" s="11" t="s">
        <v>3234</v>
      </c>
      <c r="O1044" s="11" t="s">
        <v>3235</v>
      </c>
      <c r="P1044" s="11" t="s">
        <v>3233</v>
      </c>
      <c r="Q1044" s="11" t="s">
        <v>135</v>
      </c>
      <c r="U1044" s="11" t="s">
        <v>1365</v>
      </c>
      <c r="V1044" s="11" t="s">
        <v>137</v>
      </c>
      <c r="W1044" s="13">
        <v>46302.314618055556</v>
      </c>
    </row>
    <row r="1045" spans="1:23">
      <c r="A1045">
        <v>276738</v>
      </c>
      <c r="B1045">
        <v>10276</v>
      </c>
      <c r="C1045" s="11" t="s">
        <v>129</v>
      </c>
      <c r="D1045" s="11" t="s">
        <v>130</v>
      </c>
      <c r="E1045" s="11" t="s">
        <v>25</v>
      </c>
      <c r="F1045" s="12">
        <v>46218</v>
      </c>
      <c r="G1045" s="11" t="s">
        <v>174</v>
      </c>
      <c r="H1045">
        <v>1</v>
      </c>
      <c r="I1045" s="11" t="s">
        <v>3236</v>
      </c>
      <c r="M1045" s="11" t="s">
        <v>92</v>
      </c>
      <c r="N1045" s="11" t="s">
        <v>3237</v>
      </c>
      <c r="O1045" s="11" t="s">
        <v>3238</v>
      </c>
      <c r="P1045" s="11" t="s">
        <v>3236</v>
      </c>
      <c r="Q1045" s="11" t="s">
        <v>135</v>
      </c>
      <c r="U1045" s="11" t="s">
        <v>178</v>
      </c>
      <c r="V1045" s="11" t="s">
        <v>137</v>
      </c>
      <c r="W1045" s="13">
        <v>46302.314618055556</v>
      </c>
    </row>
    <row r="1046" spans="1:23">
      <c r="A1046">
        <v>276739</v>
      </c>
      <c r="B1046">
        <v>10277</v>
      </c>
      <c r="C1046" s="11" t="s">
        <v>129</v>
      </c>
      <c r="D1046" s="11" t="s">
        <v>130</v>
      </c>
      <c r="E1046" s="11" t="s">
        <v>25</v>
      </c>
      <c r="F1046" s="12">
        <v>46218</v>
      </c>
      <c r="G1046" s="11" t="s">
        <v>528</v>
      </c>
      <c r="H1046">
        <v>1</v>
      </c>
      <c r="I1046" s="11" t="s">
        <v>3239</v>
      </c>
      <c r="M1046" s="11" t="s">
        <v>82</v>
      </c>
      <c r="N1046" s="11" t="s">
        <v>2002</v>
      </c>
      <c r="O1046" s="11" t="s">
        <v>3240</v>
      </c>
      <c r="P1046" s="11" t="s">
        <v>3239</v>
      </c>
      <c r="Q1046" s="11" t="s">
        <v>135</v>
      </c>
      <c r="U1046" s="11" t="s">
        <v>532</v>
      </c>
      <c r="V1046" s="11" t="s">
        <v>137</v>
      </c>
      <c r="W1046" s="13">
        <v>46302.314618055556</v>
      </c>
    </row>
    <row r="1047" spans="1:23">
      <c r="A1047">
        <v>276740</v>
      </c>
      <c r="B1047">
        <v>10278</v>
      </c>
      <c r="C1047" s="11" t="s">
        <v>129</v>
      </c>
      <c r="D1047" s="11" t="s">
        <v>130</v>
      </c>
      <c r="E1047" s="11" t="s">
        <v>25</v>
      </c>
      <c r="F1047" s="12">
        <v>46218</v>
      </c>
      <c r="G1047" s="11" t="s">
        <v>179</v>
      </c>
      <c r="H1047">
        <v>1</v>
      </c>
      <c r="I1047" s="11" t="s">
        <v>3241</v>
      </c>
      <c r="M1047" s="11" t="s">
        <v>83</v>
      </c>
      <c r="N1047" s="11" t="s">
        <v>3242</v>
      </c>
      <c r="O1047" s="11" t="s">
        <v>3243</v>
      </c>
      <c r="P1047" s="11" t="s">
        <v>3241</v>
      </c>
      <c r="Q1047" s="11" t="s">
        <v>135</v>
      </c>
      <c r="U1047" s="11" t="s">
        <v>183</v>
      </c>
      <c r="V1047" s="11" t="s">
        <v>137</v>
      </c>
      <c r="W1047" s="13">
        <v>46302.314618055556</v>
      </c>
    </row>
    <row r="1048" spans="1:23">
      <c r="A1048">
        <v>276741</v>
      </c>
      <c r="B1048">
        <v>10279</v>
      </c>
      <c r="C1048" s="11" t="s">
        <v>129</v>
      </c>
      <c r="D1048" s="11" t="s">
        <v>130</v>
      </c>
      <c r="E1048" s="11" t="s">
        <v>25</v>
      </c>
      <c r="F1048" s="12">
        <v>46218</v>
      </c>
      <c r="G1048" s="11" t="s">
        <v>143</v>
      </c>
      <c r="H1048">
        <v>1</v>
      </c>
      <c r="I1048" s="11" t="s">
        <v>3244</v>
      </c>
      <c r="M1048" s="11" t="s">
        <v>39</v>
      </c>
      <c r="N1048" s="11" t="s">
        <v>3245</v>
      </c>
      <c r="O1048" s="11" t="s">
        <v>3246</v>
      </c>
      <c r="P1048" s="11" t="s">
        <v>3244</v>
      </c>
      <c r="Q1048" s="11" t="s">
        <v>135</v>
      </c>
      <c r="U1048" s="11" t="s">
        <v>148</v>
      </c>
      <c r="V1048" s="11" t="s">
        <v>137</v>
      </c>
      <c r="W1048" s="13">
        <v>46302.314618055556</v>
      </c>
    </row>
    <row r="1049" spans="1:23">
      <c r="A1049">
        <v>276742</v>
      </c>
      <c r="B1049">
        <v>10280</v>
      </c>
      <c r="C1049" s="11" t="s">
        <v>129</v>
      </c>
      <c r="D1049" s="11" t="s">
        <v>130</v>
      </c>
      <c r="E1049" s="11" t="s">
        <v>25</v>
      </c>
      <c r="F1049" s="12">
        <v>46218</v>
      </c>
      <c r="G1049" s="11" t="s">
        <v>195</v>
      </c>
      <c r="H1049">
        <v>1</v>
      </c>
      <c r="I1049" s="11" t="s">
        <v>3247</v>
      </c>
      <c r="M1049" s="11" t="s">
        <v>68</v>
      </c>
      <c r="N1049" s="11" t="s">
        <v>3248</v>
      </c>
      <c r="O1049" s="11" t="s">
        <v>3249</v>
      </c>
      <c r="P1049" s="11" t="s">
        <v>3247</v>
      </c>
      <c r="Q1049" s="11" t="s">
        <v>135</v>
      </c>
      <c r="U1049" s="11" t="s">
        <v>199</v>
      </c>
      <c r="V1049" s="11" t="s">
        <v>137</v>
      </c>
      <c r="W1049" s="13">
        <v>46302.314618055556</v>
      </c>
    </row>
    <row r="1050" spans="1:23">
      <c r="A1050">
        <v>276743</v>
      </c>
      <c r="B1050">
        <v>10281</v>
      </c>
      <c r="C1050" s="11" t="s">
        <v>129</v>
      </c>
      <c r="D1050" s="11" t="s">
        <v>130</v>
      </c>
      <c r="E1050" s="11" t="s">
        <v>25</v>
      </c>
      <c r="F1050" s="12">
        <v>46218</v>
      </c>
      <c r="G1050" s="11" t="s">
        <v>143</v>
      </c>
      <c r="H1050">
        <v>1</v>
      </c>
      <c r="I1050" s="11" t="s">
        <v>1656</v>
      </c>
      <c r="M1050" s="11" t="s">
        <v>39</v>
      </c>
      <c r="N1050" s="11" t="s">
        <v>3250</v>
      </c>
      <c r="O1050" s="11" t="s">
        <v>3251</v>
      </c>
      <c r="P1050" s="11" t="s">
        <v>1656</v>
      </c>
      <c r="Q1050" s="11" t="s">
        <v>135</v>
      </c>
      <c r="U1050" s="11" t="s">
        <v>148</v>
      </c>
      <c r="V1050" s="11" t="s">
        <v>137</v>
      </c>
      <c r="W1050" s="13">
        <v>46302.314618055556</v>
      </c>
    </row>
    <row r="1051" spans="1:23">
      <c r="A1051">
        <v>276744</v>
      </c>
      <c r="B1051">
        <v>10282</v>
      </c>
      <c r="C1051" s="11" t="s">
        <v>129</v>
      </c>
      <c r="D1051" s="11" t="s">
        <v>130</v>
      </c>
      <c r="E1051" s="11" t="s">
        <v>25</v>
      </c>
      <c r="F1051" s="12">
        <v>46218</v>
      </c>
      <c r="G1051" s="11" t="s">
        <v>164</v>
      </c>
      <c r="H1051">
        <v>1</v>
      </c>
      <c r="I1051" s="11" t="s">
        <v>3252</v>
      </c>
      <c r="M1051" s="11" t="s">
        <v>62</v>
      </c>
      <c r="N1051" s="11" t="s">
        <v>2829</v>
      </c>
      <c r="O1051" s="11" t="s">
        <v>3253</v>
      </c>
      <c r="P1051" s="11" t="s">
        <v>3252</v>
      </c>
      <c r="Q1051" s="11" t="s">
        <v>135</v>
      </c>
      <c r="U1051" s="11" t="s">
        <v>168</v>
      </c>
      <c r="V1051" s="11" t="s">
        <v>137</v>
      </c>
      <c r="W1051" s="13">
        <v>46302.314618055556</v>
      </c>
    </row>
    <row r="1052" spans="1:23">
      <c r="A1052">
        <v>276745</v>
      </c>
      <c r="B1052">
        <v>10283</v>
      </c>
      <c r="C1052" s="11" t="s">
        <v>129</v>
      </c>
      <c r="D1052" s="11" t="s">
        <v>130</v>
      </c>
      <c r="E1052" s="11" t="s">
        <v>25</v>
      </c>
      <c r="F1052" s="12">
        <v>46218</v>
      </c>
      <c r="G1052" s="11" t="s">
        <v>143</v>
      </c>
      <c r="H1052">
        <v>1</v>
      </c>
      <c r="I1052" s="11" t="s">
        <v>2091</v>
      </c>
      <c r="M1052" s="11" t="s">
        <v>39</v>
      </c>
      <c r="N1052" s="11" t="s">
        <v>3254</v>
      </c>
      <c r="O1052" s="11" t="s">
        <v>3255</v>
      </c>
      <c r="P1052" s="11" t="s">
        <v>2091</v>
      </c>
      <c r="Q1052" s="11" t="s">
        <v>135</v>
      </c>
      <c r="U1052" s="11" t="s">
        <v>148</v>
      </c>
      <c r="V1052" s="11" t="s">
        <v>137</v>
      </c>
      <c r="W1052" s="13">
        <v>46302.314618055556</v>
      </c>
    </row>
    <row r="1053" spans="1:23">
      <c r="A1053">
        <v>276746</v>
      </c>
      <c r="B1053">
        <v>10284</v>
      </c>
      <c r="C1053" s="11" t="s">
        <v>129</v>
      </c>
      <c r="D1053" s="11" t="s">
        <v>130</v>
      </c>
      <c r="E1053" s="11" t="s">
        <v>25</v>
      </c>
      <c r="F1053" s="12">
        <v>46218</v>
      </c>
      <c r="G1053" s="11" t="s">
        <v>195</v>
      </c>
      <c r="H1053">
        <v>1</v>
      </c>
      <c r="I1053" s="11" t="s">
        <v>3256</v>
      </c>
      <c r="M1053" s="11" t="s">
        <v>68</v>
      </c>
      <c r="N1053" s="11" t="s">
        <v>3257</v>
      </c>
      <c r="O1053" s="11" t="s">
        <v>3258</v>
      </c>
      <c r="P1053" s="11" t="s">
        <v>3256</v>
      </c>
      <c r="Q1053" s="11" t="s">
        <v>135</v>
      </c>
      <c r="U1053" s="11" t="s">
        <v>199</v>
      </c>
      <c r="V1053" s="11" t="s">
        <v>137</v>
      </c>
      <c r="W1053" s="13">
        <v>46302.314618055556</v>
      </c>
    </row>
    <row r="1054" spans="1:23">
      <c r="A1054">
        <v>276747</v>
      </c>
      <c r="B1054">
        <v>10285</v>
      </c>
      <c r="C1054" s="11" t="s">
        <v>129</v>
      </c>
      <c r="D1054" s="11" t="s">
        <v>130</v>
      </c>
      <c r="E1054" s="11" t="s">
        <v>25</v>
      </c>
      <c r="F1054" s="12">
        <v>46218</v>
      </c>
      <c r="G1054" s="11" t="s">
        <v>131</v>
      </c>
      <c r="H1054">
        <v>1</v>
      </c>
      <c r="I1054" s="11" t="s">
        <v>3259</v>
      </c>
      <c r="M1054" s="11" t="s">
        <v>87</v>
      </c>
      <c r="N1054" s="11" t="s">
        <v>3260</v>
      </c>
      <c r="O1054" s="11" t="s">
        <v>3261</v>
      </c>
      <c r="P1054" s="11" t="s">
        <v>3259</v>
      </c>
      <c r="Q1054" s="11" t="s">
        <v>135</v>
      </c>
      <c r="U1054" s="11" t="s">
        <v>136</v>
      </c>
      <c r="V1054" s="11" t="s">
        <v>137</v>
      </c>
      <c r="W1054" s="13">
        <v>46302.314618055556</v>
      </c>
    </row>
    <row r="1055" spans="1:23">
      <c r="A1055">
        <v>276748</v>
      </c>
      <c r="B1055">
        <v>10286</v>
      </c>
      <c r="C1055" s="11" t="s">
        <v>129</v>
      </c>
      <c r="D1055" s="11" t="s">
        <v>130</v>
      </c>
      <c r="E1055" s="11" t="s">
        <v>25</v>
      </c>
      <c r="F1055" s="12">
        <v>46218</v>
      </c>
      <c r="G1055" s="11" t="s">
        <v>143</v>
      </c>
      <c r="H1055">
        <v>1</v>
      </c>
      <c r="I1055" s="11" t="s">
        <v>3262</v>
      </c>
      <c r="M1055" s="11" t="s">
        <v>39</v>
      </c>
      <c r="N1055" s="11" t="s">
        <v>3263</v>
      </c>
      <c r="O1055" s="11" t="s">
        <v>3264</v>
      </c>
      <c r="P1055" s="11" t="s">
        <v>3262</v>
      </c>
      <c r="Q1055" s="11" t="s">
        <v>135</v>
      </c>
      <c r="U1055" s="11" t="s">
        <v>148</v>
      </c>
      <c r="V1055" s="11" t="s">
        <v>137</v>
      </c>
      <c r="W1055" s="13">
        <v>46302.314618055556</v>
      </c>
    </row>
    <row r="1056" spans="1:23">
      <c r="A1056">
        <v>276749</v>
      </c>
      <c r="B1056">
        <v>10287</v>
      </c>
      <c r="C1056" s="11" t="s">
        <v>129</v>
      </c>
      <c r="D1056" s="11" t="s">
        <v>130</v>
      </c>
      <c r="E1056" s="11" t="s">
        <v>25</v>
      </c>
      <c r="F1056" s="12">
        <v>46218</v>
      </c>
      <c r="G1056" s="11" t="s">
        <v>131</v>
      </c>
      <c r="H1056">
        <v>1</v>
      </c>
      <c r="I1056" s="11" t="s">
        <v>3265</v>
      </c>
      <c r="M1056" s="11" t="s">
        <v>87</v>
      </c>
      <c r="N1056" s="11" t="s">
        <v>3266</v>
      </c>
      <c r="O1056" s="11" t="s">
        <v>3267</v>
      </c>
      <c r="P1056" s="11" t="s">
        <v>3265</v>
      </c>
      <c r="Q1056" s="11" t="s">
        <v>135</v>
      </c>
      <c r="U1056" s="11" t="s">
        <v>136</v>
      </c>
      <c r="V1056" s="11" t="s">
        <v>137</v>
      </c>
      <c r="W1056" s="13">
        <v>46302.314618055556</v>
      </c>
    </row>
    <row r="1057" spans="1:23">
      <c r="A1057">
        <v>276750</v>
      </c>
      <c r="B1057">
        <v>10288</v>
      </c>
      <c r="C1057" s="11" t="s">
        <v>129</v>
      </c>
      <c r="D1057" s="11" t="s">
        <v>130</v>
      </c>
      <c r="E1057" s="11" t="s">
        <v>25</v>
      </c>
      <c r="F1057" s="12">
        <v>46218</v>
      </c>
      <c r="G1057" s="11" t="s">
        <v>164</v>
      </c>
      <c r="H1057">
        <v>1</v>
      </c>
      <c r="I1057" s="11" t="s">
        <v>3268</v>
      </c>
      <c r="M1057" s="11" t="s">
        <v>62</v>
      </c>
      <c r="N1057" s="11" t="s">
        <v>3269</v>
      </c>
      <c r="O1057" s="11" t="s">
        <v>3270</v>
      </c>
      <c r="P1057" s="11" t="s">
        <v>3268</v>
      </c>
      <c r="Q1057" s="11" t="s">
        <v>135</v>
      </c>
      <c r="U1057" s="11" t="s">
        <v>168</v>
      </c>
      <c r="V1057" s="11" t="s">
        <v>137</v>
      </c>
      <c r="W1057" s="13">
        <v>46302.314618055556</v>
      </c>
    </row>
    <row r="1058" spans="1:23">
      <c r="A1058">
        <v>276751</v>
      </c>
      <c r="B1058">
        <v>10289</v>
      </c>
      <c r="C1058" s="11" t="s">
        <v>129</v>
      </c>
      <c r="D1058" s="11" t="s">
        <v>130</v>
      </c>
      <c r="E1058" s="11" t="s">
        <v>25</v>
      </c>
      <c r="F1058" s="12">
        <v>46218</v>
      </c>
      <c r="G1058" s="11" t="s">
        <v>212</v>
      </c>
      <c r="H1058">
        <v>1</v>
      </c>
      <c r="I1058" s="11" t="s">
        <v>3271</v>
      </c>
      <c r="M1058" s="11" t="s">
        <v>40</v>
      </c>
      <c r="N1058" s="11" t="s">
        <v>3272</v>
      </c>
      <c r="O1058" s="11" t="s">
        <v>3273</v>
      </c>
      <c r="P1058" s="11" t="s">
        <v>3271</v>
      </c>
      <c r="Q1058" s="11" t="s">
        <v>135</v>
      </c>
      <c r="U1058" s="11" t="s">
        <v>216</v>
      </c>
      <c r="V1058" s="11" t="s">
        <v>137</v>
      </c>
      <c r="W1058" s="13">
        <v>46302.314618055556</v>
      </c>
    </row>
    <row r="1059" spans="1:23">
      <c r="A1059">
        <v>276752</v>
      </c>
      <c r="B1059">
        <v>10290</v>
      </c>
      <c r="C1059" s="11" t="s">
        <v>129</v>
      </c>
      <c r="D1059" s="11" t="s">
        <v>130</v>
      </c>
      <c r="E1059" s="11" t="s">
        <v>25</v>
      </c>
      <c r="F1059" s="12">
        <v>46218</v>
      </c>
      <c r="G1059" s="11" t="s">
        <v>131</v>
      </c>
      <c r="H1059">
        <v>1</v>
      </c>
      <c r="I1059" s="11" t="s">
        <v>3274</v>
      </c>
      <c r="M1059" s="11" t="s">
        <v>87</v>
      </c>
      <c r="N1059" s="11" t="s">
        <v>3275</v>
      </c>
      <c r="O1059" s="11" t="s">
        <v>3276</v>
      </c>
      <c r="P1059" s="11" t="s">
        <v>3274</v>
      </c>
      <c r="Q1059" s="11" t="s">
        <v>135</v>
      </c>
      <c r="U1059" s="11" t="s">
        <v>136</v>
      </c>
      <c r="V1059" s="11" t="s">
        <v>137</v>
      </c>
      <c r="W1059" s="13">
        <v>46302.314618055556</v>
      </c>
    </row>
    <row r="1060" spans="1:23">
      <c r="A1060">
        <v>276753</v>
      </c>
      <c r="B1060">
        <v>10291</v>
      </c>
      <c r="C1060" s="11" t="s">
        <v>129</v>
      </c>
      <c r="D1060" s="11" t="s">
        <v>130</v>
      </c>
      <c r="E1060" s="11" t="s">
        <v>25</v>
      </c>
      <c r="F1060" s="12">
        <v>46218</v>
      </c>
      <c r="G1060" s="11" t="s">
        <v>217</v>
      </c>
      <c r="H1060">
        <v>1</v>
      </c>
      <c r="I1060" s="11" t="s">
        <v>3277</v>
      </c>
      <c r="M1060" s="11" t="s">
        <v>86</v>
      </c>
      <c r="N1060" s="11" t="s">
        <v>3278</v>
      </c>
      <c r="O1060" s="11" t="s">
        <v>3279</v>
      </c>
      <c r="P1060" s="11" t="s">
        <v>3277</v>
      </c>
      <c r="Q1060" s="11" t="s">
        <v>135</v>
      </c>
      <c r="U1060" s="11" t="s">
        <v>221</v>
      </c>
      <c r="V1060" s="11" t="s">
        <v>137</v>
      </c>
      <c r="W1060" s="13">
        <v>46302.314618055556</v>
      </c>
    </row>
    <row r="1061" spans="1:23">
      <c r="A1061">
        <v>276754</v>
      </c>
      <c r="B1061">
        <v>10267</v>
      </c>
      <c r="C1061" s="11" t="s">
        <v>129</v>
      </c>
      <c r="D1061" s="11" t="s">
        <v>130</v>
      </c>
      <c r="E1061" s="11" t="s">
        <v>25</v>
      </c>
      <c r="F1061" s="12">
        <v>46218</v>
      </c>
      <c r="G1061" s="11" t="s">
        <v>222</v>
      </c>
      <c r="H1061">
        <v>1</v>
      </c>
      <c r="I1061" s="11" t="s">
        <v>3214</v>
      </c>
      <c r="M1061" s="11" t="s">
        <v>90</v>
      </c>
      <c r="N1061" s="11" t="s">
        <v>410</v>
      </c>
      <c r="O1061" s="11" t="s">
        <v>1228</v>
      </c>
      <c r="P1061" s="11" t="s">
        <v>3214</v>
      </c>
      <c r="Q1061" s="11" t="s">
        <v>135</v>
      </c>
      <c r="R1061">
        <v>10266</v>
      </c>
      <c r="U1061" s="11" t="s">
        <v>225</v>
      </c>
      <c r="V1061" s="11" t="s">
        <v>137</v>
      </c>
      <c r="W1061" s="13">
        <v>46302.314618055556</v>
      </c>
    </row>
    <row r="1062" spans="1:23">
      <c r="A1062">
        <v>277285</v>
      </c>
      <c r="B1062">
        <v>10853</v>
      </c>
      <c r="C1062" s="11" t="s">
        <v>129</v>
      </c>
      <c r="D1062" s="11" t="s">
        <v>130</v>
      </c>
      <c r="E1062" s="11" t="s">
        <v>25</v>
      </c>
      <c r="F1062" s="12">
        <v>46220</v>
      </c>
      <c r="G1062" s="11" t="s">
        <v>131</v>
      </c>
      <c r="H1062">
        <v>1</v>
      </c>
      <c r="I1062" s="11" t="s">
        <v>702</v>
      </c>
      <c r="M1062" s="11" t="s">
        <v>87</v>
      </c>
      <c r="N1062" s="11" t="s">
        <v>3280</v>
      </c>
      <c r="O1062" s="11" t="s">
        <v>3281</v>
      </c>
      <c r="P1062" s="11" t="s">
        <v>702</v>
      </c>
      <c r="Q1062" s="11" t="s">
        <v>135</v>
      </c>
      <c r="U1062" s="11" t="s">
        <v>136</v>
      </c>
      <c r="V1062" s="11" t="s">
        <v>137</v>
      </c>
      <c r="W1062" s="13">
        <v>46302.314618055556</v>
      </c>
    </row>
    <row r="1063" spans="1:23">
      <c r="A1063">
        <v>277286</v>
      </c>
      <c r="B1063">
        <v>10854</v>
      </c>
      <c r="C1063" s="11" t="s">
        <v>129</v>
      </c>
      <c r="D1063" s="11" t="s">
        <v>130</v>
      </c>
      <c r="E1063" s="11" t="s">
        <v>25</v>
      </c>
      <c r="F1063" s="12">
        <v>46220</v>
      </c>
      <c r="G1063" s="11" t="s">
        <v>138</v>
      </c>
      <c r="H1063">
        <v>1</v>
      </c>
      <c r="I1063" s="11" t="s">
        <v>3282</v>
      </c>
      <c r="M1063" s="11" t="s">
        <v>89</v>
      </c>
      <c r="N1063" s="11" t="s">
        <v>3283</v>
      </c>
      <c r="O1063" s="11" t="s">
        <v>3284</v>
      </c>
      <c r="P1063" s="11" t="s">
        <v>3282</v>
      </c>
      <c r="Q1063" s="11" t="s">
        <v>135</v>
      </c>
      <c r="U1063" s="11" t="s">
        <v>142</v>
      </c>
      <c r="V1063" s="11" t="s">
        <v>137</v>
      </c>
      <c r="W1063" s="13">
        <v>46302.314618055556</v>
      </c>
    </row>
    <row r="1064" spans="1:23">
      <c r="A1064">
        <v>277287</v>
      </c>
      <c r="B1064">
        <v>10855</v>
      </c>
      <c r="C1064" s="11" t="s">
        <v>129</v>
      </c>
      <c r="D1064" s="11" t="s">
        <v>130</v>
      </c>
      <c r="E1064" s="11" t="s">
        <v>25</v>
      </c>
      <c r="F1064" s="12">
        <v>46220</v>
      </c>
      <c r="G1064" s="11" t="s">
        <v>143</v>
      </c>
      <c r="H1064">
        <v>1</v>
      </c>
      <c r="I1064" s="11" t="s">
        <v>1794</v>
      </c>
      <c r="M1064" s="11" t="s">
        <v>39</v>
      </c>
      <c r="N1064" s="11" t="s">
        <v>3285</v>
      </c>
      <c r="O1064" s="11" t="s">
        <v>3286</v>
      </c>
      <c r="P1064" s="11" t="s">
        <v>1794</v>
      </c>
      <c r="Q1064" s="11" t="s">
        <v>3287</v>
      </c>
      <c r="U1064" s="11" t="s">
        <v>148</v>
      </c>
      <c r="V1064" s="11" t="s">
        <v>137</v>
      </c>
      <c r="W1064" s="13">
        <v>46302.314618055556</v>
      </c>
    </row>
    <row r="1065" spans="1:23">
      <c r="A1065">
        <v>277288</v>
      </c>
      <c r="B1065">
        <v>10857</v>
      </c>
      <c r="C1065" s="11" t="s">
        <v>129</v>
      </c>
      <c r="D1065" s="11" t="s">
        <v>130</v>
      </c>
      <c r="E1065" s="11" t="s">
        <v>25</v>
      </c>
      <c r="F1065" s="12">
        <v>46220</v>
      </c>
      <c r="G1065" s="11" t="s">
        <v>1576</v>
      </c>
      <c r="H1065">
        <v>1</v>
      </c>
      <c r="I1065" s="11" t="s">
        <v>3288</v>
      </c>
      <c r="M1065" s="11" t="s">
        <v>59</v>
      </c>
      <c r="N1065" s="11" t="s">
        <v>3289</v>
      </c>
      <c r="O1065" s="11" t="s">
        <v>3290</v>
      </c>
      <c r="P1065" s="11" t="s">
        <v>3288</v>
      </c>
      <c r="Q1065" s="11" t="s">
        <v>135</v>
      </c>
      <c r="U1065" s="11" t="s">
        <v>1580</v>
      </c>
      <c r="V1065" s="11" t="s">
        <v>137</v>
      </c>
      <c r="W1065" s="13">
        <v>46302.314618055556</v>
      </c>
    </row>
    <row r="1066" spans="1:23">
      <c r="A1066">
        <v>277289</v>
      </c>
      <c r="B1066">
        <v>10858</v>
      </c>
      <c r="C1066" s="11" t="s">
        <v>129</v>
      </c>
      <c r="D1066" s="11" t="s">
        <v>130</v>
      </c>
      <c r="E1066" s="11" t="s">
        <v>25</v>
      </c>
      <c r="F1066" s="12">
        <v>46220</v>
      </c>
      <c r="G1066" s="11" t="s">
        <v>504</v>
      </c>
      <c r="H1066">
        <v>1</v>
      </c>
      <c r="I1066" s="11" t="s">
        <v>2127</v>
      </c>
      <c r="M1066" s="11" t="s">
        <v>53</v>
      </c>
      <c r="N1066" s="11" t="s">
        <v>3291</v>
      </c>
      <c r="O1066" s="11" t="s">
        <v>3292</v>
      </c>
      <c r="P1066" s="11" t="s">
        <v>2127</v>
      </c>
      <c r="Q1066" s="11" t="s">
        <v>135</v>
      </c>
      <c r="U1066" s="11" t="s">
        <v>508</v>
      </c>
      <c r="V1066" s="11" t="s">
        <v>137</v>
      </c>
      <c r="W1066" s="13">
        <v>46302.314618055556</v>
      </c>
    </row>
    <row r="1067" spans="1:23">
      <c r="A1067">
        <v>277290</v>
      </c>
      <c r="B1067">
        <v>10859</v>
      </c>
      <c r="C1067" s="11" t="s">
        <v>129</v>
      </c>
      <c r="D1067" s="11" t="s">
        <v>130</v>
      </c>
      <c r="E1067" s="11" t="s">
        <v>25</v>
      </c>
      <c r="F1067" s="12">
        <v>46220</v>
      </c>
      <c r="G1067" s="11" t="s">
        <v>164</v>
      </c>
      <c r="H1067">
        <v>1</v>
      </c>
      <c r="I1067" s="11" t="s">
        <v>3293</v>
      </c>
      <c r="M1067" s="11" t="s">
        <v>62</v>
      </c>
      <c r="N1067" s="11" t="s">
        <v>3294</v>
      </c>
      <c r="O1067" s="11" t="s">
        <v>3295</v>
      </c>
      <c r="P1067" s="11" t="s">
        <v>3293</v>
      </c>
      <c r="Q1067" s="11" t="s">
        <v>135</v>
      </c>
      <c r="U1067" s="11" t="s">
        <v>168</v>
      </c>
      <c r="V1067" s="11" t="s">
        <v>137</v>
      </c>
      <c r="W1067" s="13">
        <v>46302.314618055556</v>
      </c>
    </row>
    <row r="1068" spans="1:23">
      <c r="A1068">
        <v>277291</v>
      </c>
      <c r="B1068">
        <v>10860</v>
      </c>
      <c r="C1068" s="11" t="s">
        <v>129</v>
      </c>
      <c r="D1068" s="11" t="s">
        <v>130</v>
      </c>
      <c r="E1068" s="11" t="s">
        <v>25</v>
      </c>
      <c r="F1068" s="12">
        <v>46220</v>
      </c>
      <c r="G1068" s="11" t="s">
        <v>164</v>
      </c>
      <c r="H1068">
        <v>1</v>
      </c>
      <c r="I1068" s="11" t="s">
        <v>3296</v>
      </c>
      <c r="M1068" s="11" t="s">
        <v>62</v>
      </c>
      <c r="N1068" s="11" t="s">
        <v>3297</v>
      </c>
      <c r="O1068" s="11" t="s">
        <v>3298</v>
      </c>
      <c r="P1068" s="11" t="s">
        <v>3296</v>
      </c>
      <c r="Q1068" s="11" t="s">
        <v>135</v>
      </c>
      <c r="U1068" s="11" t="s">
        <v>168</v>
      </c>
      <c r="V1068" s="11" t="s">
        <v>137</v>
      </c>
      <c r="W1068" s="13">
        <v>46302.314618055556</v>
      </c>
    </row>
    <row r="1069" spans="1:23">
      <c r="A1069">
        <v>277292</v>
      </c>
      <c r="B1069">
        <v>10861</v>
      </c>
      <c r="C1069" s="11" t="s">
        <v>129</v>
      </c>
      <c r="D1069" s="11" t="s">
        <v>130</v>
      </c>
      <c r="E1069" s="11" t="s">
        <v>25</v>
      </c>
      <c r="F1069" s="12">
        <v>46220</v>
      </c>
      <c r="G1069" s="11" t="s">
        <v>512</v>
      </c>
      <c r="H1069">
        <v>1</v>
      </c>
      <c r="I1069" s="11" t="s">
        <v>3299</v>
      </c>
      <c r="M1069" s="11" t="s">
        <v>44</v>
      </c>
      <c r="N1069" s="11" t="s">
        <v>3300</v>
      </c>
      <c r="O1069" s="11" t="s">
        <v>3301</v>
      </c>
      <c r="P1069" s="11" t="s">
        <v>3299</v>
      </c>
      <c r="Q1069" s="11" t="s">
        <v>3302</v>
      </c>
      <c r="U1069" s="11" t="s">
        <v>516</v>
      </c>
      <c r="V1069" s="11" t="s">
        <v>137</v>
      </c>
      <c r="W1069" s="13">
        <v>46302.314618055556</v>
      </c>
    </row>
    <row r="1070" spans="1:23">
      <c r="A1070">
        <v>277293</v>
      </c>
      <c r="B1070">
        <v>10863</v>
      </c>
      <c r="C1070" s="11" t="s">
        <v>129</v>
      </c>
      <c r="D1070" s="11" t="s">
        <v>130</v>
      </c>
      <c r="E1070" s="11" t="s">
        <v>25</v>
      </c>
      <c r="F1070" s="12">
        <v>46220</v>
      </c>
      <c r="G1070" s="11" t="s">
        <v>1848</v>
      </c>
      <c r="H1070">
        <v>1</v>
      </c>
      <c r="I1070" s="11" t="s">
        <v>332</v>
      </c>
      <c r="M1070" s="11" t="s">
        <v>56</v>
      </c>
      <c r="N1070" s="11" t="s">
        <v>3303</v>
      </c>
      <c r="O1070" s="11" t="s">
        <v>3304</v>
      </c>
      <c r="P1070" s="11" t="s">
        <v>332</v>
      </c>
      <c r="Q1070" s="11" t="s">
        <v>135</v>
      </c>
      <c r="U1070" s="11" t="s">
        <v>1852</v>
      </c>
      <c r="V1070" s="11" t="s">
        <v>137</v>
      </c>
      <c r="W1070" s="13">
        <v>46302.314618055556</v>
      </c>
    </row>
    <row r="1071" spans="1:23">
      <c r="A1071">
        <v>277294</v>
      </c>
      <c r="B1071">
        <v>10864</v>
      </c>
      <c r="C1071" s="11" t="s">
        <v>129</v>
      </c>
      <c r="D1071" s="11" t="s">
        <v>130</v>
      </c>
      <c r="E1071" s="11" t="s">
        <v>25</v>
      </c>
      <c r="F1071" s="12">
        <v>46220</v>
      </c>
      <c r="G1071" s="11" t="s">
        <v>174</v>
      </c>
      <c r="H1071">
        <v>1</v>
      </c>
      <c r="I1071" s="11" t="s">
        <v>951</v>
      </c>
      <c r="M1071" s="11" t="s">
        <v>92</v>
      </c>
      <c r="N1071" s="11" t="s">
        <v>3305</v>
      </c>
      <c r="O1071" s="11" t="s">
        <v>3306</v>
      </c>
      <c r="P1071" s="11" t="s">
        <v>951</v>
      </c>
      <c r="Q1071" s="11" t="s">
        <v>135</v>
      </c>
      <c r="U1071" s="11" t="s">
        <v>178</v>
      </c>
      <c r="V1071" s="11" t="s">
        <v>137</v>
      </c>
      <c r="W1071" s="13">
        <v>46302.314618055556</v>
      </c>
    </row>
    <row r="1072" spans="1:23">
      <c r="A1072">
        <v>277295</v>
      </c>
      <c r="B1072">
        <v>10865</v>
      </c>
      <c r="C1072" s="11" t="s">
        <v>129</v>
      </c>
      <c r="D1072" s="11" t="s">
        <v>130</v>
      </c>
      <c r="E1072" s="11" t="s">
        <v>25</v>
      </c>
      <c r="F1072" s="12">
        <v>46220</v>
      </c>
      <c r="G1072" s="11" t="s">
        <v>1848</v>
      </c>
      <c r="H1072">
        <v>1</v>
      </c>
      <c r="I1072" s="11" t="s">
        <v>3307</v>
      </c>
      <c r="M1072" s="11" t="s">
        <v>56</v>
      </c>
      <c r="N1072" s="11" t="s">
        <v>3308</v>
      </c>
      <c r="O1072" s="11" t="s">
        <v>3309</v>
      </c>
      <c r="P1072" s="11" t="s">
        <v>3307</v>
      </c>
      <c r="Q1072" s="11" t="s">
        <v>135</v>
      </c>
      <c r="U1072" s="11" t="s">
        <v>1852</v>
      </c>
      <c r="V1072" s="11" t="s">
        <v>137</v>
      </c>
      <c r="W1072" s="13">
        <v>46302.314618055556</v>
      </c>
    </row>
    <row r="1073" spans="1:23">
      <c r="A1073">
        <v>277296</v>
      </c>
      <c r="B1073">
        <v>10866</v>
      </c>
      <c r="C1073" s="11" t="s">
        <v>129</v>
      </c>
      <c r="D1073" s="11" t="s">
        <v>130</v>
      </c>
      <c r="E1073" s="11" t="s">
        <v>25</v>
      </c>
      <c r="F1073" s="12">
        <v>46220</v>
      </c>
      <c r="G1073" s="11" t="s">
        <v>1848</v>
      </c>
      <c r="H1073">
        <v>1</v>
      </c>
      <c r="I1073" s="11" t="s">
        <v>1505</v>
      </c>
      <c r="M1073" s="11" t="s">
        <v>56</v>
      </c>
      <c r="N1073" s="11" t="s">
        <v>3310</v>
      </c>
      <c r="O1073" s="11" t="s">
        <v>693</v>
      </c>
      <c r="P1073" s="11" t="s">
        <v>1505</v>
      </c>
      <c r="Q1073" s="11" t="s">
        <v>135</v>
      </c>
      <c r="U1073" s="11" t="s">
        <v>1852</v>
      </c>
      <c r="V1073" s="11" t="s">
        <v>137</v>
      </c>
      <c r="W1073" s="13">
        <v>46302.314618055556</v>
      </c>
    </row>
    <row r="1074" spans="1:23">
      <c r="A1074">
        <v>277297</v>
      </c>
      <c r="B1074">
        <v>10867</v>
      </c>
      <c r="C1074" s="11" t="s">
        <v>129</v>
      </c>
      <c r="D1074" s="11" t="s">
        <v>130</v>
      </c>
      <c r="E1074" s="11" t="s">
        <v>25</v>
      </c>
      <c r="F1074" s="12">
        <v>46220</v>
      </c>
      <c r="G1074" s="11" t="s">
        <v>164</v>
      </c>
      <c r="H1074">
        <v>1</v>
      </c>
      <c r="I1074" s="11" t="s">
        <v>3311</v>
      </c>
      <c r="M1074" s="11" t="s">
        <v>62</v>
      </c>
      <c r="N1074" s="11" t="s">
        <v>3312</v>
      </c>
      <c r="O1074" s="11" t="s">
        <v>3313</v>
      </c>
      <c r="P1074" s="11" t="s">
        <v>3311</v>
      </c>
      <c r="Q1074" s="11" t="s">
        <v>135</v>
      </c>
      <c r="U1074" s="11" t="s">
        <v>168</v>
      </c>
      <c r="V1074" s="11" t="s">
        <v>137</v>
      </c>
      <c r="W1074" s="13">
        <v>46302.314618055556</v>
      </c>
    </row>
    <row r="1075" spans="1:23">
      <c r="A1075">
        <v>277298</v>
      </c>
      <c r="B1075">
        <v>10868</v>
      </c>
      <c r="C1075" s="11" t="s">
        <v>129</v>
      </c>
      <c r="D1075" s="11" t="s">
        <v>130</v>
      </c>
      <c r="E1075" s="11" t="s">
        <v>25</v>
      </c>
      <c r="F1075" s="12">
        <v>46220</v>
      </c>
      <c r="G1075" s="11" t="s">
        <v>174</v>
      </c>
      <c r="H1075">
        <v>1</v>
      </c>
      <c r="I1075" s="11" t="s">
        <v>3314</v>
      </c>
      <c r="M1075" s="11" t="s">
        <v>92</v>
      </c>
      <c r="N1075" s="11" t="s">
        <v>3315</v>
      </c>
      <c r="O1075" s="11" t="s">
        <v>3316</v>
      </c>
      <c r="P1075" s="11" t="s">
        <v>3314</v>
      </c>
      <c r="Q1075" s="11" t="s">
        <v>135</v>
      </c>
      <c r="U1075" s="11" t="s">
        <v>178</v>
      </c>
      <c r="V1075" s="11" t="s">
        <v>137</v>
      </c>
      <c r="W1075" s="13">
        <v>46302.314618055556</v>
      </c>
    </row>
    <row r="1076" spans="1:23">
      <c r="A1076">
        <v>277299</v>
      </c>
      <c r="B1076">
        <v>10869</v>
      </c>
      <c r="C1076" s="11" t="s">
        <v>129</v>
      </c>
      <c r="D1076" s="11" t="s">
        <v>130</v>
      </c>
      <c r="E1076" s="11" t="s">
        <v>25</v>
      </c>
      <c r="F1076" s="12">
        <v>46220</v>
      </c>
      <c r="G1076" s="11" t="s">
        <v>149</v>
      </c>
      <c r="H1076">
        <v>1</v>
      </c>
      <c r="I1076" s="11" t="s">
        <v>3317</v>
      </c>
      <c r="M1076" s="11" t="s">
        <v>77</v>
      </c>
      <c r="N1076" s="11" t="s">
        <v>3318</v>
      </c>
      <c r="O1076" s="11" t="s">
        <v>3319</v>
      </c>
      <c r="P1076" s="11" t="s">
        <v>3317</v>
      </c>
      <c r="Q1076" s="11" t="s">
        <v>135</v>
      </c>
      <c r="U1076" s="11" t="s">
        <v>153</v>
      </c>
      <c r="V1076" s="11" t="s">
        <v>137</v>
      </c>
      <c r="W1076" s="13">
        <v>46302.314618055556</v>
      </c>
    </row>
    <row r="1077" spans="1:23">
      <c r="A1077">
        <v>277300</v>
      </c>
      <c r="B1077">
        <v>10870</v>
      </c>
      <c r="C1077" s="11" t="s">
        <v>129</v>
      </c>
      <c r="D1077" s="11" t="s">
        <v>130</v>
      </c>
      <c r="E1077" s="11" t="s">
        <v>25</v>
      </c>
      <c r="F1077" s="12">
        <v>46220</v>
      </c>
      <c r="G1077" s="11" t="s">
        <v>154</v>
      </c>
      <c r="H1077">
        <v>1</v>
      </c>
      <c r="I1077" s="11" t="s">
        <v>3320</v>
      </c>
      <c r="M1077" s="11" t="s">
        <v>79</v>
      </c>
      <c r="N1077" s="11" t="s">
        <v>3321</v>
      </c>
      <c r="O1077" s="11" t="s">
        <v>3322</v>
      </c>
      <c r="P1077" s="11" t="s">
        <v>3320</v>
      </c>
      <c r="Q1077" s="11" t="s">
        <v>135</v>
      </c>
      <c r="U1077" s="11" t="s">
        <v>158</v>
      </c>
      <c r="V1077" s="11" t="s">
        <v>137</v>
      </c>
      <c r="W1077" s="13">
        <v>46302.314618055556</v>
      </c>
    </row>
    <row r="1078" spans="1:23">
      <c r="A1078">
        <v>277301</v>
      </c>
      <c r="B1078">
        <v>10871</v>
      </c>
      <c r="C1078" s="11" t="s">
        <v>129</v>
      </c>
      <c r="D1078" s="11" t="s">
        <v>130</v>
      </c>
      <c r="E1078" s="11" t="s">
        <v>25</v>
      </c>
      <c r="F1078" s="12">
        <v>46220</v>
      </c>
      <c r="G1078" s="11" t="s">
        <v>523</v>
      </c>
      <c r="H1078">
        <v>1</v>
      </c>
      <c r="I1078" s="11" t="s">
        <v>2758</v>
      </c>
      <c r="M1078" s="11" t="s">
        <v>80</v>
      </c>
      <c r="N1078" s="11" t="s">
        <v>3323</v>
      </c>
      <c r="O1078" s="11" t="s">
        <v>3324</v>
      </c>
      <c r="P1078" s="11" t="s">
        <v>2758</v>
      </c>
      <c r="Q1078" s="11" t="s">
        <v>135</v>
      </c>
      <c r="U1078" s="11" t="s">
        <v>527</v>
      </c>
      <c r="V1078" s="11" t="s">
        <v>137</v>
      </c>
      <c r="W1078" s="13">
        <v>46302.314618055556</v>
      </c>
    </row>
    <row r="1079" spans="1:23">
      <c r="A1079">
        <v>277302</v>
      </c>
      <c r="B1079">
        <v>10872</v>
      </c>
      <c r="C1079" s="11" t="s">
        <v>129</v>
      </c>
      <c r="D1079" s="11" t="s">
        <v>130</v>
      </c>
      <c r="E1079" s="11" t="s">
        <v>25</v>
      </c>
      <c r="F1079" s="12">
        <v>46220</v>
      </c>
      <c r="G1079" s="11" t="s">
        <v>131</v>
      </c>
      <c r="H1079">
        <v>1</v>
      </c>
      <c r="I1079" s="11" t="s">
        <v>3325</v>
      </c>
      <c r="M1079" s="11" t="s">
        <v>87</v>
      </c>
      <c r="N1079" s="11" t="s">
        <v>3326</v>
      </c>
      <c r="O1079" s="11" t="s">
        <v>3327</v>
      </c>
      <c r="P1079" s="11" t="s">
        <v>3325</v>
      </c>
      <c r="Q1079" s="11" t="s">
        <v>135</v>
      </c>
      <c r="U1079" s="11" t="s">
        <v>136</v>
      </c>
      <c r="V1079" s="11" t="s">
        <v>137</v>
      </c>
      <c r="W1079" s="13">
        <v>46302.314618055556</v>
      </c>
    </row>
    <row r="1080" spans="1:23">
      <c r="A1080">
        <v>277303</v>
      </c>
      <c r="B1080">
        <v>10873</v>
      </c>
      <c r="C1080" s="11" t="s">
        <v>129</v>
      </c>
      <c r="D1080" s="11" t="s">
        <v>130</v>
      </c>
      <c r="E1080" s="11" t="s">
        <v>25</v>
      </c>
      <c r="F1080" s="12">
        <v>46220</v>
      </c>
      <c r="G1080" s="11" t="s">
        <v>164</v>
      </c>
      <c r="H1080">
        <v>1</v>
      </c>
      <c r="I1080" s="11" t="s">
        <v>1458</v>
      </c>
      <c r="M1080" s="11" t="s">
        <v>62</v>
      </c>
      <c r="N1080" s="11" t="s">
        <v>3328</v>
      </c>
      <c r="O1080" s="11" t="s">
        <v>3329</v>
      </c>
      <c r="P1080" s="11" t="s">
        <v>1458</v>
      </c>
      <c r="Q1080" s="11" t="s">
        <v>135</v>
      </c>
      <c r="U1080" s="11" t="s">
        <v>168</v>
      </c>
      <c r="V1080" s="11" t="s">
        <v>137</v>
      </c>
      <c r="W1080" s="13">
        <v>46302.314618055556</v>
      </c>
    </row>
    <row r="1081" spans="1:23">
      <c r="A1081">
        <v>277304</v>
      </c>
      <c r="B1081">
        <v>10874</v>
      </c>
      <c r="C1081" s="11" t="s">
        <v>129</v>
      </c>
      <c r="D1081" s="11" t="s">
        <v>130</v>
      </c>
      <c r="E1081" s="11" t="s">
        <v>25</v>
      </c>
      <c r="F1081" s="12">
        <v>46220</v>
      </c>
      <c r="G1081" s="11" t="s">
        <v>512</v>
      </c>
      <c r="H1081">
        <v>1</v>
      </c>
      <c r="I1081" s="11" t="s">
        <v>3330</v>
      </c>
      <c r="M1081" s="11" t="s">
        <v>44</v>
      </c>
      <c r="N1081" s="11" t="s">
        <v>1571</v>
      </c>
      <c r="O1081" s="11" t="s">
        <v>3331</v>
      </c>
      <c r="P1081" s="11" t="s">
        <v>3330</v>
      </c>
      <c r="Q1081" s="11" t="s">
        <v>135</v>
      </c>
      <c r="U1081" s="11" t="s">
        <v>516</v>
      </c>
      <c r="V1081" s="11" t="s">
        <v>137</v>
      </c>
      <c r="W1081" s="13">
        <v>46302.314618055556</v>
      </c>
    </row>
    <row r="1082" spans="1:23">
      <c r="A1082">
        <v>277305</v>
      </c>
      <c r="B1082">
        <v>10875</v>
      </c>
      <c r="C1082" s="11" t="s">
        <v>129</v>
      </c>
      <c r="D1082" s="11" t="s">
        <v>130</v>
      </c>
      <c r="E1082" s="11" t="s">
        <v>25</v>
      </c>
      <c r="F1082" s="12">
        <v>46220</v>
      </c>
      <c r="G1082" s="11" t="s">
        <v>143</v>
      </c>
      <c r="H1082">
        <v>1</v>
      </c>
      <c r="I1082" s="11" t="s">
        <v>3332</v>
      </c>
      <c r="M1082" s="11" t="s">
        <v>39</v>
      </c>
      <c r="N1082" s="11" t="s">
        <v>3333</v>
      </c>
      <c r="O1082" s="11" t="s">
        <v>3334</v>
      </c>
      <c r="P1082" s="11" t="s">
        <v>3332</v>
      </c>
      <c r="Q1082" s="11" t="s">
        <v>135</v>
      </c>
      <c r="U1082" s="11" t="s">
        <v>148</v>
      </c>
      <c r="V1082" s="11" t="s">
        <v>137</v>
      </c>
      <c r="W1082" s="13">
        <v>46302.314618055556</v>
      </c>
    </row>
    <row r="1083" spans="1:23">
      <c r="A1083">
        <v>277306</v>
      </c>
      <c r="B1083">
        <v>10876</v>
      </c>
      <c r="C1083" s="11" t="s">
        <v>129</v>
      </c>
      <c r="D1083" s="11" t="s">
        <v>130</v>
      </c>
      <c r="E1083" s="11" t="s">
        <v>25</v>
      </c>
      <c r="F1083" s="12">
        <v>46220</v>
      </c>
      <c r="G1083" s="11" t="s">
        <v>195</v>
      </c>
      <c r="H1083">
        <v>1</v>
      </c>
      <c r="I1083" s="11" t="s">
        <v>3335</v>
      </c>
      <c r="M1083" s="11" t="s">
        <v>68</v>
      </c>
      <c r="N1083" s="11" t="s">
        <v>3336</v>
      </c>
      <c r="O1083" s="11" t="s">
        <v>3337</v>
      </c>
      <c r="P1083" s="11" t="s">
        <v>3335</v>
      </c>
      <c r="Q1083" s="11" t="s">
        <v>135</v>
      </c>
      <c r="U1083" s="11" t="s">
        <v>199</v>
      </c>
      <c r="V1083" s="11" t="s">
        <v>137</v>
      </c>
      <c r="W1083" s="13">
        <v>46302.314618055556</v>
      </c>
    </row>
    <row r="1084" spans="1:23">
      <c r="A1084">
        <v>277307</v>
      </c>
      <c r="B1084">
        <v>10877</v>
      </c>
      <c r="C1084" s="11" t="s">
        <v>129</v>
      </c>
      <c r="D1084" s="11" t="s">
        <v>130</v>
      </c>
      <c r="E1084" s="11" t="s">
        <v>25</v>
      </c>
      <c r="F1084" s="12">
        <v>46220</v>
      </c>
      <c r="G1084" s="11" t="s">
        <v>607</v>
      </c>
      <c r="H1084">
        <v>1</v>
      </c>
      <c r="I1084" s="11" t="s">
        <v>3338</v>
      </c>
      <c r="M1084" s="11" t="s">
        <v>42</v>
      </c>
      <c r="N1084" s="11" t="s">
        <v>3339</v>
      </c>
      <c r="O1084" s="11" t="s">
        <v>3340</v>
      </c>
      <c r="P1084" s="11" t="s">
        <v>3338</v>
      </c>
      <c r="Q1084" s="11" t="s">
        <v>135</v>
      </c>
      <c r="U1084" s="11" t="s">
        <v>611</v>
      </c>
      <c r="V1084" s="11" t="s">
        <v>137</v>
      </c>
      <c r="W1084" s="13">
        <v>46302.314618055556</v>
      </c>
    </row>
    <row r="1085" spans="1:23">
      <c r="A1085">
        <v>277308</v>
      </c>
      <c r="B1085">
        <v>10878</v>
      </c>
      <c r="C1085" s="11" t="s">
        <v>129</v>
      </c>
      <c r="D1085" s="11" t="s">
        <v>130</v>
      </c>
      <c r="E1085" s="11" t="s">
        <v>25</v>
      </c>
      <c r="F1085" s="12">
        <v>46220</v>
      </c>
      <c r="G1085" s="11" t="s">
        <v>131</v>
      </c>
      <c r="H1085">
        <v>1</v>
      </c>
      <c r="I1085" s="11" t="s">
        <v>3341</v>
      </c>
      <c r="M1085" s="11" t="s">
        <v>87</v>
      </c>
      <c r="N1085" s="11" t="s">
        <v>3342</v>
      </c>
      <c r="O1085" s="11" t="s">
        <v>3343</v>
      </c>
      <c r="P1085" s="11" t="s">
        <v>3341</v>
      </c>
      <c r="Q1085" s="11" t="s">
        <v>135</v>
      </c>
      <c r="U1085" s="11" t="s">
        <v>136</v>
      </c>
      <c r="V1085" s="11" t="s">
        <v>137</v>
      </c>
      <c r="W1085" s="13">
        <v>46302.314618055556</v>
      </c>
    </row>
    <row r="1086" spans="1:23">
      <c r="A1086">
        <v>277309</v>
      </c>
      <c r="B1086">
        <v>10879</v>
      </c>
      <c r="C1086" s="11" t="s">
        <v>129</v>
      </c>
      <c r="D1086" s="11" t="s">
        <v>130</v>
      </c>
      <c r="E1086" s="11" t="s">
        <v>25</v>
      </c>
      <c r="F1086" s="12">
        <v>46220</v>
      </c>
      <c r="G1086" s="11" t="s">
        <v>143</v>
      </c>
      <c r="H1086">
        <v>1</v>
      </c>
      <c r="I1086" s="11" t="s">
        <v>3344</v>
      </c>
      <c r="M1086" s="11" t="s">
        <v>39</v>
      </c>
      <c r="N1086" s="11" t="s">
        <v>3345</v>
      </c>
      <c r="O1086" s="11" t="s">
        <v>3346</v>
      </c>
      <c r="P1086" s="11" t="s">
        <v>3344</v>
      </c>
      <c r="Q1086" s="11" t="s">
        <v>135</v>
      </c>
      <c r="U1086" s="11" t="s">
        <v>148</v>
      </c>
      <c r="V1086" s="11" t="s">
        <v>137</v>
      </c>
      <c r="W1086" s="13">
        <v>46302.314618055556</v>
      </c>
    </row>
    <row r="1087" spans="1:23">
      <c r="A1087">
        <v>277310</v>
      </c>
      <c r="B1087">
        <v>10880</v>
      </c>
      <c r="C1087" s="11" t="s">
        <v>129</v>
      </c>
      <c r="D1087" s="11" t="s">
        <v>130</v>
      </c>
      <c r="E1087" s="11" t="s">
        <v>25</v>
      </c>
      <c r="F1087" s="12">
        <v>46220</v>
      </c>
      <c r="G1087" s="11" t="s">
        <v>195</v>
      </c>
      <c r="H1087">
        <v>1</v>
      </c>
      <c r="I1087" s="11" t="s">
        <v>558</v>
      </c>
      <c r="M1087" s="11" t="s">
        <v>68</v>
      </c>
      <c r="N1087" s="11" t="s">
        <v>3347</v>
      </c>
      <c r="O1087" s="11" t="s">
        <v>3348</v>
      </c>
      <c r="P1087" s="11" t="s">
        <v>558</v>
      </c>
      <c r="Q1087" s="11" t="s">
        <v>135</v>
      </c>
      <c r="U1087" s="11" t="s">
        <v>199</v>
      </c>
      <c r="V1087" s="11" t="s">
        <v>137</v>
      </c>
      <c r="W1087" s="13">
        <v>46302.314618055556</v>
      </c>
    </row>
    <row r="1088" spans="1:23">
      <c r="A1088">
        <v>277311</v>
      </c>
      <c r="B1088">
        <v>10881</v>
      </c>
      <c r="C1088" s="11" t="s">
        <v>129</v>
      </c>
      <c r="D1088" s="11" t="s">
        <v>130</v>
      </c>
      <c r="E1088" s="11" t="s">
        <v>25</v>
      </c>
      <c r="F1088" s="12">
        <v>46220</v>
      </c>
      <c r="G1088" s="11" t="s">
        <v>2266</v>
      </c>
      <c r="H1088">
        <v>1</v>
      </c>
      <c r="I1088" s="11" t="s">
        <v>3349</v>
      </c>
      <c r="M1088" s="11" t="s">
        <v>91</v>
      </c>
      <c r="N1088" s="11" t="s">
        <v>3350</v>
      </c>
      <c r="O1088" s="11" t="s">
        <v>2145</v>
      </c>
      <c r="P1088" s="11" t="s">
        <v>3349</v>
      </c>
      <c r="Q1088" s="11" t="s">
        <v>135</v>
      </c>
      <c r="U1088" s="11" t="s">
        <v>2270</v>
      </c>
      <c r="V1088" s="11" t="s">
        <v>137</v>
      </c>
      <c r="W1088" s="13">
        <v>46302.314618055556</v>
      </c>
    </row>
    <row r="1089" spans="1:23">
      <c r="A1089">
        <v>277312</v>
      </c>
      <c r="B1089">
        <v>10882</v>
      </c>
      <c r="C1089" s="11" t="s">
        <v>129</v>
      </c>
      <c r="D1089" s="11" t="s">
        <v>130</v>
      </c>
      <c r="E1089" s="11" t="s">
        <v>25</v>
      </c>
      <c r="F1089" s="12">
        <v>46220</v>
      </c>
      <c r="G1089" s="11" t="s">
        <v>143</v>
      </c>
      <c r="H1089">
        <v>1</v>
      </c>
      <c r="I1089" s="11" t="s">
        <v>2094</v>
      </c>
      <c r="M1089" s="11" t="s">
        <v>39</v>
      </c>
      <c r="N1089" s="11" t="s">
        <v>3351</v>
      </c>
      <c r="O1089" s="11" t="s">
        <v>3352</v>
      </c>
      <c r="P1089" s="11" t="s">
        <v>2094</v>
      </c>
      <c r="Q1089" s="11" t="s">
        <v>135</v>
      </c>
      <c r="U1089" s="11" t="s">
        <v>148</v>
      </c>
      <c r="V1089" s="11" t="s">
        <v>137</v>
      </c>
      <c r="W1089" s="13">
        <v>46302.314618055556</v>
      </c>
    </row>
    <row r="1090" spans="1:23">
      <c r="A1090">
        <v>277313</v>
      </c>
      <c r="B1090">
        <v>10883</v>
      </c>
      <c r="C1090" s="11" t="s">
        <v>129</v>
      </c>
      <c r="D1090" s="11" t="s">
        <v>130</v>
      </c>
      <c r="E1090" s="11" t="s">
        <v>25</v>
      </c>
      <c r="F1090" s="12">
        <v>46220</v>
      </c>
      <c r="G1090" s="11" t="s">
        <v>164</v>
      </c>
      <c r="H1090">
        <v>1</v>
      </c>
      <c r="I1090" s="11" t="s">
        <v>3353</v>
      </c>
      <c r="M1090" s="11" t="s">
        <v>62</v>
      </c>
      <c r="N1090" s="11" t="s">
        <v>3354</v>
      </c>
      <c r="O1090" s="11" t="s">
        <v>3355</v>
      </c>
      <c r="P1090" s="11" t="s">
        <v>3353</v>
      </c>
      <c r="Q1090" s="11" t="s">
        <v>135</v>
      </c>
      <c r="U1090" s="11" t="s">
        <v>168</v>
      </c>
      <c r="V1090" s="11" t="s">
        <v>137</v>
      </c>
      <c r="W1090" s="13">
        <v>46302.314618055556</v>
      </c>
    </row>
    <row r="1091" spans="1:23">
      <c r="A1091">
        <v>277314</v>
      </c>
      <c r="B1091">
        <v>10884</v>
      </c>
      <c r="C1091" s="11" t="s">
        <v>129</v>
      </c>
      <c r="D1091" s="11" t="s">
        <v>130</v>
      </c>
      <c r="E1091" s="11" t="s">
        <v>25</v>
      </c>
      <c r="F1091" s="12">
        <v>46220</v>
      </c>
      <c r="G1091" s="11" t="s">
        <v>217</v>
      </c>
      <c r="H1091">
        <v>1</v>
      </c>
      <c r="I1091" s="11" t="s">
        <v>3356</v>
      </c>
      <c r="M1091" s="11" t="s">
        <v>86</v>
      </c>
      <c r="N1091" s="11" t="s">
        <v>3357</v>
      </c>
      <c r="O1091" s="11" t="s">
        <v>3358</v>
      </c>
      <c r="P1091" s="11" t="s">
        <v>3356</v>
      </c>
      <c r="Q1091" s="11" t="s">
        <v>135</v>
      </c>
      <c r="U1091" s="11" t="s">
        <v>221</v>
      </c>
      <c r="V1091" s="11" t="s">
        <v>137</v>
      </c>
      <c r="W1091" s="13">
        <v>46302.314618055556</v>
      </c>
    </row>
    <row r="1092" spans="1:23">
      <c r="A1092">
        <v>277315</v>
      </c>
      <c r="B1092">
        <v>10885</v>
      </c>
      <c r="C1092" s="11" t="s">
        <v>129</v>
      </c>
      <c r="D1092" s="11" t="s">
        <v>130</v>
      </c>
      <c r="E1092" s="11" t="s">
        <v>25</v>
      </c>
      <c r="F1092" s="12">
        <v>46220</v>
      </c>
      <c r="G1092" s="11" t="s">
        <v>131</v>
      </c>
      <c r="H1092">
        <v>1</v>
      </c>
      <c r="I1092" s="11" t="s">
        <v>3359</v>
      </c>
      <c r="M1092" s="11" t="s">
        <v>87</v>
      </c>
      <c r="N1092" s="11" t="s">
        <v>3360</v>
      </c>
      <c r="O1092" s="11" t="s">
        <v>2922</v>
      </c>
      <c r="P1092" s="11" t="s">
        <v>3359</v>
      </c>
      <c r="Q1092" s="11" t="s">
        <v>135</v>
      </c>
      <c r="U1092" s="11" t="s">
        <v>136</v>
      </c>
      <c r="V1092" s="11" t="s">
        <v>137</v>
      </c>
      <c r="W1092" s="13">
        <v>46302.314618055556</v>
      </c>
    </row>
    <row r="1093" spans="1:23">
      <c r="A1093">
        <v>277316</v>
      </c>
      <c r="B1093">
        <v>10856</v>
      </c>
      <c r="C1093" s="11" t="s">
        <v>129</v>
      </c>
      <c r="D1093" s="11" t="s">
        <v>130</v>
      </c>
      <c r="E1093" s="11" t="s">
        <v>25</v>
      </c>
      <c r="F1093" s="12">
        <v>46220</v>
      </c>
      <c r="G1093" s="11" t="s">
        <v>222</v>
      </c>
      <c r="H1093">
        <v>1</v>
      </c>
      <c r="I1093" s="11" t="s">
        <v>3287</v>
      </c>
      <c r="M1093" s="11" t="s">
        <v>90</v>
      </c>
      <c r="N1093" s="11" t="s">
        <v>1607</v>
      </c>
      <c r="O1093" s="11" t="s">
        <v>979</v>
      </c>
      <c r="P1093" s="11" t="s">
        <v>3287</v>
      </c>
      <c r="Q1093" s="11" t="s">
        <v>135</v>
      </c>
      <c r="R1093">
        <v>10855</v>
      </c>
      <c r="U1093" s="11" t="s">
        <v>225</v>
      </c>
      <c r="V1093" s="11" t="s">
        <v>137</v>
      </c>
      <c r="W1093" s="13">
        <v>46302.314618055556</v>
      </c>
    </row>
    <row r="1094" spans="1:23">
      <c r="A1094">
        <v>277317</v>
      </c>
      <c r="B1094">
        <v>10862</v>
      </c>
      <c r="C1094" s="11" t="s">
        <v>129</v>
      </c>
      <c r="D1094" s="11" t="s">
        <v>130</v>
      </c>
      <c r="E1094" s="11" t="s">
        <v>25</v>
      </c>
      <c r="F1094" s="12">
        <v>46220</v>
      </c>
      <c r="G1094" s="11" t="s">
        <v>131</v>
      </c>
      <c r="H1094">
        <v>1</v>
      </c>
      <c r="I1094" s="11" t="s">
        <v>3302</v>
      </c>
      <c r="M1094" s="11" t="s">
        <v>87</v>
      </c>
      <c r="N1094" s="11" t="s">
        <v>3361</v>
      </c>
      <c r="O1094" s="11" t="s">
        <v>3362</v>
      </c>
      <c r="P1094" s="11" t="s">
        <v>3302</v>
      </c>
      <c r="Q1094" s="11" t="s">
        <v>135</v>
      </c>
      <c r="R1094">
        <v>10861</v>
      </c>
      <c r="U1094" s="11" t="s">
        <v>136</v>
      </c>
      <c r="V1094" s="11" t="s">
        <v>137</v>
      </c>
      <c r="W1094" s="13">
        <v>46302.314618055556</v>
      </c>
    </row>
    <row r="1095" spans="1:23">
      <c r="A1095">
        <v>277641</v>
      </c>
      <c r="B1095">
        <v>11078</v>
      </c>
      <c r="C1095" s="11" t="s">
        <v>129</v>
      </c>
      <c r="D1095" s="11" t="s">
        <v>130</v>
      </c>
      <c r="E1095" s="11" t="s">
        <v>25</v>
      </c>
      <c r="F1095" s="12">
        <v>46224</v>
      </c>
      <c r="G1095" s="11" t="s">
        <v>804</v>
      </c>
      <c r="H1095">
        <v>1</v>
      </c>
      <c r="I1095" s="11" t="s">
        <v>3363</v>
      </c>
      <c r="M1095" s="11" t="s">
        <v>76</v>
      </c>
      <c r="N1095" s="11" t="s">
        <v>3364</v>
      </c>
      <c r="O1095" s="11" t="s">
        <v>3365</v>
      </c>
      <c r="P1095" s="11" t="s">
        <v>3363</v>
      </c>
      <c r="Q1095" s="11" t="s">
        <v>135</v>
      </c>
      <c r="U1095" s="11" t="s">
        <v>808</v>
      </c>
      <c r="V1095" s="11" t="s">
        <v>137</v>
      </c>
      <c r="W1095" s="13">
        <v>46302.314618055556</v>
      </c>
    </row>
    <row r="1096" spans="1:23">
      <c r="A1096">
        <v>277642</v>
      </c>
      <c r="B1096">
        <v>11079</v>
      </c>
      <c r="C1096" s="11" t="s">
        <v>129</v>
      </c>
      <c r="D1096" s="11" t="s">
        <v>130</v>
      </c>
      <c r="E1096" s="11" t="s">
        <v>25</v>
      </c>
      <c r="F1096" s="12">
        <v>46224</v>
      </c>
      <c r="G1096" s="11" t="s">
        <v>1679</v>
      </c>
      <c r="H1096">
        <v>1</v>
      </c>
      <c r="I1096" s="11" t="s">
        <v>3366</v>
      </c>
      <c r="M1096" s="11" t="s">
        <v>87</v>
      </c>
      <c r="N1096" s="11" t="s">
        <v>3367</v>
      </c>
      <c r="O1096" s="11" t="s">
        <v>3368</v>
      </c>
      <c r="P1096" s="11" t="s">
        <v>3366</v>
      </c>
      <c r="Q1096" s="11" t="s">
        <v>135</v>
      </c>
      <c r="U1096" s="11" t="s">
        <v>1682</v>
      </c>
      <c r="V1096" s="11" t="s">
        <v>137</v>
      </c>
      <c r="W1096" s="13">
        <v>46302.314618055556</v>
      </c>
    </row>
    <row r="1097" spans="1:23">
      <c r="A1097">
        <v>277643</v>
      </c>
      <c r="B1097">
        <v>11062</v>
      </c>
      <c r="C1097" s="11" t="s">
        <v>129</v>
      </c>
      <c r="D1097" s="11" t="s">
        <v>130</v>
      </c>
      <c r="E1097" s="11" t="s">
        <v>25</v>
      </c>
      <c r="F1097" s="12">
        <v>46224</v>
      </c>
      <c r="G1097" s="11" t="s">
        <v>226</v>
      </c>
      <c r="H1097">
        <v>1</v>
      </c>
      <c r="I1097" s="11" t="s">
        <v>555</v>
      </c>
      <c r="M1097" s="11" t="s">
        <v>87</v>
      </c>
      <c r="N1097" s="11" t="s">
        <v>3369</v>
      </c>
      <c r="O1097" s="11" t="s">
        <v>3370</v>
      </c>
      <c r="P1097" s="11" t="s">
        <v>555</v>
      </c>
      <c r="Q1097" s="11" t="s">
        <v>135</v>
      </c>
      <c r="U1097" s="11" t="s">
        <v>231</v>
      </c>
      <c r="V1097" s="11" t="s">
        <v>137</v>
      </c>
      <c r="W1097" s="13">
        <v>46302.314618055556</v>
      </c>
    </row>
    <row r="1098" spans="1:23">
      <c r="A1098">
        <v>277644</v>
      </c>
      <c r="B1098">
        <v>11063</v>
      </c>
      <c r="C1098" s="11" t="s">
        <v>129</v>
      </c>
      <c r="D1098" s="11" t="s">
        <v>130</v>
      </c>
      <c r="E1098" s="11" t="s">
        <v>25</v>
      </c>
      <c r="F1098" s="12">
        <v>46224</v>
      </c>
      <c r="G1098" s="11" t="s">
        <v>804</v>
      </c>
      <c r="H1098">
        <v>6</v>
      </c>
      <c r="I1098" s="11" t="s">
        <v>3371</v>
      </c>
      <c r="M1098" s="11" t="s">
        <v>76</v>
      </c>
      <c r="N1098" s="11" t="s">
        <v>3372</v>
      </c>
      <c r="O1098" s="11" t="s">
        <v>431</v>
      </c>
      <c r="P1098" s="11" t="s">
        <v>3373</v>
      </c>
      <c r="Q1098" s="11" t="s">
        <v>3374</v>
      </c>
      <c r="U1098" s="11" t="s">
        <v>808</v>
      </c>
      <c r="V1098" s="11" t="s">
        <v>137</v>
      </c>
      <c r="W1098" s="13">
        <v>46302.314618055556</v>
      </c>
    </row>
    <row r="1099" spans="1:23">
      <c r="A1099">
        <v>277645</v>
      </c>
      <c r="B1099">
        <v>11065</v>
      </c>
      <c r="C1099" s="11" t="s">
        <v>129</v>
      </c>
      <c r="D1099" s="11" t="s">
        <v>130</v>
      </c>
      <c r="E1099" s="11" t="s">
        <v>25</v>
      </c>
      <c r="F1099" s="12">
        <v>46224</v>
      </c>
      <c r="G1099" s="11" t="s">
        <v>1679</v>
      </c>
      <c r="H1099">
        <v>1</v>
      </c>
      <c r="I1099" s="11" t="s">
        <v>864</v>
      </c>
      <c r="M1099" s="11" t="s">
        <v>87</v>
      </c>
      <c r="N1099" s="11" t="s">
        <v>2678</v>
      </c>
      <c r="O1099" s="11" t="s">
        <v>3375</v>
      </c>
      <c r="P1099" s="11" t="s">
        <v>864</v>
      </c>
      <c r="Q1099" s="11" t="s">
        <v>135</v>
      </c>
      <c r="U1099" s="11" t="s">
        <v>1682</v>
      </c>
      <c r="V1099" s="11" t="s">
        <v>137</v>
      </c>
      <c r="W1099" s="13">
        <v>46302.314618055556</v>
      </c>
    </row>
    <row r="1100" spans="1:23">
      <c r="A1100">
        <v>277646</v>
      </c>
      <c r="B1100">
        <v>11066</v>
      </c>
      <c r="C1100" s="11" t="s">
        <v>129</v>
      </c>
      <c r="D1100" s="11" t="s">
        <v>130</v>
      </c>
      <c r="E1100" s="11" t="s">
        <v>25</v>
      </c>
      <c r="F1100" s="12">
        <v>46224</v>
      </c>
      <c r="G1100" s="11" t="s">
        <v>804</v>
      </c>
      <c r="H1100">
        <v>2</v>
      </c>
      <c r="I1100" s="11" t="s">
        <v>3376</v>
      </c>
      <c r="M1100" s="11" t="s">
        <v>76</v>
      </c>
      <c r="N1100" s="11" t="s">
        <v>3377</v>
      </c>
      <c r="O1100" s="11" t="s">
        <v>3378</v>
      </c>
      <c r="P1100" s="11" t="s">
        <v>1986</v>
      </c>
      <c r="Q1100" s="11" t="s">
        <v>135</v>
      </c>
      <c r="U1100" s="11" t="s">
        <v>808</v>
      </c>
      <c r="V1100" s="11" t="s">
        <v>137</v>
      </c>
      <c r="W1100" s="13">
        <v>46302.314618055556</v>
      </c>
    </row>
    <row r="1101" spans="1:23">
      <c r="A1101">
        <v>277647</v>
      </c>
      <c r="B1101">
        <v>11067</v>
      </c>
      <c r="C1101" s="11" t="s">
        <v>129</v>
      </c>
      <c r="D1101" s="11" t="s">
        <v>130</v>
      </c>
      <c r="E1101" s="11" t="s">
        <v>25</v>
      </c>
      <c r="F1101" s="12">
        <v>46224</v>
      </c>
      <c r="G1101" s="11" t="s">
        <v>823</v>
      </c>
      <c r="H1101">
        <v>1</v>
      </c>
      <c r="I1101" s="11" t="s">
        <v>3379</v>
      </c>
      <c r="M1101" s="11" t="s">
        <v>92</v>
      </c>
      <c r="N1101" s="11" t="s">
        <v>3380</v>
      </c>
      <c r="O1101" s="11" t="s">
        <v>3381</v>
      </c>
      <c r="P1101" s="11" t="s">
        <v>3379</v>
      </c>
      <c r="Q1101" s="11" t="s">
        <v>135</v>
      </c>
      <c r="U1101" s="11" t="s">
        <v>827</v>
      </c>
      <c r="V1101" s="11" t="s">
        <v>137</v>
      </c>
      <c r="W1101" s="13">
        <v>46302.314618055556</v>
      </c>
    </row>
    <row r="1102" spans="1:23">
      <c r="A1102">
        <v>277648</v>
      </c>
      <c r="B1102">
        <v>11068</v>
      </c>
      <c r="C1102" s="11" t="s">
        <v>129</v>
      </c>
      <c r="D1102" s="11" t="s">
        <v>130</v>
      </c>
      <c r="E1102" s="11" t="s">
        <v>25</v>
      </c>
      <c r="F1102" s="12">
        <v>46224</v>
      </c>
      <c r="G1102" s="11" t="s">
        <v>804</v>
      </c>
      <c r="H1102">
        <v>1</v>
      </c>
      <c r="I1102" s="11" t="s">
        <v>3382</v>
      </c>
      <c r="M1102" s="11" t="s">
        <v>76</v>
      </c>
      <c r="N1102" s="11" t="s">
        <v>3383</v>
      </c>
      <c r="O1102" s="11" t="s">
        <v>3384</v>
      </c>
      <c r="P1102" s="11" t="s">
        <v>3382</v>
      </c>
      <c r="Q1102" s="11" t="s">
        <v>135</v>
      </c>
      <c r="U1102" s="11" t="s">
        <v>808</v>
      </c>
      <c r="V1102" s="11" t="s">
        <v>137</v>
      </c>
      <c r="W1102" s="13">
        <v>46302.314618055556</v>
      </c>
    </row>
    <row r="1103" spans="1:23">
      <c r="A1103">
        <v>277649</v>
      </c>
      <c r="B1103">
        <v>11069</v>
      </c>
      <c r="C1103" s="11" t="s">
        <v>129</v>
      </c>
      <c r="D1103" s="11" t="s">
        <v>130</v>
      </c>
      <c r="E1103" s="11" t="s">
        <v>25</v>
      </c>
      <c r="F1103" s="12">
        <v>46224</v>
      </c>
      <c r="G1103" s="11" t="s">
        <v>823</v>
      </c>
      <c r="H1103">
        <v>1</v>
      </c>
      <c r="I1103" s="11" t="s">
        <v>3385</v>
      </c>
      <c r="M1103" s="11" t="s">
        <v>92</v>
      </c>
      <c r="N1103" s="11" t="s">
        <v>3386</v>
      </c>
      <c r="O1103" s="11" t="s">
        <v>1891</v>
      </c>
      <c r="P1103" s="11" t="s">
        <v>3385</v>
      </c>
      <c r="Q1103" s="11" t="s">
        <v>135</v>
      </c>
      <c r="U1103" s="11" t="s">
        <v>827</v>
      </c>
      <c r="V1103" s="11" t="s">
        <v>137</v>
      </c>
      <c r="W1103" s="13">
        <v>46302.314618055556</v>
      </c>
    </row>
    <row r="1104" spans="1:23">
      <c r="A1104">
        <v>277650</v>
      </c>
      <c r="B1104">
        <v>11070</v>
      </c>
      <c r="C1104" s="11" t="s">
        <v>129</v>
      </c>
      <c r="D1104" s="11" t="s">
        <v>130</v>
      </c>
      <c r="E1104" s="11" t="s">
        <v>25</v>
      </c>
      <c r="F1104" s="12">
        <v>46224</v>
      </c>
      <c r="G1104" s="11" t="s">
        <v>274</v>
      </c>
      <c r="H1104">
        <v>1</v>
      </c>
      <c r="I1104" s="11" t="s">
        <v>513</v>
      </c>
      <c r="M1104" s="11" t="s">
        <v>77</v>
      </c>
      <c r="N1104" s="11" t="s">
        <v>3387</v>
      </c>
      <c r="O1104" s="11" t="s">
        <v>3388</v>
      </c>
      <c r="P1104" s="11" t="s">
        <v>513</v>
      </c>
      <c r="Q1104" s="11" t="s">
        <v>135</v>
      </c>
      <c r="U1104" s="11" t="s">
        <v>278</v>
      </c>
      <c r="V1104" s="11" t="s">
        <v>137</v>
      </c>
      <c r="W1104" s="13">
        <v>46302.314618055556</v>
      </c>
    </row>
    <row r="1105" spans="1:23">
      <c r="A1105">
        <v>277651</v>
      </c>
      <c r="B1105">
        <v>11071</v>
      </c>
      <c r="C1105" s="11" t="s">
        <v>129</v>
      </c>
      <c r="D1105" s="11" t="s">
        <v>130</v>
      </c>
      <c r="E1105" s="11" t="s">
        <v>25</v>
      </c>
      <c r="F1105" s="12">
        <v>46224</v>
      </c>
      <c r="G1105" s="11" t="s">
        <v>279</v>
      </c>
      <c r="H1105">
        <v>1</v>
      </c>
      <c r="I1105" s="11" t="s">
        <v>3389</v>
      </c>
      <c r="M1105" s="11" t="s">
        <v>79</v>
      </c>
      <c r="N1105" s="11" t="s">
        <v>3390</v>
      </c>
      <c r="O1105" s="11" t="s">
        <v>3391</v>
      </c>
      <c r="P1105" s="11" t="s">
        <v>3389</v>
      </c>
      <c r="Q1105" s="11" t="s">
        <v>135</v>
      </c>
      <c r="U1105" s="11" t="s">
        <v>283</v>
      </c>
      <c r="V1105" s="11" t="s">
        <v>137</v>
      </c>
      <c r="W1105" s="13">
        <v>46302.314618055556</v>
      </c>
    </row>
    <row r="1106" spans="1:23">
      <c r="A1106">
        <v>277652</v>
      </c>
      <c r="B1106">
        <v>11072</v>
      </c>
      <c r="C1106" s="11" t="s">
        <v>129</v>
      </c>
      <c r="D1106" s="11" t="s">
        <v>130</v>
      </c>
      <c r="E1106" s="11" t="s">
        <v>25</v>
      </c>
      <c r="F1106" s="12">
        <v>46224</v>
      </c>
      <c r="G1106" s="11" t="s">
        <v>284</v>
      </c>
      <c r="H1106">
        <v>1</v>
      </c>
      <c r="I1106" s="11" t="s">
        <v>3392</v>
      </c>
      <c r="M1106" s="11" t="s">
        <v>80</v>
      </c>
      <c r="N1106" s="11" t="s">
        <v>3393</v>
      </c>
      <c r="O1106" s="11" t="s">
        <v>3394</v>
      </c>
      <c r="P1106" s="11" t="s">
        <v>3392</v>
      </c>
      <c r="Q1106" s="11" t="s">
        <v>135</v>
      </c>
      <c r="U1106" s="11" t="s">
        <v>288</v>
      </c>
      <c r="V1106" s="11" t="s">
        <v>137</v>
      </c>
      <c r="W1106" s="13">
        <v>46302.314618055556</v>
      </c>
    </row>
    <row r="1107" spans="1:23">
      <c r="A1107">
        <v>277653</v>
      </c>
      <c r="B1107">
        <v>11073</v>
      </c>
      <c r="C1107" s="11" t="s">
        <v>129</v>
      </c>
      <c r="D1107" s="11" t="s">
        <v>130</v>
      </c>
      <c r="E1107" s="11" t="s">
        <v>25</v>
      </c>
      <c r="F1107" s="12">
        <v>46224</v>
      </c>
      <c r="G1107" s="11" t="s">
        <v>1052</v>
      </c>
      <c r="H1107">
        <v>1</v>
      </c>
      <c r="I1107" s="11" t="s">
        <v>3395</v>
      </c>
      <c r="M1107" s="11" t="s">
        <v>84</v>
      </c>
      <c r="N1107" s="11" t="s">
        <v>3396</v>
      </c>
      <c r="O1107" s="11" t="s">
        <v>3397</v>
      </c>
      <c r="P1107" s="11" t="s">
        <v>3395</v>
      </c>
      <c r="Q1107" s="11" t="s">
        <v>135</v>
      </c>
      <c r="U1107" s="11" t="s">
        <v>1056</v>
      </c>
      <c r="V1107" s="11" t="s">
        <v>137</v>
      </c>
      <c r="W1107" s="13">
        <v>46302.314618055556</v>
      </c>
    </row>
    <row r="1108" spans="1:23">
      <c r="A1108">
        <v>277654</v>
      </c>
      <c r="B1108">
        <v>11074</v>
      </c>
      <c r="C1108" s="11" t="s">
        <v>129</v>
      </c>
      <c r="D1108" s="11" t="s">
        <v>130</v>
      </c>
      <c r="E1108" s="11" t="s">
        <v>25</v>
      </c>
      <c r="F1108" s="12">
        <v>46224</v>
      </c>
      <c r="G1108" s="11" t="s">
        <v>804</v>
      </c>
      <c r="H1108">
        <v>2</v>
      </c>
      <c r="I1108" s="11" t="s">
        <v>3398</v>
      </c>
      <c r="M1108" s="11" t="s">
        <v>76</v>
      </c>
      <c r="N1108" s="11" t="s">
        <v>3399</v>
      </c>
      <c r="O1108" s="11" t="s">
        <v>3400</v>
      </c>
      <c r="P1108" s="11" t="s">
        <v>3401</v>
      </c>
      <c r="Q1108" s="11" t="s">
        <v>135</v>
      </c>
      <c r="U1108" s="11" t="s">
        <v>808</v>
      </c>
      <c r="V1108" s="11" t="s">
        <v>137</v>
      </c>
      <c r="W1108" s="13">
        <v>46302.314618055556</v>
      </c>
    </row>
    <row r="1109" spans="1:23">
      <c r="A1109">
        <v>277655</v>
      </c>
      <c r="B1109">
        <v>11075</v>
      </c>
      <c r="C1109" s="11" t="s">
        <v>129</v>
      </c>
      <c r="D1109" s="11" t="s">
        <v>130</v>
      </c>
      <c r="E1109" s="11" t="s">
        <v>25</v>
      </c>
      <c r="F1109" s="12">
        <v>46224</v>
      </c>
      <c r="G1109" s="11" t="s">
        <v>1679</v>
      </c>
      <c r="H1109">
        <v>1</v>
      </c>
      <c r="I1109" s="11" t="s">
        <v>3402</v>
      </c>
      <c r="M1109" s="11" t="s">
        <v>87</v>
      </c>
      <c r="N1109" s="11" t="s">
        <v>3403</v>
      </c>
      <c r="O1109" s="11" t="s">
        <v>3404</v>
      </c>
      <c r="P1109" s="11" t="s">
        <v>3402</v>
      </c>
      <c r="Q1109" s="11" t="s">
        <v>135</v>
      </c>
      <c r="U1109" s="11" t="s">
        <v>1682</v>
      </c>
      <c r="V1109" s="11" t="s">
        <v>137</v>
      </c>
      <c r="W1109" s="13">
        <v>46302.314618055556</v>
      </c>
    </row>
    <row r="1110" spans="1:23">
      <c r="A1110">
        <v>277656</v>
      </c>
      <c r="B1110">
        <v>11076</v>
      </c>
      <c r="C1110" s="11" t="s">
        <v>129</v>
      </c>
      <c r="D1110" s="11" t="s">
        <v>130</v>
      </c>
      <c r="E1110" s="11" t="s">
        <v>25</v>
      </c>
      <c r="F1110" s="12">
        <v>46224</v>
      </c>
      <c r="G1110" s="11" t="s">
        <v>804</v>
      </c>
      <c r="H1110">
        <v>2</v>
      </c>
      <c r="I1110" s="11" t="s">
        <v>3405</v>
      </c>
      <c r="M1110" s="11" t="s">
        <v>76</v>
      </c>
      <c r="N1110" s="11" t="s">
        <v>3406</v>
      </c>
      <c r="O1110" s="11" t="s">
        <v>3407</v>
      </c>
      <c r="P1110" s="11" t="s">
        <v>430</v>
      </c>
      <c r="Q1110" s="11" t="s">
        <v>135</v>
      </c>
      <c r="U1110" s="11" t="s">
        <v>808</v>
      </c>
      <c r="V1110" s="11" t="s">
        <v>137</v>
      </c>
      <c r="W1110" s="13">
        <v>46302.314618055556</v>
      </c>
    </row>
    <row r="1111" spans="1:23">
      <c r="A1111">
        <v>277657</v>
      </c>
      <c r="B1111">
        <v>11077</v>
      </c>
      <c r="C1111" s="11" t="s">
        <v>129</v>
      </c>
      <c r="D1111" s="11" t="s">
        <v>130</v>
      </c>
      <c r="E1111" s="11" t="s">
        <v>25</v>
      </c>
      <c r="F1111" s="12">
        <v>46224</v>
      </c>
      <c r="G1111" s="11" t="s">
        <v>823</v>
      </c>
      <c r="H1111">
        <v>1</v>
      </c>
      <c r="I1111" s="11" t="s">
        <v>349</v>
      </c>
      <c r="M1111" s="11" t="s">
        <v>92</v>
      </c>
      <c r="N1111" s="11" t="s">
        <v>3408</v>
      </c>
      <c r="O1111" s="11" t="s">
        <v>3409</v>
      </c>
      <c r="P1111" s="11" t="s">
        <v>349</v>
      </c>
      <c r="Q1111" s="11" t="s">
        <v>135</v>
      </c>
      <c r="U1111" s="11" t="s">
        <v>827</v>
      </c>
      <c r="V1111" s="11" t="s">
        <v>137</v>
      </c>
      <c r="W1111" s="13">
        <v>46302.314618055556</v>
      </c>
    </row>
    <row r="1112" spans="1:23">
      <c r="A1112">
        <v>277658</v>
      </c>
      <c r="B1112">
        <v>11064</v>
      </c>
      <c r="C1112" s="11" t="s">
        <v>129</v>
      </c>
      <c r="D1112" s="11" t="s">
        <v>130</v>
      </c>
      <c r="E1112" s="11" t="s">
        <v>25</v>
      </c>
      <c r="F1112" s="12">
        <v>46224</v>
      </c>
      <c r="G1112" s="11" t="s">
        <v>308</v>
      </c>
      <c r="H1112">
        <v>1</v>
      </c>
      <c r="I1112" s="11" t="s">
        <v>3374</v>
      </c>
      <c r="M1112" s="11" t="s">
        <v>90</v>
      </c>
      <c r="N1112" s="11" t="s">
        <v>661</v>
      </c>
      <c r="O1112" s="11" t="s">
        <v>3410</v>
      </c>
      <c r="P1112" s="11" t="s">
        <v>3374</v>
      </c>
      <c r="Q1112" s="11" t="s">
        <v>135</v>
      </c>
      <c r="R1112">
        <v>11063</v>
      </c>
      <c r="U1112" s="11" t="s">
        <v>311</v>
      </c>
      <c r="V1112" s="11" t="s">
        <v>137</v>
      </c>
      <c r="W1112" s="13">
        <v>46302.314618055556</v>
      </c>
    </row>
    <row r="1113" spans="1:23">
      <c r="A1113">
        <v>277903</v>
      </c>
      <c r="B1113">
        <v>10900</v>
      </c>
      <c r="C1113" s="11" t="s">
        <v>129</v>
      </c>
      <c r="D1113" s="11" t="s">
        <v>130</v>
      </c>
      <c r="E1113" s="11" t="s">
        <v>25</v>
      </c>
      <c r="F1113" s="12">
        <v>46225</v>
      </c>
      <c r="G1113" s="11" t="s">
        <v>316</v>
      </c>
      <c r="H1113">
        <v>1</v>
      </c>
      <c r="I1113" s="11" t="s">
        <v>3411</v>
      </c>
      <c r="M1113" s="11" t="s">
        <v>87</v>
      </c>
      <c r="N1113" s="11" t="s">
        <v>3412</v>
      </c>
      <c r="O1113" s="11" t="s">
        <v>923</v>
      </c>
      <c r="P1113" s="11" t="s">
        <v>3411</v>
      </c>
      <c r="Q1113" s="11" t="s">
        <v>135</v>
      </c>
      <c r="U1113" s="11" t="s">
        <v>320</v>
      </c>
      <c r="V1113" s="11" t="s">
        <v>137</v>
      </c>
      <c r="W1113" s="13">
        <v>46302.314618055556</v>
      </c>
    </row>
    <row r="1114" spans="1:23">
      <c r="A1114">
        <v>277904</v>
      </c>
      <c r="B1114">
        <v>10901</v>
      </c>
      <c r="C1114" s="11" t="s">
        <v>129</v>
      </c>
      <c r="D1114" s="11" t="s">
        <v>130</v>
      </c>
      <c r="E1114" s="11" t="s">
        <v>25</v>
      </c>
      <c r="F1114" s="12">
        <v>46225</v>
      </c>
      <c r="G1114" s="11" t="s">
        <v>1740</v>
      </c>
      <c r="H1114">
        <v>1</v>
      </c>
      <c r="I1114" s="11" t="s">
        <v>2868</v>
      </c>
      <c r="M1114" s="11" t="s">
        <v>69</v>
      </c>
      <c r="N1114" s="11" t="s">
        <v>3413</v>
      </c>
      <c r="O1114" s="11" t="s">
        <v>3414</v>
      </c>
      <c r="P1114" s="11" t="s">
        <v>2868</v>
      </c>
      <c r="Q1114" s="11" t="s">
        <v>135</v>
      </c>
      <c r="U1114" s="11" t="s">
        <v>1745</v>
      </c>
      <c r="V1114" s="11" t="s">
        <v>137</v>
      </c>
      <c r="W1114" s="13">
        <v>46302.314618055556</v>
      </c>
    </row>
    <row r="1115" spans="1:23">
      <c r="A1115">
        <v>277905</v>
      </c>
      <c r="B1115">
        <v>10902</v>
      </c>
      <c r="C1115" s="11" t="s">
        <v>129</v>
      </c>
      <c r="D1115" s="11" t="s">
        <v>130</v>
      </c>
      <c r="E1115" s="11" t="s">
        <v>25</v>
      </c>
      <c r="F1115" s="12">
        <v>46225</v>
      </c>
      <c r="G1115" s="11" t="s">
        <v>316</v>
      </c>
      <c r="H1115">
        <v>1</v>
      </c>
      <c r="I1115" s="11" t="s">
        <v>3415</v>
      </c>
      <c r="M1115" s="11" t="s">
        <v>87</v>
      </c>
      <c r="N1115" s="11" t="s">
        <v>3416</v>
      </c>
      <c r="O1115" s="11" t="s">
        <v>3417</v>
      </c>
      <c r="P1115" s="11" t="s">
        <v>3415</v>
      </c>
      <c r="Q1115" s="11" t="s">
        <v>135</v>
      </c>
      <c r="U1115" s="11" t="s">
        <v>320</v>
      </c>
      <c r="V1115" s="11" t="s">
        <v>137</v>
      </c>
      <c r="W1115" s="13">
        <v>46302.314618055556</v>
      </c>
    </row>
    <row r="1116" spans="1:23">
      <c r="A1116">
        <v>277906</v>
      </c>
      <c r="B1116">
        <v>10903</v>
      </c>
      <c r="C1116" s="11" t="s">
        <v>129</v>
      </c>
      <c r="D1116" s="11" t="s">
        <v>130</v>
      </c>
      <c r="E1116" s="11" t="s">
        <v>25</v>
      </c>
      <c r="F1116" s="12">
        <v>46225</v>
      </c>
      <c r="G1116" s="11" t="s">
        <v>328</v>
      </c>
      <c r="H1116">
        <v>10</v>
      </c>
      <c r="I1116" s="11" t="s">
        <v>3418</v>
      </c>
      <c r="M1116" s="11" t="s">
        <v>66</v>
      </c>
      <c r="N1116" s="11" t="s">
        <v>3419</v>
      </c>
      <c r="O1116" s="11" t="s">
        <v>3420</v>
      </c>
      <c r="P1116" s="11" t="s">
        <v>3421</v>
      </c>
      <c r="Q1116" s="11" t="s">
        <v>3422</v>
      </c>
      <c r="U1116" s="11" t="s">
        <v>333</v>
      </c>
      <c r="V1116" s="11" t="s">
        <v>137</v>
      </c>
      <c r="W1116" s="13">
        <v>46302.314618055556</v>
      </c>
    </row>
    <row r="1117" spans="1:23">
      <c r="A1117">
        <v>277907</v>
      </c>
      <c r="B1117">
        <v>10905</v>
      </c>
      <c r="C1117" s="11" t="s">
        <v>129</v>
      </c>
      <c r="D1117" s="11" t="s">
        <v>130</v>
      </c>
      <c r="E1117" s="11" t="s">
        <v>25</v>
      </c>
      <c r="F1117" s="12">
        <v>46225</v>
      </c>
      <c r="G1117" s="11" t="s">
        <v>328</v>
      </c>
      <c r="H1117">
        <v>3</v>
      </c>
      <c r="I1117" s="11" t="s">
        <v>3423</v>
      </c>
      <c r="M1117" s="11" t="s">
        <v>66</v>
      </c>
      <c r="N1117" s="11" t="s">
        <v>3424</v>
      </c>
      <c r="O1117" s="11" t="s">
        <v>3425</v>
      </c>
      <c r="P1117" s="11" t="s">
        <v>3426</v>
      </c>
      <c r="Q1117" s="11" t="s">
        <v>135</v>
      </c>
      <c r="U1117" s="11" t="s">
        <v>333</v>
      </c>
      <c r="V1117" s="11" t="s">
        <v>137</v>
      </c>
      <c r="W1117" s="13">
        <v>46302.314618055556</v>
      </c>
    </row>
    <row r="1118" spans="1:23">
      <c r="A1118">
        <v>277908</v>
      </c>
      <c r="B1118">
        <v>10906</v>
      </c>
      <c r="C1118" s="11" t="s">
        <v>129</v>
      </c>
      <c r="D1118" s="11" t="s">
        <v>130</v>
      </c>
      <c r="E1118" s="11" t="s">
        <v>25</v>
      </c>
      <c r="F1118" s="12">
        <v>46225</v>
      </c>
      <c r="G1118" s="11" t="s">
        <v>316</v>
      </c>
      <c r="H1118">
        <v>1</v>
      </c>
      <c r="I1118" s="11" t="s">
        <v>2132</v>
      </c>
      <c r="M1118" s="11" t="s">
        <v>87</v>
      </c>
      <c r="N1118" s="11" t="s">
        <v>3427</v>
      </c>
      <c r="O1118" s="11" t="s">
        <v>3428</v>
      </c>
      <c r="P1118" s="11" t="s">
        <v>2132</v>
      </c>
      <c r="Q1118" s="11" t="s">
        <v>135</v>
      </c>
      <c r="U1118" s="11" t="s">
        <v>320</v>
      </c>
      <c r="V1118" s="11" t="s">
        <v>137</v>
      </c>
      <c r="W1118" s="13">
        <v>46302.314618055556</v>
      </c>
    </row>
    <row r="1119" spans="1:23">
      <c r="A1119">
        <v>277909</v>
      </c>
      <c r="B1119">
        <v>10907</v>
      </c>
      <c r="C1119" s="11" t="s">
        <v>129</v>
      </c>
      <c r="D1119" s="11" t="s">
        <v>130</v>
      </c>
      <c r="E1119" s="11" t="s">
        <v>25</v>
      </c>
      <c r="F1119" s="12">
        <v>46225</v>
      </c>
      <c r="G1119" s="11" t="s">
        <v>328</v>
      </c>
      <c r="H1119">
        <v>1</v>
      </c>
      <c r="I1119" s="11" t="s">
        <v>3429</v>
      </c>
      <c r="M1119" s="11" t="s">
        <v>66</v>
      </c>
      <c r="N1119" s="11" t="s">
        <v>3430</v>
      </c>
      <c r="O1119" s="11" t="s">
        <v>3431</v>
      </c>
      <c r="P1119" s="11" t="s">
        <v>3429</v>
      </c>
      <c r="Q1119" s="11" t="s">
        <v>135</v>
      </c>
      <c r="U1119" s="11" t="s">
        <v>333</v>
      </c>
      <c r="V1119" s="11" t="s">
        <v>137</v>
      </c>
      <c r="W1119" s="13">
        <v>46302.314618055556</v>
      </c>
    </row>
    <row r="1120" spans="1:23">
      <c r="A1120">
        <v>277910</v>
      </c>
      <c r="B1120">
        <v>10908</v>
      </c>
      <c r="C1120" s="11" t="s">
        <v>129</v>
      </c>
      <c r="D1120" s="11" t="s">
        <v>130</v>
      </c>
      <c r="E1120" s="11" t="s">
        <v>25</v>
      </c>
      <c r="F1120" s="12">
        <v>46225</v>
      </c>
      <c r="G1120" s="11" t="s">
        <v>321</v>
      </c>
      <c r="H1120">
        <v>1</v>
      </c>
      <c r="I1120" s="11" t="s">
        <v>1535</v>
      </c>
      <c r="M1120" s="11" t="s">
        <v>67</v>
      </c>
      <c r="N1120" s="11" t="s">
        <v>3432</v>
      </c>
      <c r="O1120" s="11" t="s">
        <v>3433</v>
      </c>
      <c r="P1120" s="11" t="s">
        <v>1535</v>
      </c>
      <c r="Q1120" s="11" t="s">
        <v>135</v>
      </c>
      <c r="U1120" s="11" t="s">
        <v>327</v>
      </c>
      <c r="V1120" s="11" t="s">
        <v>137</v>
      </c>
      <c r="W1120" s="13">
        <v>46302.314618055556</v>
      </c>
    </row>
    <row r="1121" spans="1:23">
      <c r="A1121">
        <v>277911</v>
      </c>
      <c r="B1121">
        <v>10909</v>
      </c>
      <c r="C1121" s="11" t="s">
        <v>129</v>
      </c>
      <c r="D1121" s="11" t="s">
        <v>130</v>
      </c>
      <c r="E1121" s="11" t="s">
        <v>25</v>
      </c>
      <c r="F1121" s="12">
        <v>46225</v>
      </c>
      <c r="G1121" s="11" t="s">
        <v>316</v>
      </c>
      <c r="H1121">
        <v>1</v>
      </c>
      <c r="I1121" s="11" t="s">
        <v>3434</v>
      </c>
      <c r="M1121" s="11" t="s">
        <v>87</v>
      </c>
      <c r="N1121" s="11" t="s">
        <v>3435</v>
      </c>
      <c r="O1121" s="11" t="s">
        <v>3436</v>
      </c>
      <c r="P1121" s="11" t="s">
        <v>3434</v>
      </c>
      <c r="Q1121" s="11" t="s">
        <v>135</v>
      </c>
      <c r="U1121" s="11" t="s">
        <v>320</v>
      </c>
      <c r="V1121" s="11" t="s">
        <v>137</v>
      </c>
      <c r="W1121" s="13">
        <v>46302.314618055556</v>
      </c>
    </row>
    <row r="1122" spans="1:23">
      <c r="A1122">
        <v>277912</v>
      </c>
      <c r="B1122">
        <v>10910</v>
      </c>
      <c r="C1122" s="11" t="s">
        <v>129</v>
      </c>
      <c r="D1122" s="11" t="s">
        <v>130</v>
      </c>
      <c r="E1122" s="11" t="s">
        <v>25</v>
      </c>
      <c r="F1122" s="12">
        <v>46225</v>
      </c>
      <c r="G1122" s="11" t="s">
        <v>334</v>
      </c>
      <c r="H1122">
        <v>2</v>
      </c>
      <c r="I1122" s="11" t="s">
        <v>1105</v>
      </c>
      <c r="M1122" s="11" t="s">
        <v>64</v>
      </c>
      <c r="N1122" s="11" t="s">
        <v>3437</v>
      </c>
      <c r="O1122" s="11" t="s">
        <v>3438</v>
      </c>
      <c r="P1122" s="11" t="s">
        <v>3439</v>
      </c>
      <c r="Q1122" s="11" t="s">
        <v>135</v>
      </c>
      <c r="U1122" s="11" t="s">
        <v>338</v>
      </c>
      <c r="V1122" s="11" t="s">
        <v>137</v>
      </c>
      <c r="W1122" s="13">
        <v>46302.314618055556</v>
      </c>
    </row>
    <row r="1123" spans="1:23">
      <c r="A1123">
        <v>277913</v>
      </c>
      <c r="B1123">
        <v>10911</v>
      </c>
      <c r="C1123" s="11" t="s">
        <v>129</v>
      </c>
      <c r="D1123" s="11" t="s">
        <v>130</v>
      </c>
      <c r="E1123" s="11" t="s">
        <v>25</v>
      </c>
      <c r="F1123" s="12">
        <v>46225</v>
      </c>
      <c r="G1123" s="11" t="s">
        <v>316</v>
      </c>
      <c r="H1123">
        <v>1</v>
      </c>
      <c r="I1123" s="11" t="s">
        <v>1862</v>
      </c>
      <c r="M1123" s="11" t="s">
        <v>87</v>
      </c>
      <c r="N1123" s="11" t="s">
        <v>3440</v>
      </c>
      <c r="O1123" s="11" t="s">
        <v>3441</v>
      </c>
      <c r="P1123" s="11" t="s">
        <v>1862</v>
      </c>
      <c r="Q1123" s="11" t="s">
        <v>135</v>
      </c>
      <c r="U1123" s="11" t="s">
        <v>320</v>
      </c>
      <c r="V1123" s="11" t="s">
        <v>137</v>
      </c>
      <c r="W1123" s="13">
        <v>46302.314618055556</v>
      </c>
    </row>
    <row r="1124" spans="1:23">
      <c r="A1124">
        <v>277914</v>
      </c>
      <c r="B1124">
        <v>10912</v>
      </c>
      <c r="C1124" s="11" t="s">
        <v>129</v>
      </c>
      <c r="D1124" s="11" t="s">
        <v>130</v>
      </c>
      <c r="E1124" s="11" t="s">
        <v>25</v>
      </c>
      <c r="F1124" s="12">
        <v>46225</v>
      </c>
      <c r="G1124" s="11" t="s">
        <v>339</v>
      </c>
      <c r="H1124">
        <v>1</v>
      </c>
      <c r="I1124" s="11" t="s">
        <v>2880</v>
      </c>
      <c r="M1124" s="11" t="s">
        <v>92</v>
      </c>
      <c r="N1124" s="11" t="s">
        <v>3442</v>
      </c>
      <c r="O1124" s="11" t="s">
        <v>3443</v>
      </c>
      <c r="P1124" s="11" t="s">
        <v>2880</v>
      </c>
      <c r="Q1124" s="11" t="s">
        <v>135</v>
      </c>
      <c r="U1124" s="11" t="s">
        <v>343</v>
      </c>
      <c r="V1124" s="11" t="s">
        <v>137</v>
      </c>
      <c r="W1124" s="13">
        <v>46302.314618055556</v>
      </c>
    </row>
    <row r="1125" spans="1:23">
      <c r="A1125">
        <v>277915</v>
      </c>
      <c r="B1125">
        <v>10913</v>
      </c>
      <c r="C1125" s="11" t="s">
        <v>129</v>
      </c>
      <c r="D1125" s="11" t="s">
        <v>130</v>
      </c>
      <c r="E1125" s="11" t="s">
        <v>25</v>
      </c>
      <c r="F1125" s="12">
        <v>46225</v>
      </c>
      <c r="G1125" s="11" t="s">
        <v>355</v>
      </c>
      <c r="H1125">
        <v>1</v>
      </c>
      <c r="I1125" s="11" t="s">
        <v>3444</v>
      </c>
      <c r="M1125" s="11" t="s">
        <v>77</v>
      </c>
      <c r="N1125" s="11" t="s">
        <v>3445</v>
      </c>
      <c r="O1125" s="11" t="s">
        <v>3446</v>
      </c>
      <c r="P1125" s="11" t="s">
        <v>3444</v>
      </c>
      <c r="Q1125" s="11" t="s">
        <v>135</v>
      </c>
      <c r="U1125" s="11" t="s">
        <v>359</v>
      </c>
      <c r="V1125" s="11" t="s">
        <v>137</v>
      </c>
      <c r="W1125" s="13">
        <v>46302.314618055556</v>
      </c>
    </row>
    <row r="1126" spans="1:23">
      <c r="A1126">
        <v>277916</v>
      </c>
      <c r="B1126">
        <v>10914</v>
      </c>
      <c r="C1126" s="11" t="s">
        <v>129</v>
      </c>
      <c r="D1126" s="11" t="s">
        <v>130</v>
      </c>
      <c r="E1126" s="11" t="s">
        <v>25</v>
      </c>
      <c r="F1126" s="12">
        <v>46225</v>
      </c>
      <c r="G1126" s="11" t="s">
        <v>360</v>
      </c>
      <c r="H1126">
        <v>1</v>
      </c>
      <c r="I1126" s="11" t="s">
        <v>3447</v>
      </c>
      <c r="M1126" s="11" t="s">
        <v>79</v>
      </c>
      <c r="N1126" s="11" t="s">
        <v>3448</v>
      </c>
      <c r="O1126" s="11" t="s">
        <v>3449</v>
      </c>
      <c r="P1126" s="11" t="s">
        <v>3447</v>
      </c>
      <c r="Q1126" s="11" t="s">
        <v>135</v>
      </c>
      <c r="U1126" s="11" t="s">
        <v>364</v>
      </c>
      <c r="V1126" s="11" t="s">
        <v>137</v>
      </c>
      <c r="W1126" s="13">
        <v>46302.314618055556</v>
      </c>
    </row>
    <row r="1127" spans="1:23">
      <c r="A1127">
        <v>277917</v>
      </c>
      <c r="B1127">
        <v>10915</v>
      </c>
      <c r="C1127" s="11" t="s">
        <v>129</v>
      </c>
      <c r="D1127" s="11" t="s">
        <v>130</v>
      </c>
      <c r="E1127" s="11" t="s">
        <v>25</v>
      </c>
      <c r="F1127" s="12">
        <v>46225</v>
      </c>
      <c r="G1127" s="11" t="s">
        <v>1777</v>
      </c>
      <c r="H1127">
        <v>1</v>
      </c>
      <c r="I1127" s="11" t="s">
        <v>345</v>
      </c>
      <c r="M1127" s="11" t="s">
        <v>80</v>
      </c>
      <c r="N1127" s="11" t="s">
        <v>3450</v>
      </c>
      <c r="O1127" s="11" t="s">
        <v>3451</v>
      </c>
      <c r="P1127" s="11" t="s">
        <v>345</v>
      </c>
      <c r="Q1127" s="11" t="s">
        <v>135</v>
      </c>
      <c r="U1127" s="11" t="s">
        <v>1781</v>
      </c>
      <c r="V1127" s="11" t="s">
        <v>137</v>
      </c>
      <c r="W1127" s="13">
        <v>46302.314618055556</v>
      </c>
    </row>
    <row r="1128" spans="1:23">
      <c r="A1128">
        <v>277918</v>
      </c>
      <c r="B1128">
        <v>10916</v>
      </c>
      <c r="C1128" s="11" t="s">
        <v>129</v>
      </c>
      <c r="D1128" s="11" t="s">
        <v>130</v>
      </c>
      <c r="E1128" s="11" t="s">
        <v>25</v>
      </c>
      <c r="F1128" s="12">
        <v>46225</v>
      </c>
      <c r="G1128" s="11" t="s">
        <v>3452</v>
      </c>
      <c r="H1128">
        <v>1</v>
      </c>
      <c r="I1128" s="11" t="s">
        <v>3453</v>
      </c>
      <c r="M1128" s="11" t="s">
        <v>85</v>
      </c>
      <c r="N1128" s="11" t="s">
        <v>3454</v>
      </c>
      <c r="O1128" s="11" t="s">
        <v>3455</v>
      </c>
      <c r="P1128" s="11" t="s">
        <v>3453</v>
      </c>
      <c r="Q1128" s="11" t="s">
        <v>135</v>
      </c>
      <c r="U1128" s="11" t="s">
        <v>3456</v>
      </c>
      <c r="V1128" s="11" t="s">
        <v>137</v>
      </c>
      <c r="W1128" s="13">
        <v>46302.314618055556</v>
      </c>
    </row>
    <row r="1129" spans="1:23">
      <c r="A1129">
        <v>277919</v>
      </c>
      <c r="B1129">
        <v>10917</v>
      </c>
      <c r="C1129" s="11" t="s">
        <v>129</v>
      </c>
      <c r="D1129" s="11" t="s">
        <v>130</v>
      </c>
      <c r="E1129" s="11" t="s">
        <v>25</v>
      </c>
      <c r="F1129" s="12">
        <v>46225</v>
      </c>
      <c r="G1129" s="11" t="s">
        <v>316</v>
      </c>
      <c r="H1129">
        <v>1</v>
      </c>
      <c r="I1129" s="11" t="s">
        <v>1625</v>
      </c>
      <c r="M1129" s="11" t="s">
        <v>87</v>
      </c>
      <c r="N1129" s="11" t="s">
        <v>3457</v>
      </c>
      <c r="O1129" s="11" t="s">
        <v>3458</v>
      </c>
      <c r="P1129" s="11" t="s">
        <v>1625</v>
      </c>
      <c r="Q1129" s="11" t="s">
        <v>135</v>
      </c>
      <c r="U1129" s="11" t="s">
        <v>320</v>
      </c>
      <c r="V1129" s="11" t="s">
        <v>137</v>
      </c>
      <c r="W1129" s="13">
        <v>46302.314618055556</v>
      </c>
    </row>
    <row r="1130" spans="1:23">
      <c r="A1130">
        <v>277920</v>
      </c>
      <c r="B1130">
        <v>10918</v>
      </c>
      <c r="C1130" s="11" t="s">
        <v>129</v>
      </c>
      <c r="D1130" s="11" t="s">
        <v>130</v>
      </c>
      <c r="E1130" s="11" t="s">
        <v>25</v>
      </c>
      <c r="F1130" s="12">
        <v>46225</v>
      </c>
      <c r="G1130" s="11" t="s">
        <v>334</v>
      </c>
      <c r="H1130">
        <v>3</v>
      </c>
      <c r="I1130" s="11" t="s">
        <v>3459</v>
      </c>
      <c r="M1130" s="11" t="s">
        <v>64</v>
      </c>
      <c r="N1130" s="11" t="s">
        <v>3460</v>
      </c>
      <c r="O1130" s="11" t="s">
        <v>3461</v>
      </c>
      <c r="P1130" s="11" t="s">
        <v>1468</v>
      </c>
      <c r="Q1130" s="11" t="s">
        <v>135</v>
      </c>
      <c r="U1130" s="11" t="s">
        <v>338</v>
      </c>
      <c r="V1130" s="11" t="s">
        <v>137</v>
      </c>
      <c r="W1130" s="13">
        <v>46302.314618055556</v>
      </c>
    </row>
    <row r="1131" spans="1:23">
      <c r="A1131">
        <v>277921</v>
      </c>
      <c r="B1131">
        <v>10919</v>
      </c>
      <c r="C1131" s="11" t="s">
        <v>129</v>
      </c>
      <c r="D1131" s="11" t="s">
        <v>130</v>
      </c>
      <c r="E1131" s="11" t="s">
        <v>25</v>
      </c>
      <c r="F1131" s="12">
        <v>46225</v>
      </c>
      <c r="G1131" s="11" t="s">
        <v>393</v>
      </c>
      <c r="H1131">
        <v>1</v>
      </c>
      <c r="I1131" s="11" t="s">
        <v>3462</v>
      </c>
      <c r="M1131" s="11" t="s">
        <v>86</v>
      </c>
      <c r="N1131" s="11" t="s">
        <v>3463</v>
      </c>
      <c r="O1131" s="11" t="s">
        <v>3464</v>
      </c>
      <c r="P1131" s="11" t="s">
        <v>3462</v>
      </c>
      <c r="Q1131" s="11" t="s">
        <v>135</v>
      </c>
      <c r="U1131" s="11" t="s">
        <v>397</v>
      </c>
      <c r="V1131" s="11" t="s">
        <v>137</v>
      </c>
      <c r="W1131" s="13">
        <v>46302.314618055556</v>
      </c>
    </row>
    <row r="1132" spans="1:23">
      <c r="A1132">
        <v>277922</v>
      </c>
      <c r="B1132">
        <v>10920</v>
      </c>
      <c r="C1132" s="11" t="s">
        <v>129</v>
      </c>
      <c r="D1132" s="11" t="s">
        <v>130</v>
      </c>
      <c r="E1132" s="11" t="s">
        <v>25</v>
      </c>
      <c r="F1132" s="12">
        <v>46225</v>
      </c>
      <c r="G1132" s="11" t="s">
        <v>339</v>
      </c>
      <c r="H1132">
        <v>1</v>
      </c>
      <c r="I1132" s="11" t="s">
        <v>3465</v>
      </c>
      <c r="M1132" s="11" t="s">
        <v>92</v>
      </c>
      <c r="N1132" s="11" t="s">
        <v>3466</v>
      </c>
      <c r="O1132" s="11" t="s">
        <v>3467</v>
      </c>
      <c r="P1132" s="11" t="s">
        <v>3465</v>
      </c>
      <c r="Q1132" s="11" t="s">
        <v>135</v>
      </c>
      <c r="U1132" s="11" t="s">
        <v>343</v>
      </c>
      <c r="V1132" s="11" t="s">
        <v>137</v>
      </c>
      <c r="W1132" s="13">
        <v>46302.314618055556</v>
      </c>
    </row>
    <row r="1133" spans="1:23">
      <c r="A1133">
        <v>277923</v>
      </c>
      <c r="B1133">
        <v>10921</v>
      </c>
      <c r="C1133" s="11" t="s">
        <v>129</v>
      </c>
      <c r="D1133" s="11" t="s">
        <v>130</v>
      </c>
      <c r="E1133" s="11" t="s">
        <v>25</v>
      </c>
      <c r="F1133" s="12">
        <v>46225</v>
      </c>
      <c r="G1133" s="11" t="s">
        <v>393</v>
      </c>
      <c r="H1133">
        <v>1</v>
      </c>
      <c r="I1133" s="11" t="s">
        <v>3468</v>
      </c>
      <c r="M1133" s="11" t="s">
        <v>86</v>
      </c>
      <c r="N1133" s="11" t="s">
        <v>3469</v>
      </c>
      <c r="O1133" s="11" t="s">
        <v>3470</v>
      </c>
      <c r="P1133" s="11" t="s">
        <v>3468</v>
      </c>
      <c r="Q1133" s="11" t="s">
        <v>135</v>
      </c>
      <c r="U1133" s="11" t="s">
        <v>397</v>
      </c>
      <c r="V1133" s="11" t="s">
        <v>137</v>
      </c>
      <c r="W1133" s="13">
        <v>46302.314618055556</v>
      </c>
    </row>
    <row r="1134" spans="1:23">
      <c r="A1134">
        <v>277924</v>
      </c>
      <c r="B1134">
        <v>10904</v>
      </c>
      <c r="C1134" s="11" t="s">
        <v>129</v>
      </c>
      <c r="D1134" s="11" t="s">
        <v>130</v>
      </c>
      <c r="E1134" s="11" t="s">
        <v>25</v>
      </c>
      <c r="F1134" s="12">
        <v>46225</v>
      </c>
      <c r="G1134" s="11" t="s">
        <v>401</v>
      </c>
      <c r="H1134">
        <v>1</v>
      </c>
      <c r="I1134" s="11" t="s">
        <v>3422</v>
      </c>
      <c r="M1134" s="11" t="s">
        <v>90</v>
      </c>
      <c r="N1134" s="11" t="s">
        <v>1525</v>
      </c>
      <c r="O1134" s="11" t="s">
        <v>3471</v>
      </c>
      <c r="P1134" s="11" t="s">
        <v>3422</v>
      </c>
      <c r="Q1134" s="11" t="s">
        <v>135</v>
      </c>
      <c r="R1134">
        <v>10903</v>
      </c>
      <c r="U1134" s="11" t="s">
        <v>404</v>
      </c>
      <c r="V1134" s="11" t="s">
        <v>137</v>
      </c>
      <c r="W1134" s="13">
        <v>46302.314618055556</v>
      </c>
    </row>
    <row r="1135" spans="1:23">
      <c r="A1135">
        <v>278494</v>
      </c>
      <c r="B1135">
        <v>10951</v>
      </c>
      <c r="C1135" s="11" t="s">
        <v>129</v>
      </c>
      <c r="D1135" s="11" t="s">
        <v>130</v>
      </c>
      <c r="E1135" s="11" t="s">
        <v>25</v>
      </c>
      <c r="F1135" s="12">
        <v>46227</v>
      </c>
      <c r="G1135" s="11" t="s">
        <v>1679</v>
      </c>
      <c r="H1135">
        <v>1</v>
      </c>
      <c r="I1135" s="11" t="s">
        <v>3472</v>
      </c>
      <c r="M1135" s="11" t="s">
        <v>87</v>
      </c>
      <c r="N1135" s="11" t="s">
        <v>3473</v>
      </c>
      <c r="O1135" s="11" t="s">
        <v>2165</v>
      </c>
      <c r="P1135" s="11" t="s">
        <v>3472</v>
      </c>
      <c r="Q1135" s="11" t="s">
        <v>135</v>
      </c>
      <c r="U1135" s="11" t="s">
        <v>1682</v>
      </c>
      <c r="V1135" s="11" t="s">
        <v>137</v>
      </c>
      <c r="W1135" s="13">
        <v>46302.314618055556</v>
      </c>
    </row>
    <row r="1136" spans="1:23">
      <c r="A1136">
        <v>278495</v>
      </c>
      <c r="B1136">
        <v>10952</v>
      </c>
      <c r="C1136" s="11" t="s">
        <v>129</v>
      </c>
      <c r="D1136" s="11" t="s">
        <v>130</v>
      </c>
      <c r="E1136" s="11" t="s">
        <v>25</v>
      </c>
      <c r="F1136" s="12">
        <v>46227</v>
      </c>
      <c r="G1136" s="11" t="s">
        <v>804</v>
      </c>
      <c r="H1136">
        <v>2</v>
      </c>
      <c r="I1136" s="11" t="s">
        <v>3474</v>
      </c>
      <c r="M1136" s="11" t="s">
        <v>76</v>
      </c>
      <c r="N1136" s="11" t="s">
        <v>3475</v>
      </c>
      <c r="O1136" s="11" t="s">
        <v>3476</v>
      </c>
      <c r="P1136" s="11" t="s">
        <v>3188</v>
      </c>
      <c r="Q1136" s="11" t="s">
        <v>2160</v>
      </c>
      <c r="U1136" s="11" t="s">
        <v>808</v>
      </c>
      <c r="V1136" s="11" t="s">
        <v>137</v>
      </c>
      <c r="W1136" s="13">
        <v>46302.314618055556</v>
      </c>
    </row>
    <row r="1137" spans="1:23">
      <c r="A1137">
        <v>278496</v>
      </c>
      <c r="B1137">
        <v>10954</v>
      </c>
      <c r="C1137" s="11" t="s">
        <v>129</v>
      </c>
      <c r="D1137" s="11" t="s">
        <v>130</v>
      </c>
      <c r="E1137" s="11" t="s">
        <v>25</v>
      </c>
      <c r="F1137" s="12">
        <v>46227</v>
      </c>
      <c r="G1137" s="11" t="s">
        <v>1679</v>
      </c>
      <c r="H1137">
        <v>1</v>
      </c>
      <c r="I1137" s="11" t="s">
        <v>3477</v>
      </c>
      <c r="M1137" s="11" t="s">
        <v>87</v>
      </c>
      <c r="N1137" s="11" t="s">
        <v>3478</v>
      </c>
      <c r="O1137" s="11" t="s">
        <v>3479</v>
      </c>
      <c r="P1137" s="11" t="s">
        <v>3477</v>
      </c>
      <c r="Q1137" s="11" t="s">
        <v>135</v>
      </c>
      <c r="U1137" s="11" t="s">
        <v>1682</v>
      </c>
      <c r="V1137" s="11" t="s">
        <v>137</v>
      </c>
      <c r="W1137" s="13">
        <v>46302.314618055556</v>
      </c>
    </row>
    <row r="1138" spans="1:23">
      <c r="A1138">
        <v>278497</v>
      </c>
      <c r="B1138">
        <v>10955</v>
      </c>
      <c r="C1138" s="11" t="s">
        <v>129</v>
      </c>
      <c r="D1138" s="11" t="s">
        <v>130</v>
      </c>
      <c r="E1138" s="11" t="s">
        <v>25</v>
      </c>
      <c r="F1138" s="12">
        <v>46227</v>
      </c>
      <c r="G1138" s="11" t="s">
        <v>804</v>
      </c>
      <c r="H1138">
        <v>4</v>
      </c>
      <c r="I1138" s="11" t="s">
        <v>3480</v>
      </c>
      <c r="M1138" s="11" t="s">
        <v>76</v>
      </c>
      <c r="N1138" s="11" t="s">
        <v>3481</v>
      </c>
      <c r="O1138" s="11" t="s">
        <v>3482</v>
      </c>
      <c r="P1138" s="11" t="s">
        <v>3483</v>
      </c>
      <c r="Q1138" s="11" t="s">
        <v>135</v>
      </c>
      <c r="U1138" s="11" t="s">
        <v>808</v>
      </c>
      <c r="V1138" s="11" t="s">
        <v>137</v>
      </c>
      <c r="W1138" s="13">
        <v>46302.314618055556</v>
      </c>
    </row>
    <row r="1139" spans="1:23">
      <c r="A1139">
        <v>278498</v>
      </c>
      <c r="B1139">
        <v>10956</v>
      </c>
      <c r="C1139" s="11" t="s">
        <v>129</v>
      </c>
      <c r="D1139" s="11" t="s">
        <v>130</v>
      </c>
      <c r="E1139" s="11" t="s">
        <v>25</v>
      </c>
      <c r="F1139" s="12">
        <v>46227</v>
      </c>
      <c r="G1139" s="11" t="s">
        <v>823</v>
      </c>
      <c r="H1139">
        <v>1</v>
      </c>
      <c r="I1139" s="11" t="s">
        <v>1220</v>
      </c>
      <c r="M1139" s="11" t="s">
        <v>92</v>
      </c>
      <c r="N1139" s="11" t="s">
        <v>3484</v>
      </c>
      <c r="O1139" s="11" t="s">
        <v>3485</v>
      </c>
      <c r="P1139" s="11" t="s">
        <v>1220</v>
      </c>
      <c r="Q1139" s="11" t="s">
        <v>135</v>
      </c>
      <c r="U1139" s="11" t="s">
        <v>827</v>
      </c>
      <c r="V1139" s="11" t="s">
        <v>137</v>
      </c>
      <c r="W1139" s="13">
        <v>46302.314618055556</v>
      </c>
    </row>
    <row r="1140" spans="1:23">
      <c r="A1140">
        <v>278499</v>
      </c>
      <c r="B1140">
        <v>10957</v>
      </c>
      <c r="C1140" s="11" t="s">
        <v>129</v>
      </c>
      <c r="D1140" s="11" t="s">
        <v>130</v>
      </c>
      <c r="E1140" s="11" t="s">
        <v>25</v>
      </c>
      <c r="F1140" s="12">
        <v>46227</v>
      </c>
      <c r="G1140" s="11" t="s">
        <v>804</v>
      </c>
      <c r="H1140">
        <v>1</v>
      </c>
      <c r="I1140" s="11" t="s">
        <v>3486</v>
      </c>
      <c r="M1140" s="11" t="s">
        <v>76</v>
      </c>
      <c r="N1140" s="11" t="s">
        <v>3487</v>
      </c>
      <c r="O1140" s="11" t="s">
        <v>3488</v>
      </c>
      <c r="P1140" s="11" t="s">
        <v>3486</v>
      </c>
      <c r="Q1140" s="11" t="s">
        <v>135</v>
      </c>
      <c r="U1140" s="11" t="s">
        <v>808</v>
      </c>
      <c r="V1140" s="11" t="s">
        <v>137</v>
      </c>
      <c r="W1140" s="13">
        <v>46302.314618055556</v>
      </c>
    </row>
    <row r="1141" spans="1:23">
      <c r="A1141">
        <v>278500</v>
      </c>
      <c r="B1141">
        <v>10958</v>
      </c>
      <c r="C1141" s="11" t="s">
        <v>129</v>
      </c>
      <c r="D1141" s="11" t="s">
        <v>130</v>
      </c>
      <c r="E1141" s="11" t="s">
        <v>25</v>
      </c>
      <c r="F1141" s="12">
        <v>46227</v>
      </c>
      <c r="G1141" s="11" t="s">
        <v>1679</v>
      </c>
      <c r="H1141">
        <v>1</v>
      </c>
      <c r="I1141" s="11" t="s">
        <v>3489</v>
      </c>
      <c r="M1141" s="11" t="s">
        <v>87</v>
      </c>
      <c r="N1141" s="11" t="s">
        <v>3490</v>
      </c>
      <c r="O1141" s="11" t="s">
        <v>3491</v>
      </c>
      <c r="P1141" s="11" t="s">
        <v>3489</v>
      </c>
      <c r="Q1141" s="11" t="s">
        <v>135</v>
      </c>
      <c r="U1141" s="11" t="s">
        <v>1682</v>
      </c>
      <c r="V1141" s="11" t="s">
        <v>137</v>
      </c>
      <c r="W1141" s="13">
        <v>46302.314618055556</v>
      </c>
    </row>
    <row r="1142" spans="1:23">
      <c r="A1142">
        <v>278501</v>
      </c>
      <c r="B1142">
        <v>10959</v>
      </c>
      <c r="C1142" s="11" t="s">
        <v>129</v>
      </c>
      <c r="D1142" s="11" t="s">
        <v>130</v>
      </c>
      <c r="E1142" s="11" t="s">
        <v>25</v>
      </c>
      <c r="F1142" s="12">
        <v>46227</v>
      </c>
      <c r="G1142" s="11" t="s">
        <v>823</v>
      </c>
      <c r="H1142">
        <v>1</v>
      </c>
      <c r="I1142" s="11" t="s">
        <v>3492</v>
      </c>
      <c r="M1142" s="11" t="s">
        <v>92</v>
      </c>
      <c r="N1142" s="11" t="s">
        <v>3493</v>
      </c>
      <c r="O1142" s="11" t="s">
        <v>1891</v>
      </c>
      <c r="P1142" s="11" t="s">
        <v>3492</v>
      </c>
      <c r="Q1142" s="11" t="s">
        <v>135</v>
      </c>
      <c r="U1142" s="11" t="s">
        <v>827</v>
      </c>
      <c r="V1142" s="11" t="s">
        <v>137</v>
      </c>
      <c r="W1142" s="13">
        <v>46302.314618055556</v>
      </c>
    </row>
    <row r="1143" spans="1:23">
      <c r="A1143">
        <v>278502</v>
      </c>
      <c r="B1143">
        <v>10960</v>
      </c>
      <c r="C1143" s="11" t="s">
        <v>129</v>
      </c>
      <c r="D1143" s="11" t="s">
        <v>130</v>
      </c>
      <c r="E1143" s="11" t="s">
        <v>25</v>
      </c>
      <c r="F1143" s="12">
        <v>46227</v>
      </c>
      <c r="G1143" s="11" t="s">
        <v>804</v>
      </c>
      <c r="H1143">
        <v>1</v>
      </c>
      <c r="I1143" s="11" t="s">
        <v>3494</v>
      </c>
      <c r="M1143" s="11" t="s">
        <v>76</v>
      </c>
      <c r="N1143" s="11" t="s">
        <v>3495</v>
      </c>
      <c r="O1143" s="11" t="s">
        <v>3496</v>
      </c>
      <c r="P1143" s="11" t="s">
        <v>3494</v>
      </c>
      <c r="Q1143" s="11" t="s">
        <v>135</v>
      </c>
      <c r="U1143" s="11" t="s">
        <v>808</v>
      </c>
      <c r="V1143" s="11" t="s">
        <v>137</v>
      </c>
      <c r="W1143" s="13">
        <v>46302.314618055556</v>
      </c>
    </row>
    <row r="1144" spans="1:23">
      <c r="A1144">
        <v>278503</v>
      </c>
      <c r="B1144">
        <v>10961</v>
      </c>
      <c r="C1144" s="11" t="s">
        <v>129</v>
      </c>
      <c r="D1144" s="11" t="s">
        <v>130</v>
      </c>
      <c r="E1144" s="11" t="s">
        <v>25</v>
      </c>
      <c r="F1144" s="12">
        <v>46227</v>
      </c>
      <c r="G1144" s="11" t="s">
        <v>1679</v>
      </c>
      <c r="H1144">
        <v>1</v>
      </c>
      <c r="I1144" s="11" t="s">
        <v>612</v>
      </c>
      <c r="M1144" s="11" t="s">
        <v>87</v>
      </c>
      <c r="N1144" s="11" t="s">
        <v>3497</v>
      </c>
      <c r="O1144" s="11" t="s">
        <v>3498</v>
      </c>
      <c r="P1144" s="11" t="s">
        <v>612</v>
      </c>
      <c r="Q1144" s="11" t="s">
        <v>135</v>
      </c>
      <c r="U1144" s="11" t="s">
        <v>1682</v>
      </c>
      <c r="V1144" s="11" t="s">
        <v>137</v>
      </c>
      <c r="W1144" s="13">
        <v>46302.314618055556</v>
      </c>
    </row>
    <row r="1145" spans="1:23">
      <c r="A1145">
        <v>278504</v>
      </c>
      <c r="B1145">
        <v>10962</v>
      </c>
      <c r="C1145" s="11" t="s">
        <v>129</v>
      </c>
      <c r="D1145" s="11" t="s">
        <v>130</v>
      </c>
      <c r="E1145" s="11" t="s">
        <v>25</v>
      </c>
      <c r="F1145" s="12">
        <v>46227</v>
      </c>
      <c r="G1145" s="11" t="s">
        <v>804</v>
      </c>
      <c r="H1145">
        <v>3</v>
      </c>
      <c r="I1145" s="11" t="s">
        <v>3499</v>
      </c>
      <c r="M1145" s="11" t="s">
        <v>76</v>
      </c>
      <c r="N1145" s="11" t="s">
        <v>3500</v>
      </c>
      <c r="O1145" s="11" t="s">
        <v>3501</v>
      </c>
      <c r="P1145" s="11" t="s">
        <v>259</v>
      </c>
      <c r="Q1145" s="11" t="s">
        <v>135</v>
      </c>
      <c r="U1145" s="11" t="s">
        <v>808</v>
      </c>
      <c r="V1145" s="11" t="s">
        <v>137</v>
      </c>
      <c r="W1145" s="13">
        <v>46302.314618055556</v>
      </c>
    </row>
    <row r="1146" spans="1:23">
      <c r="A1146">
        <v>278505</v>
      </c>
      <c r="B1146">
        <v>10963</v>
      </c>
      <c r="C1146" s="11" t="s">
        <v>129</v>
      </c>
      <c r="D1146" s="11" t="s">
        <v>130</v>
      </c>
      <c r="E1146" s="11" t="s">
        <v>25</v>
      </c>
      <c r="F1146" s="12">
        <v>46227</v>
      </c>
      <c r="G1146" s="11" t="s">
        <v>1679</v>
      </c>
      <c r="H1146">
        <v>1</v>
      </c>
      <c r="I1146" s="11" t="s">
        <v>3502</v>
      </c>
      <c r="M1146" s="11" t="s">
        <v>87</v>
      </c>
      <c r="N1146" s="11" t="s">
        <v>3503</v>
      </c>
      <c r="O1146" s="11" t="s">
        <v>3504</v>
      </c>
      <c r="P1146" s="11" t="s">
        <v>3502</v>
      </c>
      <c r="Q1146" s="11" t="s">
        <v>135</v>
      </c>
      <c r="U1146" s="11" t="s">
        <v>1682</v>
      </c>
      <c r="V1146" s="11" t="s">
        <v>137</v>
      </c>
      <c r="W1146" s="13">
        <v>46302.314618055556</v>
      </c>
    </row>
    <row r="1147" spans="1:23">
      <c r="A1147">
        <v>278506</v>
      </c>
      <c r="B1147">
        <v>10964</v>
      </c>
      <c r="C1147" s="11" t="s">
        <v>129</v>
      </c>
      <c r="D1147" s="11" t="s">
        <v>130</v>
      </c>
      <c r="E1147" s="11" t="s">
        <v>25</v>
      </c>
      <c r="F1147" s="12">
        <v>46227</v>
      </c>
      <c r="G1147" s="11" t="s">
        <v>2797</v>
      </c>
      <c r="H1147">
        <v>1</v>
      </c>
      <c r="I1147" s="11" t="s">
        <v>3379</v>
      </c>
      <c r="M1147" s="11" t="s">
        <v>89</v>
      </c>
      <c r="N1147" s="11" t="s">
        <v>3505</v>
      </c>
      <c r="O1147" s="11" t="s">
        <v>3506</v>
      </c>
      <c r="P1147" s="11" t="s">
        <v>3379</v>
      </c>
      <c r="Q1147" s="11" t="s">
        <v>135</v>
      </c>
      <c r="U1147" s="11" t="s">
        <v>2801</v>
      </c>
      <c r="V1147" s="11" t="s">
        <v>137</v>
      </c>
      <c r="W1147" s="13">
        <v>46302.314618055556</v>
      </c>
    </row>
    <row r="1148" spans="1:23">
      <c r="A1148">
        <v>278507</v>
      </c>
      <c r="B1148">
        <v>10965</v>
      </c>
      <c r="C1148" s="11" t="s">
        <v>129</v>
      </c>
      <c r="D1148" s="11" t="s">
        <v>130</v>
      </c>
      <c r="E1148" s="11" t="s">
        <v>25</v>
      </c>
      <c r="F1148" s="12">
        <v>46227</v>
      </c>
      <c r="G1148" s="11" t="s">
        <v>804</v>
      </c>
      <c r="H1148">
        <v>1</v>
      </c>
      <c r="I1148" s="11" t="s">
        <v>405</v>
      </c>
      <c r="M1148" s="11" t="s">
        <v>76</v>
      </c>
      <c r="N1148" s="11" t="s">
        <v>3507</v>
      </c>
      <c r="O1148" s="11" t="s">
        <v>3508</v>
      </c>
      <c r="P1148" s="11" t="s">
        <v>405</v>
      </c>
      <c r="Q1148" s="11" t="s">
        <v>135</v>
      </c>
      <c r="U1148" s="11" t="s">
        <v>808</v>
      </c>
      <c r="V1148" s="11" t="s">
        <v>137</v>
      </c>
      <c r="W1148" s="13">
        <v>46302.314618055556</v>
      </c>
    </row>
    <row r="1149" spans="1:23">
      <c r="A1149">
        <v>278508</v>
      </c>
      <c r="B1149">
        <v>10966</v>
      </c>
      <c r="C1149" s="11" t="s">
        <v>129</v>
      </c>
      <c r="D1149" s="11" t="s">
        <v>130</v>
      </c>
      <c r="E1149" s="11" t="s">
        <v>25</v>
      </c>
      <c r="F1149" s="12">
        <v>46227</v>
      </c>
      <c r="G1149" s="11" t="s">
        <v>804</v>
      </c>
      <c r="H1149">
        <v>3</v>
      </c>
      <c r="I1149" s="11" t="s">
        <v>3509</v>
      </c>
      <c r="M1149" s="11" t="s">
        <v>76</v>
      </c>
      <c r="N1149" s="11" t="s">
        <v>3510</v>
      </c>
      <c r="O1149" s="11" t="s">
        <v>3511</v>
      </c>
      <c r="P1149" s="11" t="s">
        <v>3512</v>
      </c>
      <c r="Q1149" s="11" t="s">
        <v>135</v>
      </c>
      <c r="U1149" s="11" t="s">
        <v>808</v>
      </c>
      <c r="V1149" s="11" t="s">
        <v>137</v>
      </c>
      <c r="W1149" s="13">
        <v>46302.314618055556</v>
      </c>
    </row>
    <row r="1150" spans="1:23">
      <c r="A1150">
        <v>278509</v>
      </c>
      <c r="B1150">
        <v>10967</v>
      </c>
      <c r="C1150" s="11" t="s">
        <v>129</v>
      </c>
      <c r="D1150" s="11" t="s">
        <v>130</v>
      </c>
      <c r="E1150" s="11" t="s">
        <v>25</v>
      </c>
      <c r="F1150" s="12">
        <v>46227</v>
      </c>
      <c r="G1150" s="11" t="s">
        <v>1679</v>
      </c>
      <c r="H1150">
        <v>1</v>
      </c>
      <c r="I1150" s="11" t="s">
        <v>784</v>
      </c>
      <c r="M1150" s="11" t="s">
        <v>87</v>
      </c>
      <c r="N1150" s="11" t="s">
        <v>3513</v>
      </c>
      <c r="O1150" s="11" t="s">
        <v>3514</v>
      </c>
      <c r="P1150" s="11" t="s">
        <v>784</v>
      </c>
      <c r="Q1150" s="11" t="s">
        <v>135</v>
      </c>
      <c r="U1150" s="11" t="s">
        <v>1682</v>
      </c>
      <c r="V1150" s="11" t="s">
        <v>137</v>
      </c>
      <c r="W1150" s="13">
        <v>46302.314618055556</v>
      </c>
    </row>
    <row r="1151" spans="1:23">
      <c r="A1151">
        <v>278510</v>
      </c>
      <c r="B1151">
        <v>10968</v>
      </c>
      <c r="C1151" s="11" t="s">
        <v>129</v>
      </c>
      <c r="D1151" s="11" t="s">
        <v>130</v>
      </c>
      <c r="E1151" s="11" t="s">
        <v>25</v>
      </c>
      <c r="F1151" s="12">
        <v>46227</v>
      </c>
      <c r="G1151" s="11" t="s">
        <v>804</v>
      </c>
      <c r="H1151">
        <v>1</v>
      </c>
      <c r="I1151" s="11" t="s">
        <v>890</v>
      </c>
      <c r="M1151" s="11" t="s">
        <v>76</v>
      </c>
      <c r="N1151" s="11" t="s">
        <v>3515</v>
      </c>
      <c r="O1151" s="11" t="s">
        <v>3516</v>
      </c>
      <c r="P1151" s="11" t="s">
        <v>890</v>
      </c>
      <c r="Q1151" s="11" t="s">
        <v>135</v>
      </c>
      <c r="U1151" s="11" t="s">
        <v>808</v>
      </c>
      <c r="V1151" s="11" t="s">
        <v>137</v>
      </c>
      <c r="W1151" s="13">
        <v>46302.314618055556</v>
      </c>
    </row>
    <row r="1152" spans="1:23">
      <c r="A1152">
        <v>278511</v>
      </c>
      <c r="B1152">
        <v>10969</v>
      </c>
      <c r="C1152" s="11" t="s">
        <v>129</v>
      </c>
      <c r="D1152" s="11" t="s">
        <v>130</v>
      </c>
      <c r="E1152" s="11" t="s">
        <v>25</v>
      </c>
      <c r="F1152" s="12">
        <v>46227</v>
      </c>
      <c r="G1152" s="11" t="s">
        <v>823</v>
      </c>
      <c r="H1152">
        <v>1</v>
      </c>
      <c r="I1152" s="11" t="s">
        <v>3517</v>
      </c>
      <c r="M1152" s="11" t="s">
        <v>92</v>
      </c>
      <c r="N1152" s="11" t="s">
        <v>3518</v>
      </c>
      <c r="O1152" s="11" t="s">
        <v>3519</v>
      </c>
      <c r="P1152" s="11" t="s">
        <v>3517</v>
      </c>
      <c r="Q1152" s="11" t="s">
        <v>135</v>
      </c>
      <c r="U1152" s="11" t="s">
        <v>827</v>
      </c>
      <c r="V1152" s="11" t="s">
        <v>137</v>
      </c>
      <c r="W1152" s="13">
        <v>46302.314618055556</v>
      </c>
    </row>
    <row r="1153" spans="1:23">
      <c r="A1153">
        <v>278512</v>
      </c>
      <c r="B1153">
        <v>10970</v>
      </c>
      <c r="C1153" s="11" t="s">
        <v>129</v>
      </c>
      <c r="D1153" s="11" t="s">
        <v>130</v>
      </c>
      <c r="E1153" s="11" t="s">
        <v>25</v>
      </c>
      <c r="F1153" s="12">
        <v>46227</v>
      </c>
      <c r="G1153" s="11" t="s">
        <v>312</v>
      </c>
      <c r="H1153">
        <v>1</v>
      </c>
      <c r="I1153" s="11" t="s">
        <v>3520</v>
      </c>
      <c r="M1153" s="11" t="s">
        <v>86</v>
      </c>
      <c r="N1153" s="11" t="s">
        <v>3521</v>
      </c>
      <c r="O1153" s="11" t="s">
        <v>3522</v>
      </c>
      <c r="P1153" s="11" t="s">
        <v>3520</v>
      </c>
      <c r="Q1153" s="11" t="s">
        <v>135</v>
      </c>
      <c r="U1153" s="11" t="s">
        <v>315</v>
      </c>
      <c r="V1153" s="11" t="s">
        <v>137</v>
      </c>
      <c r="W1153" s="13">
        <v>46302.314618055556</v>
      </c>
    </row>
    <row r="1154" spans="1:23">
      <c r="A1154">
        <v>278513</v>
      </c>
      <c r="B1154">
        <v>10953</v>
      </c>
      <c r="C1154" s="11" t="s">
        <v>129</v>
      </c>
      <c r="D1154" s="11" t="s">
        <v>130</v>
      </c>
      <c r="E1154" s="11" t="s">
        <v>25</v>
      </c>
      <c r="F1154" s="12">
        <v>46227</v>
      </c>
      <c r="G1154" s="11" t="s">
        <v>308</v>
      </c>
      <c r="H1154">
        <v>1</v>
      </c>
      <c r="I1154" s="11" t="s">
        <v>2160</v>
      </c>
      <c r="M1154" s="11" t="s">
        <v>90</v>
      </c>
      <c r="N1154" s="11" t="s">
        <v>3523</v>
      </c>
      <c r="O1154" s="11" t="s">
        <v>3524</v>
      </c>
      <c r="P1154" s="11" t="s">
        <v>2160</v>
      </c>
      <c r="Q1154" s="11" t="s">
        <v>135</v>
      </c>
      <c r="R1154">
        <v>10952</v>
      </c>
      <c r="U1154" s="11" t="s">
        <v>311</v>
      </c>
      <c r="V1154" s="11" t="s">
        <v>137</v>
      </c>
      <c r="W1154" s="13">
        <v>46302.314618055556</v>
      </c>
    </row>
    <row r="1155" spans="1:23">
      <c r="A1155">
        <v>278770</v>
      </c>
      <c r="B1155">
        <v>11127</v>
      </c>
      <c r="C1155" s="11" t="s">
        <v>129</v>
      </c>
      <c r="D1155" s="11" t="s">
        <v>130</v>
      </c>
      <c r="E1155" s="11" t="s">
        <v>25</v>
      </c>
      <c r="F1155" s="12">
        <v>46230</v>
      </c>
      <c r="G1155" s="11" t="s">
        <v>316</v>
      </c>
      <c r="H1155">
        <v>1</v>
      </c>
      <c r="I1155" s="11" t="s">
        <v>3525</v>
      </c>
      <c r="M1155" s="11" t="s">
        <v>87</v>
      </c>
      <c r="N1155" s="11" t="s">
        <v>3526</v>
      </c>
      <c r="O1155" s="11" t="s">
        <v>3527</v>
      </c>
      <c r="P1155" s="11" t="s">
        <v>3525</v>
      </c>
      <c r="Q1155" s="11" t="s">
        <v>135</v>
      </c>
      <c r="U1155" s="11" t="s">
        <v>320</v>
      </c>
      <c r="V1155" s="11" t="s">
        <v>137</v>
      </c>
      <c r="W1155" s="13">
        <v>46302.314618055556</v>
      </c>
    </row>
    <row r="1156" spans="1:23">
      <c r="A1156">
        <v>278771</v>
      </c>
      <c r="B1156">
        <v>11128</v>
      </c>
      <c r="C1156" s="11" t="s">
        <v>129</v>
      </c>
      <c r="D1156" s="11" t="s">
        <v>130</v>
      </c>
      <c r="E1156" s="11" t="s">
        <v>25</v>
      </c>
      <c r="F1156" s="12">
        <v>46230</v>
      </c>
      <c r="G1156" s="11" t="s">
        <v>1740</v>
      </c>
      <c r="H1156">
        <v>5</v>
      </c>
      <c r="I1156" s="11" t="s">
        <v>3528</v>
      </c>
      <c r="M1156" s="11" t="s">
        <v>69</v>
      </c>
      <c r="N1156" s="11" t="s">
        <v>3529</v>
      </c>
      <c r="O1156" s="11" t="s">
        <v>3530</v>
      </c>
      <c r="P1156" s="11" t="s">
        <v>3531</v>
      </c>
      <c r="Q1156" s="11" t="s">
        <v>135</v>
      </c>
      <c r="U1156" s="11" t="s">
        <v>1745</v>
      </c>
      <c r="V1156" s="11" t="s">
        <v>137</v>
      </c>
      <c r="W1156" s="13">
        <v>46302.314618055556</v>
      </c>
    </row>
    <row r="1157" spans="1:23">
      <c r="A1157">
        <v>278772</v>
      </c>
      <c r="B1157">
        <v>11129</v>
      </c>
      <c r="C1157" s="11" t="s">
        <v>129</v>
      </c>
      <c r="D1157" s="11" t="s">
        <v>130</v>
      </c>
      <c r="E1157" s="11" t="s">
        <v>25</v>
      </c>
      <c r="F1157" s="12">
        <v>46230</v>
      </c>
      <c r="G1157" s="11" t="s">
        <v>401</v>
      </c>
      <c r="H1157">
        <v>1</v>
      </c>
      <c r="I1157" s="11" t="s">
        <v>3532</v>
      </c>
      <c r="M1157" s="11" t="s">
        <v>90</v>
      </c>
      <c r="N1157" s="11" t="s">
        <v>3533</v>
      </c>
      <c r="O1157" s="11" t="s">
        <v>3534</v>
      </c>
      <c r="P1157" s="11" t="s">
        <v>3532</v>
      </c>
      <c r="Q1157" s="11" t="s">
        <v>135</v>
      </c>
      <c r="U1157" s="11" t="s">
        <v>404</v>
      </c>
      <c r="V1157" s="11" t="s">
        <v>137</v>
      </c>
      <c r="W1157" s="13">
        <v>46302.314618055556</v>
      </c>
    </row>
    <row r="1158" spans="1:23">
      <c r="A1158">
        <v>278773</v>
      </c>
      <c r="B1158">
        <v>11130</v>
      </c>
      <c r="C1158" s="11" t="s">
        <v>129</v>
      </c>
      <c r="D1158" s="11" t="s">
        <v>130</v>
      </c>
      <c r="E1158" s="11" t="s">
        <v>25</v>
      </c>
      <c r="F1158" s="12">
        <v>46230</v>
      </c>
      <c r="G1158" s="11" t="s">
        <v>316</v>
      </c>
      <c r="H1158">
        <v>1</v>
      </c>
      <c r="I1158" s="11" t="s">
        <v>2211</v>
      </c>
      <c r="M1158" s="11" t="s">
        <v>87</v>
      </c>
      <c r="N1158" s="11" t="s">
        <v>2853</v>
      </c>
      <c r="O1158" s="11" t="s">
        <v>2926</v>
      </c>
      <c r="P1158" s="11" t="s">
        <v>2211</v>
      </c>
      <c r="Q1158" s="11" t="s">
        <v>135</v>
      </c>
      <c r="U1158" s="11" t="s">
        <v>320</v>
      </c>
      <c r="V1158" s="11" t="s">
        <v>137</v>
      </c>
      <c r="W1158" s="13">
        <v>46302.314618055556</v>
      </c>
    </row>
    <row r="1159" spans="1:23">
      <c r="A1159">
        <v>278774</v>
      </c>
      <c r="B1159">
        <v>11131</v>
      </c>
      <c r="C1159" s="11" t="s">
        <v>129</v>
      </c>
      <c r="D1159" s="11" t="s">
        <v>130</v>
      </c>
      <c r="E1159" s="11" t="s">
        <v>25</v>
      </c>
      <c r="F1159" s="12">
        <v>46230</v>
      </c>
      <c r="G1159" s="11" t="s">
        <v>334</v>
      </c>
      <c r="H1159">
        <v>3</v>
      </c>
      <c r="I1159" s="11" t="s">
        <v>3535</v>
      </c>
      <c r="M1159" s="11" t="s">
        <v>64</v>
      </c>
      <c r="N1159" s="11" t="s">
        <v>3536</v>
      </c>
      <c r="O1159" s="11" t="s">
        <v>2295</v>
      </c>
      <c r="P1159" s="11" t="s">
        <v>3537</v>
      </c>
      <c r="Q1159" s="11" t="s">
        <v>135</v>
      </c>
      <c r="U1159" s="11" t="s">
        <v>338</v>
      </c>
      <c r="V1159" s="11" t="s">
        <v>137</v>
      </c>
      <c r="W1159" s="13">
        <v>46302.314618055556</v>
      </c>
    </row>
    <row r="1160" spans="1:23">
      <c r="A1160">
        <v>278775</v>
      </c>
      <c r="B1160">
        <v>11132</v>
      </c>
      <c r="C1160" s="11" t="s">
        <v>129</v>
      </c>
      <c r="D1160" s="11" t="s">
        <v>130</v>
      </c>
      <c r="E1160" s="11" t="s">
        <v>25</v>
      </c>
      <c r="F1160" s="12">
        <v>46230</v>
      </c>
      <c r="G1160" s="11" t="s">
        <v>334</v>
      </c>
      <c r="H1160">
        <v>1</v>
      </c>
      <c r="I1160" s="11" t="s">
        <v>3538</v>
      </c>
      <c r="M1160" s="11" t="s">
        <v>64</v>
      </c>
      <c r="N1160" s="11" t="s">
        <v>3539</v>
      </c>
      <c r="O1160" s="11" t="s">
        <v>3540</v>
      </c>
      <c r="P1160" s="11" t="s">
        <v>3538</v>
      </c>
      <c r="Q1160" s="11" t="s">
        <v>135</v>
      </c>
      <c r="U1160" s="11" t="s">
        <v>338</v>
      </c>
      <c r="V1160" s="11" t="s">
        <v>137</v>
      </c>
      <c r="W1160" s="13">
        <v>46302.314618055556</v>
      </c>
    </row>
    <row r="1161" spans="1:23">
      <c r="A1161">
        <v>278776</v>
      </c>
      <c r="B1161">
        <v>11133</v>
      </c>
      <c r="C1161" s="11" t="s">
        <v>129</v>
      </c>
      <c r="D1161" s="11" t="s">
        <v>130</v>
      </c>
      <c r="E1161" s="11" t="s">
        <v>25</v>
      </c>
      <c r="F1161" s="12">
        <v>46230</v>
      </c>
      <c r="G1161" s="11" t="s">
        <v>3117</v>
      </c>
      <c r="H1161">
        <v>1</v>
      </c>
      <c r="I1161" s="11" t="s">
        <v>3541</v>
      </c>
      <c r="M1161" s="11" t="s">
        <v>63</v>
      </c>
      <c r="N1161" s="11" t="s">
        <v>3542</v>
      </c>
      <c r="O1161" s="11" t="s">
        <v>3543</v>
      </c>
      <c r="P1161" s="11" t="s">
        <v>3541</v>
      </c>
      <c r="Q1161" s="11" t="s">
        <v>135</v>
      </c>
      <c r="U1161" s="11" t="s">
        <v>3121</v>
      </c>
      <c r="V1161" s="11" t="s">
        <v>137</v>
      </c>
      <c r="W1161" s="13">
        <v>46302.314618055556</v>
      </c>
    </row>
    <row r="1162" spans="1:23">
      <c r="A1162">
        <v>278777</v>
      </c>
      <c r="B1162">
        <v>11134</v>
      </c>
      <c r="C1162" s="11" t="s">
        <v>129</v>
      </c>
      <c r="D1162" s="11" t="s">
        <v>130</v>
      </c>
      <c r="E1162" s="11" t="s">
        <v>25</v>
      </c>
      <c r="F1162" s="12">
        <v>46230</v>
      </c>
      <c r="G1162" s="11" t="s">
        <v>344</v>
      </c>
      <c r="H1162">
        <v>1</v>
      </c>
      <c r="I1162" s="11" t="s">
        <v>3544</v>
      </c>
      <c r="M1162" s="11" t="s">
        <v>65</v>
      </c>
      <c r="N1162" s="11" t="s">
        <v>426</v>
      </c>
      <c r="O1162" s="11" t="s">
        <v>3545</v>
      </c>
      <c r="P1162" s="11" t="s">
        <v>3544</v>
      </c>
      <c r="Q1162" s="11" t="s">
        <v>135</v>
      </c>
      <c r="U1162" s="11" t="s">
        <v>348</v>
      </c>
      <c r="V1162" s="11" t="s">
        <v>137</v>
      </c>
      <c r="W1162" s="13">
        <v>46302.314618055556</v>
      </c>
    </row>
    <row r="1163" spans="1:23">
      <c r="A1163">
        <v>278778</v>
      </c>
      <c r="B1163">
        <v>11135</v>
      </c>
      <c r="C1163" s="11" t="s">
        <v>129</v>
      </c>
      <c r="D1163" s="11" t="s">
        <v>130</v>
      </c>
      <c r="E1163" s="11" t="s">
        <v>25</v>
      </c>
      <c r="F1163" s="12">
        <v>46230</v>
      </c>
      <c r="G1163" s="11" t="s">
        <v>316</v>
      </c>
      <c r="H1163">
        <v>1</v>
      </c>
      <c r="I1163" s="11" t="s">
        <v>2418</v>
      </c>
      <c r="M1163" s="11" t="s">
        <v>87</v>
      </c>
      <c r="N1163" s="11" t="s">
        <v>3546</v>
      </c>
      <c r="O1163" s="11" t="s">
        <v>3547</v>
      </c>
      <c r="P1163" s="11" t="s">
        <v>2418</v>
      </c>
      <c r="Q1163" s="11" t="s">
        <v>135</v>
      </c>
      <c r="U1163" s="11" t="s">
        <v>320</v>
      </c>
      <c r="V1163" s="11" t="s">
        <v>137</v>
      </c>
      <c r="W1163" s="13">
        <v>46302.314618055556</v>
      </c>
    </row>
    <row r="1164" spans="1:23">
      <c r="A1164">
        <v>278779</v>
      </c>
      <c r="B1164">
        <v>11136</v>
      </c>
      <c r="C1164" s="11" t="s">
        <v>129</v>
      </c>
      <c r="D1164" s="11" t="s">
        <v>130</v>
      </c>
      <c r="E1164" s="11" t="s">
        <v>25</v>
      </c>
      <c r="F1164" s="12">
        <v>46230</v>
      </c>
      <c r="G1164" s="11" t="s">
        <v>321</v>
      </c>
      <c r="H1164">
        <v>3</v>
      </c>
      <c r="I1164" s="11" t="s">
        <v>3548</v>
      </c>
      <c r="M1164" s="11" t="s">
        <v>67</v>
      </c>
      <c r="N1164" s="11" t="s">
        <v>3549</v>
      </c>
      <c r="O1164" s="11" t="s">
        <v>3550</v>
      </c>
      <c r="P1164" s="11" t="s">
        <v>3551</v>
      </c>
      <c r="Q1164" s="11" t="s">
        <v>135</v>
      </c>
      <c r="U1164" s="11" t="s">
        <v>327</v>
      </c>
      <c r="V1164" s="11" t="s">
        <v>137</v>
      </c>
      <c r="W1164" s="13">
        <v>46302.314618055556</v>
      </c>
    </row>
    <row r="1165" spans="1:23">
      <c r="A1165">
        <v>278780</v>
      </c>
      <c r="B1165">
        <v>11137</v>
      </c>
      <c r="C1165" s="11" t="s">
        <v>129</v>
      </c>
      <c r="D1165" s="11" t="s">
        <v>130</v>
      </c>
      <c r="E1165" s="11" t="s">
        <v>25</v>
      </c>
      <c r="F1165" s="12">
        <v>46230</v>
      </c>
      <c r="G1165" s="11" t="s">
        <v>339</v>
      </c>
      <c r="H1165">
        <v>1</v>
      </c>
      <c r="I1165" s="11" t="s">
        <v>3552</v>
      </c>
      <c r="M1165" s="11" t="s">
        <v>92</v>
      </c>
      <c r="N1165" s="11" t="s">
        <v>3553</v>
      </c>
      <c r="O1165" s="11" t="s">
        <v>3554</v>
      </c>
      <c r="P1165" s="11" t="s">
        <v>3552</v>
      </c>
      <c r="Q1165" s="11" t="s">
        <v>135</v>
      </c>
      <c r="U1165" s="11" t="s">
        <v>343</v>
      </c>
      <c r="V1165" s="11" t="s">
        <v>137</v>
      </c>
      <c r="W1165" s="13">
        <v>46302.314618055556</v>
      </c>
    </row>
    <row r="1166" spans="1:23">
      <c r="A1166">
        <v>278781</v>
      </c>
      <c r="B1166">
        <v>11138</v>
      </c>
      <c r="C1166" s="11" t="s">
        <v>129</v>
      </c>
      <c r="D1166" s="11" t="s">
        <v>130</v>
      </c>
      <c r="E1166" s="11" t="s">
        <v>25</v>
      </c>
      <c r="F1166" s="12">
        <v>46230</v>
      </c>
      <c r="G1166" s="11" t="s">
        <v>321</v>
      </c>
      <c r="H1166">
        <v>2</v>
      </c>
      <c r="I1166" s="11" t="s">
        <v>1905</v>
      </c>
      <c r="M1166" s="11" t="s">
        <v>67</v>
      </c>
      <c r="N1166" s="11" t="s">
        <v>3555</v>
      </c>
      <c r="O1166" s="11" t="s">
        <v>3556</v>
      </c>
      <c r="P1166" s="11" t="s">
        <v>1628</v>
      </c>
      <c r="Q1166" s="11" t="s">
        <v>135</v>
      </c>
      <c r="U1166" s="11" t="s">
        <v>327</v>
      </c>
      <c r="V1166" s="11" t="s">
        <v>137</v>
      </c>
      <c r="W1166" s="13">
        <v>46302.314618055556</v>
      </c>
    </row>
    <row r="1167" spans="1:23">
      <c r="A1167">
        <v>278782</v>
      </c>
      <c r="B1167">
        <v>11139</v>
      </c>
      <c r="C1167" s="11" t="s">
        <v>129</v>
      </c>
      <c r="D1167" s="11" t="s">
        <v>130</v>
      </c>
      <c r="E1167" s="11" t="s">
        <v>25</v>
      </c>
      <c r="F1167" s="12">
        <v>46230</v>
      </c>
      <c r="G1167" s="11" t="s">
        <v>339</v>
      </c>
      <c r="H1167">
        <v>1</v>
      </c>
      <c r="I1167" s="11" t="s">
        <v>3557</v>
      </c>
      <c r="M1167" s="11" t="s">
        <v>92</v>
      </c>
      <c r="N1167" s="11" t="s">
        <v>1383</v>
      </c>
      <c r="O1167" s="11" t="s">
        <v>3558</v>
      </c>
      <c r="P1167" s="11" t="s">
        <v>3557</v>
      </c>
      <c r="Q1167" s="11" t="s">
        <v>135</v>
      </c>
      <c r="U1167" s="11" t="s">
        <v>343</v>
      </c>
      <c r="V1167" s="11" t="s">
        <v>137</v>
      </c>
      <c r="W1167" s="13">
        <v>46302.314618055556</v>
      </c>
    </row>
    <row r="1168" spans="1:23">
      <c r="A1168">
        <v>278783</v>
      </c>
      <c r="B1168">
        <v>11140</v>
      </c>
      <c r="C1168" s="11" t="s">
        <v>129</v>
      </c>
      <c r="D1168" s="11" t="s">
        <v>130</v>
      </c>
      <c r="E1168" s="11" t="s">
        <v>25</v>
      </c>
      <c r="F1168" s="12">
        <v>46230</v>
      </c>
      <c r="G1168" s="11" t="s">
        <v>355</v>
      </c>
      <c r="H1168">
        <v>1</v>
      </c>
      <c r="I1168" s="11" t="s">
        <v>3559</v>
      </c>
      <c r="M1168" s="11" t="s">
        <v>77</v>
      </c>
      <c r="N1168" s="11" t="s">
        <v>3560</v>
      </c>
      <c r="O1168" s="11" t="s">
        <v>3561</v>
      </c>
      <c r="P1168" s="11" t="s">
        <v>3559</v>
      </c>
      <c r="Q1168" s="11" t="s">
        <v>135</v>
      </c>
      <c r="U1168" s="11" t="s">
        <v>359</v>
      </c>
      <c r="V1168" s="11" t="s">
        <v>137</v>
      </c>
      <c r="W1168" s="13">
        <v>46302.314618055556</v>
      </c>
    </row>
    <row r="1169" spans="1:23">
      <c r="A1169">
        <v>278784</v>
      </c>
      <c r="B1169">
        <v>11141</v>
      </c>
      <c r="C1169" s="11" t="s">
        <v>129</v>
      </c>
      <c r="D1169" s="11" t="s">
        <v>130</v>
      </c>
      <c r="E1169" s="11" t="s">
        <v>25</v>
      </c>
      <c r="F1169" s="12">
        <v>46230</v>
      </c>
      <c r="G1169" s="11" t="s">
        <v>360</v>
      </c>
      <c r="H1169">
        <v>1</v>
      </c>
      <c r="I1169" s="11" t="s">
        <v>3562</v>
      </c>
      <c r="M1169" s="11" t="s">
        <v>79</v>
      </c>
      <c r="N1169" s="11" t="s">
        <v>3563</v>
      </c>
      <c r="O1169" s="11" t="s">
        <v>3564</v>
      </c>
      <c r="P1169" s="11" t="s">
        <v>3562</v>
      </c>
      <c r="Q1169" s="11" t="s">
        <v>135</v>
      </c>
      <c r="U1169" s="11" t="s">
        <v>364</v>
      </c>
      <c r="V1169" s="11" t="s">
        <v>137</v>
      </c>
      <c r="W1169" s="13">
        <v>46302.314618055556</v>
      </c>
    </row>
    <row r="1170" spans="1:23">
      <c r="A1170">
        <v>278785</v>
      </c>
      <c r="B1170">
        <v>11142</v>
      </c>
      <c r="C1170" s="11" t="s">
        <v>129</v>
      </c>
      <c r="D1170" s="11" t="s">
        <v>130</v>
      </c>
      <c r="E1170" s="11" t="s">
        <v>25</v>
      </c>
      <c r="F1170" s="12">
        <v>46230</v>
      </c>
      <c r="G1170" s="11" t="s">
        <v>1777</v>
      </c>
      <c r="H1170">
        <v>1</v>
      </c>
      <c r="I1170" s="11" t="s">
        <v>3565</v>
      </c>
      <c r="M1170" s="11" t="s">
        <v>80</v>
      </c>
      <c r="N1170" s="11" t="s">
        <v>3566</v>
      </c>
      <c r="O1170" s="11" t="s">
        <v>3567</v>
      </c>
      <c r="P1170" s="11" t="s">
        <v>3565</v>
      </c>
      <c r="Q1170" s="11" t="s">
        <v>135</v>
      </c>
      <c r="U1170" s="11" t="s">
        <v>1781</v>
      </c>
      <c r="V1170" s="11" t="s">
        <v>137</v>
      </c>
      <c r="W1170" s="13">
        <v>46302.314618055556</v>
      </c>
    </row>
    <row r="1171" spans="1:23">
      <c r="A1171">
        <v>278786</v>
      </c>
      <c r="B1171">
        <v>11143</v>
      </c>
      <c r="C1171" s="11" t="s">
        <v>129</v>
      </c>
      <c r="D1171" s="11" t="s">
        <v>130</v>
      </c>
      <c r="E1171" s="11" t="s">
        <v>25</v>
      </c>
      <c r="F1171" s="12">
        <v>46230</v>
      </c>
      <c r="G1171" s="11" t="s">
        <v>1782</v>
      </c>
      <c r="H1171">
        <v>1</v>
      </c>
      <c r="I1171" s="11" t="s">
        <v>3568</v>
      </c>
      <c r="M1171" s="11" t="s">
        <v>82</v>
      </c>
      <c r="N1171" s="11" t="s">
        <v>3569</v>
      </c>
      <c r="O1171" s="11" t="s">
        <v>3570</v>
      </c>
      <c r="P1171" s="11" t="s">
        <v>3568</v>
      </c>
      <c r="Q1171" s="11" t="s">
        <v>135</v>
      </c>
      <c r="U1171" s="11" t="s">
        <v>1786</v>
      </c>
      <c r="V1171" s="11" t="s">
        <v>137</v>
      </c>
      <c r="W1171" s="13">
        <v>46302.314618055556</v>
      </c>
    </row>
    <row r="1172" spans="1:23">
      <c r="A1172">
        <v>278787</v>
      </c>
      <c r="B1172">
        <v>11144</v>
      </c>
      <c r="C1172" s="11" t="s">
        <v>129</v>
      </c>
      <c r="D1172" s="11" t="s">
        <v>130</v>
      </c>
      <c r="E1172" s="11" t="s">
        <v>25</v>
      </c>
      <c r="F1172" s="12">
        <v>46230</v>
      </c>
      <c r="G1172" s="11" t="s">
        <v>921</v>
      </c>
      <c r="H1172">
        <v>1</v>
      </c>
      <c r="I1172" s="11" t="s">
        <v>3160</v>
      </c>
      <c r="M1172" s="11" t="s">
        <v>95</v>
      </c>
      <c r="N1172" s="11" t="s">
        <v>3571</v>
      </c>
      <c r="O1172" s="11" t="s">
        <v>3572</v>
      </c>
      <c r="P1172" s="11" t="s">
        <v>3160</v>
      </c>
      <c r="Q1172" s="11" t="s">
        <v>135</v>
      </c>
      <c r="U1172" s="11" t="s">
        <v>925</v>
      </c>
      <c r="V1172" s="11" t="s">
        <v>137</v>
      </c>
      <c r="W1172" s="13">
        <v>46302.314618055556</v>
      </c>
    </row>
    <row r="1173" spans="1:23">
      <c r="A1173">
        <v>278788</v>
      </c>
      <c r="B1173">
        <v>11145</v>
      </c>
      <c r="C1173" s="11" t="s">
        <v>129</v>
      </c>
      <c r="D1173" s="11" t="s">
        <v>130</v>
      </c>
      <c r="E1173" s="11" t="s">
        <v>25</v>
      </c>
      <c r="F1173" s="12">
        <v>46230</v>
      </c>
      <c r="G1173" s="11" t="s">
        <v>321</v>
      </c>
      <c r="H1173">
        <v>3</v>
      </c>
      <c r="I1173" s="11" t="s">
        <v>1102</v>
      </c>
      <c r="M1173" s="11" t="s">
        <v>67</v>
      </c>
      <c r="N1173" s="11" t="s">
        <v>3573</v>
      </c>
      <c r="O1173" s="11" t="s">
        <v>3574</v>
      </c>
      <c r="P1173" s="11" t="s">
        <v>3575</v>
      </c>
      <c r="Q1173" s="11" t="s">
        <v>135</v>
      </c>
      <c r="U1173" s="11" t="s">
        <v>327</v>
      </c>
      <c r="V1173" s="11" t="s">
        <v>137</v>
      </c>
      <c r="W1173" s="13">
        <v>46302.314618055556</v>
      </c>
    </row>
    <row r="1174" spans="1:23">
      <c r="A1174">
        <v>278789</v>
      </c>
      <c r="B1174">
        <v>11146</v>
      </c>
      <c r="C1174" s="11" t="s">
        <v>129</v>
      </c>
      <c r="D1174" s="11" t="s">
        <v>130</v>
      </c>
      <c r="E1174" s="11" t="s">
        <v>25</v>
      </c>
      <c r="F1174" s="12">
        <v>46230</v>
      </c>
      <c r="G1174" s="11" t="s">
        <v>321</v>
      </c>
      <c r="H1174">
        <v>2</v>
      </c>
      <c r="I1174" s="11" t="s">
        <v>139</v>
      </c>
      <c r="M1174" s="11" t="s">
        <v>67</v>
      </c>
      <c r="N1174" s="11" t="s">
        <v>3576</v>
      </c>
      <c r="O1174" s="11" t="s">
        <v>3577</v>
      </c>
      <c r="P1174" s="11" t="s">
        <v>3180</v>
      </c>
      <c r="Q1174" s="11" t="s">
        <v>135</v>
      </c>
      <c r="U1174" s="11" t="s">
        <v>327</v>
      </c>
      <c r="V1174" s="11" t="s">
        <v>137</v>
      </c>
      <c r="W1174" s="13">
        <v>46302.314618055556</v>
      </c>
    </row>
    <row r="1175" spans="1:23">
      <c r="A1175">
        <v>278790</v>
      </c>
      <c r="B1175">
        <v>11147</v>
      </c>
      <c r="C1175" s="11" t="s">
        <v>129</v>
      </c>
      <c r="D1175" s="11" t="s">
        <v>130</v>
      </c>
      <c r="E1175" s="11" t="s">
        <v>25</v>
      </c>
      <c r="F1175" s="12">
        <v>46230</v>
      </c>
      <c r="G1175" s="11" t="s">
        <v>321</v>
      </c>
      <c r="H1175">
        <v>2</v>
      </c>
      <c r="I1175" s="11" t="s">
        <v>986</v>
      </c>
      <c r="M1175" s="11" t="s">
        <v>67</v>
      </c>
      <c r="N1175" s="11" t="s">
        <v>3578</v>
      </c>
      <c r="O1175" s="11" t="s">
        <v>3579</v>
      </c>
      <c r="P1175" s="11" t="s">
        <v>1508</v>
      </c>
      <c r="Q1175" s="11" t="s">
        <v>135</v>
      </c>
      <c r="U1175" s="11" t="s">
        <v>327</v>
      </c>
      <c r="V1175" s="11" t="s">
        <v>137</v>
      </c>
      <c r="W1175" s="13">
        <v>46302.314618055556</v>
      </c>
    </row>
    <row r="1176" spans="1:23">
      <c r="A1176">
        <v>278791</v>
      </c>
      <c r="B1176">
        <v>11148</v>
      </c>
      <c r="C1176" s="11" t="s">
        <v>129</v>
      </c>
      <c r="D1176" s="11" t="s">
        <v>130</v>
      </c>
      <c r="E1176" s="11" t="s">
        <v>25</v>
      </c>
      <c r="F1176" s="12">
        <v>46230</v>
      </c>
      <c r="G1176" s="11" t="s">
        <v>321</v>
      </c>
      <c r="H1176">
        <v>1</v>
      </c>
      <c r="I1176" s="11" t="s">
        <v>3580</v>
      </c>
      <c r="M1176" s="11" t="s">
        <v>67</v>
      </c>
      <c r="N1176" s="11" t="s">
        <v>3581</v>
      </c>
      <c r="O1176" s="11" t="s">
        <v>3582</v>
      </c>
      <c r="P1176" s="11" t="s">
        <v>3580</v>
      </c>
      <c r="Q1176" s="11" t="s">
        <v>135</v>
      </c>
      <c r="U1176" s="11" t="s">
        <v>327</v>
      </c>
      <c r="V1176" s="11" t="s">
        <v>137</v>
      </c>
      <c r="W1176" s="13">
        <v>46302.314618055556</v>
      </c>
    </row>
    <row r="1177" spans="1:23">
      <c r="A1177">
        <v>278792</v>
      </c>
      <c r="B1177">
        <v>11149</v>
      </c>
      <c r="C1177" s="11" t="s">
        <v>129</v>
      </c>
      <c r="D1177" s="11" t="s">
        <v>130</v>
      </c>
      <c r="E1177" s="11" t="s">
        <v>25</v>
      </c>
      <c r="F1177" s="12">
        <v>46230</v>
      </c>
      <c r="G1177" s="11" t="s">
        <v>328</v>
      </c>
      <c r="H1177">
        <v>1</v>
      </c>
      <c r="I1177" s="11" t="s">
        <v>3583</v>
      </c>
      <c r="M1177" s="11" t="s">
        <v>66</v>
      </c>
      <c r="N1177" s="11" t="s">
        <v>1669</v>
      </c>
      <c r="O1177" s="11" t="s">
        <v>3584</v>
      </c>
      <c r="P1177" s="11" t="s">
        <v>3583</v>
      </c>
      <c r="Q1177" s="11" t="s">
        <v>135</v>
      </c>
      <c r="U1177" s="11" t="s">
        <v>333</v>
      </c>
      <c r="V1177" s="11" t="s">
        <v>137</v>
      </c>
      <c r="W1177" s="13">
        <v>46302.314618055556</v>
      </c>
    </row>
    <row r="1178" spans="1:23">
      <c r="A1178">
        <v>278793</v>
      </c>
      <c r="B1178">
        <v>11150</v>
      </c>
      <c r="C1178" s="11" t="s">
        <v>129</v>
      </c>
      <c r="D1178" s="11" t="s">
        <v>130</v>
      </c>
      <c r="E1178" s="11" t="s">
        <v>25</v>
      </c>
      <c r="F1178" s="12">
        <v>46230</v>
      </c>
      <c r="G1178" s="11" t="s">
        <v>316</v>
      </c>
      <c r="H1178">
        <v>1</v>
      </c>
      <c r="I1178" s="11" t="s">
        <v>3585</v>
      </c>
      <c r="M1178" s="11" t="s">
        <v>87</v>
      </c>
      <c r="N1178" s="11" t="s">
        <v>3586</v>
      </c>
      <c r="O1178" s="11" t="s">
        <v>3587</v>
      </c>
      <c r="P1178" s="11" t="s">
        <v>3585</v>
      </c>
      <c r="Q1178" s="11" t="s">
        <v>135</v>
      </c>
      <c r="U1178" s="11" t="s">
        <v>320</v>
      </c>
      <c r="V1178" s="11" t="s">
        <v>137</v>
      </c>
      <c r="W1178" s="13">
        <v>46302.314618055556</v>
      </c>
    </row>
    <row r="1179" spans="1:23">
      <c r="A1179">
        <v>279088</v>
      </c>
      <c r="B1179">
        <v>10997</v>
      </c>
      <c r="C1179" s="11" t="s">
        <v>129</v>
      </c>
      <c r="D1179" s="11" t="s">
        <v>130</v>
      </c>
      <c r="E1179" s="11" t="s">
        <v>25</v>
      </c>
      <c r="F1179" s="12">
        <v>46231</v>
      </c>
      <c r="G1179" s="11" t="s">
        <v>226</v>
      </c>
      <c r="H1179">
        <v>1</v>
      </c>
      <c r="I1179" s="11" t="s">
        <v>3588</v>
      </c>
      <c r="M1179" s="11" t="s">
        <v>87</v>
      </c>
      <c r="N1179" s="11" t="s">
        <v>3589</v>
      </c>
      <c r="O1179" s="11" t="s">
        <v>3590</v>
      </c>
      <c r="P1179" s="11" t="s">
        <v>3588</v>
      </c>
      <c r="Q1179" s="11" t="s">
        <v>135</v>
      </c>
      <c r="U1179" s="11" t="s">
        <v>231</v>
      </c>
      <c r="V1179" s="11" t="s">
        <v>137</v>
      </c>
      <c r="W1179" s="13">
        <v>46302.314618055556</v>
      </c>
    </row>
    <row r="1180" spans="1:23">
      <c r="A1180">
        <v>279089</v>
      </c>
      <c r="B1180">
        <v>10998</v>
      </c>
      <c r="C1180" s="11" t="s">
        <v>129</v>
      </c>
      <c r="D1180" s="11" t="s">
        <v>130</v>
      </c>
      <c r="E1180" s="11" t="s">
        <v>25</v>
      </c>
      <c r="F1180" s="12">
        <v>46231</v>
      </c>
      <c r="G1180" s="11" t="s">
        <v>804</v>
      </c>
      <c r="H1180">
        <v>1</v>
      </c>
      <c r="I1180" s="11" t="s">
        <v>3591</v>
      </c>
      <c r="M1180" s="11" t="s">
        <v>76</v>
      </c>
      <c r="N1180" s="11" t="s">
        <v>3592</v>
      </c>
      <c r="O1180" s="11" t="s">
        <v>223</v>
      </c>
      <c r="P1180" s="11" t="s">
        <v>3591</v>
      </c>
      <c r="Q1180" s="11" t="s">
        <v>135</v>
      </c>
      <c r="U1180" s="11" t="s">
        <v>808</v>
      </c>
      <c r="V1180" s="11" t="s">
        <v>137</v>
      </c>
      <c r="W1180" s="13">
        <v>46302.314618055556</v>
      </c>
    </row>
    <row r="1181" spans="1:23">
      <c r="A1181">
        <v>279090</v>
      </c>
      <c r="B1181">
        <v>10999</v>
      </c>
      <c r="C1181" s="11" t="s">
        <v>129</v>
      </c>
      <c r="D1181" s="11" t="s">
        <v>130</v>
      </c>
      <c r="E1181" s="11" t="s">
        <v>25</v>
      </c>
      <c r="F1181" s="12">
        <v>46231</v>
      </c>
      <c r="G1181" s="11" t="s">
        <v>3593</v>
      </c>
      <c r="H1181">
        <v>1</v>
      </c>
      <c r="I1181" s="11" t="s">
        <v>3594</v>
      </c>
      <c r="M1181" s="11" t="s">
        <v>90</v>
      </c>
      <c r="N1181" s="11" t="s">
        <v>1187</v>
      </c>
      <c r="O1181" s="11" t="s">
        <v>3595</v>
      </c>
      <c r="P1181" s="11" t="s">
        <v>3594</v>
      </c>
      <c r="Q1181" s="11" t="s">
        <v>135</v>
      </c>
      <c r="U1181" s="11" t="s">
        <v>3596</v>
      </c>
      <c r="V1181" s="11" t="s">
        <v>137</v>
      </c>
      <c r="W1181" s="13">
        <v>46302.314618055556</v>
      </c>
    </row>
    <row r="1182" spans="1:23">
      <c r="A1182">
        <v>279091</v>
      </c>
      <c r="B1182">
        <v>11000</v>
      </c>
      <c r="C1182" s="11" t="s">
        <v>129</v>
      </c>
      <c r="D1182" s="11" t="s">
        <v>130</v>
      </c>
      <c r="E1182" s="11" t="s">
        <v>25</v>
      </c>
      <c r="F1182" s="12">
        <v>46231</v>
      </c>
      <c r="G1182" s="11" t="s">
        <v>804</v>
      </c>
      <c r="H1182">
        <v>1</v>
      </c>
      <c r="I1182" s="11" t="s">
        <v>3140</v>
      </c>
      <c r="M1182" s="11" t="s">
        <v>76</v>
      </c>
      <c r="N1182" s="11" t="s">
        <v>3597</v>
      </c>
      <c r="O1182" s="11" t="s">
        <v>3598</v>
      </c>
      <c r="P1182" s="11" t="s">
        <v>3140</v>
      </c>
      <c r="Q1182" s="11" t="s">
        <v>135</v>
      </c>
      <c r="U1182" s="11" t="s">
        <v>808</v>
      </c>
      <c r="V1182" s="11" t="s">
        <v>137</v>
      </c>
      <c r="W1182" s="13">
        <v>46302.314618055556</v>
      </c>
    </row>
    <row r="1183" spans="1:23">
      <c r="A1183">
        <v>279092</v>
      </c>
      <c r="B1183">
        <v>11001</v>
      </c>
      <c r="C1183" s="11" t="s">
        <v>129</v>
      </c>
      <c r="D1183" s="11" t="s">
        <v>130</v>
      </c>
      <c r="E1183" s="11" t="s">
        <v>25</v>
      </c>
      <c r="F1183" s="12">
        <v>46231</v>
      </c>
      <c r="G1183" s="11" t="s">
        <v>804</v>
      </c>
      <c r="H1183">
        <v>1</v>
      </c>
      <c r="I1183" s="11" t="s">
        <v>3599</v>
      </c>
      <c r="M1183" s="11" t="s">
        <v>76</v>
      </c>
      <c r="N1183" s="11" t="s">
        <v>3600</v>
      </c>
      <c r="O1183" s="11" t="s">
        <v>3601</v>
      </c>
      <c r="P1183" s="11" t="s">
        <v>3599</v>
      </c>
      <c r="Q1183" s="11" t="s">
        <v>135</v>
      </c>
      <c r="U1183" s="11" t="s">
        <v>808</v>
      </c>
      <c r="V1183" s="11" t="s">
        <v>137</v>
      </c>
      <c r="W1183" s="13">
        <v>46302.314618055556</v>
      </c>
    </row>
    <row r="1184" spans="1:23">
      <c r="A1184">
        <v>279093</v>
      </c>
      <c r="B1184">
        <v>11002</v>
      </c>
      <c r="C1184" s="11" t="s">
        <v>129</v>
      </c>
      <c r="D1184" s="11" t="s">
        <v>130</v>
      </c>
      <c r="E1184" s="11" t="s">
        <v>25</v>
      </c>
      <c r="F1184" s="12">
        <v>46231</v>
      </c>
      <c r="G1184" s="11" t="s">
        <v>1679</v>
      </c>
      <c r="H1184">
        <v>1</v>
      </c>
      <c r="I1184" s="11" t="s">
        <v>255</v>
      </c>
      <c r="M1184" s="11" t="s">
        <v>87</v>
      </c>
      <c r="N1184" s="11" t="s">
        <v>3602</v>
      </c>
      <c r="O1184" s="11" t="s">
        <v>942</v>
      </c>
      <c r="P1184" s="11" t="s">
        <v>255</v>
      </c>
      <c r="Q1184" s="11" t="s">
        <v>135</v>
      </c>
      <c r="U1184" s="11" t="s">
        <v>1682</v>
      </c>
      <c r="V1184" s="11" t="s">
        <v>137</v>
      </c>
      <c r="W1184" s="13">
        <v>46302.314618055556</v>
      </c>
    </row>
    <row r="1185" spans="1:23">
      <c r="A1185">
        <v>279094</v>
      </c>
      <c r="B1185">
        <v>11003</v>
      </c>
      <c r="C1185" s="11" t="s">
        <v>129</v>
      </c>
      <c r="D1185" s="11" t="s">
        <v>130</v>
      </c>
      <c r="E1185" s="11" t="s">
        <v>25</v>
      </c>
      <c r="F1185" s="12">
        <v>46231</v>
      </c>
      <c r="G1185" s="11" t="s">
        <v>804</v>
      </c>
      <c r="H1185">
        <v>1</v>
      </c>
      <c r="I1185" s="11" t="s">
        <v>3603</v>
      </c>
      <c r="M1185" s="11" t="s">
        <v>76</v>
      </c>
      <c r="N1185" s="11" t="s">
        <v>3604</v>
      </c>
      <c r="O1185" s="11" t="s">
        <v>3605</v>
      </c>
      <c r="P1185" s="11" t="s">
        <v>3603</v>
      </c>
      <c r="Q1185" s="11" t="s">
        <v>135</v>
      </c>
      <c r="U1185" s="11" t="s">
        <v>808</v>
      </c>
      <c r="V1185" s="11" t="s">
        <v>137</v>
      </c>
      <c r="W1185" s="13">
        <v>46302.314618055556</v>
      </c>
    </row>
    <row r="1186" spans="1:23">
      <c r="A1186">
        <v>279095</v>
      </c>
      <c r="B1186">
        <v>11004</v>
      </c>
      <c r="C1186" s="11" t="s">
        <v>129</v>
      </c>
      <c r="D1186" s="11" t="s">
        <v>130</v>
      </c>
      <c r="E1186" s="11" t="s">
        <v>25</v>
      </c>
      <c r="F1186" s="12">
        <v>46231</v>
      </c>
      <c r="G1186" s="11" t="s">
        <v>804</v>
      </c>
      <c r="H1186">
        <v>1</v>
      </c>
      <c r="I1186" s="11" t="s">
        <v>3606</v>
      </c>
      <c r="M1186" s="11" t="s">
        <v>76</v>
      </c>
      <c r="N1186" s="11" t="s">
        <v>3607</v>
      </c>
      <c r="O1186" s="11" t="s">
        <v>3608</v>
      </c>
      <c r="P1186" s="11" t="s">
        <v>3606</v>
      </c>
      <c r="Q1186" s="11" t="s">
        <v>135</v>
      </c>
      <c r="U1186" s="11" t="s">
        <v>808</v>
      </c>
      <c r="V1186" s="11" t="s">
        <v>137</v>
      </c>
      <c r="W1186" s="13">
        <v>46302.314618055556</v>
      </c>
    </row>
    <row r="1187" spans="1:23">
      <c r="A1187">
        <v>279096</v>
      </c>
      <c r="B1187">
        <v>11005</v>
      </c>
      <c r="C1187" s="11" t="s">
        <v>129</v>
      </c>
      <c r="D1187" s="11" t="s">
        <v>130</v>
      </c>
      <c r="E1187" s="11" t="s">
        <v>25</v>
      </c>
      <c r="F1187" s="12">
        <v>46231</v>
      </c>
      <c r="G1187" s="11" t="s">
        <v>804</v>
      </c>
      <c r="H1187">
        <v>1</v>
      </c>
      <c r="I1187" s="11" t="s">
        <v>1800</v>
      </c>
      <c r="M1187" s="11" t="s">
        <v>76</v>
      </c>
      <c r="N1187" s="11" t="s">
        <v>3609</v>
      </c>
      <c r="O1187" s="11" t="s">
        <v>3610</v>
      </c>
      <c r="P1187" s="11" t="s">
        <v>1800</v>
      </c>
      <c r="Q1187" s="11" t="s">
        <v>135</v>
      </c>
      <c r="U1187" s="11" t="s">
        <v>808</v>
      </c>
      <c r="V1187" s="11" t="s">
        <v>137</v>
      </c>
      <c r="W1187" s="13">
        <v>46302.314618055556</v>
      </c>
    </row>
    <row r="1188" spans="1:23">
      <c r="A1188">
        <v>279097</v>
      </c>
      <c r="B1188">
        <v>11006</v>
      </c>
      <c r="C1188" s="11" t="s">
        <v>129</v>
      </c>
      <c r="D1188" s="11" t="s">
        <v>130</v>
      </c>
      <c r="E1188" s="11" t="s">
        <v>25</v>
      </c>
      <c r="F1188" s="12">
        <v>46231</v>
      </c>
      <c r="G1188" s="11" t="s">
        <v>804</v>
      </c>
      <c r="H1188">
        <v>1</v>
      </c>
      <c r="I1188" s="11" t="s">
        <v>1076</v>
      </c>
      <c r="M1188" s="11" t="s">
        <v>76</v>
      </c>
      <c r="N1188" s="11" t="s">
        <v>3611</v>
      </c>
      <c r="O1188" s="11" t="s">
        <v>3612</v>
      </c>
      <c r="P1188" s="11" t="s">
        <v>1076</v>
      </c>
      <c r="Q1188" s="11" t="s">
        <v>135</v>
      </c>
      <c r="U1188" s="11" t="s">
        <v>808</v>
      </c>
      <c r="V1188" s="11" t="s">
        <v>137</v>
      </c>
      <c r="W1188" s="13">
        <v>46302.314618055556</v>
      </c>
    </row>
    <row r="1189" spans="1:23">
      <c r="A1189">
        <v>279098</v>
      </c>
      <c r="B1189">
        <v>11007</v>
      </c>
      <c r="C1189" s="11" t="s">
        <v>129</v>
      </c>
      <c r="D1189" s="11" t="s">
        <v>130</v>
      </c>
      <c r="E1189" s="11" t="s">
        <v>25</v>
      </c>
      <c r="F1189" s="12">
        <v>46231</v>
      </c>
      <c r="G1189" s="11" t="s">
        <v>823</v>
      </c>
      <c r="H1189">
        <v>1</v>
      </c>
      <c r="I1189" s="11" t="s">
        <v>3613</v>
      </c>
      <c r="M1189" s="11" t="s">
        <v>92</v>
      </c>
      <c r="N1189" s="11" t="s">
        <v>3614</v>
      </c>
      <c r="O1189" s="11" t="s">
        <v>3615</v>
      </c>
      <c r="P1189" s="11" t="s">
        <v>3613</v>
      </c>
      <c r="Q1189" s="11" t="s">
        <v>135</v>
      </c>
      <c r="U1189" s="11" t="s">
        <v>827</v>
      </c>
      <c r="V1189" s="11" t="s">
        <v>137</v>
      </c>
      <c r="W1189" s="13">
        <v>46302.314618055556</v>
      </c>
    </row>
    <row r="1190" spans="1:23">
      <c r="A1190">
        <v>279099</v>
      </c>
      <c r="B1190">
        <v>11008</v>
      </c>
      <c r="C1190" s="11" t="s">
        <v>129</v>
      </c>
      <c r="D1190" s="11" t="s">
        <v>130</v>
      </c>
      <c r="E1190" s="11" t="s">
        <v>25</v>
      </c>
      <c r="F1190" s="12">
        <v>46231</v>
      </c>
      <c r="G1190" s="11" t="s">
        <v>804</v>
      </c>
      <c r="H1190">
        <v>1</v>
      </c>
      <c r="I1190" s="11" t="s">
        <v>2261</v>
      </c>
      <c r="M1190" s="11" t="s">
        <v>76</v>
      </c>
      <c r="N1190" s="11" t="s">
        <v>3616</v>
      </c>
      <c r="O1190" s="11" t="s">
        <v>3617</v>
      </c>
      <c r="P1190" s="11" t="s">
        <v>2261</v>
      </c>
      <c r="Q1190" s="11" t="s">
        <v>135</v>
      </c>
      <c r="U1190" s="11" t="s">
        <v>808</v>
      </c>
      <c r="V1190" s="11" t="s">
        <v>137</v>
      </c>
      <c r="W1190" s="13">
        <v>46302.314618055556</v>
      </c>
    </row>
    <row r="1191" spans="1:23">
      <c r="A1191">
        <v>279100</v>
      </c>
      <c r="B1191">
        <v>11009</v>
      </c>
      <c r="C1191" s="11" t="s">
        <v>129</v>
      </c>
      <c r="D1191" s="11" t="s">
        <v>130</v>
      </c>
      <c r="E1191" s="11" t="s">
        <v>25</v>
      </c>
      <c r="F1191" s="12">
        <v>46231</v>
      </c>
      <c r="G1191" s="11" t="s">
        <v>804</v>
      </c>
      <c r="H1191">
        <v>1</v>
      </c>
      <c r="I1191" s="11" t="s">
        <v>1902</v>
      </c>
      <c r="M1191" s="11" t="s">
        <v>76</v>
      </c>
      <c r="N1191" s="11" t="s">
        <v>3618</v>
      </c>
      <c r="O1191" s="11" t="s">
        <v>1829</v>
      </c>
      <c r="P1191" s="11" t="s">
        <v>1902</v>
      </c>
      <c r="Q1191" s="11" t="s">
        <v>135</v>
      </c>
      <c r="U1191" s="11" t="s">
        <v>808</v>
      </c>
      <c r="V1191" s="11" t="s">
        <v>137</v>
      </c>
      <c r="W1191" s="13">
        <v>46302.314618055556</v>
      </c>
    </row>
    <row r="1192" spans="1:23">
      <c r="A1192">
        <v>279101</v>
      </c>
      <c r="B1192">
        <v>11010</v>
      </c>
      <c r="C1192" s="11" t="s">
        <v>129</v>
      </c>
      <c r="D1192" s="11" t="s">
        <v>130</v>
      </c>
      <c r="E1192" s="11" t="s">
        <v>25</v>
      </c>
      <c r="F1192" s="12">
        <v>46231</v>
      </c>
      <c r="G1192" s="11" t="s">
        <v>823</v>
      </c>
      <c r="H1192">
        <v>1</v>
      </c>
      <c r="I1192" s="11" t="s">
        <v>3619</v>
      </c>
      <c r="M1192" s="11" t="s">
        <v>92</v>
      </c>
      <c r="N1192" s="11" t="s">
        <v>3620</v>
      </c>
      <c r="O1192" s="11" t="s">
        <v>3621</v>
      </c>
      <c r="P1192" s="11" t="s">
        <v>3619</v>
      </c>
      <c r="Q1192" s="11" t="s">
        <v>135</v>
      </c>
      <c r="U1192" s="11" t="s">
        <v>827</v>
      </c>
      <c r="V1192" s="11" t="s">
        <v>137</v>
      </c>
      <c r="W1192" s="13">
        <v>46302.314618055556</v>
      </c>
    </row>
    <row r="1193" spans="1:23">
      <c r="A1193">
        <v>279102</v>
      </c>
      <c r="B1193">
        <v>11011</v>
      </c>
      <c r="C1193" s="11" t="s">
        <v>129</v>
      </c>
      <c r="D1193" s="11" t="s">
        <v>130</v>
      </c>
      <c r="E1193" s="11" t="s">
        <v>25</v>
      </c>
      <c r="F1193" s="12">
        <v>46231</v>
      </c>
      <c r="G1193" s="11" t="s">
        <v>226</v>
      </c>
      <c r="H1193">
        <v>1</v>
      </c>
      <c r="I1193" s="11" t="s">
        <v>3622</v>
      </c>
      <c r="M1193" s="11" t="s">
        <v>87</v>
      </c>
      <c r="N1193" s="11" t="s">
        <v>3623</v>
      </c>
      <c r="O1193" s="11" t="s">
        <v>3624</v>
      </c>
      <c r="P1193" s="11" t="s">
        <v>3622</v>
      </c>
      <c r="Q1193" s="11" t="s">
        <v>135</v>
      </c>
      <c r="U1193" s="11" t="s">
        <v>231</v>
      </c>
      <c r="V1193" s="11" t="s">
        <v>137</v>
      </c>
      <c r="W1193" s="13">
        <v>46302.314618055556</v>
      </c>
    </row>
    <row r="1194" spans="1:23">
      <c r="A1194">
        <v>279103</v>
      </c>
      <c r="B1194">
        <v>11012</v>
      </c>
      <c r="C1194" s="11" t="s">
        <v>129</v>
      </c>
      <c r="D1194" s="11" t="s">
        <v>130</v>
      </c>
      <c r="E1194" s="11" t="s">
        <v>25</v>
      </c>
      <c r="F1194" s="12">
        <v>46231</v>
      </c>
      <c r="G1194" s="11" t="s">
        <v>804</v>
      </c>
      <c r="H1194">
        <v>1</v>
      </c>
      <c r="I1194" s="11" t="s">
        <v>3625</v>
      </c>
      <c r="M1194" s="11" t="s">
        <v>76</v>
      </c>
      <c r="N1194" s="11" t="s">
        <v>3626</v>
      </c>
      <c r="O1194" s="11" t="s">
        <v>3627</v>
      </c>
      <c r="P1194" s="11" t="s">
        <v>3625</v>
      </c>
      <c r="Q1194" s="11" t="s">
        <v>135</v>
      </c>
      <c r="U1194" s="11" t="s">
        <v>808</v>
      </c>
      <c r="V1194" s="11" t="s">
        <v>137</v>
      </c>
      <c r="W1194" s="13">
        <v>46302.314618055556</v>
      </c>
    </row>
    <row r="1195" spans="1:23">
      <c r="A1195">
        <v>279104</v>
      </c>
      <c r="B1195">
        <v>11013</v>
      </c>
      <c r="C1195" s="11" t="s">
        <v>129</v>
      </c>
      <c r="D1195" s="11" t="s">
        <v>130</v>
      </c>
      <c r="E1195" s="11" t="s">
        <v>25</v>
      </c>
      <c r="F1195" s="12">
        <v>46231</v>
      </c>
      <c r="G1195" s="11" t="s">
        <v>804</v>
      </c>
      <c r="H1195">
        <v>1</v>
      </c>
      <c r="I1195" s="11" t="s">
        <v>3628</v>
      </c>
      <c r="M1195" s="11" t="s">
        <v>76</v>
      </c>
      <c r="N1195" s="11" t="s">
        <v>3629</v>
      </c>
      <c r="O1195" s="11" t="s">
        <v>3630</v>
      </c>
      <c r="P1195" s="11" t="s">
        <v>3628</v>
      </c>
      <c r="Q1195" s="11" t="s">
        <v>135</v>
      </c>
      <c r="U1195" s="11" t="s">
        <v>808</v>
      </c>
      <c r="V1195" s="11" t="s">
        <v>137</v>
      </c>
      <c r="W1195" s="13">
        <v>46302.314618055556</v>
      </c>
    </row>
    <row r="1196" spans="1:23">
      <c r="A1196">
        <v>279105</v>
      </c>
      <c r="B1196">
        <v>11014</v>
      </c>
      <c r="C1196" s="11" t="s">
        <v>129</v>
      </c>
      <c r="D1196" s="11" t="s">
        <v>130</v>
      </c>
      <c r="E1196" s="11" t="s">
        <v>25</v>
      </c>
      <c r="F1196" s="12">
        <v>46231</v>
      </c>
      <c r="G1196" s="11" t="s">
        <v>226</v>
      </c>
      <c r="H1196">
        <v>1</v>
      </c>
      <c r="I1196" s="11" t="s">
        <v>3439</v>
      </c>
      <c r="M1196" s="11" t="s">
        <v>87</v>
      </c>
      <c r="N1196" s="11" t="s">
        <v>3631</v>
      </c>
      <c r="O1196" s="11" t="s">
        <v>3632</v>
      </c>
      <c r="P1196" s="11" t="s">
        <v>3439</v>
      </c>
      <c r="Q1196" s="11" t="s">
        <v>135</v>
      </c>
      <c r="U1196" s="11" t="s">
        <v>231</v>
      </c>
      <c r="V1196" s="11" t="s">
        <v>137</v>
      </c>
      <c r="W1196" s="13">
        <v>46302.314618055556</v>
      </c>
    </row>
    <row r="1197" spans="1:23">
      <c r="A1197">
        <v>279106</v>
      </c>
      <c r="B1197">
        <v>11015</v>
      </c>
      <c r="C1197" s="11" t="s">
        <v>129</v>
      </c>
      <c r="D1197" s="11" t="s">
        <v>130</v>
      </c>
      <c r="E1197" s="11" t="s">
        <v>25</v>
      </c>
      <c r="F1197" s="12">
        <v>46231</v>
      </c>
      <c r="G1197" s="11" t="s">
        <v>308</v>
      </c>
      <c r="H1197">
        <v>1</v>
      </c>
      <c r="I1197" s="11" t="s">
        <v>2180</v>
      </c>
      <c r="M1197" s="11" t="s">
        <v>90</v>
      </c>
      <c r="N1197" s="11" t="s">
        <v>3633</v>
      </c>
      <c r="O1197" s="11" t="s">
        <v>3634</v>
      </c>
      <c r="P1197" s="11" t="s">
        <v>2180</v>
      </c>
      <c r="Q1197" s="11" t="s">
        <v>135</v>
      </c>
      <c r="U1197" s="11" t="s">
        <v>311</v>
      </c>
      <c r="V1197" s="11" t="s">
        <v>137</v>
      </c>
      <c r="W1197" s="13">
        <v>46302.314618055556</v>
      </c>
    </row>
    <row r="1198" spans="1:23">
      <c r="A1198">
        <v>279107</v>
      </c>
      <c r="B1198">
        <v>11016</v>
      </c>
      <c r="C1198" s="11" t="s">
        <v>129</v>
      </c>
      <c r="D1198" s="11" t="s">
        <v>130</v>
      </c>
      <c r="E1198" s="11" t="s">
        <v>25</v>
      </c>
      <c r="F1198" s="12">
        <v>46231</v>
      </c>
      <c r="G1198" s="11" t="s">
        <v>804</v>
      </c>
      <c r="H1198">
        <v>1</v>
      </c>
      <c r="I1198" s="11" t="s">
        <v>3635</v>
      </c>
      <c r="M1198" s="11" t="s">
        <v>76</v>
      </c>
      <c r="N1198" s="11" t="s">
        <v>3636</v>
      </c>
      <c r="O1198" s="11" t="s">
        <v>3637</v>
      </c>
      <c r="P1198" s="11" t="s">
        <v>3635</v>
      </c>
      <c r="Q1198" s="11" t="s">
        <v>135</v>
      </c>
      <c r="U1198" s="11" t="s">
        <v>808</v>
      </c>
      <c r="V1198" s="11" t="s">
        <v>137</v>
      </c>
      <c r="W1198" s="13">
        <v>46302.314618055556</v>
      </c>
    </row>
    <row r="1199" spans="1:23">
      <c r="A1199">
        <v>279108</v>
      </c>
      <c r="B1199">
        <v>11017</v>
      </c>
      <c r="C1199" s="11" t="s">
        <v>129</v>
      </c>
      <c r="D1199" s="11" t="s">
        <v>130</v>
      </c>
      <c r="E1199" s="11" t="s">
        <v>25</v>
      </c>
      <c r="F1199" s="12">
        <v>46231</v>
      </c>
      <c r="G1199" s="11" t="s">
        <v>823</v>
      </c>
      <c r="H1199">
        <v>1</v>
      </c>
      <c r="I1199" s="11" t="s">
        <v>3338</v>
      </c>
      <c r="M1199" s="11" t="s">
        <v>92</v>
      </c>
      <c r="N1199" s="11" t="s">
        <v>3638</v>
      </c>
      <c r="O1199" s="11" t="s">
        <v>3639</v>
      </c>
      <c r="P1199" s="11" t="s">
        <v>3338</v>
      </c>
      <c r="Q1199" s="11" t="s">
        <v>135</v>
      </c>
      <c r="U1199" s="11" t="s">
        <v>827</v>
      </c>
      <c r="V1199" s="11" t="s">
        <v>137</v>
      </c>
      <c r="W1199" s="13">
        <v>46302.314618055556</v>
      </c>
    </row>
    <row r="1200" spans="1:23">
      <c r="A1200">
        <v>279109</v>
      </c>
      <c r="B1200">
        <v>11018</v>
      </c>
      <c r="C1200" s="11" t="s">
        <v>129</v>
      </c>
      <c r="D1200" s="11" t="s">
        <v>130</v>
      </c>
      <c r="E1200" s="11" t="s">
        <v>25</v>
      </c>
      <c r="F1200" s="12">
        <v>46231</v>
      </c>
      <c r="G1200" s="11" t="s">
        <v>1679</v>
      </c>
      <c r="H1200">
        <v>1</v>
      </c>
      <c r="I1200" s="11" t="s">
        <v>2892</v>
      </c>
      <c r="M1200" s="11" t="s">
        <v>87</v>
      </c>
      <c r="N1200" s="11" t="s">
        <v>2425</v>
      </c>
      <c r="O1200" s="11" t="s">
        <v>3640</v>
      </c>
      <c r="P1200" s="11" t="s">
        <v>2892</v>
      </c>
      <c r="Q1200" s="11" t="s">
        <v>135</v>
      </c>
      <c r="U1200" s="11" t="s">
        <v>1682</v>
      </c>
      <c r="V1200" s="11" t="s">
        <v>137</v>
      </c>
      <c r="W1200" s="13">
        <v>46302.314618055556</v>
      </c>
    </row>
    <row r="1201" spans="1:23">
      <c r="A1201">
        <v>279110</v>
      </c>
      <c r="B1201">
        <v>11019</v>
      </c>
      <c r="C1201" s="11" t="s">
        <v>129</v>
      </c>
      <c r="D1201" s="11" t="s">
        <v>130</v>
      </c>
      <c r="E1201" s="11" t="s">
        <v>25</v>
      </c>
      <c r="F1201" s="12">
        <v>46231</v>
      </c>
      <c r="G1201" s="11" t="s">
        <v>804</v>
      </c>
      <c r="H1201">
        <v>1</v>
      </c>
      <c r="I1201" s="11" t="s">
        <v>2667</v>
      </c>
      <c r="M1201" s="11" t="s">
        <v>76</v>
      </c>
      <c r="N1201" s="11" t="s">
        <v>3641</v>
      </c>
      <c r="O1201" s="11" t="s">
        <v>3642</v>
      </c>
      <c r="P1201" s="11" t="s">
        <v>2667</v>
      </c>
      <c r="Q1201" s="11" t="s">
        <v>135</v>
      </c>
      <c r="U1201" s="11" t="s">
        <v>808</v>
      </c>
      <c r="V1201" s="11" t="s">
        <v>137</v>
      </c>
      <c r="W1201" s="13">
        <v>46302.314618055556</v>
      </c>
    </row>
    <row r="1202" spans="1:23">
      <c r="A1202">
        <v>279111</v>
      </c>
      <c r="B1202">
        <v>11020</v>
      </c>
      <c r="C1202" s="11" t="s">
        <v>129</v>
      </c>
      <c r="D1202" s="11" t="s">
        <v>130</v>
      </c>
      <c r="E1202" s="11" t="s">
        <v>25</v>
      </c>
      <c r="F1202" s="12">
        <v>46231</v>
      </c>
      <c r="G1202" s="11" t="s">
        <v>804</v>
      </c>
      <c r="H1202">
        <v>1</v>
      </c>
      <c r="I1202" s="11" t="s">
        <v>3643</v>
      </c>
      <c r="M1202" s="11" t="s">
        <v>76</v>
      </c>
      <c r="N1202" s="11" t="s">
        <v>3644</v>
      </c>
      <c r="O1202" s="11" t="s">
        <v>3645</v>
      </c>
      <c r="P1202" s="11" t="s">
        <v>3643</v>
      </c>
      <c r="Q1202" s="11" t="s">
        <v>135</v>
      </c>
      <c r="U1202" s="11" t="s">
        <v>808</v>
      </c>
      <c r="V1202" s="11" t="s">
        <v>137</v>
      </c>
      <c r="W1202" s="13">
        <v>46302.314618055556</v>
      </c>
    </row>
    <row r="1203" spans="1:23">
      <c r="A1203">
        <v>279112</v>
      </c>
      <c r="B1203">
        <v>11021</v>
      </c>
      <c r="C1203" s="11" t="s">
        <v>129</v>
      </c>
      <c r="D1203" s="11" t="s">
        <v>130</v>
      </c>
      <c r="E1203" s="11" t="s">
        <v>25</v>
      </c>
      <c r="F1203" s="12">
        <v>46231</v>
      </c>
      <c r="G1203" s="11" t="s">
        <v>1679</v>
      </c>
      <c r="H1203">
        <v>1</v>
      </c>
      <c r="I1203" s="11" t="s">
        <v>3646</v>
      </c>
      <c r="M1203" s="11" t="s">
        <v>87</v>
      </c>
      <c r="N1203" s="11" t="s">
        <v>3647</v>
      </c>
      <c r="O1203" s="11" t="s">
        <v>3648</v>
      </c>
      <c r="P1203" s="11" t="s">
        <v>3646</v>
      </c>
      <c r="Q1203" s="11" t="s">
        <v>135</v>
      </c>
      <c r="U1203" s="11" t="s">
        <v>1682</v>
      </c>
      <c r="V1203" s="11" t="s">
        <v>137</v>
      </c>
      <c r="W1203" s="13">
        <v>46302.314618055556</v>
      </c>
    </row>
    <row r="1204" spans="1:23">
      <c r="A1204">
        <v>279411</v>
      </c>
      <c r="B1204">
        <v>11168</v>
      </c>
      <c r="C1204" s="11" t="s">
        <v>129</v>
      </c>
      <c r="D1204" s="11" t="s">
        <v>130</v>
      </c>
      <c r="E1204" s="11" t="s">
        <v>25</v>
      </c>
      <c r="F1204" s="12">
        <v>46232</v>
      </c>
      <c r="G1204" s="11" t="s">
        <v>316</v>
      </c>
      <c r="H1204">
        <v>1</v>
      </c>
      <c r="I1204" s="11" t="s">
        <v>1853</v>
      </c>
      <c r="M1204" s="11" t="s">
        <v>87</v>
      </c>
      <c r="N1204" s="11" t="s">
        <v>3649</v>
      </c>
      <c r="O1204" s="11" t="s">
        <v>3650</v>
      </c>
      <c r="P1204" s="11" t="s">
        <v>1853</v>
      </c>
      <c r="Q1204" s="11" t="s">
        <v>135</v>
      </c>
      <c r="U1204" s="11" t="s">
        <v>320</v>
      </c>
      <c r="V1204" s="11" t="s">
        <v>137</v>
      </c>
      <c r="W1204" s="13">
        <v>46302.314618055556</v>
      </c>
    </row>
    <row r="1205" spans="1:23">
      <c r="A1205">
        <v>279412</v>
      </c>
      <c r="B1205">
        <v>11169</v>
      </c>
      <c r="C1205" s="11" t="s">
        <v>129</v>
      </c>
      <c r="D1205" s="11" t="s">
        <v>130</v>
      </c>
      <c r="E1205" s="11" t="s">
        <v>25</v>
      </c>
      <c r="F1205" s="12">
        <v>46232</v>
      </c>
      <c r="G1205" s="11" t="s">
        <v>401</v>
      </c>
      <c r="H1205">
        <v>1</v>
      </c>
      <c r="I1205" s="11" t="s">
        <v>2735</v>
      </c>
      <c r="M1205" s="11" t="s">
        <v>90</v>
      </c>
      <c r="N1205" s="11" t="s">
        <v>410</v>
      </c>
      <c r="O1205" s="11" t="s">
        <v>3651</v>
      </c>
      <c r="P1205" s="11" t="s">
        <v>2735</v>
      </c>
      <c r="Q1205" s="11" t="s">
        <v>135</v>
      </c>
      <c r="U1205" s="11" t="s">
        <v>404</v>
      </c>
      <c r="V1205" s="11" t="s">
        <v>137</v>
      </c>
      <c r="W1205" s="13">
        <v>46302.314618055556</v>
      </c>
    </row>
    <row r="1206" spans="1:23">
      <c r="A1206">
        <v>279413</v>
      </c>
      <c r="B1206">
        <v>11170</v>
      </c>
      <c r="C1206" s="11" t="s">
        <v>129</v>
      </c>
      <c r="D1206" s="11" t="s">
        <v>130</v>
      </c>
      <c r="E1206" s="11" t="s">
        <v>25</v>
      </c>
      <c r="F1206" s="12">
        <v>46232</v>
      </c>
      <c r="G1206" s="11" t="s">
        <v>316</v>
      </c>
      <c r="H1206">
        <v>1</v>
      </c>
      <c r="I1206" s="11" t="s">
        <v>3652</v>
      </c>
      <c r="M1206" s="11" t="s">
        <v>87</v>
      </c>
      <c r="N1206" s="11" t="s">
        <v>3653</v>
      </c>
      <c r="O1206" s="11" t="s">
        <v>3654</v>
      </c>
      <c r="P1206" s="11" t="s">
        <v>3652</v>
      </c>
      <c r="Q1206" s="11" t="s">
        <v>135</v>
      </c>
      <c r="U1206" s="11" t="s">
        <v>320</v>
      </c>
      <c r="V1206" s="11" t="s">
        <v>137</v>
      </c>
      <c r="W1206" s="13">
        <v>46302.314618055556</v>
      </c>
    </row>
    <row r="1207" spans="1:23">
      <c r="A1207">
        <v>279414</v>
      </c>
      <c r="B1207">
        <v>11171</v>
      </c>
      <c r="C1207" s="11" t="s">
        <v>129</v>
      </c>
      <c r="D1207" s="11" t="s">
        <v>130</v>
      </c>
      <c r="E1207" s="11" t="s">
        <v>25</v>
      </c>
      <c r="F1207" s="12">
        <v>46232</v>
      </c>
      <c r="G1207" s="11" t="s">
        <v>1740</v>
      </c>
      <c r="H1207">
        <v>5</v>
      </c>
      <c r="I1207" s="11" t="s">
        <v>3655</v>
      </c>
      <c r="M1207" s="11" t="s">
        <v>69</v>
      </c>
      <c r="N1207" s="11" t="s">
        <v>3656</v>
      </c>
      <c r="O1207" s="11" t="s">
        <v>3657</v>
      </c>
      <c r="P1207" s="11" t="s">
        <v>3625</v>
      </c>
      <c r="Q1207" s="11" t="s">
        <v>135</v>
      </c>
      <c r="U1207" s="11" t="s">
        <v>1745</v>
      </c>
      <c r="V1207" s="11" t="s">
        <v>137</v>
      </c>
      <c r="W1207" s="13">
        <v>46302.314618055556</v>
      </c>
    </row>
    <row r="1208" spans="1:23">
      <c r="A1208">
        <v>279415</v>
      </c>
      <c r="B1208">
        <v>11172</v>
      </c>
      <c r="C1208" s="11" t="s">
        <v>129</v>
      </c>
      <c r="D1208" s="11" t="s">
        <v>130</v>
      </c>
      <c r="E1208" s="11" t="s">
        <v>25</v>
      </c>
      <c r="F1208" s="12">
        <v>46232</v>
      </c>
      <c r="G1208" s="11" t="s">
        <v>316</v>
      </c>
      <c r="H1208">
        <v>1</v>
      </c>
      <c r="I1208" s="11" t="s">
        <v>3658</v>
      </c>
      <c r="M1208" s="11" t="s">
        <v>87</v>
      </c>
      <c r="N1208" s="11" t="s">
        <v>3659</v>
      </c>
      <c r="O1208" s="11" t="s">
        <v>3660</v>
      </c>
      <c r="P1208" s="11" t="s">
        <v>3658</v>
      </c>
      <c r="Q1208" s="11" t="s">
        <v>135</v>
      </c>
      <c r="U1208" s="11" t="s">
        <v>320</v>
      </c>
      <c r="V1208" s="11" t="s">
        <v>137</v>
      </c>
      <c r="W1208" s="13">
        <v>46302.314618055556</v>
      </c>
    </row>
    <row r="1209" spans="1:23">
      <c r="A1209">
        <v>279416</v>
      </c>
      <c r="B1209">
        <v>11173</v>
      </c>
      <c r="C1209" s="11" t="s">
        <v>129</v>
      </c>
      <c r="D1209" s="11" t="s">
        <v>130</v>
      </c>
      <c r="E1209" s="11" t="s">
        <v>25</v>
      </c>
      <c r="F1209" s="12">
        <v>46232</v>
      </c>
      <c r="G1209" s="11" t="s">
        <v>328</v>
      </c>
      <c r="H1209">
        <v>7</v>
      </c>
      <c r="I1209" s="11" t="s">
        <v>3661</v>
      </c>
      <c r="M1209" s="11" t="s">
        <v>66</v>
      </c>
      <c r="N1209" s="11" t="s">
        <v>3662</v>
      </c>
      <c r="O1209" s="11" t="s">
        <v>3663</v>
      </c>
      <c r="P1209" s="11" t="s">
        <v>3664</v>
      </c>
      <c r="Q1209" s="11" t="s">
        <v>135</v>
      </c>
      <c r="U1209" s="11" t="s">
        <v>333</v>
      </c>
      <c r="V1209" s="11" t="s">
        <v>137</v>
      </c>
      <c r="W1209" s="13">
        <v>46302.314618055556</v>
      </c>
    </row>
    <row r="1210" spans="1:23">
      <c r="A1210">
        <v>279417</v>
      </c>
      <c r="B1210">
        <v>11174</v>
      </c>
      <c r="C1210" s="11" t="s">
        <v>129</v>
      </c>
      <c r="D1210" s="11" t="s">
        <v>130</v>
      </c>
      <c r="E1210" s="11" t="s">
        <v>25</v>
      </c>
      <c r="F1210" s="12">
        <v>46232</v>
      </c>
      <c r="G1210" s="11" t="s">
        <v>316</v>
      </c>
      <c r="H1210">
        <v>1</v>
      </c>
      <c r="I1210" s="11" t="s">
        <v>670</v>
      </c>
      <c r="M1210" s="11" t="s">
        <v>87</v>
      </c>
      <c r="N1210" s="11" t="s">
        <v>3665</v>
      </c>
      <c r="O1210" s="11" t="s">
        <v>3666</v>
      </c>
      <c r="P1210" s="11" t="s">
        <v>670</v>
      </c>
      <c r="Q1210" s="11" t="s">
        <v>135</v>
      </c>
      <c r="U1210" s="11" t="s">
        <v>320</v>
      </c>
      <c r="V1210" s="11" t="s">
        <v>137</v>
      </c>
      <c r="W1210" s="13">
        <v>46302.314618055556</v>
      </c>
    </row>
    <row r="1211" spans="1:23">
      <c r="A1211">
        <v>279418</v>
      </c>
      <c r="B1211">
        <v>11175</v>
      </c>
      <c r="C1211" s="11" t="s">
        <v>129</v>
      </c>
      <c r="D1211" s="11" t="s">
        <v>130</v>
      </c>
      <c r="E1211" s="11" t="s">
        <v>25</v>
      </c>
      <c r="F1211" s="12">
        <v>46232</v>
      </c>
      <c r="G1211" s="11" t="s">
        <v>334</v>
      </c>
      <c r="H1211">
        <v>1</v>
      </c>
      <c r="I1211" s="11" t="s">
        <v>3667</v>
      </c>
      <c r="M1211" s="11" t="s">
        <v>64</v>
      </c>
      <c r="N1211" s="11" t="s">
        <v>3668</v>
      </c>
      <c r="O1211" s="11" t="s">
        <v>3669</v>
      </c>
      <c r="P1211" s="11" t="s">
        <v>3667</v>
      </c>
      <c r="Q1211" s="11" t="s">
        <v>135</v>
      </c>
      <c r="U1211" s="11" t="s">
        <v>338</v>
      </c>
      <c r="V1211" s="11" t="s">
        <v>137</v>
      </c>
      <c r="W1211" s="13">
        <v>46302.314618055556</v>
      </c>
    </row>
    <row r="1212" spans="1:23">
      <c r="A1212">
        <v>279419</v>
      </c>
      <c r="B1212">
        <v>11176</v>
      </c>
      <c r="C1212" s="11" t="s">
        <v>129</v>
      </c>
      <c r="D1212" s="11" t="s">
        <v>130</v>
      </c>
      <c r="E1212" s="11" t="s">
        <v>25</v>
      </c>
      <c r="F1212" s="12">
        <v>46232</v>
      </c>
      <c r="G1212" s="11" t="s">
        <v>339</v>
      </c>
      <c r="H1212">
        <v>1</v>
      </c>
      <c r="I1212" s="11" t="s">
        <v>3670</v>
      </c>
      <c r="M1212" s="11" t="s">
        <v>92</v>
      </c>
      <c r="N1212" s="11" t="s">
        <v>3671</v>
      </c>
      <c r="O1212" s="11" t="s">
        <v>3106</v>
      </c>
      <c r="P1212" s="11" t="s">
        <v>3670</v>
      </c>
      <c r="Q1212" s="11" t="s">
        <v>135</v>
      </c>
      <c r="U1212" s="11" t="s">
        <v>343</v>
      </c>
      <c r="V1212" s="11" t="s">
        <v>137</v>
      </c>
      <c r="W1212" s="13">
        <v>46302.314618055556</v>
      </c>
    </row>
    <row r="1213" spans="1:23">
      <c r="A1213">
        <v>279420</v>
      </c>
      <c r="B1213">
        <v>11177</v>
      </c>
      <c r="C1213" s="11" t="s">
        <v>129</v>
      </c>
      <c r="D1213" s="11" t="s">
        <v>130</v>
      </c>
      <c r="E1213" s="11" t="s">
        <v>25</v>
      </c>
      <c r="F1213" s="12">
        <v>46232</v>
      </c>
      <c r="G1213" s="11" t="s">
        <v>334</v>
      </c>
      <c r="H1213">
        <v>1</v>
      </c>
      <c r="I1213" s="11" t="s">
        <v>3672</v>
      </c>
      <c r="M1213" s="11" t="s">
        <v>64</v>
      </c>
      <c r="N1213" s="11" t="s">
        <v>3673</v>
      </c>
      <c r="O1213" s="11" t="s">
        <v>3674</v>
      </c>
      <c r="P1213" s="11" t="s">
        <v>3672</v>
      </c>
      <c r="Q1213" s="11" t="s">
        <v>135</v>
      </c>
      <c r="U1213" s="11" t="s">
        <v>338</v>
      </c>
      <c r="V1213" s="11" t="s">
        <v>137</v>
      </c>
      <c r="W1213" s="13">
        <v>46302.314618055556</v>
      </c>
    </row>
    <row r="1214" spans="1:23">
      <c r="A1214">
        <v>279421</v>
      </c>
      <c r="B1214">
        <v>11178</v>
      </c>
      <c r="C1214" s="11" t="s">
        <v>129</v>
      </c>
      <c r="D1214" s="11" t="s">
        <v>130</v>
      </c>
      <c r="E1214" s="11" t="s">
        <v>25</v>
      </c>
      <c r="F1214" s="12">
        <v>46232</v>
      </c>
      <c r="G1214" s="11" t="s">
        <v>339</v>
      </c>
      <c r="H1214">
        <v>1</v>
      </c>
      <c r="I1214" s="11" t="s">
        <v>3675</v>
      </c>
      <c r="M1214" s="11" t="s">
        <v>92</v>
      </c>
      <c r="N1214" s="11" t="s">
        <v>3676</v>
      </c>
      <c r="O1214" s="11" t="s">
        <v>3677</v>
      </c>
      <c r="P1214" s="11" t="s">
        <v>3675</v>
      </c>
      <c r="Q1214" s="11" t="s">
        <v>135</v>
      </c>
      <c r="U1214" s="11" t="s">
        <v>343</v>
      </c>
      <c r="V1214" s="11" t="s">
        <v>137</v>
      </c>
      <c r="W1214" s="13">
        <v>46302.314618055556</v>
      </c>
    </row>
    <row r="1215" spans="1:23">
      <c r="A1215">
        <v>279422</v>
      </c>
      <c r="B1215">
        <v>11179</v>
      </c>
      <c r="C1215" s="11" t="s">
        <v>129</v>
      </c>
      <c r="D1215" s="11" t="s">
        <v>130</v>
      </c>
      <c r="E1215" s="11" t="s">
        <v>25</v>
      </c>
      <c r="F1215" s="12">
        <v>46232</v>
      </c>
      <c r="G1215" s="11" t="s">
        <v>355</v>
      </c>
      <c r="H1215">
        <v>1</v>
      </c>
      <c r="I1215" s="11" t="s">
        <v>3678</v>
      </c>
      <c r="M1215" s="11" t="s">
        <v>77</v>
      </c>
      <c r="N1215" s="11" t="s">
        <v>3679</v>
      </c>
      <c r="O1215" s="11" t="s">
        <v>3680</v>
      </c>
      <c r="P1215" s="11" t="s">
        <v>3678</v>
      </c>
      <c r="Q1215" s="11" t="s">
        <v>135</v>
      </c>
      <c r="U1215" s="11" t="s">
        <v>359</v>
      </c>
      <c r="V1215" s="11" t="s">
        <v>137</v>
      </c>
      <c r="W1215" s="13">
        <v>46302.314618055556</v>
      </c>
    </row>
    <row r="1216" spans="1:23">
      <c r="A1216">
        <v>279423</v>
      </c>
      <c r="B1216">
        <v>11180</v>
      </c>
      <c r="C1216" s="11" t="s">
        <v>129</v>
      </c>
      <c r="D1216" s="11" t="s">
        <v>130</v>
      </c>
      <c r="E1216" s="11" t="s">
        <v>25</v>
      </c>
      <c r="F1216" s="12">
        <v>46232</v>
      </c>
      <c r="G1216" s="11" t="s">
        <v>360</v>
      </c>
      <c r="H1216">
        <v>1</v>
      </c>
      <c r="I1216" s="11" t="s">
        <v>2747</v>
      </c>
      <c r="M1216" s="11" t="s">
        <v>79</v>
      </c>
      <c r="N1216" s="11" t="s">
        <v>3681</v>
      </c>
      <c r="O1216" s="11" t="s">
        <v>3682</v>
      </c>
      <c r="P1216" s="11" t="s">
        <v>2747</v>
      </c>
      <c r="Q1216" s="11" t="s">
        <v>135</v>
      </c>
      <c r="U1216" s="11" t="s">
        <v>364</v>
      </c>
      <c r="V1216" s="11" t="s">
        <v>137</v>
      </c>
      <c r="W1216" s="13">
        <v>46302.314618055556</v>
      </c>
    </row>
    <row r="1217" spans="1:23">
      <c r="A1217">
        <v>279424</v>
      </c>
      <c r="B1217">
        <v>11181</v>
      </c>
      <c r="C1217" s="11" t="s">
        <v>129</v>
      </c>
      <c r="D1217" s="11" t="s">
        <v>130</v>
      </c>
      <c r="E1217" s="11" t="s">
        <v>25</v>
      </c>
      <c r="F1217" s="12">
        <v>46232</v>
      </c>
      <c r="G1217" s="11" t="s">
        <v>1777</v>
      </c>
      <c r="H1217">
        <v>1</v>
      </c>
      <c r="I1217" s="11" t="s">
        <v>902</v>
      </c>
      <c r="M1217" s="11" t="s">
        <v>80</v>
      </c>
      <c r="N1217" s="11" t="s">
        <v>3683</v>
      </c>
      <c r="O1217" s="11" t="s">
        <v>3684</v>
      </c>
      <c r="P1217" s="11" t="s">
        <v>902</v>
      </c>
      <c r="Q1217" s="11" t="s">
        <v>135</v>
      </c>
      <c r="U1217" s="11" t="s">
        <v>1781</v>
      </c>
      <c r="V1217" s="11" t="s">
        <v>137</v>
      </c>
      <c r="W1217" s="13">
        <v>46302.314618055556</v>
      </c>
    </row>
    <row r="1218" spans="1:23">
      <c r="A1218">
        <v>279425</v>
      </c>
      <c r="B1218">
        <v>11182</v>
      </c>
      <c r="C1218" s="11" t="s">
        <v>129</v>
      </c>
      <c r="D1218" s="11" t="s">
        <v>130</v>
      </c>
      <c r="E1218" s="11" t="s">
        <v>25</v>
      </c>
      <c r="F1218" s="12">
        <v>46232</v>
      </c>
      <c r="G1218" s="11" t="s">
        <v>1782</v>
      </c>
      <c r="H1218">
        <v>1</v>
      </c>
      <c r="I1218" s="11" t="s">
        <v>3685</v>
      </c>
      <c r="M1218" s="11" t="s">
        <v>82</v>
      </c>
      <c r="N1218" s="11" t="s">
        <v>3686</v>
      </c>
      <c r="O1218" s="11" t="s">
        <v>3687</v>
      </c>
      <c r="P1218" s="11" t="s">
        <v>3685</v>
      </c>
      <c r="Q1218" s="11" t="s">
        <v>135</v>
      </c>
      <c r="U1218" s="11" t="s">
        <v>1786</v>
      </c>
      <c r="V1218" s="11" t="s">
        <v>137</v>
      </c>
      <c r="W1218" s="13">
        <v>46302.314618055556</v>
      </c>
    </row>
    <row r="1219" spans="1:23">
      <c r="A1219">
        <v>279426</v>
      </c>
      <c r="B1219">
        <v>11183</v>
      </c>
      <c r="C1219" s="11" t="s">
        <v>129</v>
      </c>
      <c r="D1219" s="11" t="s">
        <v>130</v>
      </c>
      <c r="E1219" s="11" t="s">
        <v>25</v>
      </c>
      <c r="F1219" s="12">
        <v>46232</v>
      </c>
      <c r="G1219" s="11" t="s">
        <v>334</v>
      </c>
      <c r="H1219">
        <v>1</v>
      </c>
      <c r="I1219" s="11" t="s">
        <v>608</v>
      </c>
      <c r="M1219" s="11" t="s">
        <v>64</v>
      </c>
      <c r="N1219" s="11" t="s">
        <v>3688</v>
      </c>
      <c r="O1219" s="11" t="s">
        <v>3689</v>
      </c>
      <c r="P1219" s="11" t="s">
        <v>608</v>
      </c>
      <c r="Q1219" s="11" t="s">
        <v>135</v>
      </c>
      <c r="U1219" s="11" t="s">
        <v>338</v>
      </c>
      <c r="V1219" s="11" t="s">
        <v>137</v>
      </c>
      <c r="W1219" s="13">
        <v>46302.314618055556</v>
      </c>
    </row>
    <row r="1220" spans="1:23">
      <c r="A1220">
        <v>279427</v>
      </c>
      <c r="B1220">
        <v>11184</v>
      </c>
      <c r="C1220" s="11" t="s">
        <v>129</v>
      </c>
      <c r="D1220" s="11" t="s">
        <v>130</v>
      </c>
      <c r="E1220" s="11" t="s">
        <v>25</v>
      </c>
      <c r="F1220" s="12">
        <v>46232</v>
      </c>
      <c r="G1220" s="11" t="s">
        <v>401</v>
      </c>
      <c r="H1220">
        <v>1</v>
      </c>
      <c r="I1220" s="11" t="s">
        <v>3690</v>
      </c>
      <c r="M1220" s="11" t="s">
        <v>90</v>
      </c>
      <c r="N1220" s="11" t="s">
        <v>3691</v>
      </c>
      <c r="O1220" s="11" t="s">
        <v>3692</v>
      </c>
      <c r="P1220" s="11" t="s">
        <v>3690</v>
      </c>
      <c r="Q1220" s="11" t="s">
        <v>135</v>
      </c>
      <c r="U1220" s="11" t="s">
        <v>404</v>
      </c>
      <c r="V1220" s="11" t="s">
        <v>137</v>
      </c>
      <c r="W1220" s="13">
        <v>46302.314618055556</v>
      </c>
    </row>
    <row r="1221" spans="1:23">
      <c r="A1221">
        <v>279428</v>
      </c>
      <c r="B1221">
        <v>11185</v>
      </c>
      <c r="C1221" s="11" t="s">
        <v>129</v>
      </c>
      <c r="D1221" s="11" t="s">
        <v>130</v>
      </c>
      <c r="E1221" s="11" t="s">
        <v>25</v>
      </c>
      <c r="F1221" s="12">
        <v>46232</v>
      </c>
      <c r="G1221" s="11" t="s">
        <v>334</v>
      </c>
      <c r="H1221">
        <v>1</v>
      </c>
      <c r="I1221" s="11" t="s">
        <v>3693</v>
      </c>
      <c r="M1221" s="11" t="s">
        <v>64</v>
      </c>
      <c r="N1221" s="11" t="s">
        <v>3694</v>
      </c>
      <c r="O1221" s="11" t="s">
        <v>3695</v>
      </c>
      <c r="P1221" s="11" t="s">
        <v>3693</v>
      </c>
      <c r="Q1221" s="11" t="s">
        <v>135</v>
      </c>
      <c r="U1221" s="11" t="s">
        <v>338</v>
      </c>
      <c r="V1221" s="11" t="s">
        <v>137</v>
      </c>
      <c r="W1221" s="13">
        <v>46302.314618055556</v>
      </c>
    </row>
    <row r="1222" spans="1:23">
      <c r="A1222">
        <v>279429</v>
      </c>
      <c r="B1222">
        <v>11186</v>
      </c>
      <c r="C1222" s="11" t="s">
        <v>129</v>
      </c>
      <c r="D1222" s="11" t="s">
        <v>130</v>
      </c>
      <c r="E1222" s="11" t="s">
        <v>25</v>
      </c>
      <c r="F1222" s="12">
        <v>46232</v>
      </c>
      <c r="G1222" s="11" t="s">
        <v>393</v>
      </c>
      <c r="H1222">
        <v>1</v>
      </c>
      <c r="I1222" s="11" t="s">
        <v>3696</v>
      </c>
      <c r="M1222" s="11" t="s">
        <v>86</v>
      </c>
      <c r="N1222" s="11" t="s">
        <v>3697</v>
      </c>
      <c r="O1222" s="11" t="s">
        <v>2845</v>
      </c>
      <c r="P1222" s="11" t="s">
        <v>3696</v>
      </c>
      <c r="Q1222" s="11" t="s">
        <v>135</v>
      </c>
      <c r="U1222" s="11" t="s">
        <v>397</v>
      </c>
      <c r="V1222" s="11" t="s">
        <v>137</v>
      </c>
      <c r="W1222" s="13">
        <v>46302.314618055556</v>
      </c>
    </row>
    <row r="1223" spans="1:23">
      <c r="A1223">
        <v>279902</v>
      </c>
      <c r="B1223">
        <v>10438</v>
      </c>
      <c r="C1223" s="11" t="s">
        <v>129</v>
      </c>
      <c r="D1223" s="11" t="s">
        <v>130</v>
      </c>
      <c r="E1223" s="11" t="s">
        <v>25</v>
      </c>
      <c r="F1223" s="12">
        <v>46234</v>
      </c>
      <c r="G1223" s="11" t="s">
        <v>131</v>
      </c>
      <c r="H1223">
        <v>1</v>
      </c>
      <c r="I1223" s="11" t="s">
        <v>2424</v>
      </c>
      <c r="M1223" s="11" t="s">
        <v>87</v>
      </c>
      <c r="N1223" s="11" t="s">
        <v>318</v>
      </c>
      <c r="O1223" s="11" t="s">
        <v>415</v>
      </c>
      <c r="P1223" s="11" t="s">
        <v>2424</v>
      </c>
      <c r="Q1223" s="11" t="s">
        <v>135</v>
      </c>
      <c r="U1223" s="11" t="s">
        <v>136</v>
      </c>
      <c r="V1223" s="11" t="s">
        <v>137</v>
      </c>
      <c r="W1223" s="13">
        <v>46302.314618055556</v>
      </c>
    </row>
    <row r="1224" spans="1:23">
      <c r="A1224">
        <v>279903</v>
      </c>
      <c r="B1224">
        <v>10439</v>
      </c>
      <c r="C1224" s="11" t="s">
        <v>129</v>
      </c>
      <c r="D1224" s="11" t="s">
        <v>130</v>
      </c>
      <c r="E1224" s="11" t="s">
        <v>25</v>
      </c>
      <c r="F1224" s="12">
        <v>46234</v>
      </c>
      <c r="G1224" s="11" t="s">
        <v>164</v>
      </c>
      <c r="H1224">
        <v>2</v>
      </c>
      <c r="I1224" s="11" t="s">
        <v>3698</v>
      </c>
      <c r="M1224" s="11" t="s">
        <v>62</v>
      </c>
      <c r="N1224" s="11" t="s">
        <v>3699</v>
      </c>
      <c r="O1224" s="11" t="s">
        <v>3700</v>
      </c>
      <c r="P1224" s="11" t="s">
        <v>3701</v>
      </c>
      <c r="Q1224" s="11" t="s">
        <v>2025</v>
      </c>
      <c r="U1224" s="11" t="s">
        <v>168</v>
      </c>
      <c r="V1224" s="11" t="s">
        <v>137</v>
      </c>
      <c r="W1224" s="13">
        <v>46302.314618055556</v>
      </c>
    </row>
    <row r="1225" spans="1:23">
      <c r="A1225">
        <v>279904</v>
      </c>
      <c r="B1225">
        <v>10442</v>
      </c>
      <c r="C1225" s="11" t="s">
        <v>129</v>
      </c>
      <c r="D1225" s="11" t="s">
        <v>130</v>
      </c>
      <c r="E1225" s="11" t="s">
        <v>25</v>
      </c>
      <c r="F1225" s="12">
        <v>46234</v>
      </c>
      <c r="G1225" s="11" t="s">
        <v>195</v>
      </c>
      <c r="H1225">
        <v>1</v>
      </c>
      <c r="I1225" s="11" t="s">
        <v>3702</v>
      </c>
      <c r="M1225" s="11" t="s">
        <v>68</v>
      </c>
      <c r="N1225" s="11" t="s">
        <v>3703</v>
      </c>
      <c r="O1225" s="11" t="s">
        <v>3043</v>
      </c>
      <c r="P1225" s="11" t="s">
        <v>3702</v>
      </c>
      <c r="Q1225" s="11" t="s">
        <v>135</v>
      </c>
      <c r="U1225" s="11" t="s">
        <v>199</v>
      </c>
      <c r="V1225" s="11" t="s">
        <v>137</v>
      </c>
      <c r="W1225" s="13">
        <v>46302.314618055556</v>
      </c>
    </row>
    <row r="1226" spans="1:23">
      <c r="A1226">
        <v>279905</v>
      </c>
      <c r="B1226">
        <v>10443</v>
      </c>
      <c r="C1226" s="11" t="s">
        <v>129</v>
      </c>
      <c r="D1226" s="11" t="s">
        <v>130</v>
      </c>
      <c r="E1226" s="11" t="s">
        <v>25</v>
      </c>
      <c r="F1226" s="12">
        <v>46234</v>
      </c>
      <c r="G1226" s="11" t="s">
        <v>174</v>
      </c>
      <c r="H1226">
        <v>1</v>
      </c>
      <c r="I1226" s="11" t="s">
        <v>836</v>
      </c>
      <c r="M1226" s="11" t="s">
        <v>92</v>
      </c>
      <c r="N1226" s="11" t="s">
        <v>3704</v>
      </c>
      <c r="O1226" s="11" t="s">
        <v>3705</v>
      </c>
      <c r="P1226" s="11" t="s">
        <v>836</v>
      </c>
      <c r="Q1226" s="11" t="s">
        <v>135</v>
      </c>
      <c r="U1226" s="11" t="s">
        <v>178</v>
      </c>
      <c r="V1226" s="11" t="s">
        <v>137</v>
      </c>
      <c r="W1226" s="13">
        <v>46302.314618055556</v>
      </c>
    </row>
    <row r="1227" spans="1:23">
      <c r="A1227">
        <v>279906</v>
      </c>
      <c r="B1227">
        <v>10444</v>
      </c>
      <c r="C1227" s="11" t="s">
        <v>129</v>
      </c>
      <c r="D1227" s="11" t="s">
        <v>130</v>
      </c>
      <c r="E1227" s="11" t="s">
        <v>25</v>
      </c>
      <c r="F1227" s="12">
        <v>46234</v>
      </c>
      <c r="G1227" s="11" t="s">
        <v>149</v>
      </c>
      <c r="H1227">
        <v>1</v>
      </c>
      <c r="I1227" s="11" t="s">
        <v>3706</v>
      </c>
      <c r="M1227" s="11" t="s">
        <v>77</v>
      </c>
      <c r="N1227" s="11" t="s">
        <v>3707</v>
      </c>
      <c r="O1227" s="11" t="s">
        <v>3708</v>
      </c>
      <c r="P1227" s="11" t="s">
        <v>3706</v>
      </c>
      <c r="Q1227" s="11" t="s">
        <v>135</v>
      </c>
      <c r="U1227" s="11" t="s">
        <v>153</v>
      </c>
      <c r="V1227" s="11" t="s">
        <v>137</v>
      </c>
      <c r="W1227" s="13">
        <v>46302.314618055556</v>
      </c>
    </row>
    <row r="1228" spans="1:23">
      <c r="A1228">
        <v>279907</v>
      </c>
      <c r="B1228">
        <v>10445</v>
      </c>
      <c r="C1228" s="11" t="s">
        <v>129</v>
      </c>
      <c r="D1228" s="11" t="s">
        <v>130</v>
      </c>
      <c r="E1228" s="11" t="s">
        <v>25</v>
      </c>
      <c r="F1228" s="12">
        <v>46234</v>
      </c>
      <c r="G1228" s="11" t="s">
        <v>523</v>
      </c>
      <c r="H1228">
        <v>1</v>
      </c>
      <c r="I1228" s="11" t="s">
        <v>2750</v>
      </c>
      <c r="M1228" s="11" t="s">
        <v>80</v>
      </c>
      <c r="N1228" s="11" t="s">
        <v>3709</v>
      </c>
      <c r="O1228" s="11" t="s">
        <v>3710</v>
      </c>
      <c r="P1228" s="11" t="s">
        <v>2750</v>
      </c>
      <c r="Q1228" s="11" t="s">
        <v>135</v>
      </c>
      <c r="U1228" s="11" t="s">
        <v>527</v>
      </c>
      <c r="V1228" s="11" t="s">
        <v>137</v>
      </c>
      <c r="W1228" s="13">
        <v>46302.314618055556</v>
      </c>
    </row>
    <row r="1229" spans="1:23">
      <c r="A1229">
        <v>279908</v>
      </c>
      <c r="B1229">
        <v>10446</v>
      </c>
      <c r="C1229" s="11" t="s">
        <v>129</v>
      </c>
      <c r="D1229" s="11" t="s">
        <v>130</v>
      </c>
      <c r="E1229" s="11" t="s">
        <v>25</v>
      </c>
      <c r="F1229" s="12">
        <v>46234</v>
      </c>
      <c r="G1229" s="11" t="s">
        <v>179</v>
      </c>
      <c r="H1229">
        <v>1</v>
      </c>
      <c r="I1229" s="11" t="s">
        <v>3711</v>
      </c>
      <c r="M1229" s="11" t="s">
        <v>83</v>
      </c>
      <c r="N1229" s="11" t="s">
        <v>3712</v>
      </c>
      <c r="O1229" s="11" t="s">
        <v>2959</v>
      </c>
      <c r="P1229" s="11" t="s">
        <v>3711</v>
      </c>
      <c r="Q1229" s="11" t="s">
        <v>135</v>
      </c>
      <c r="U1229" s="11" t="s">
        <v>183</v>
      </c>
      <c r="V1229" s="11" t="s">
        <v>137</v>
      </c>
      <c r="W1229" s="13">
        <v>46302.314618055556</v>
      </c>
    </row>
    <row r="1230" spans="1:23">
      <c r="A1230">
        <v>279909</v>
      </c>
      <c r="B1230">
        <v>10447</v>
      </c>
      <c r="C1230" s="11" t="s">
        <v>129</v>
      </c>
      <c r="D1230" s="11" t="s">
        <v>130</v>
      </c>
      <c r="E1230" s="11" t="s">
        <v>25</v>
      </c>
      <c r="F1230" s="12">
        <v>46234</v>
      </c>
      <c r="G1230" s="11" t="s">
        <v>195</v>
      </c>
      <c r="H1230">
        <v>1</v>
      </c>
      <c r="I1230" s="11" t="s">
        <v>2449</v>
      </c>
      <c r="M1230" s="11" t="s">
        <v>68</v>
      </c>
      <c r="N1230" s="11" t="s">
        <v>3713</v>
      </c>
      <c r="O1230" s="11" t="s">
        <v>3714</v>
      </c>
      <c r="P1230" s="11" t="s">
        <v>2449</v>
      </c>
      <c r="Q1230" s="11" t="s">
        <v>135</v>
      </c>
      <c r="U1230" s="11" t="s">
        <v>199</v>
      </c>
      <c r="V1230" s="11" t="s">
        <v>137</v>
      </c>
      <c r="W1230" s="13">
        <v>46302.314618055556</v>
      </c>
    </row>
    <row r="1231" spans="1:23">
      <c r="A1231">
        <v>279910</v>
      </c>
      <c r="B1231">
        <v>10448</v>
      </c>
      <c r="C1231" s="11" t="s">
        <v>129</v>
      </c>
      <c r="D1231" s="11" t="s">
        <v>130</v>
      </c>
      <c r="E1231" s="11" t="s">
        <v>25</v>
      </c>
      <c r="F1231" s="12">
        <v>46234</v>
      </c>
      <c r="G1231" s="11" t="s">
        <v>1848</v>
      </c>
      <c r="H1231">
        <v>1</v>
      </c>
      <c r="I1231" s="11" t="s">
        <v>3715</v>
      </c>
      <c r="M1231" s="11" t="s">
        <v>56</v>
      </c>
      <c r="N1231" s="11" t="s">
        <v>3716</v>
      </c>
      <c r="O1231" s="11" t="s">
        <v>2245</v>
      </c>
      <c r="P1231" s="11" t="s">
        <v>3715</v>
      </c>
      <c r="Q1231" s="11" t="s">
        <v>135</v>
      </c>
      <c r="U1231" s="11" t="s">
        <v>1852</v>
      </c>
      <c r="V1231" s="11" t="s">
        <v>137</v>
      </c>
      <c r="W1231" s="13">
        <v>46302.314618055556</v>
      </c>
    </row>
    <row r="1232" spans="1:23">
      <c r="A1232">
        <v>279911</v>
      </c>
      <c r="B1232">
        <v>10449</v>
      </c>
      <c r="C1232" s="11" t="s">
        <v>129</v>
      </c>
      <c r="D1232" s="11" t="s">
        <v>130</v>
      </c>
      <c r="E1232" s="11" t="s">
        <v>25</v>
      </c>
      <c r="F1232" s="12">
        <v>46234</v>
      </c>
      <c r="G1232" s="11" t="s">
        <v>174</v>
      </c>
      <c r="H1232">
        <v>1</v>
      </c>
      <c r="I1232" s="11" t="s">
        <v>905</v>
      </c>
      <c r="M1232" s="11" t="s">
        <v>92</v>
      </c>
      <c r="N1232" s="11" t="s">
        <v>3717</v>
      </c>
      <c r="O1232" s="11" t="s">
        <v>3718</v>
      </c>
      <c r="P1232" s="11" t="s">
        <v>905</v>
      </c>
      <c r="Q1232" s="11" t="s">
        <v>135</v>
      </c>
      <c r="U1232" s="11" t="s">
        <v>178</v>
      </c>
      <c r="V1232" s="11" t="s">
        <v>137</v>
      </c>
      <c r="W1232" s="13">
        <v>46302.314618055556</v>
      </c>
    </row>
    <row r="1233" spans="1:23">
      <c r="A1233">
        <v>279912</v>
      </c>
      <c r="B1233">
        <v>10450</v>
      </c>
      <c r="C1233" s="11" t="s">
        <v>129</v>
      </c>
      <c r="D1233" s="11" t="s">
        <v>130</v>
      </c>
      <c r="E1233" s="11" t="s">
        <v>25</v>
      </c>
      <c r="F1233" s="12">
        <v>46234</v>
      </c>
      <c r="G1233" s="11" t="s">
        <v>3719</v>
      </c>
      <c r="H1233">
        <v>1</v>
      </c>
      <c r="I1233" s="11" t="s">
        <v>3720</v>
      </c>
      <c r="M1233" s="11" t="s">
        <v>54</v>
      </c>
      <c r="N1233" s="11" t="s">
        <v>3721</v>
      </c>
      <c r="O1233" s="11" t="s">
        <v>3722</v>
      </c>
      <c r="P1233" s="11" t="s">
        <v>3720</v>
      </c>
      <c r="Q1233" s="11" t="s">
        <v>135</v>
      </c>
      <c r="U1233" s="11" t="s">
        <v>3723</v>
      </c>
      <c r="V1233" s="11" t="s">
        <v>137</v>
      </c>
      <c r="W1233" s="13">
        <v>46302.314618055556</v>
      </c>
    </row>
    <row r="1234" spans="1:23">
      <c r="A1234">
        <v>279913</v>
      </c>
      <c r="B1234">
        <v>10451</v>
      </c>
      <c r="C1234" s="11" t="s">
        <v>129</v>
      </c>
      <c r="D1234" s="11" t="s">
        <v>130</v>
      </c>
      <c r="E1234" s="11" t="s">
        <v>25</v>
      </c>
      <c r="F1234" s="12">
        <v>46234</v>
      </c>
      <c r="G1234" s="11" t="s">
        <v>217</v>
      </c>
      <c r="H1234">
        <v>1</v>
      </c>
      <c r="I1234" s="11" t="s">
        <v>587</v>
      </c>
      <c r="M1234" s="11" t="s">
        <v>86</v>
      </c>
      <c r="N1234" s="11" t="s">
        <v>3724</v>
      </c>
      <c r="O1234" s="11" t="s">
        <v>3725</v>
      </c>
      <c r="P1234" s="11" t="s">
        <v>587</v>
      </c>
      <c r="Q1234" s="11" t="s">
        <v>135</v>
      </c>
      <c r="U1234" s="11" t="s">
        <v>221</v>
      </c>
      <c r="V1234" s="11" t="s">
        <v>137</v>
      </c>
      <c r="W1234" s="13">
        <v>46302.314618055556</v>
      </c>
    </row>
    <row r="1235" spans="1:23">
      <c r="A1235">
        <v>279914</v>
      </c>
      <c r="B1235">
        <v>10440</v>
      </c>
      <c r="C1235" s="11" t="s">
        <v>129</v>
      </c>
      <c r="D1235" s="11" t="s">
        <v>130</v>
      </c>
      <c r="E1235" s="11" t="s">
        <v>25</v>
      </c>
      <c r="F1235" s="12">
        <v>46234</v>
      </c>
      <c r="G1235" s="11" t="s">
        <v>131</v>
      </c>
      <c r="H1235">
        <v>1</v>
      </c>
      <c r="I1235" s="11" t="s">
        <v>2255</v>
      </c>
      <c r="M1235" s="11" t="s">
        <v>87</v>
      </c>
      <c r="N1235" s="11" t="s">
        <v>3726</v>
      </c>
      <c r="O1235" s="11" t="s">
        <v>3727</v>
      </c>
      <c r="P1235" s="11" t="s">
        <v>2255</v>
      </c>
      <c r="Q1235" s="11" t="s">
        <v>135</v>
      </c>
      <c r="R1235">
        <v>10439</v>
      </c>
      <c r="U1235" s="11" t="s">
        <v>136</v>
      </c>
      <c r="V1235" s="11" t="s">
        <v>137</v>
      </c>
      <c r="W1235" s="13">
        <v>46302.314618055556</v>
      </c>
    </row>
    <row r="1236" spans="1:23">
      <c r="A1236">
        <v>279915</v>
      </c>
      <c r="B1236">
        <v>10441</v>
      </c>
      <c r="C1236" s="11" t="s">
        <v>129</v>
      </c>
      <c r="D1236" s="11" t="s">
        <v>130</v>
      </c>
      <c r="E1236" s="11" t="s">
        <v>25</v>
      </c>
      <c r="F1236" s="12">
        <v>46234</v>
      </c>
      <c r="G1236" s="11" t="s">
        <v>222</v>
      </c>
      <c r="H1236">
        <v>1</v>
      </c>
      <c r="I1236" s="11" t="s">
        <v>3728</v>
      </c>
      <c r="M1236" s="11" t="s">
        <v>90</v>
      </c>
      <c r="N1236" s="11" t="s">
        <v>3729</v>
      </c>
      <c r="O1236" s="11" t="s">
        <v>3730</v>
      </c>
      <c r="P1236" s="11" t="s">
        <v>3728</v>
      </c>
      <c r="Q1236" s="11" t="s">
        <v>135</v>
      </c>
      <c r="R1236">
        <v>10439</v>
      </c>
      <c r="U1236" s="11" t="s">
        <v>225</v>
      </c>
      <c r="V1236" s="11" t="s">
        <v>137</v>
      </c>
      <c r="W1236" s="13">
        <v>46302.314618055556</v>
      </c>
    </row>
    <row r="1237" spans="1:23">
      <c r="A1237">
        <v>280388</v>
      </c>
      <c r="B1237">
        <v>10455</v>
      </c>
      <c r="C1237" s="11" t="s">
        <v>129</v>
      </c>
      <c r="D1237" s="11" t="s">
        <v>130</v>
      </c>
      <c r="E1237" s="11" t="s">
        <v>25</v>
      </c>
      <c r="F1237" s="12">
        <v>46238</v>
      </c>
      <c r="G1237" s="11" t="s">
        <v>131</v>
      </c>
      <c r="H1237">
        <v>1</v>
      </c>
      <c r="I1237" s="11" t="s">
        <v>899</v>
      </c>
      <c r="M1237" s="11" t="s">
        <v>87</v>
      </c>
      <c r="N1237" s="11" t="s">
        <v>3731</v>
      </c>
      <c r="O1237" s="11" t="s">
        <v>3732</v>
      </c>
      <c r="P1237" s="11" t="s">
        <v>899</v>
      </c>
      <c r="Q1237" s="11" t="s">
        <v>135</v>
      </c>
      <c r="U1237" s="11" t="s">
        <v>136</v>
      </c>
      <c r="V1237" s="11" t="s">
        <v>137</v>
      </c>
      <c r="W1237" s="13">
        <v>46302.314618055556</v>
      </c>
    </row>
    <row r="1238" spans="1:23">
      <c r="A1238">
        <v>280389</v>
      </c>
      <c r="B1238">
        <v>10456</v>
      </c>
      <c r="C1238" s="11" t="s">
        <v>129</v>
      </c>
      <c r="D1238" s="11" t="s">
        <v>130</v>
      </c>
      <c r="E1238" s="11" t="s">
        <v>25</v>
      </c>
      <c r="F1238" s="12">
        <v>46238</v>
      </c>
      <c r="G1238" s="11" t="s">
        <v>138</v>
      </c>
      <c r="H1238">
        <v>1</v>
      </c>
      <c r="I1238" s="11" t="s">
        <v>3733</v>
      </c>
      <c r="M1238" s="11" t="s">
        <v>89</v>
      </c>
      <c r="N1238" s="11" t="s">
        <v>3734</v>
      </c>
      <c r="O1238" s="11" t="s">
        <v>309</v>
      </c>
      <c r="P1238" s="11" t="s">
        <v>3733</v>
      </c>
      <c r="Q1238" s="11" t="s">
        <v>135</v>
      </c>
      <c r="U1238" s="11" t="s">
        <v>142</v>
      </c>
      <c r="V1238" s="11" t="s">
        <v>137</v>
      </c>
      <c r="W1238" s="13">
        <v>46302.314618055556</v>
      </c>
    </row>
    <row r="1239" spans="1:23">
      <c r="A1239">
        <v>280390</v>
      </c>
      <c r="B1239">
        <v>10457</v>
      </c>
      <c r="C1239" s="11" t="s">
        <v>129</v>
      </c>
      <c r="D1239" s="11" t="s">
        <v>130</v>
      </c>
      <c r="E1239" s="11" t="s">
        <v>25</v>
      </c>
      <c r="F1239" s="12">
        <v>46238</v>
      </c>
      <c r="G1239" s="11" t="s">
        <v>222</v>
      </c>
      <c r="H1239">
        <v>1</v>
      </c>
      <c r="I1239" s="11" t="s">
        <v>3735</v>
      </c>
      <c r="M1239" s="11" t="s">
        <v>90</v>
      </c>
      <c r="N1239" s="11" t="s">
        <v>3736</v>
      </c>
      <c r="O1239" s="11" t="s">
        <v>3737</v>
      </c>
      <c r="P1239" s="11" t="s">
        <v>3735</v>
      </c>
      <c r="Q1239" s="11" t="s">
        <v>135</v>
      </c>
      <c r="U1239" s="11" t="s">
        <v>225</v>
      </c>
      <c r="V1239" s="11" t="s">
        <v>137</v>
      </c>
      <c r="W1239" s="13">
        <v>46302.314618055556</v>
      </c>
    </row>
    <row r="1240" spans="1:23">
      <c r="A1240">
        <v>280391</v>
      </c>
      <c r="B1240">
        <v>10458</v>
      </c>
      <c r="C1240" s="11" t="s">
        <v>129</v>
      </c>
      <c r="D1240" s="11" t="s">
        <v>130</v>
      </c>
      <c r="E1240" s="11" t="s">
        <v>25</v>
      </c>
      <c r="F1240" s="12">
        <v>46238</v>
      </c>
      <c r="G1240" s="11" t="s">
        <v>131</v>
      </c>
      <c r="H1240">
        <v>1</v>
      </c>
      <c r="I1240" s="11" t="s">
        <v>3738</v>
      </c>
      <c r="M1240" s="11" t="s">
        <v>87</v>
      </c>
      <c r="N1240" s="11" t="s">
        <v>3739</v>
      </c>
      <c r="O1240" s="11" t="s">
        <v>3740</v>
      </c>
      <c r="P1240" s="11" t="s">
        <v>3738</v>
      </c>
      <c r="Q1240" s="11" t="s">
        <v>135</v>
      </c>
      <c r="U1240" s="11" t="s">
        <v>136</v>
      </c>
      <c r="V1240" s="11" t="s">
        <v>137</v>
      </c>
      <c r="W1240" s="13">
        <v>46302.314618055556</v>
      </c>
    </row>
    <row r="1241" spans="1:23">
      <c r="A1241">
        <v>280392</v>
      </c>
      <c r="B1241">
        <v>10459</v>
      </c>
      <c r="C1241" s="11" t="s">
        <v>129</v>
      </c>
      <c r="D1241" s="11" t="s">
        <v>130</v>
      </c>
      <c r="E1241" s="11" t="s">
        <v>25</v>
      </c>
      <c r="F1241" s="12">
        <v>46238</v>
      </c>
      <c r="G1241" s="11" t="s">
        <v>164</v>
      </c>
      <c r="H1241">
        <v>1</v>
      </c>
      <c r="I1241" s="11" t="s">
        <v>1960</v>
      </c>
      <c r="M1241" s="11" t="s">
        <v>62</v>
      </c>
      <c r="N1241" s="11" t="s">
        <v>3741</v>
      </c>
      <c r="O1241" s="11" t="s">
        <v>3742</v>
      </c>
      <c r="P1241" s="11" t="s">
        <v>1960</v>
      </c>
      <c r="Q1241" s="11" t="s">
        <v>135</v>
      </c>
      <c r="U1241" s="11" t="s">
        <v>168</v>
      </c>
      <c r="V1241" s="11" t="s">
        <v>137</v>
      </c>
      <c r="W1241" s="13">
        <v>46302.314618055556</v>
      </c>
    </row>
    <row r="1242" spans="1:23">
      <c r="A1242">
        <v>280393</v>
      </c>
      <c r="B1242">
        <v>10460</v>
      </c>
      <c r="C1242" s="11" t="s">
        <v>129</v>
      </c>
      <c r="D1242" s="11" t="s">
        <v>130</v>
      </c>
      <c r="E1242" s="11" t="s">
        <v>25</v>
      </c>
      <c r="F1242" s="12">
        <v>46238</v>
      </c>
      <c r="G1242" s="11" t="s">
        <v>504</v>
      </c>
      <c r="H1242">
        <v>1</v>
      </c>
      <c r="I1242" s="11" t="s">
        <v>3743</v>
      </c>
      <c r="M1242" s="11" t="s">
        <v>53</v>
      </c>
      <c r="N1242" s="11" t="s">
        <v>3744</v>
      </c>
      <c r="O1242" s="11" t="s">
        <v>3745</v>
      </c>
      <c r="P1242" s="11" t="s">
        <v>3743</v>
      </c>
      <c r="Q1242" s="11" t="s">
        <v>135</v>
      </c>
      <c r="U1242" s="11" t="s">
        <v>508</v>
      </c>
      <c r="V1242" s="11" t="s">
        <v>137</v>
      </c>
      <c r="W1242" s="13">
        <v>46302.314618055556</v>
      </c>
    </row>
    <row r="1243" spans="1:23">
      <c r="A1243">
        <v>280394</v>
      </c>
      <c r="B1243">
        <v>10461</v>
      </c>
      <c r="C1243" s="11" t="s">
        <v>129</v>
      </c>
      <c r="D1243" s="11" t="s">
        <v>130</v>
      </c>
      <c r="E1243" s="11" t="s">
        <v>25</v>
      </c>
      <c r="F1243" s="12">
        <v>46238</v>
      </c>
      <c r="G1243" s="11" t="s">
        <v>3746</v>
      </c>
      <c r="H1243">
        <v>1</v>
      </c>
      <c r="I1243" s="11" t="s">
        <v>3747</v>
      </c>
      <c r="M1243" s="11" t="s">
        <v>96</v>
      </c>
      <c r="N1243" s="11" t="s">
        <v>3748</v>
      </c>
      <c r="O1243" s="11" t="s">
        <v>3749</v>
      </c>
      <c r="P1243" s="11" t="s">
        <v>3747</v>
      </c>
      <c r="Q1243" s="11" t="s">
        <v>135</v>
      </c>
      <c r="U1243" s="11" t="s">
        <v>3750</v>
      </c>
      <c r="V1243" s="11" t="s">
        <v>137</v>
      </c>
      <c r="W1243" s="13">
        <v>46302.314618055556</v>
      </c>
    </row>
    <row r="1244" spans="1:23">
      <c r="A1244">
        <v>280395</v>
      </c>
      <c r="B1244">
        <v>10462</v>
      </c>
      <c r="C1244" s="11" t="s">
        <v>129</v>
      </c>
      <c r="D1244" s="11" t="s">
        <v>130</v>
      </c>
      <c r="E1244" s="11" t="s">
        <v>25</v>
      </c>
      <c r="F1244" s="12">
        <v>46238</v>
      </c>
      <c r="G1244" s="11" t="s">
        <v>1361</v>
      </c>
      <c r="H1244">
        <v>1</v>
      </c>
      <c r="I1244" s="11" t="s">
        <v>3751</v>
      </c>
      <c r="M1244" s="11" t="s">
        <v>58</v>
      </c>
      <c r="N1244" s="11" t="s">
        <v>1206</v>
      </c>
      <c r="O1244" s="11" t="s">
        <v>3752</v>
      </c>
      <c r="P1244" s="11" t="s">
        <v>3751</v>
      </c>
      <c r="Q1244" s="11" t="s">
        <v>135</v>
      </c>
      <c r="U1244" s="11" t="s">
        <v>1365</v>
      </c>
      <c r="V1244" s="11" t="s">
        <v>137</v>
      </c>
      <c r="W1244" s="13">
        <v>46302.314618055556</v>
      </c>
    </row>
    <row r="1245" spans="1:23">
      <c r="A1245">
        <v>280396</v>
      </c>
      <c r="B1245">
        <v>10463</v>
      </c>
      <c r="C1245" s="11" t="s">
        <v>129</v>
      </c>
      <c r="D1245" s="11" t="s">
        <v>130</v>
      </c>
      <c r="E1245" s="11" t="s">
        <v>25</v>
      </c>
      <c r="F1245" s="12">
        <v>46238</v>
      </c>
      <c r="G1245" s="11" t="s">
        <v>512</v>
      </c>
      <c r="H1245">
        <v>1</v>
      </c>
      <c r="I1245" s="11" t="s">
        <v>3753</v>
      </c>
      <c r="M1245" s="11" t="s">
        <v>44</v>
      </c>
      <c r="N1245" s="11" t="s">
        <v>3754</v>
      </c>
      <c r="O1245" s="11" t="s">
        <v>3755</v>
      </c>
      <c r="P1245" s="11" t="s">
        <v>3753</v>
      </c>
      <c r="Q1245" s="11" t="s">
        <v>135</v>
      </c>
      <c r="U1245" s="11" t="s">
        <v>516</v>
      </c>
      <c r="V1245" s="11" t="s">
        <v>137</v>
      </c>
      <c r="W1245" s="13">
        <v>46302.314618055556</v>
      </c>
    </row>
    <row r="1246" spans="1:23">
      <c r="A1246">
        <v>280397</v>
      </c>
      <c r="B1246">
        <v>10464</v>
      </c>
      <c r="C1246" s="11" t="s">
        <v>129</v>
      </c>
      <c r="D1246" s="11" t="s">
        <v>130</v>
      </c>
      <c r="E1246" s="11" t="s">
        <v>25</v>
      </c>
      <c r="F1246" s="12">
        <v>46238</v>
      </c>
      <c r="G1246" s="11" t="s">
        <v>607</v>
      </c>
      <c r="H1246">
        <v>1</v>
      </c>
      <c r="I1246" s="11" t="s">
        <v>3756</v>
      </c>
      <c r="M1246" s="11" t="s">
        <v>42</v>
      </c>
      <c r="N1246" s="11" t="s">
        <v>3757</v>
      </c>
      <c r="O1246" s="11" t="s">
        <v>3758</v>
      </c>
      <c r="P1246" s="11" t="s">
        <v>3756</v>
      </c>
      <c r="Q1246" s="11" t="s">
        <v>135</v>
      </c>
      <c r="U1246" s="11" t="s">
        <v>611</v>
      </c>
      <c r="V1246" s="11" t="s">
        <v>137</v>
      </c>
      <c r="W1246" s="13">
        <v>46302.314618055556</v>
      </c>
    </row>
    <row r="1247" spans="1:23">
      <c r="A1247">
        <v>280398</v>
      </c>
      <c r="B1247">
        <v>10465</v>
      </c>
      <c r="C1247" s="11" t="s">
        <v>129</v>
      </c>
      <c r="D1247" s="11" t="s">
        <v>130</v>
      </c>
      <c r="E1247" s="11" t="s">
        <v>25</v>
      </c>
      <c r="F1247" s="12">
        <v>46238</v>
      </c>
      <c r="G1247" s="11" t="s">
        <v>131</v>
      </c>
      <c r="H1247">
        <v>1</v>
      </c>
      <c r="I1247" s="11" t="s">
        <v>1625</v>
      </c>
      <c r="M1247" s="11" t="s">
        <v>87</v>
      </c>
      <c r="N1247" s="11" t="s">
        <v>3759</v>
      </c>
      <c r="O1247" s="11" t="s">
        <v>1998</v>
      </c>
      <c r="P1247" s="11" t="s">
        <v>1625</v>
      </c>
      <c r="Q1247" s="11" t="s">
        <v>135</v>
      </c>
      <c r="U1247" s="11" t="s">
        <v>136</v>
      </c>
      <c r="V1247" s="11" t="s">
        <v>137</v>
      </c>
      <c r="W1247" s="13">
        <v>46302.314618055556</v>
      </c>
    </row>
    <row r="1248" spans="1:23">
      <c r="A1248">
        <v>280399</v>
      </c>
      <c r="B1248">
        <v>10466</v>
      </c>
      <c r="C1248" s="11" t="s">
        <v>129</v>
      </c>
      <c r="D1248" s="11" t="s">
        <v>130</v>
      </c>
      <c r="E1248" s="11" t="s">
        <v>25</v>
      </c>
      <c r="F1248" s="12">
        <v>46238</v>
      </c>
      <c r="G1248" s="11" t="s">
        <v>143</v>
      </c>
      <c r="H1248">
        <v>1</v>
      </c>
      <c r="I1248" s="11" t="s">
        <v>3760</v>
      </c>
      <c r="M1248" s="11" t="s">
        <v>39</v>
      </c>
      <c r="N1248" s="11" t="s">
        <v>3761</v>
      </c>
      <c r="O1248" s="11" t="s">
        <v>3762</v>
      </c>
      <c r="P1248" s="11" t="s">
        <v>3760</v>
      </c>
      <c r="Q1248" s="11" t="s">
        <v>135</v>
      </c>
      <c r="U1248" s="11" t="s">
        <v>148</v>
      </c>
      <c r="V1248" s="11" t="s">
        <v>137</v>
      </c>
      <c r="W1248" s="13">
        <v>46302.314618055556</v>
      </c>
    </row>
    <row r="1249" spans="1:23">
      <c r="A1249">
        <v>280400</v>
      </c>
      <c r="B1249">
        <v>10467</v>
      </c>
      <c r="C1249" s="11" t="s">
        <v>129</v>
      </c>
      <c r="D1249" s="11" t="s">
        <v>130</v>
      </c>
      <c r="E1249" s="11" t="s">
        <v>25</v>
      </c>
      <c r="F1249" s="12">
        <v>46238</v>
      </c>
      <c r="G1249" s="11" t="s">
        <v>174</v>
      </c>
      <c r="H1249">
        <v>1</v>
      </c>
      <c r="I1249" s="11" t="s">
        <v>3763</v>
      </c>
      <c r="M1249" s="11" t="s">
        <v>92</v>
      </c>
      <c r="N1249" s="11" t="s">
        <v>3764</v>
      </c>
      <c r="O1249" s="11" t="s">
        <v>3765</v>
      </c>
      <c r="P1249" s="11" t="s">
        <v>3763</v>
      </c>
      <c r="Q1249" s="11" t="s">
        <v>135</v>
      </c>
      <c r="U1249" s="11" t="s">
        <v>178</v>
      </c>
      <c r="V1249" s="11" t="s">
        <v>137</v>
      </c>
      <c r="W1249" s="13">
        <v>46302.314618055556</v>
      </c>
    </row>
    <row r="1250" spans="1:23">
      <c r="A1250">
        <v>280401</v>
      </c>
      <c r="B1250">
        <v>10468</v>
      </c>
      <c r="C1250" s="11" t="s">
        <v>129</v>
      </c>
      <c r="D1250" s="11" t="s">
        <v>130</v>
      </c>
      <c r="E1250" s="11" t="s">
        <v>25</v>
      </c>
      <c r="F1250" s="12">
        <v>46238</v>
      </c>
      <c r="G1250" s="11" t="s">
        <v>149</v>
      </c>
      <c r="H1250">
        <v>1</v>
      </c>
      <c r="I1250" s="11" t="s">
        <v>3766</v>
      </c>
      <c r="M1250" s="11" t="s">
        <v>77</v>
      </c>
      <c r="N1250" s="11" t="s">
        <v>638</v>
      </c>
      <c r="O1250" s="11" t="s">
        <v>3767</v>
      </c>
      <c r="P1250" s="11" t="s">
        <v>3766</v>
      </c>
      <c r="Q1250" s="11" t="s">
        <v>135</v>
      </c>
      <c r="U1250" s="11" t="s">
        <v>153</v>
      </c>
      <c r="V1250" s="11" t="s">
        <v>137</v>
      </c>
      <c r="W1250" s="13">
        <v>46302.314618055556</v>
      </c>
    </row>
    <row r="1251" spans="1:23">
      <c r="A1251">
        <v>280402</v>
      </c>
      <c r="B1251">
        <v>10469</v>
      </c>
      <c r="C1251" s="11" t="s">
        <v>129</v>
      </c>
      <c r="D1251" s="11" t="s">
        <v>130</v>
      </c>
      <c r="E1251" s="11" t="s">
        <v>25</v>
      </c>
      <c r="F1251" s="12">
        <v>46238</v>
      </c>
      <c r="G1251" s="11" t="s">
        <v>154</v>
      </c>
      <c r="H1251">
        <v>1</v>
      </c>
      <c r="I1251" s="11" t="s">
        <v>3768</v>
      </c>
      <c r="M1251" s="11" t="s">
        <v>79</v>
      </c>
      <c r="N1251" s="11" t="s">
        <v>3769</v>
      </c>
      <c r="O1251" s="11" t="s">
        <v>3770</v>
      </c>
      <c r="P1251" s="11" t="s">
        <v>3768</v>
      </c>
      <c r="Q1251" s="11" t="s">
        <v>135</v>
      </c>
      <c r="U1251" s="11" t="s">
        <v>158</v>
      </c>
      <c r="V1251" s="11" t="s">
        <v>137</v>
      </c>
      <c r="W1251" s="13">
        <v>46302.314618055556</v>
      </c>
    </row>
    <row r="1252" spans="1:23">
      <c r="A1252">
        <v>280403</v>
      </c>
      <c r="B1252">
        <v>10470</v>
      </c>
      <c r="C1252" s="11" t="s">
        <v>129</v>
      </c>
      <c r="D1252" s="11" t="s">
        <v>130</v>
      </c>
      <c r="E1252" s="11" t="s">
        <v>25</v>
      </c>
      <c r="F1252" s="12">
        <v>46238</v>
      </c>
      <c r="G1252" s="11" t="s">
        <v>523</v>
      </c>
      <c r="H1252">
        <v>1</v>
      </c>
      <c r="I1252" s="11" t="s">
        <v>3771</v>
      </c>
      <c r="M1252" s="11" t="s">
        <v>80</v>
      </c>
      <c r="N1252" s="11" t="s">
        <v>3772</v>
      </c>
      <c r="O1252" s="11" t="s">
        <v>3773</v>
      </c>
      <c r="P1252" s="11" t="s">
        <v>3771</v>
      </c>
      <c r="Q1252" s="11" t="s">
        <v>135</v>
      </c>
      <c r="U1252" s="11" t="s">
        <v>527</v>
      </c>
      <c r="V1252" s="11" t="s">
        <v>137</v>
      </c>
      <c r="W1252" s="13">
        <v>46302.314618055556</v>
      </c>
    </row>
    <row r="1253" spans="1:23">
      <c r="A1253">
        <v>280404</v>
      </c>
      <c r="B1253">
        <v>10471</v>
      </c>
      <c r="C1253" s="11" t="s">
        <v>129</v>
      </c>
      <c r="D1253" s="11" t="s">
        <v>130</v>
      </c>
      <c r="E1253" s="11" t="s">
        <v>25</v>
      </c>
      <c r="F1253" s="12">
        <v>46238</v>
      </c>
      <c r="G1253" s="11" t="s">
        <v>159</v>
      </c>
      <c r="H1253">
        <v>1</v>
      </c>
      <c r="I1253" s="11" t="s">
        <v>3774</v>
      </c>
      <c r="M1253" s="11" t="s">
        <v>95</v>
      </c>
      <c r="N1253" s="11" t="s">
        <v>3775</v>
      </c>
      <c r="O1253" s="11" t="s">
        <v>3776</v>
      </c>
      <c r="P1253" s="11" t="s">
        <v>3774</v>
      </c>
      <c r="Q1253" s="11" t="s">
        <v>135</v>
      </c>
      <c r="U1253" s="11" t="s">
        <v>163</v>
      </c>
      <c r="V1253" s="11" t="s">
        <v>137</v>
      </c>
      <c r="W1253" s="13">
        <v>46302.314618055556</v>
      </c>
    </row>
    <row r="1254" spans="1:23">
      <c r="A1254">
        <v>280405</v>
      </c>
      <c r="B1254">
        <v>10472</v>
      </c>
      <c r="C1254" s="11" t="s">
        <v>129</v>
      </c>
      <c r="D1254" s="11" t="s">
        <v>130</v>
      </c>
      <c r="E1254" s="11" t="s">
        <v>25</v>
      </c>
      <c r="F1254" s="12">
        <v>46238</v>
      </c>
      <c r="G1254" s="11" t="s">
        <v>179</v>
      </c>
      <c r="H1254">
        <v>1</v>
      </c>
      <c r="I1254" s="11" t="s">
        <v>3777</v>
      </c>
      <c r="M1254" s="11" t="s">
        <v>83</v>
      </c>
      <c r="N1254" s="11" t="s">
        <v>3778</v>
      </c>
      <c r="O1254" s="11" t="s">
        <v>3779</v>
      </c>
      <c r="P1254" s="11" t="s">
        <v>3777</v>
      </c>
      <c r="Q1254" s="11" t="s">
        <v>135</v>
      </c>
      <c r="U1254" s="11" t="s">
        <v>183</v>
      </c>
      <c r="V1254" s="11" t="s">
        <v>137</v>
      </c>
      <c r="W1254" s="13">
        <v>46302.314618055556</v>
      </c>
    </row>
    <row r="1255" spans="1:23">
      <c r="A1255">
        <v>280406</v>
      </c>
      <c r="B1255">
        <v>10473</v>
      </c>
      <c r="C1255" s="11" t="s">
        <v>129</v>
      </c>
      <c r="D1255" s="11" t="s">
        <v>130</v>
      </c>
      <c r="E1255" s="11" t="s">
        <v>25</v>
      </c>
      <c r="F1255" s="12">
        <v>46238</v>
      </c>
      <c r="G1255" s="11" t="s">
        <v>143</v>
      </c>
      <c r="H1255">
        <v>1</v>
      </c>
      <c r="I1255" s="11" t="s">
        <v>3780</v>
      </c>
      <c r="M1255" s="11" t="s">
        <v>39</v>
      </c>
      <c r="N1255" s="11" t="s">
        <v>3781</v>
      </c>
      <c r="O1255" s="11" t="s">
        <v>3782</v>
      </c>
      <c r="P1255" s="11" t="s">
        <v>3780</v>
      </c>
      <c r="Q1255" s="11" t="s">
        <v>135</v>
      </c>
      <c r="U1255" s="11" t="s">
        <v>148</v>
      </c>
      <c r="V1255" s="11" t="s">
        <v>137</v>
      </c>
      <c r="W1255" s="13">
        <v>46302.314618055556</v>
      </c>
    </row>
    <row r="1256" spans="1:23">
      <c r="A1256">
        <v>280407</v>
      </c>
      <c r="B1256">
        <v>10474</v>
      </c>
      <c r="C1256" s="11" t="s">
        <v>129</v>
      </c>
      <c r="D1256" s="11" t="s">
        <v>130</v>
      </c>
      <c r="E1256" s="11" t="s">
        <v>25</v>
      </c>
      <c r="F1256" s="12">
        <v>46238</v>
      </c>
      <c r="G1256" s="11" t="s">
        <v>164</v>
      </c>
      <c r="H1256">
        <v>1</v>
      </c>
      <c r="I1256" s="11" t="s">
        <v>3783</v>
      </c>
      <c r="M1256" s="11" t="s">
        <v>62</v>
      </c>
      <c r="N1256" s="11" t="s">
        <v>3784</v>
      </c>
      <c r="O1256" s="11" t="s">
        <v>3785</v>
      </c>
      <c r="P1256" s="11" t="s">
        <v>3783</v>
      </c>
      <c r="Q1256" s="11" t="s">
        <v>135</v>
      </c>
      <c r="U1256" s="11" t="s">
        <v>168</v>
      </c>
      <c r="V1256" s="11" t="s">
        <v>137</v>
      </c>
      <c r="W1256" s="13">
        <v>46302.314618055556</v>
      </c>
    </row>
    <row r="1257" spans="1:23">
      <c r="A1257">
        <v>280408</v>
      </c>
      <c r="B1257">
        <v>10475</v>
      </c>
      <c r="C1257" s="11" t="s">
        <v>129</v>
      </c>
      <c r="D1257" s="11" t="s">
        <v>130</v>
      </c>
      <c r="E1257" s="11" t="s">
        <v>25</v>
      </c>
      <c r="F1257" s="12">
        <v>46238</v>
      </c>
      <c r="G1257" s="11" t="s">
        <v>143</v>
      </c>
      <c r="H1257">
        <v>1</v>
      </c>
      <c r="I1257" s="11" t="s">
        <v>433</v>
      </c>
      <c r="M1257" s="11" t="s">
        <v>39</v>
      </c>
      <c r="N1257" s="11" t="s">
        <v>3786</v>
      </c>
      <c r="O1257" s="11" t="s">
        <v>3787</v>
      </c>
      <c r="P1257" s="11" t="s">
        <v>433</v>
      </c>
      <c r="Q1257" s="11" t="s">
        <v>135</v>
      </c>
      <c r="U1257" s="11" t="s">
        <v>148</v>
      </c>
      <c r="V1257" s="11" t="s">
        <v>137</v>
      </c>
      <c r="W1257" s="13">
        <v>46302.314618055556</v>
      </c>
    </row>
    <row r="1258" spans="1:23">
      <c r="A1258">
        <v>280409</v>
      </c>
      <c r="B1258">
        <v>10476</v>
      </c>
      <c r="C1258" s="11" t="s">
        <v>129</v>
      </c>
      <c r="D1258" s="11" t="s">
        <v>130</v>
      </c>
      <c r="E1258" s="11" t="s">
        <v>25</v>
      </c>
      <c r="F1258" s="12">
        <v>46238</v>
      </c>
      <c r="G1258" s="11" t="s">
        <v>164</v>
      </c>
      <c r="H1258">
        <v>1</v>
      </c>
      <c r="I1258" s="11" t="s">
        <v>1836</v>
      </c>
      <c r="M1258" s="11" t="s">
        <v>62</v>
      </c>
      <c r="N1258" s="11" t="s">
        <v>3788</v>
      </c>
      <c r="O1258" s="11" t="s">
        <v>3789</v>
      </c>
      <c r="P1258" s="11" t="s">
        <v>1836</v>
      </c>
      <c r="Q1258" s="11" t="s">
        <v>135</v>
      </c>
      <c r="U1258" s="11" t="s">
        <v>168</v>
      </c>
      <c r="V1258" s="11" t="s">
        <v>137</v>
      </c>
      <c r="W1258" s="13">
        <v>46302.314618055556</v>
      </c>
    </row>
    <row r="1259" spans="1:23">
      <c r="A1259">
        <v>280410</v>
      </c>
      <c r="B1259">
        <v>10477</v>
      </c>
      <c r="C1259" s="11" t="s">
        <v>129</v>
      </c>
      <c r="D1259" s="11" t="s">
        <v>130</v>
      </c>
      <c r="E1259" s="11" t="s">
        <v>25</v>
      </c>
      <c r="F1259" s="12">
        <v>46238</v>
      </c>
      <c r="G1259" s="11" t="s">
        <v>174</v>
      </c>
      <c r="H1259">
        <v>1</v>
      </c>
      <c r="I1259" s="11" t="s">
        <v>3790</v>
      </c>
      <c r="M1259" s="11" t="s">
        <v>92</v>
      </c>
      <c r="N1259" s="11" t="s">
        <v>3791</v>
      </c>
      <c r="O1259" s="11" t="s">
        <v>3792</v>
      </c>
      <c r="P1259" s="11" t="s">
        <v>3790</v>
      </c>
      <c r="Q1259" s="11" t="s">
        <v>135</v>
      </c>
      <c r="U1259" s="11" t="s">
        <v>178</v>
      </c>
      <c r="V1259" s="11" t="s">
        <v>137</v>
      </c>
      <c r="W1259" s="13">
        <v>46302.314618055556</v>
      </c>
    </row>
    <row r="1260" spans="1:23">
      <c r="A1260">
        <v>280411</v>
      </c>
      <c r="B1260">
        <v>10478</v>
      </c>
      <c r="C1260" s="11" t="s">
        <v>129</v>
      </c>
      <c r="D1260" s="11" t="s">
        <v>130</v>
      </c>
      <c r="E1260" s="11" t="s">
        <v>25</v>
      </c>
      <c r="F1260" s="12">
        <v>46238</v>
      </c>
      <c r="G1260" s="11" t="s">
        <v>217</v>
      </c>
      <c r="H1260">
        <v>1</v>
      </c>
      <c r="I1260" s="11" t="s">
        <v>1738</v>
      </c>
      <c r="M1260" s="11" t="s">
        <v>86</v>
      </c>
      <c r="N1260" s="11" t="s">
        <v>3793</v>
      </c>
      <c r="O1260" s="11" t="s">
        <v>3794</v>
      </c>
      <c r="P1260" s="11" t="s">
        <v>1738</v>
      </c>
      <c r="Q1260" s="11" t="s">
        <v>135</v>
      </c>
      <c r="U1260" s="11" t="s">
        <v>221</v>
      </c>
      <c r="V1260" s="11" t="s">
        <v>137</v>
      </c>
      <c r="W1260" s="13">
        <v>46302.314618055556</v>
      </c>
    </row>
    <row r="1261" spans="1:23">
      <c r="A1261">
        <v>280412</v>
      </c>
      <c r="B1261">
        <v>10479</v>
      </c>
      <c r="C1261" s="11" t="s">
        <v>129</v>
      </c>
      <c r="D1261" s="11" t="s">
        <v>130</v>
      </c>
      <c r="E1261" s="11" t="s">
        <v>25</v>
      </c>
      <c r="F1261" s="12">
        <v>46238</v>
      </c>
      <c r="G1261" s="11" t="s">
        <v>143</v>
      </c>
      <c r="H1261">
        <v>1</v>
      </c>
      <c r="I1261" s="11" t="s">
        <v>3311</v>
      </c>
      <c r="M1261" s="11" t="s">
        <v>39</v>
      </c>
      <c r="N1261" s="11" t="s">
        <v>2777</v>
      </c>
      <c r="O1261" s="11" t="s">
        <v>3795</v>
      </c>
      <c r="P1261" s="11" t="s">
        <v>3311</v>
      </c>
      <c r="Q1261" s="11" t="s">
        <v>135</v>
      </c>
      <c r="U1261" s="11" t="s">
        <v>148</v>
      </c>
      <c r="V1261" s="11" t="s">
        <v>137</v>
      </c>
      <c r="W1261" s="13">
        <v>46302.314618055556</v>
      </c>
    </row>
    <row r="1262" spans="1:23">
      <c r="A1262">
        <v>280413</v>
      </c>
      <c r="B1262">
        <v>10480</v>
      </c>
      <c r="C1262" s="11" t="s">
        <v>129</v>
      </c>
      <c r="D1262" s="11" t="s">
        <v>130</v>
      </c>
      <c r="E1262" s="11" t="s">
        <v>25</v>
      </c>
      <c r="F1262" s="12">
        <v>46238</v>
      </c>
      <c r="G1262" s="11" t="s">
        <v>195</v>
      </c>
      <c r="H1262">
        <v>1</v>
      </c>
      <c r="I1262" s="11" t="s">
        <v>3796</v>
      </c>
      <c r="M1262" s="11" t="s">
        <v>68</v>
      </c>
      <c r="N1262" s="11" t="s">
        <v>3797</v>
      </c>
      <c r="O1262" s="11" t="s">
        <v>3798</v>
      </c>
      <c r="P1262" s="11" t="s">
        <v>3796</v>
      </c>
      <c r="Q1262" s="11" t="s">
        <v>135</v>
      </c>
      <c r="U1262" s="11" t="s">
        <v>199</v>
      </c>
      <c r="V1262" s="11" t="s">
        <v>137</v>
      </c>
      <c r="W1262" s="13">
        <v>46302.314618055556</v>
      </c>
    </row>
    <row r="1263" spans="1:23">
      <c r="A1263">
        <v>280414</v>
      </c>
      <c r="B1263">
        <v>10481</v>
      </c>
      <c r="C1263" s="11" t="s">
        <v>129</v>
      </c>
      <c r="D1263" s="11" t="s">
        <v>130</v>
      </c>
      <c r="E1263" s="11" t="s">
        <v>25</v>
      </c>
      <c r="F1263" s="12">
        <v>46238</v>
      </c>
      <c r="G1263" s="11" t="s">
        <v>217</v>
      </c>
      <c r="H1263">
        <v>1</v>
      </c>
      <c r="I1263" s="11" t="s">
        <v>3799</v>
      </c>
      <c r="M1263" s="11" t="s">
        <v>86</v>
      </c>
      <c r="N1263" s="11" t="s">
        <v>3800</v>
      </c>
      <c r="O1263" s="11" t="s">
        <v>3801</v>
      </c>
      <c r="P1263" s="11" t="s">
        <v>3799</v>
      </c>
      <c r="Q1263" s="11" t="s">
        <v>135</v>
      </c>
      <c r="U1263" s="11" t="s">
        <v>221</v>
      </c>
      <c r="V1263" s="11" t="s">
        <v>137</v>
      </c>
      <c r="W1263" s="13">
        <v>46302.314618055556</v>
      </c>
    </row>
    <row r="1264" spans="1:23">
      <c r="A1264">
        <v>280643</v>
      </c>
      <c r="B1264">
        <v>11235</v>
      </c>
      <c r="C1264" s="11" t="s">
        <v>129</v>
      </c>
      <c r="D1264" s="11" t="s">
        <v>130</v>
      </c>
      <c r="E1264" s="11" t="s">
        <v>25</v>
      </c>
      <c r="F1264" s="12">
        <v>46239</v>
      </c>
      <c r="G1264" s="11" t="s">
        <v>316</v>
      </c>
      <c r="H1264">
        <v>1</v>
      </c>
      <c r="I1264" s="11" t="s">
        <v>3802</v>
      </c>
      <c r="M1264" s="11" t="s">
        <v>87</v>
      </c>
      <c r="N1264" s="11" t="s">
        <v>3803</v>
      </c>
      <c r="O1264" s="11" t="s">
        <v>3804</v>
      </c>
      <c r="P1264" s="11" t="s">
        <v>3802</v>
      </c>
      <c r="Q1264" s="11" t="s">
        <v>135</v>
      </c>
      <c r="U1264" s="11" t="s">
        <v>320</v>
      </c>
      <c r="V1264" s="11" t="s">
        <v>137</v>
      </c>
      <c r="W1264" s="13">
        <v>46302.314618055556</v>
      </c>
    </row>
    <row r="1265" spans="1:23">
      <c r="A1265">
        <v>280644</v>
      </c>
      <c r="B1265">
        <v>11236</v>
      </c>
      <c r="C1265" s="11" t="s">
        <v>129</v>
      </c>
      <c r="D1265" s="11" t="s">
        <v>130</v>
      </c>
      <c r="E1265" s="11" t="s">
        <v>25</v>
      </c>
      <c r="F1265" s="12">
        <v>46239</v>
      </c>
      <c r="G1265" s="11" t="s">
        <v>321</v>
      </c>
      <c r="H1265">
        <v>1</v>
      </c>
      <c r="I1265" s="11" t="s">
        <v>3805</v>
      </c>
      <c r="M1265" s="11" t="s">
        <v>67</v>
      </c>
      <c r="N1265" s="11" t="s">
        <v>3806</v>
      </c>
      <c r="O1265" s="11" t="s">
        <v>2974</v>
      </c>
      <c r="P1265" s="11" t="s">
        <v>3805</v>
      </c>
      <c r="Q1265" s="11" t="s">
        <v>135</v>
      </c>
      <c r="U1265" s="11" t="s">
        <v>327</v>
      </c>
      <c r="V1265" s="11" t="s">
        <v>137</v>
      </c>
      <c r="W1265" s="13">
        <v>46302.314618055556</v>
      </c>
    </row>
    <row r="1266" spans="1:23">
      <c r="A1266">
        <v>280645</v>
      </c>
      <c r="B1266">
        <v>11237</v>
      </c>
      <c r="C1266" s="11" t="s">
        <v>129</v>
      </c>
      <c r="D1266" s="11" t="s">
        <v>130</v>
      </c>
      <c r="E1266" s="11" t="s">
        <v>25</v>
      </c>
      <c r="F1266" s="12">
        <v>46239</v>
      </c>
      <c r="G1266" s="11" t="s">
        <v>334</v>
      </c>
      <c r="H1266">
        <v>1</v>
      </c>
      <c r="I1266" s="11" t="s">
        <v>1523</v>
      </c>
      <c r="M1266" s="11" t="s">
        <v>64</v>
      </c>
      <c r="N1266" s="11" t="s">
        <v>3807</v>
      </c>
      <c r="O1266" s="11" t="s">
        <v>3808</v>
      </c>
      <c r="P1266" s="11" t="s">
        <v>1523</v>
      </c>
      <c r="Q1266" s="11" t="s">
        <v>135</v>
      </c>
      <c r="U1266" s="11" t="s">
        <v>338</v>
      </c>
      <c r="V1266" s="11" t="s">
        <v>137</v>
      </c>
      <c r="W1266" s="13">
        <v>46302.314618055556</v>
      </c>
    </row>
    <row r="1267" spans="1:23">
      <c r="A1267">
        <v>280646</v>
      </c>
      <c r="B1267">
        <v>11238</v>
      </c>
      <c r="C1267" s="11" t="s">
        <v>129</v>
      </c>
      <c r="D1267" s="11" t="s">
        <v>130</v>
      </c>
      <c r="E1267" s="11" t="s">
        <v>25</v>
      </c>
      <c r="F1267" s="12">
        <v>46239</v>
      </c>
      <c r="G1267" s="11" t="s">
        <v>1740</v>
      </c>
      <c r="H1267">
        <v>2</v>
      </c>
      <c r="I1267" s="11" t="s">
        <v>3809</v>
      </c>
      <c r="M1267" s="11" t="s">
        <v>69</v>
      </c>
      <c r="N1267" s="11" t="s">
        <v>3810</v>
      </c>
      <c r="O1267" s="11" t="s">
        <v>3811</v>
      </c>
      <c r="P1267" s="11" t="s">
        <v>2978</v>
      </c>
      <c r="Q1267" s="11" t="s">
        <v>135</v>
      </c>
      <c r="U1267" s="11" t="s">
        <v>1745</v>
      </c>
      <c r="V1267" s="11" t="s">
        <v>137</v>
      </c>
      <c r="W1267" s="13">
        <v>46302.314618055556</v>
      </c>
    </row>
    <row r="1268" spans="1:23">
      <c r="A1268">
        <v>280647</v>
      </c>
      <c r="B1268">
        <v>11239</v>
      </c>
      <c r="C1268" s="11" t="s">
        <v>129</v>
      </c>
      <c r="D1268" s="11" t="s">
        <v>130</v>
      </c>
      <c r="E1268" s="11" t="s">
        <v>25</v>
      </c>
      <c r="F1268" s="12">
        <v>46239</v>
      </c>
      <c r="G1268" s="11" t="s">
        <v>334</v>
      </c>
      <c r="H1268">
        <v>3</v>
      </c>
      <c r="I1268" s="11" t="s">
        <v>3812</v>
      </c>
      <c r="M1268" s="11" t="s">
        <v>64</v>
      </c>
      <c r="N1268" s="11" t="s">
        <v>3813</v>
      </c>
      <c r="O1268" s="11" t="s">
        <v>3814</v>
      </c>
      <c r="P1268" s="11" t="s">
        <v>3815</v>
      </c>
      <c r="Q1268" s="11" t="s">
        <v>135</v>
      </c>
      <c r="U1268" s="11" t="s">
        <v>338</v>
      </c>
      <c r="V1268" s="11" t="s">
        <v>137</v>
      </c>
      <c r="W1268" s="13">
        <v>46302.314618055556</v>
      </c>
    </row>
    <row r="1269" spans="1:23">
      <c r="A1269">
        <v>280648</v>
      </c>
      <c r="B1269">
        <v>11240</v>
      </c>
      <c r="C1269" s="11" t="s">
        <v>129</v>
      </c>
      <c r="D1269" s="11" t="s">
        <v>130</v>
      </c>
      <c r="E1269" s="11" t="s">
        <v>25</v>
      </c>
      <c r="F1269" s="12">
        <v>46239</v>
      </c>
      <c r="G1269" s="11" t="s">
        <v>344</v>
      </c>
      <c r="H1269">
        <v>1</v>
      </c>
      <c r="I1269" s="11" t="s">
        <v>3379</v>
      </c>
      <c r="M1269" s="11" t="s">
        <v>65</v>
      </c>
      <c r="N1269" s="11" t="s">
        <v>3816</v>
      </c>
      <c r="O1269" s="11" t="s">
        <v>3817</v>
      </c>
      <c r="P1269" s="11" t="s">
        <v>3379</v>
      </c>
      <c r="Q1269" s="11" t="s">
        <v>135</v>
      </c>
      <c r="U1269" s="11" t="s">
        <v>348</v>
      </c>
      <c r="V1269" s="11" t="s">
        <v>137</v>
      </c>
      <c r="W1269" s="13">
        <v>46302.314618055556</v>
      </c>
    </row>
    <row r="1270" spans="1:23">
      <c r="A1270">
        <v>280649</v>
      </c>
      <c r="B1270">
        <v>11241</v>
      </c>
      <c r="C1270" s="11" t="s">
        <v>129</v>
      </c>
      <c r="D1270" s="11" t="s">
        <v>130</v>
      </c>
      <c r="E1270" s="11" t="s">
        <v>25</v>
      </c>
      <c r="F1270" s="12">
        <v>46239</v>
      </c>
      <c r="G1270" s="11" t="s">
        <v>316</v>
      </c>
      <c r="H1270">
        <v>1</v>
      </c>
      <c r="I1270" s="11" t="s">
        <v>3818</v>
      </c>
      <c r="M1270" s="11" t="s">
        <v>87</v>
      </c>
      <c r="N1270" s="11" t="s">
        <v>3819</v>
      </c>
      <c r="O1270" s="11" t="s">
        <v>3820</v>
      </c>
      <c r="P1270" s="11" t="s">
        <v>3818</v>
      </c>
      <c r="Q1270" s="11" t="s">
        <v>135</v>
      </c>
      <c r="U1270" s="11" t="s">
        <v>320</v>
      </c>
      <c r="V1270" s="11" t="s">
        <v>137</v>
      </c>
      <c r="W1270" s="13">
        <v>46302.314618055556</v>
      </c>
    </row>
    <row r="1271" spans="1:23">
      <c r="A1271">
        <v>280650</v>
      </c>
      <c r="B1271">
        <v>11242</v>
      </c>
      <c r="C1271" s="11" t="s">
        <v>129</v>
      </c>
      <c r="D1271" s="11" t="s">
        <v>130</v>
      </c>
      <c r="E1271" s="11" t="s">
        <v>25</v>
      </c>
      <c r="F1271" s="12">
        <v>46239</v>
      </c>
      <c r="G1271" s="11" t="s">
        <v>328</v>
      </c>
      <c r="H1271">
        <v>5</v>
      </c>
      <c r="I1271" s="11" t="s">
        <v>3821</v>
      </c>
      <c r="M1271" s="11" t="s">
        <v>66</v>
      </c>
      <c r="N1271" s="11" t="s">
        <v>3822</v>
      </c>
      <c r="O1271" s="11" t="s">
        <v>3823</v>
      </c>
      <c r="P1271" s="11" t="s">
        <v>3824</v>
      </c>
      <c r="Q1271" s="11" t="s">
        <v>135</v>
      </c>
      <c r="U1271" s="11" t="s">
        <v>333</v>
      </c>
      <c r="V1271" s="11" t="s">
        <v>137</v>
      </c>
      <c r="W1271" s="13">
        <v>46302.314618055556</v>
      </c>
    </row>
    <row r="1272" spans="1:23">
      <c r="A1272">
        <v>280651</v>
      </c>
      <c r="B1272">
        <v>11243</v>
      </c>
      <c r="C1272" s="11" t="s">
        <v>129</v>
      </c>
      <c r="D1272" s="11" t="s">
        <v>130</v>
      </c>
      <c r="E1272" s="11" t="s">
        <v>25</v>
      </c>
      <c r="F1272" s="12">
        <v>46239</v>
      </c>
      <c r="G1272" s="11" t="s">
        <v>328</v>
      </c>
      <c r="H1272">
        <v>4</v>
      </c>
      <c r="I1272" s="11" t="s">
        <v>3825</v>
      </c>
      <c r="M1272" s="11" t="s">
        <v>66</v>
      </c>
      <c r="N1272" s="11" t="s">
        <v>3826</v>
      </c>
      <c r="O1272" s="11" t="s">
        <v>3827</v>
      </c>
      <c r="P1272" s="11" t="s">
        <v>259</v>
      </c>
      <c r="Q1272" s="11" t="s">
        <v>135</v>
      </c>
      <c r="U1272" s="11" t="s">
        <v>333</v>
      </c>
      <c r="V1272" s="11" t="s">
        <v>137</v>
      </c>
      <c r="W1272" s="13">
        <v>46302.314618055556</v>
      </c>
    </row>
    <row r="1273" spans="1:23">
      <c r="A1273">
        <v>280652</v>
      </c>
      <c r="B1273">
        <v>11244</v>
      </c>
      <c r="C1273" s="11" t="s">
        <v>129</v>
      </c>
      <c r="D1273" s="11" t="s">
        <v>130</v>
      </c>
      <c r="E1273" s="11" t="s">
        <v>25</v>
      </c>
      <c r="F1273" s="12">
        <v>46239</v>
      </c>
      <c r="G1273" s="11" t="s">
        <v>316</v>
      </c>
      <c r="H1273">
        <v>1</v>
      </c>
      <c r="I1273" s="11" t="s">
        <v>2708</v>
      </c>
      <c r="M1273" s="11" t="s">
        <v>87</v>
      </c>
      <c r="N1273" s="11" t="s">
        <v>3828</v>
      </c>
      <c r="O1273" s="11" t="s">
        <v>3829</v>
      </c>
      <c r="P1273" s="11" t="s">
        <v>2708</v>
      </c>
      <c r="Q1273" s="11" t="s">
        <v>135</v>
      </c>
      <c r="U1273" s="11" t="s">
        <v>320</v>
      </c>
      <c r="V1273" s="11" t="s">
        <v>137</v>
      </c>
      <c r="W1273" s="13">
        <v>46302.314618055556</v>
      </c>
    </row>
    <row r="1274" spans="1:23">
      <c r="A1274">
        <v>280653</v>
      </c>
      <c r="B1274">
        <v>11245</v>
      </c>
      <c r="C1274" s="11" t="s">
        <v>129</v>
      </c>
      <c r="D1274" s="11" t="s">
        <v>130</v>
      </c>
      <c r="E1274" s="11" t="s">
        <v>25</v>
      </c>
      <c r="F1274" s="12">
        <v>46239</v>
      </c>
      <c r="G1274" s="11" t="s">
        <v>355</v>
      </c>
      <c r="H1274">
        <v>1</v>
      </c>
      <c r="I1274" s="11" t="s">
        <v>1967</v>
      </c>
      <c r="M1274" s="11" t="s">
        <v>77</v>
      </c>
      <c r="N1274" s="11" t="s">
        <v>3830</v>
      </c>
      <c r="O1274" s="11" t="s">
        <v>3831</v>
      </c>
      <c r="P1274" s="11" t="s">
        <v>1967</v>
      </c>
      <c r="Q1274" s="11" t="s">
        <v>135</v>
      </c>
      <c r="U1274" s="11" t="s">
        <v>359</v>
      </c>
      <c r="V1274" s="11" t="s">
        <v>137</v>
      </c>
      <c r="W1274" s="13">
        <v>46302.314618055556</v>
      </c>
    </row>
    <row r="1275" spans="1:23">
      <c r="A1275">
        <v>280654</v>
      </c>
      <c r="B1275">
        <v>11246</v>
      </c>
      <c r="C1275" s="11" t="s">
        <v>129</v>
      </c>
      <c r="D1275" s="11" t="s">
        <v>130</v>
      </c>
      <c r="E1275" s="11" t="s">
        <v>25</v>
      </c>
      <c r="F1275" s="12">
        <v>46239</v>
      </c>
      <c r="G1275" s="11" t="s">
        <v>339</v>
      </c>
      <c r="H1275">
        <v>1</v>
      </c>
      <c r="I1275" s="11" t="s">
        <v>3832</v>
      </c>
      <c r="M1275" s="11" t="s">
        <v>92</v>
      </c>
      <c r="N1275" s="11" t="s">
        <v>3833</v>
      </c>
      <c r="O1275" s="11" t="s">
        <v>3834</v>
      </c>
      <c r="P1275" s="11" t="s">
        <v>3832</v>
      </c>
      <c r="Q1275" s="11" t="s">
        <v>135</v>
      </c>
      <c r="U1275" s="11" t="s">
        <v>343</v>
      </c>
      <c r="V1275" s="11" t="s">
        <v>137</v>
      </c>
      <c r="W1275" s="13">
        <v>46302.314618055556</v>
      </c>
    </row>
    <row r="1276" spans="1:23">
      <c r="A1276">
        <v>280655</v>
      </c>
      <c r="B1276">
        <v>11247</v>
      </c>
      <c r="C1276" s="11" t="s">
        <v>129</v>
      </c>
      <c r="D1276" s="11" t="s">
        <v>130</v>
      </c>
      <c r="E1276" s="11" t="s">
        <v>25</v>
      </c>
      <c r="F1276" s="12">
        <v>46239</v>
      </c>
      <c r="G1276" s="11" t="s">
        <v>355</v>
      </c>
      <c r="H1276">
        <v>1</v>
      </c>
      <c r="I1276" s="11" t="s">
        <v>1029</v>
      </c>
      <c r="M1276" s="11" t="s">
        <v>77</v>
      </c>
      <c r="N1276" s="11" t="s">
        <v>3835</v>
      </c>
      <c r="O1276" s="11" t="s">
        <v>3836</v>
      </c>
      <c r="P1276" s="11" t="s">
        <v>1029</v>
      </c>
      <c r="Q1276" s="11" t="s">
        <v>135</v>
      </c>
      <c r="U1276" s="11" t="s">
        <v>359</v>
      </c>
      <c r="V1276" s="11" t="s">
        <v>137</v>
      </c>
      <c r="W1276" s="13">
        <v>46302.314618055556</v>
      </c>
    </row>
    <row r="1277" spans="1:23">
      <c r="A1277">
        <v>280656</v>
      </c>
      <c r="B1277">
        <v>11248</v>
      </c>
      <c r="C1277" s="11" t="s">
        <v>129</v>
      </c>
      <c r="D1277" s="11" t="s">
        <v>130</v>
      </c>
      <c r="E1277" s="11" t="s">
        <v>25</v>
      </c>
      <c r="F1277" s="12">
        <v>46239</v>
      </c>
      <c r="G1277" s="11" t="s">
        <v>360</v>
      </c>
      <c r="H1277">
        <v>1</v>
      </c>
      <c r="I1277" s="11" t="s">
        <v>3837</v>
      </c>
      <c r="M1277" s="11" t="s">
        <v>79</v>
      </c>
      <c r="N1277" s="11" t="s">
        <v>3838</v>
      </c>
      <c r="O1277" s="11" t="s">
        <v>3839</v>
      </c>
      <c r="P1277" s="11" t="s">
        <v>3837</v>
      </c>
      <c r="Q1277" s="11" t="s">
        <v>135</v>
      </c>
      <c r="U1277" s="11" t="s">
        <v>364</v>
      </c>
      <c r="V1277" s="11" t="s">
        <v>137</v>
      </c>
      <c r="W1277" s="13">
        <v>46302.314618055556</v>
      </c>
    </row>
    <row r="1278" spans="1:23">
      <c r="A1278">
        <v>280657</v>
      </c>
      <c r="B1278">
        <v>11249</v>
      </c>
      <c r="C1278" s="11" t="s">
        <v>129</v>
      </c>
      <c r="D1278" s="11" t="s">
        <v>130</v>
      </c>
      <c r="E1278" s="11" t="s">
        <v>25</v>
      </c>
      <c r="F1278" s="12">
        <v>46239</v>
      </c>
      <c r="G1278" s="11" t="s">
        <v>1782</v>
      </c>
      <c r="H1278">
        <v>1</v>
      </c>
      <c r="I1278" s="11" t="s">
        <v>3840</v>
      </c>
      <c r="M1278" s="11" t="s">
        <v>82</v>
      </c>
      <c r="N1278" s="11" t="s">
        <v>3841</v>
      </c>
      <c r="O1278" s="11" t="s">
        <v>3842</v>
      </c>
      <c r="P1278" s="11" t="s">
        <v>3840</v>
      </c>
      <c r="Q1278" s="11" t="s">
        <v>135</v>
      </c>
      <c r="U1278" s="11" t="s">
        <v>1786</v>
      </c>
      <c r="V1278" s="11" t="s">
        <v>137</v>
      </c>
      <c r="W1278" s="13">
        <v>46302.314618055556</v>
      </c>
    </row>
    <row r="1279" spans="1:23">
      <c r="A1279">
        <v>280658</v>
      </c>
      <c r="B1279">
        <v>11250</v>
      </c>
      <c r="C1279" s="11" t="s">
        <v>129</v>
      </c>
      <c r="D1279" s="11" t="s">
        <v>130</v>
      </c>
      <c r="E1279" s="11" t="s">
        <v>25</v>
      </c>
      <c r="F1279" s="12">
        <v>46239</v>
      </c>
      <c r="G1279" s="11" t="s">
        <v>328</v>
      </c>
      <c r="H1279">
        <v>1</v>
      </c>
      <c r="I1279" s="11" t="s">
        <v>3843</v>
      </c>
      <c r="M1279" s="11" t="s">
        <v>66</v>
      </c>
      <c r="N1279" s="11" t="s">
        <v>3844</v>
      </c>
      <c r="O1279" s="11" t="s">
        <v>3845</v>
      </c>
      <c r="P1279" s="11" t="s">
        <v>3843</v>
      </c>
      <c r="Q1279" s="11" t="s">
        <v>135</v>
      </c>
      <c r="U1279" s="11" t="s">
        <v>333</v>
      </c>
      <c r="V1279" s="11" t="s">
        <v>137</v>
      </c>
      <c r="W1279" s="13">
        <v>46302.314618055556</v>
      </c>
    </row>
    <row r="1280" spans="1:23">
      <c r="A1280">
        <v>280659</v>
      </c>
      <c r="B1280">
        <v>11251</v>
      </c>
      <c r="C1280" s="11" t="s">
        <v>129</v>
      </c>
      <c r="D1280" s="11" t="s">
        <v>130</v>
      </c>
      <c r="E1280" s="11" t="s">
        <v>25</v>
      </c>
      <c r="F1280" s="12">
        <v>46239</v>
      </c>
      <c r="G1280" s="11" t="s">
        <v>334</v>
      </c>
      <c r="H1280">
        <v>1</v>
      </c>
      <c r="I1280" s="11" t="s">
        <v>3846</v>
      </c>
      <c r="M1280" s="11" t="s">
        <v>64</v>
      </c>
      <c r="N1280" s="11" t="s">
        <v>720</v>
      </c>
      <c r="O1280" s="11" t="s">
        <v>3847</v>
      </c>
      <c r="P1280" s="11" t="s">
        <v>3846</v>
      </c>
      <c r="Q1280" s="11" t="s">
        <v>135</v>
      </c>
      <c r="U1280" s="11" t="s">
        <v>338</v>
      </c>
      <c r="V1280" s="11" t="s">
        <v>137</v>
      </c>
      <c r="W1280" s="13">
        <v>46302.314618055556</v>
      </c>
    </row>
    <row r="1281" spans="1:23">
      <c r="A1281">
        <v>280660</v>
      </c>
      <c r="B1281">
        <v>11252</v>
      </c>
      <c r="C1281" s="11" t="s">
        <v>129</v>
      </c>
      <c r="D1281" s="11" t="s">
        <v>130</v>
      </c>
      <c r="E1281" s="11" t="s">
        <v>25</v>
      </c>
      <c r="F1281" s="12">
        <v>46239</v>
      </c>
      <c r="G1281" s="11" t="s">
        <v>930</v>
      </c>
      <c r="H1281">
        <v>1</v>
      </c>
      <c r="I1281" s="11" t="s">
        <v>1752</v>
      </c>
      <c r="M1281" s="11" t="s">
        <v>50</v>
      </c>
      <c r="N1281" s="11" t="s">
        <v>3848</v>
      </c>
      <c r="O1281" s="11" t="s">
        <v>3849</v>
      </c>
      <c r="P1281" s="11" t="s">
        <v>1752</v>
      </c>
      <c r="Q1281" s="11" t="s">
        <v>135</v>
      </c>
      <c r="U1281" s="11" t="s">
        <v>934</v>
      </c>
      <c r="V1281" s="11" t="s">
        <v>137</v>
      </c>
      <c r="W1281" s="13">
        <v>46302.314618055556</v>
      </c>
    </row>
    <row r="1282" spans="1:23">
      <c r="A1282">
        <v>280661</v>
      </c>
      <c r="B1282">
        <v>11253</v>
      </c>
      <c r="C1282" s="11" t="s">
        <v>129</v>
      </c>
      <c r="D1282" s="11" t="s">
        <v>130</v>
      </c>
      <c r="E1282" s="11" t="s">
        <v>25</v>
      </c>
      <c r="F1282" s="12">
        <v>46239</v>
      </c>
      <c r="G1282" s="11" t="s">
        <v>316</v>
      </c>
      <c r="H1282">
        <v>1</v>
      </c>
      <c r="I1282" s="11" t="s">
        <v>3850</v>
      </c>
      <c r="M1282" s="11" t="s">
        <v>87</v>
      </c>
      <c r="N1282" s="11" t="s">
        <v>3851</v>
      </c>
      <c r="O1282" s="11" t="s">
        <v>3852</v>
      </c>
      <c r="P1282" s="11" t="s">
        <v>3850</v>
      </c>
      <c r="Q1282" s="11" t="s">
        <v>135</v>
      </c>
      <c r="U1282" s="11" t="s">
        <v>320</v>
      </c>
      <c r="V1282" s="11" t="s">
        <v>137</v>
      </c>
      <c r="W1282" s="13">
        <v>46302.314618055556</v>
      </c>
    </row>
    <row r="1283" spans="1:23">
      <c r="A1283">
        <v>280662</v>
      </c>
      <c r="B1283">
        <v>11254</v>
      </c>
      <c r="C1283" s="11" t="s">
        <v>129</v>
      </c>
      <c r="D1283" s="11" t="s">
        <v>130</v>
      </c>
      <c r="E1283" s="11" t="s">
        <v>25</v>
      </c>
      <c r="F1283" s="12">
        <v>46239</v>
      </c>
      <c r="G1283" s="11" t="s">
        <v>339</v>
      </c>
      <c r="H1283">
        <v>1</v>
      </c>
      <c r="I1283" s="11" t="s">
        <v>2962</v>
      </c>
      <c r="M1283" s="11" t="s">
        <v>92</v>
      </c>
      <c r="N1283" s="11" t="s">
        <v>3853</v>
      </c>
      <c r="O1283" s="11" t="s">
        <v>3854</v>
      </c>
      <c r="P1283" s="11" t="s">
        <v>2962</v>
      </c>
      <c r="Q1283" s="11" t="s">
        <v>135</v>
      </c>
      <c r="U1283" s="11" t="s">
        <v>343</v>
      </c>
      <c r="V1283" s="11" t="s">
        <v>137</v>
      </c>
      <c r="W1283" s="13">
        <v>46302.314618055556</v>
      </c>
    </row>
    <row r="1284" spans="1:23">
      <c r="A1284">
        <v>280663</v>
      </c>
      <c r="B1284">
        <v>11255</v>
      </c>
      <c r="C1284" s="11" t="s">
        <v>129</v>
      </c>
      <c r="D1284" s="11" t="s">
        <v>130</v>
      </c>
      <c r="E1284" s="11" t="s">
        <v>25</v>
      </c>
      <c r="F1284" s="12">
        <v>46239</v>
      </c>
      <c r="G1284" s="11" t="s">
        <v>393</v>
      </c>
      <c r="H1284">
        <v>1</v>
      </c>
      <c r="I1284" s="11" t="s">
        <v>3855</v>
      </c>
      <c r="M1284" s="11" t="s">
        <v>86</v>
      </c>
      <c r="N1284" s="11" t="s">
        <v>3856</v>
      </c>
      <c r="O1284" s="11" t="s">
        <v>3857</v>
      </c>
      <c r="P1284" s="11" t="s">
        <v>3855</v>
      </c>
      <c r="Q1284" s="11" t="s">
        <v>135</v>
      </c>
      <c r="U1284" s="11" t="s">
        <v>397</v>
      </c>
      <c r="V1284" s="11" t="s">
        <v>137</v>
      </c>
      <c r="W1284" s="13">
        <v>46302.314618055556</v>
      </c>
    </row>
    <row r="1285" spans="1:23">
      <c r="A1285">
        <v>281081</v>
      </c>
      <c r="B1285">
        <v>11110</v>
      </c>
      <c r="C1285" s="11" t="s">
        <v>129</v>
      </c>
      <c r="D1285" s="11" t="s">
        <v>130</v>
      </c>
      <c r="E1285" s="11" t="s">
        <v>25</v>
      </c>
      <c r="F1285" s="12">
        <v>46241</v>
      </c>
      <c r="G1285" s="11" t="s">
        <v>131</v>
      </c>
      <c r="H1285">
        <v>1</v>
      </c>
      <c r="I1285" s="11" t="s">
        <v>424</v>
      </c>
      <c r="M1285" s="11" t="s">
        <v>87</v>
      </c>
      <c r="N1285" s="11" t="s">
        <v>3858</v>
      </c>
      <c r="O1285" s="11" t="s">
        <v>3859</v>
      </c>
      <c r="P1285" s="11" t="s">
        <v>424</v>
      </c>
      <c r="Q1285" s="11" t="s">
        <v>135</v>
      </c>
      <c r="U1285" s="11" t="s">
        <v>136</v>
      </c>
      <c r="V1285" s="11" t="s">
        <v>137</v>
      </c>
      <c r="W1285" s="13">
        <v>46302.314618055556</v>
      </c>
    </row>
    <row r="1286" spans="1:23">
      <c r="A1286">
        <v>281082</v>
      </c>
      <c r="B1286">
        <v>11111</v>
      </c>
      <c r="C1286" s="11" t="s">
        <v>129</v>
      </c>
      <c r="D1286" s="11" t="s">
        <v>130</v>
      </c>
      <c r="E1286" s="11" t="s">
        <v>25</v>
      </c>
      <c r="F1286" s="12">
        <v>46241</v>
      </c>
      <c r="G1286" s="11" t="s">
        <v>159</v>
      </c>
      <c r="H1286">
        <v>1</v>
      </c>
      <c r="I1286" s="11" t="s">
        <v>301</v>
      </c>
      <c r="M1286" s="11" t="s">
        <v>95</v>
      </c>
      <c r="N1286" s="11" t="s">
        <v>3806</v>
      </c>
      <c r="O1286" s="11" t="s">
        <v>3860</v>
      </c>
      <c r="P1286" s="11" t="s">
        <v>301</v>
      </c>
      <c r="Q1286" s="11" t="s">
        <v>135</v>
      </c>
      <c r="U1286" s="11" t="s">
        <v>163</v>
      </c>
      <c r="V1286" s="11" t="s">
        <v>137</v>
      </c>
      <c r="W1286" s="13">
        <v>46302.314618055556</v>
      </c>
    </row>
    <row r="1287" spans="1:23">
      <c r="A1287">
        <v>281083</v>
      </c>
      <c r="B1287">
        <v>11112</v>
      </c>
      <c r="C1287" s="11" t="s">
        <v>129</v>
      </c>
      <c r="D1287" s="11" t="s">
        <v>130</v>
      </c>
      <c r="E1287" s="11" t="s">
        <v>25</v>
      </c>
      <c r="F1287" s="12">
        <v>46241</v>
      </c>
      <c r="G1287" s="11" t="s">
        <v>1848</v>
      </c>
      <c r="H1287">
        <v>1</v>
      </c>
      <c r="I1287" s="11" t="s">
        <v>3861</v>
      </c>
      <c r="M1287" s="11" t="s">
        <v>56</v>
      </c>
      <c r="N1287" s="11" t="s">
        <v>3862</v>
      </c>
      <c r="O1287" s="11" t="s">
        <v>3863</v>
      </c>
      <c r="P1287" s="11" t="s">
        <v>3861</v>
      </c>
      <c r="Q1287" s="11" t="s">
        <v>3864</v>
      </c>
      <c r="U1287" s="11" t="s">
        <v>1852</v>
      </c>
      <c r="V1287" s="11" t="s">
        <v>137</v>
      </c>
      <c r="W1287" s="13">
        <v>46302.314618055556</v>
      </c>
    </row>
    <row r="1288" spans="1:23">
      <c r="A1288">
        <v>281084</v>
      </c>
      <c r="B1288">
        <v>11114</v>
      </c>
      <c r="C1288" s="11" t="s">
        <v>129</v>
      </c>
      <c r="D1288" s="11" t="s">
        <v>130</v>
      </c>
      <c r="E1288" s="11" t="s">
        <v>25</v>
      </c>
      <c r="F1288" s="12">
        <v>46241</v>
      </c>
      <c r="G1288" s="11" t="s">
        <v>1663</v>
      </c>
      <c r="H1288">
        <v>1</v>
      </c>
      <c r="I1288" s="11" t="s">
        <v>3296</v>
      </c>
      <c r="M1288" s="11" t="s">
        <v>47</v>
      </c>
      <c r="N1288" s="11" t="s">
        <v>3865</v>
      </c>
      <c r="O1288" s="11" t="s">
        <v>3866</v>
      </c>
      <c r="P1288" s="11" t="s">
        <v>3296</v>
      </c>
      <c r="Q1288" s="11" t="s">
        <v>135</v>
      </c>
      <c r="U1288" s="11" t="s">
        <v>1666</v>
      </c>
      <c r="V1288" s="11" t="s">
        <v>137</v>
      </c>
      <c r="W1288" s="13">
        <v>46302.314618055556</v>
      </c>
    </row>
    <row r="1289" spans="1:23">
      <c r="A1289">
        <v>281085</v>
      </c>
      <c r="B1289">
        <v>11115</v>
      </c>
      <c r="C1289" s="11" t="s">
        <v>129</v>
      </c>
      <c r="D1289" s="11" t="s">
        <v>130</v>
      </c>
      <c r="E1289" s="11" t="s">
        <v>25</v>
      </c>
      <c r="F1289" s="12">
        <v>46241</v>
      </c>
      <c r="G1289" s="11" t="s">
        <v>512</v>
      </c>
      <c r="H1289">
        <v>1</v>
      </c>
      <c r="I1289" s="11" t="s">
        <v>3867</v>
      </c>
      <c r="M1289" s="11" t="s">
        <v>44</v>
      </c>
      <c r="N1289" s="11" t="s">
        <v>3868</v>
      </c>
      <c r="O1289" s="11" t="s">
        <v>3869</v>
      </c>
      <c r="P1289" s="11" t="s">
        <v>3867</v>
      </c>
      <c r="Q1289" s="11" t="s">
        <v>135</v>
      </c>
      <c r="U1289" s="11" t="s">
        <v>516</v>
      </c>
      <c r="V1289" s="11" t="s">
        <v>137</v>
      </c>
      <c r="W1289" s="13">
        <v>46302.314618055556</v>
      </c>
    </row>
    <row r="1290" spans="1:23">
      <c r="A1290">
        <v>281086</v>
      </c>
      <c r="B1290">
        <v>11116</v>
      </c>
      <c r="C1290" s="11" t="s">
        <v>129</v>
      </c>
      <c r="D1290" s="11" t="s">
        <v>130</v>
      </c>
      <c r="E1290" s="11" t="s">
        <v>25</v>
      </c>
      <c r="F1290" s="12">
        <v>46241</v>
      </c>
      <c r="G1290" s="11" t="s">
        <v>131</v>
      </c>
      <c r="H1290">
        <v>1</v>
      </c>
      <c r="I1290" s="11" t="s">
        <v>390</v>
      </c>
      <c r="M1290" s="11" t="s">
        <v>87</v>
      </c>
      <c r="N1290" s="11" t="s">
        <v>794</v>
      </c>
      <c r="O1290" s="11" t="s">
        <v>3870</v>
      </c>
      <c r="P1290" s="11" t="s">
        <v>390</v>
      </c>
      <c r="Q1290" s="11" t="s">
        <v>135</v>
      </c>
      <c r="U1290" s="11" t="s">
        <v>136</v>
      </c>
      <c r="V1290" s="11" t="s">
        <v>137</v>
      </c>
      <c r="W1290" s="13">
        <v>46302.314618055556</v>
      </c>
    </row>
    <row r="1291" spans="1:23">
      <c r="A1291">
        <v>281087</v>
      </c>
      <c r="B1291">
        <v>11117</v>
      </c>
      <c r="C1291" s="11" t="s">
        <v>129</v>
      </c>
      <c r="D1291" s="11" t="s">
        <v>130</v>
      </c>
      <c r="E1291" s="11" t="s">
        <v>25</v>
      </c>
      <c r="F1291" s="12">
        <v>46241</v>
      </c>
      <c r="G1291" s="11" t="s">
        <v>1848</v>
      </c>
      <c r="H1291">
        <v>1</v>
      </c>
      <c r="I1291" s="11" t="s">
        <v>1349</v>
      </c>
      <c r="M1291" s="11" t="s">
        <v>56</v>
      </c>
      <c r="N1291" s="11" t="s">
        <v>3871</v>
      </c>
      <c r="O1291" s="11" t="s">
        <v>3872</v>
      </c>
      <c r="P1291" s="11" t="s">
        <v>1349</v>
      </c>
      <c r="Q1291" s="11" t="s">
        <v>135</v>
      </c>
      <c r="U1291" s="11" t="s">
        <v>1852</v>
      </c>
      <c r="V1291" s="11" t="s">
        <v>137</v>
      </c>
      <c r="W1291" s="13">
        <v>46302.314618055556</v>
      </c>
    </row>
    <row r="1292" spans="1:23">
      <c r="A1292">
        <v>281088</v>
      </c>
      <c r="B1292">
        <v>11118</v>
      </c>
      <c r="C1292" s="11" t="s">
        <v>129</v>
      </c>
      <c r="D1292" s="11" t="s">
        <v>130</v>
      </c>
      <c r="E1292" s="11" t="s">
        <v>25</v>
      </c>
      <c r="F1292" s="12">
        <v>46241</v>
      </c>
      <c r="G1292" s="11" t="s">
        <v>1848</v>
      </c>
      <c r="H1292">
        <v>1</v>
      </c>
      <c r="I1292" s="11" t="s">
        <v>3873</v>
      </c>
      <c r="M1292" s="11" t="s">
        <v>56</v>
      </c>
      <c r="N1292" s="11" t="s">
        <v>3874</v>
      </c>
      <c r="O1292" s="11" t="s">
        <v>3875</v>
      </c>
      <c r="P1292" s="11" t="s">
        <v>3873</v>
      </c>
      <c r="Q1292" s="11" t="s">
        <v>135</v>
      </c>
      <c r="U1292" s="11" t="s">
        <v>1852</v>
      </c>
      <c r="V1292" s="11" t="s">
        <v>137</v>
      </c>
      <c r="W1292" s="13">
        <v>46302.314618055556</v>
      </c>
    </row>
    <row r="1293" spans="1:23">
      <c r="A1293">
        <v>281089</v>
      </c>
      <c r="B1293">
        <v>11119</v>
      </c>
      <c r="C1293" s="11" t="s">
        <v>129</v>
      </c>
      <c r="D1293" s="11" t="s">
        <v>130</v>
      </c>
      <c r="E1293" s="11" t="s">
        <v>25</v>
      </c>
      <c r="F1293" s="12">
        <v>46241</v>
      </c>
      <c r="G1293" s="11" t="s">
        <v>174</v>
      </c>
      <c r="H1293">
        <v>1</v>
      </c>
      <c r="I1293" s="11" t="s">
        <v>2303</v>
      </c>
      <c r="M1293" s="11" t="s">
        <v>92</v>
      </c>
      <c r="N1293" s="11" t="s">
        <v>3876</v>
      </c>
      <c r="O1293" s="11" t="s">
        <v>3877</v>
      </c>
      <c r="P1293" s="11" t="s">
        <v>2303</v>
      </c>
      <c r="Q1293" s="11" t="s">
        <v>135</v>
      </c>
      <c r="U1293" s="11" t="s">
        <v>178</v>
      </c>
      <c r="V1293" s="11" t="s">
        <v>137</v>
      </c>
      <c r="W1293" s="13">
        <v>46302.314618055556</v>
      </c>
    </row>
    <row r="1294" spans="1:23">
      <c r="A1294">
        <v>281090</v>
      </c>
      <c r="B1294">
        <v>11120</v>
      </c>
      <c r="C1294" s="11" t="s">
        <v>129</v>
      </c>
      <c r="D1294" s="11" t="s">
        <v>130</v>
      </c>
      <c r="E1294" s="11" t="s">
        <v>25</v>
      </c>
      <c r="F1294" s="12">
        <v>46241</v>
      </c>
      <c r="G1294" s="11" t="s">
        <v>607</v>
      </c>
      <c r="H1294">
        <v>1</v>
      </c>
      <c r="I1294" s="11" t="s">
        <v>3878</v>
      </c>
      <c r="M1294" s="11" t="s">
        <v>42</v>
      </c>
      <c r="N1294" s="11" t="s">
        <v>993</v>
      </c>
      <c r="O1294" s="11" t="s">
        <v>3879</v>
      </c>
      <c r="P1294" s="11" t="s">
        <v>3878</v>
      </c>
      <c r="Q1294" s="11" t="s">
        <v>135</v>
      </c>
      <c r="U1294" s="11" t="s">
        <v>611</v>
      </c>
      <c r="V1294" s="11" t="s">
        <v>137</v>
      </c>
      <c r="W1294" s="13">
        <v>46302.314618055556</v>
      </c>
    </row>
    <row r="1295" spans="1:23">
      <c r="A1295">
        <v>281091</v>
      </c>
      <c r="B1295">
        <v>11121</v>
      </c>
      <c r="C1295" s="11" t="s">
        <v>129</v>
      </c>
      <c r="D1295" s="11" t="s">
        <v>130</v>
      </c>
      <c r="E1295" s="11" t="s">
        <v>25</v>
      </c>
      <c r="F1295" s="12">
        <v>46241</v>
      </c>
      <c r="G1295" s="11" t="s">
        <v>607</v>
      </c>
      <c r="H1295">
        <v>1</v>
      </c>
      <c r="I1295" s="11" t="s">
        <v>2374</v>
      </c>
      <c r="M1295" s="11" t="s">
        <v>42</v>
      </c>
      <c r="N1295" s="11" t="s">
        <v>1884</v>
      </c>
      <c r="O1295" s="11" t="s">
        <v>3704</v>
      </c>
      <c r="P1295" s="11" t="s">
        <v>2374</v>
      </c>
      <c r="Q1295" s="11" t="s">
        <v>135</v>
      </c>
      <c r="U1295" s="11" t="s">
        <v>611</v>
      </c>
      <c r="V1295" s="11" t="s">
        <v>137</v>
      </c>
      <c r="W1295" s="13">
        <v>46302.314618055556</v>
      </c>
    </row>
    <row r="1296" spans="1:23">
      <c r="A1296">
        <v>281092</v>
      </c>
      <c r="B1296">
        <v>11122</v>
      </c>
      <c r="C1296" s="11" t="s">
        <v>129</v>
      </c>
      <c r="D1296" s="11" t="s">
        <v>130</v>
      </c>
      <c r="E1296" s="11" t="s">
        <v>25</v>
      </c>
      <c r="F1296" s="12">
        <v>46241</v>
      </c>
      <c r="G1296" s="11" t="s">
        <v>174</v>
      </c>
      <c r="H1296">
        <v>1</v>
      </c>
      <c r="I1296" s="11" t="s">
        <v>3880</v>
      </c>
      <c r="M1296" s="11" t="s">
        <v>92</v>
      </c>
      <c r="N1296" s="11" t="s">
        <v>3881</v>
      </c>
      <c r="O1296" s="11" t="s">
        <v>3882</v>
      </c>
      <c r="P1296" s="11" t="s">
        <v>3880</v>
      </c>
      <c r="Q1296" s="11" t="s">
        <v>135</v>
      </c>
      <c r="U1296" s="11" t="s">
        <v>178</v>
      </c>
      <c r="V1296" s="11" t="s">
        <v>137</v>
      </c>
      <c r="W1296" s="13">
        <v>46302.314618055556</v>
      </c>
    </row>
    <row r="1297" spans="1:23">
      <c r="A1297">
        <v>281093</v>
      </c>
      <c r="B1297">
        <v>11123</v>
      </c>
      <c r="C1297" s="11" t="s">
        <v>129</v>
      </c>
      <c r="D1297" s="11" t="s">
        <v>130</v>
      </c>
      <c r="E1297" s="11" t="s">
        <v>25</v>
      </c>
      <c r="F1297" s="12">
        <v>46241</v>
      </c>
      <c r="G1297" s="11" t="s">
        <v>149</v>
      </c>
      <c r="H1297">
        <v>1</v>
      </c>
      <c r="I1297" s="11" t="s">
        <v>3883</v>
      </c>
      <c r="M1297" s="11" t="s">
        <v>77</v>
      </c>
      <c r="N1297" s="11" t="s">
        <v>1242</v>
      </c>
      <c r="O1297" s="11" t="s">
        <v>3884</v>
      </c>
      <c r="P1297" s="11" t="s">
        <v>3883</v>
      </c>
      <c r="Q1297" s="11" t="s">
        <v>135</v>
      </c>
      <c r="U1297" s="11" t="s">
        <v>153</v>
      </c>
      <c r="V1297" s="11" t="s">
        <v>137</v>
      </c>
      <c r="W1297" s="13">
        <v>46302.314618055556</v>
      </c>
    </row>
    <row r="1298" spans="1:23">
      <c r="A1298">
        <v>281094</v>
      </c>
      <c r="B1298">
        <v>11124</v>
      </c>
      <c r="C1298" s="11" t="s">
        <v>129</v>
      </c>
      <c r="D1298" s="11" t="s">
        <v>130</v>
      </c>
      <c r="E1298" s="11" t="s">
        <v>25</v>
      </c>
      <c r="F1298" s="12">
        <v>46241</v>
      </c>
      <c r="G1298" s="11" t="s">
        <v>154</v>
      </c>
      <c r="H1298">
        <v>1</v>
      </c>
      <c r="I1298" s="11" t="s">
        <v>3885</v>
      </c>
      <c r="M1298" s="11" t="s">
        <v>79</v>
      </c>
      <c r="N1298" s="11" t="s">
        <v>3886</v>
      </c>
      <c r="O1298" s="11" t="s">
        <v>3887</v>
      </c>
      <c r="P1298" s="11" t="s">
        <v>3885</v>
      </c>
      <c r="Q1298" s="11" t="s">
        <v>135</v>
      </c>
      <c r="U1298" s="11" t="s">
        <v>158</v>
      </c>
      <c r="V1298" s="11" t="s">
        <v>137</v>
      </c>
      <c r="W1298" s="13">
        <v>46302.314618055556</v>
      </c>
    </row>
    <row r="1299" spans="1:23">
      <c r="A1299">
        <v>281095</v>
      </c>
      <c r="B1299">
        <v>11125</v>
      </c>
      <c r="C1299" s="11" t="s">
        <v>129</v>
      </c>
      <c r="D1299" s="11" t="s">
        <v>130</v>
      </c>
      <c r="E1299" s="11" t="s">
        <v>25</v>
      </c>
      <c r="F1299" s="12">
        <v>46241</v>
      </c>
      <c r="G1299" s="11" t="s">
        <v>523</v>
      </c>
      <c r="H1299">
        <v>1</v>
      </c>
      <c r="I1299" s="11" t="s">
        <v>3888</v>
      </c>
      <c r="M1299" s="11" t="s">
        <v>80</v>
      </c>
      <c r="N1299" s="11" t="s">
        <v>3889</v>
      </c>
      <c r="O1299" s="11" t="s">
        <v>3890</v>
      </c>
      <c r="P1299" s="11" t="s">
        <v>3888</v>
      </c>
      <c r="Q1299" s="11" t="s">
        <v>135</v>
      </c>
      <c r="U1299" s="11" t="s">
        <v>527</v>
      </c>
      <c r="V1299" s="11" t="s">
        <v>137</v>
      </c>
      <c r="W1299" s="13">
        <v>46302.314618055556</v>
      </c>
    </row>
    <row r="1300" spans="1:23">
      <c r="A1300">
        <v>281096</v>
      </c>
      <c r="B1300">
        <v>11126</v>
      </c>
      <c r="C1300" s="11" t="s">
        <v>129</v>
      </c>
      <c r="D1300" s="11" t="s">
        <v>130</v>
      </c>
      <c r="E1300" s="11" t="s">
        <v>25</v>
      </c>
      <c r="F1300" s="12">
        <v>46241</v>
      </c>
      <c r="G1300" s="11" t="s">
        <v>131</v>
      </c>
      <c r="H1300">
        <v>1</v>
      </c>
      <c r="I1300" s="11" t="s">
        <v>3715</v>
      </c>
      <c r="M1300" s="11" t="s">
        <v>87</v>
      </c>
      <c r="N1300" s="11" t="s">
        <v>3891</v>
      </c>
      <c r="O1300" s="11" t="s">
        <v>3892</v>
      </c>
      <c r="P1300" s="11" t="s">
        <v>3715</v>
      </c>
      <c r="Q1300" s="11" t="s">
        <v>135</v>
      </c>
      <c r="U1300" s="11" t="s">
        <v>136</v>
      </c>
      <c r="V1300" s="11" t="s">
        <v>137</v>
      </c>
      <c r="W1300" s="13">
        <v>46302.314618055556</v>
      </c>
    </row>
    <row r="1301" spans="1:23">
      <c r="A1301">
        <v>281097</v>
      </c>
      <c r="B1301">
        <v>11127</v>
      </c>
      <c r="C1301" s="11" t="s">
        <v>129</v>
      </c>
      <c r="D1301" s="11" t="s">
        <v>130</v>
      </c>
      <c r="E1301" s="11" t="s">
        <v>25</v>
      </c>
      <c r="F1301" s="12">
        <v>46241</v>
      </c>
      <c r="G1301" s="11" t="s">
        <v>1576</v>
      </c>
      <c r="H1301">
        <v>1</v>
      </c>
      <c r="I1301" s="11" t="s">
        <v>2441</v>
      </c>
      <c r="M1301" s="11" t="s">
        <v>59</v>
      </c>
      <c r="N1301" s="11" t="s">
        <v>3893</v>
      </c>
      <c r="O1301" s="11" t="s">
        <v>3894</v>
      </c>
      <c r="P1301" s="11" t="s">
        <v>2441</v>
      </c>
      <c r="Q1301" s="11" t="s">
        <v>135</v>
      </c>
      <c r="U1301" s="11" t="s">
        <v>1580</v>
      </c>
      <c r="V1301" s="11" t="s">
        <v>137</v>
      </c>
      <c r="W1301" s="13">
        <v>46302.314618055556</v>
      </c>
    </row>
    <row r="1302" spans="1:23">
      <c r="A1302">
        <v>281098</v>
      </c>
      <c r="B1302">
        <v>11128</v>
      </c>
      <c r="C1302" s="11" t="s">
        <v>129</v>
      </c>
      <c r="D1302" s="11" t="s">
        <v>130</v>
      </c>
      <c r="E1302" s="11" t="s">
        <v>25</v>
      </c>
      <c r="F1302" s="12">
        <v>46241</v>
      </c>
      <c r="G1302" s="11" t="s">
        <v>607</v>
      </c>
      <c r="H1302">
        <v>1</v>
      </c>
      <c r="I1302" s="11" t="s">
        <v>1755</v>
      </c>
      <c r="M1302" s="11" t="s">
        <v>42</v>
      </c>
      <c r="N1302" s="11" t="s">
        <v>3895</v>
      </c>
      <c r="O1302" s="11" t="s">
        <v>3896</v>
      </c>
      <c r="P1302" s="11" t="s">
        <v>1755</v>
      </c>
      <c r="Q1302" s="11" t="s">
        <v>135</v>
      </c>
      <c r="U1302" s="11" t="s">
        <v>611</v>
      </c>
      <c r="V1302" s="11" t="s">
        <v>137</v>
      </c>
      <c r="W1302" s="13">
        <v>46302.314618055556</v>
      </c>
    </row>
    <row r="1303" spans="1:23">
      <c r="A1303">
        <v>281099</v>
      </c>
      <c r="B1303">
        <v>11129</v>
      </c>
      <c r="C1303" s="11" t="s">
        <v>129</v>
      </c>
      <c r="D1303" s="11" t="s">
        <v>130</v>
      </c>
      <c r="E1303" s="11" t="s">
        <v>25</v>
      </c>
      <c r="F1303" s="12">
        <v>46241</v>
      </c>
      <c r="G1303" s="11" t="s">
        <v>131</v>
      </c>
      <c r="H1303">
        <v>1</v>
      </c>
      <c r="I1303" s="11" t="s">
        <v>3897</v>
      </c>
      <c r="M1303" s="11" t="s">
        <v>87</v>
      </c>
      <c r="N1303" s="11" t="s">
        <v>3898</v>
      </c>
      <c r="O1303" s="11" t="s">
        <v>3899</v>
      </c>
      <c r="P1303" s="11" t="s">
        <v>3897</v>
      </c>
      <c r="Q1303" s="11" t="s">
        <v>135</v>
      </c>
      <c r="U1303" s="11" t="s">
        <v>136</v>
      </c>
      <c r="V1303" s="11" t="s">
        <v>137</v>
      </c>
      <c r="W1303" s="13">
        <v>46302.314618055556</v>
      </c>
    </row>
    <row r="1304" spans="1:23">
      <c r="A1304">
        <v>281100</v>
      </c>
      <c r="B1304">
        <v>11113</v>
      </c>
      <c r="C1304" s="11" t="s">
        <v>129</v>
      </c>
      <c r="D1304" s="11" t="s">
        <v>130</v>
      </c>
      <c r="E1304" s="11" t="s">
        <v>25</v>
      </c>
      <c r="F1304" s="12">
        <v>46241</v>
      </c>
      <c r="G1304" s="11" t="s">
        <v>222</v>
      </c>
      <c r="H1304">
        <v>1</v>
      </c>
      <c r="I1304" s="11" t="s">
        <v>3864</v>
      </c>
      <c r="M1304" s="11" t="s">
        <v>90</v>
      </c>
      <c r="N1304" s="11" t="s">
        <v>917</v>
      </c>
      <c r="O1304" s="11" t="s">
        <v>3900</v>
      </c>
      <c r="P1304" s="11" t="s">
        <v>3864</v>
      </c>
      <c r="Q1304" s="11" t="s">
        <v>135</v>
      </c>
      <c r="R1304">
        <v>11112</v>
      </c>
      <c r="U1304" s="11" t="s">
        <v>225</v>
      </c>
      <c r="V1304" s="11" t="s">
        <v>137</v>
      </c>
      <c r="W1304" s="13">
        <v>46302.314618055556</v>
      </c>
    </row>
    <row r="1305" spans="1:23">
      <c r="A1305">
        <v>282226</v>
      </c>
      <c r="B1305">
        <v>18</v>
      </c>
      <c r="C1305" s="11" t="s">
        <v>129</v>
      </c>
      <c r="D1305" s="11" t="s">
        <v>130</v>
      </c>
      <c r="E1305" s="11" t="s">
        <v>25</v>
      </c>
      <c r="F1305" s="12">
        <v>46251</v>
      </c>
      <c r="G1305" s="11" t="s">
        <v>1848</v>
      </c>
      <c r="H1305">
        <v>1</v>
      </c>
      <c r="I1305" s="11" t="s">
        <v>3444</v>
      </c>
      <c r="M1305" s="11" t="s">
        <v>56</v>
      </c>
      <c r="N1305" s="11" t="s">
        <v>3901</v>
      </c>
      <c r="O1305" s="11" t="s">
        <v>3902</v>
      </c>
      <c r="P1305" s="11" t="s">
        <v>3444</v>
      </c>
      <c r="Q1305" s="11" t="s">
        <v>135</v>
      </c>
      <c r="U1305" s="11" t="s">
        <v>1852</v>
      </c>
      <c r="V1305" s="11" t="s">
        <v>137</v>
      </c>
      <c r="W1305" s="13">
        <v>46302.314618055556</v>
      </c>
    </row>
    <row r="1306" spans="1:23">
      <c r="A1306">
        <v>282227</v>
      </c>
      <c r="B1306">
        <v>21</v>
      </c>
      <c r="C1306" s="11" t="s">
        <v>129</v>
      </c>
      <c r="D1306" s="11" t="s">
        <v>130</v>
      </c>
      <c r="E1306" s="11" t="s">
        <v>25</v>
      </c>
      <c r="F1306" s="12">
        <v>46251</v>
      </c>
      <c r="G1306" s="11" t="s">
        <v>217</v>
      </c>
      <c r="H1306">
        <v>1</v>
      </c>
      <c r="I1306" s="11" t="s">
        <v>1641</v>
      </c>
      <c r="M1306" s="11" t="s">
        <v>86</v>
      </c>
      <c r="N1306" s="11" t="s">
        <v>3903</v>
      </c>
      <c r="O1306" s="11" t="s">
        <v>3904</v>
      </c>
      <c r="P1306" s="11" t="s">
        <v>1641</v>
      </c>
      <c r="Q1306" s="11" t="s">
        <v>135</v>
      </c>
      <c r="U1306" s="11" t="s">
        <v>221</v>
      </c>
      <c r="V1306" s="11" t="s">
        <v>137</v>
      </c>
      <c r="W1306" s="13">
        <v>46302.314618055556</v>
      </c>
    </row>
    <row r="1307" spans="1:23">
      <c r="A1307">
        <v>282228</v>
      </c>
      <c r="B1307">
        <v>19</v>
      </c>
      <c r="C1307" s="11" t="s">
        <v>129</v>
      </c>
      <c r="D1307" s="11" t="s">
        <v>130</v>
      </c>
      <c r="E1307" s="11" t="s">
        <v>25</v>
      </c>
      <c r="F1307" s="12">
        <v>46251</v>
      </c>
      <c r="G1307" s="11" t="s">
        <v>1457</v>
      </c>
      <c r="H1307">
        <v>1</v>
      </c>
      <c r="I1307" s="11" t="s">
        <v>3905</v>
      </c>
      <c r="M1307" s="11" t="s">
        <v>88</v>
      </c>
      <c r="N1307" s="11" t="s">
        <v>3906</v>
      </c>
      <c r="O1307" s="11" t="s">
        <v>3907</v>
      </c>
      <c r="P1307" s="11" t="s">
        <v>3905</v>
      </c>
      <c r="Q1307" s="11" t="s">
        <v>135</v>
      </c>
      <c r="U1307" s="11" t="s">
        <v>1461</v>
      </c>
      <c r="V1307" s="11" t="s">
        <v>137</v>
      </c>
      <c r="W1307" s="13">
        <v>46302.314618055556</v>
      </c>
    </row>
    <row r="1308" spans="1:23">
      <c r="A1308">
        <v>282229</v>
      </c>
      <c r="B1308">
        <v>20</v>
      </c>
      <c r="C1308" s="11" t="s">
        <v>129</v>
      </c>
      <c r="D1308" s="11" t="s">
        <v>130</v>
      </c>
      <c r="E1308" s="11" t="s">
        <v>25</v>
      </c>
      <c r="F1308" s="12">
        <v>46251</v>
      </c>
      <c r="G1308" s="11" t="s">
        <v>131</v>
      </c>
      <c r="H1308">
        <v>1</v>
      </c>
      <c r="I1308" s="11" t="s">
        <v>3908</v>
      </c>
      <c r="M1308" s="11" t="s">
        <v>87</v>
      </c>
      <c r="N1308" s="11" t="s">
        <v>3909</v>
      </c>
      <c r="O1308" s="11" t="s">
        <v>3910</v>
      </c>
      <c r="P1308" s="11" t="s">
        <v>3908</v>
      </c>
      <c r="Q1308" s="11" t="s">
        <v>135</v>
      </c>
      <c r="U1308" s="11" t="s">
        <v>136</v>
      </c>
      <c r="V1308" s="11" t="s">
        <v>137</v>
      </c>
      <c r="W1308" s="13">
        <v>46302.314618055556</v>
      </c>
    </row>
    <row r="1309" spans="1:23">
      <c r="A1309">
        <v>282230</v>
      </c>
      <c r="B1309">
        <v>16</v>
      </c>
      <c r="C1309" s="11" t="s">
        <v>129</v>
      </c>
      <c r="D1309" s="11" t="s">
        <v>130</v>
      </c>
      <c r="E1309" s="11" t="s">
        <v>25</v>
      </c>
      <c r="F1309" s="12">
        <v>46251</v>
      </c>
      <c r="G1309" s="11" t="s">
        <v>316</v>
      </c>
      <c r="H1309">
        <v>1</v>
      </c>
      <c r="I1309" s="11" t="s">
        <v>3911</v>
      </c>
      <c r="M1309" s="11" t="s">
        <v>87</v>
      </c>
      <c r="N1309" s="11" t="s">
        <v>3912</v>
      </c>
      <c r="O1309" s="11" t="s">
        <v>3913</v>
      </c>
      <c r="P1309" s="11" t="s">
        <v>3911</v>
      </c>
      <c r="Q1309" s="11" t="s">
        <v>135</v>
      </c>
      <c r="U1309" s="11" t="s">
        <v>320</v>
      </c>
      <c r="V1309" s="11" t="s">
        <v>137</v>
      </c>
      <c r="W1309" s="13">
        <v>46302.314618055556</v>
      </c>
    </row>
    <row r="1310" spans="1:23">
      <c r="A1310">
        <v>282231</v>
      </c>
      <c r="B1310">
        <v>17</v>
      </c>
      <c r="C1310" s="11" t="s">
        <v>129</v>
      </c>
      <c r="D1310" s="11" t="s">
        <v>130</v>
      </c>
      <c r="E1310" s="11" t="s">
        <v>25</v>
      </c>
      <c r="F1310" s="12">
        <v>46251</v>
      </c>
      <c r="G1310" s="11" t="s">
        <v>3452</v>
      </c>
      <c r="H1310">
        <v>1</v>
      </c>
      <c r="I1310" s="11" t="s">
        <v>3914</v>
      </c>
      <c r="M1310" s="11" t="s">
        <v>85</v>
      </c>
      <c r="N1310" s="11" t="s">
        <v>449</v>
      </c>
      <c r="O1310" s="11" t="s">
        <v>3915</v>
      </c>
      <c r="P1310" s="11" t="s">
        <v>3914</v>
      </c>
      <c r="Q1310" s="11" t="s">
        <v>135</v>
      </c>
      <c r="U1310" s="11" t="s">
        <v>3456</v>
      </c>
      <c r="V1310" s="11" t="s">
        <v>137</v>
      </c>
      <c r="W1310" s="13">
        <v>46302.314618055556</v>
      </c>
    </row>
    <row r="1311" spans="1:23">
      <c r="A1311">
        <v>282442</v>
      </c>
      <c r="B1311">
        <v>40</v>
      </c>
      <c r="C1311" s="11" t="s">
        <v>129</v>
      </c>
      <c r="D1311" s="11" t="s">
        <v>130</v>
      </c>
      <c r="E1311" s="11" t="s">
        <v>25</v>
      </c>
      <c r="F1311" s="12">
        <v>46252</v>
      </c>
      <c r="G1311" s="11" t="s">
        <v>1740</v>
      </c>
      <c r="H1311">
        <v>1</v>
      </c>
      <c r="I1311" s="11" t="s">
        <v>3916</v>
      </c>
      <c r="M1311" s="11" t="s">
        <v>69</v>
      </c>
      <c r="N1311" s="11" t="s">
        <v>3917</v>
      </c>
      <c r="O1311" s="11" t="s">
        <v>3918</v>
      </c>
      <c r="P1311" s="11" t="s">
        <v>3916</v>
      </c>
      <c r="Q1311" s="11" t="s">
        <v>135</v>
      </c>
      <c r="U1311" s="11" t="s">
        <v>1745</v>
      </c>
      <c r="V1311" s="11" t="s">
        <v>137</v>
      </c>
      <c r="W1311" s="13">
        <v>46302.314618055556</v>
      </c>
    </row>
    <row r="1312" spans="1:23">
      <c r="A1312">
        <v>282443</v>
      </c>
      <c r="B1312">
        <v>42</v>
      </c>
      <c r="C1312" s="11" t="s">
        <v>129</v>
      </c>
      <c r="D1312" s="11" t="s">
        <v>130</v>
      </c>
      <c r="E1312" s="11" t="s">
        <v>25</v>
      </c>
      <c r="F1312" s="12">
        <v>46252</v>
      </c>
      <c r="G1312" s="11" t="s">
        <v>1740</v>
      </c>
      <c r="H1312">
        <v>3</v>
      </c>
      <c r="I1312" s="11" t="s">
        <v>2698</v>
      </c>
      <c r="M1312" s="11" t="s">
        <v>69</v>
      </c>
      <c r="N1312" s="11" t="s">
        <v>3919</v>
      </c>
      <c r="O1312" s="11" t="s">
        <v>3920</v>
      </c>
      <c r="P1312" s="11" t="s">
        <v>3809</v>
      </c>
      <c r="Q1312" s="11" t="s">
        <v>135</v>
      </c>
      <c r="U1312" s="11" t="s">
        <v>1745</v>
      </c>
      <c r="V1312" s="11" t="s">
        <v>137</v>
      </c>
      <c r="W1312" s="13">
        <v>46302.314618055556</v>
      </c>
    </row>
    <row r="1313" spans="1:23">
      <c r="A1313">
        <v>282444</v>
      </c>
      <c r="B1313">
        <v>29</v>
      </c>
      <c r="C1313" s="11" t="s">
        <v>129</v>
      </c>
      <c r="D1313" s="11" t="s">
        <v>130</v>
      </c>
      <c r="E1313" s="11" t="s">
        <v>25</v>
      </c>
      <c r="F1313" s="12">
        <v>46252</v>
      </c>
      <c r="G1313" s="11" t="s">
        <v>1740</v>
      </c>
      <c r="H1313">
        <v>5</v>
      </c>
      <c r="I1313" s="11" t="s">
        <v>2810</v>
      </c>
      <c r="M1313" s="11" t="s">
        <v>69</v>
      </c>
      <c r="N1313" s="11" t="s">
        <v>3921</v>
      </c>
      <c r="O1313" s="11" t="s">
        <v>3922</v>
      </c>
      <c r="P1313" s="11" t="s">
        <v>1764</v>
      </c>
      <c r="Q1313" s="11" t="s">
        <v>135</v>
      </c>
      <c r="U1313" s="11" t="s">
        <v>1745</v>
      </c>
      <c r="V1313" s="11" t="s">
        <v>137</v>
      </c>
      <c r="W1313" s="13">
        <v>46302.314618055556</v>
      </c>
    </row>
    <row r="1314" spans="1:23">
      <c r="A1314">
        <v>282445</v>
      </c>
      <c r="B1314">
        <v>31</v>
      </c>
      <c r="C1314" s="11" t="s">
        <v>129</v>
      </c>
      <c r="D1314" s="11" t="s">
        <v>130</v>
      </c>
      <c r="E1314" s="11" t="s">
        <v>25</v>
      </c>
      <c r="F1314" s="12">
        <v>46252</v>
      </c>
      <c r="G1314" s="11" t="s">
        <v>1740</v>
      </c>
      <c r="H1314">
        <v>3</v>
      </c>
      <c r="I1314" s="11" t="s">
        <v>686</v>
      </c>
      <c r="M1314" s="11" t="s">
        <v>69</v>
      </c>
      <c r="N1314" s="11" t="s">
        <v>2105</v>
      </c>
      <c r="O1314" s="11" t="s">
        <v>2808</v>
      </c>
      <c r="P1314" s="11" t="s">
        <v>3799</v>
      </c>
      <c r="Q1314" s="11" t="s">
        <v>135</v>
      </c>
      <c r="U1314" s="11" t="s">
        <v>1745</v>
      </c>
      <c r="V1314" s="11" t="s">
        <v>137</v>
      </c>
      <c r="W1314" s="13">
        <v>46302.314618055556</v>
      </c>
    </row>
    <row r="1315" spans="1:23">
      <c r="A1315">
        <v>282446</v>
      </c>
      <c r="B1315">
        <v>36</v>
      </c>
      <c r="C1315" s="11" t="s">
        <v>129</v>
      </c>
      <c r="D1315" s="11" t="s">
        <v>130</v>
      </c>
      <c r="E1315" s="11" t="s">
        <v>25</v>
      </c>
      <c r="F1315" s="12">
        <v>46252</v>
      </c>
      <c r="G1315" s="11" t="s">
        <v>1740</v>
      </c>
      <c r="H1315">
        <v>5</v>
      </c>
      <c r="I1315" s="11" t="s">
        <v>2865</v>
      </c>
      <c r="M1315" s="11" t="s">
        <v>69</v>
      </c>
      <c r="N1315" s="11" t="s">
        <v>3923</v>
      </c>
      <c r="O1315" s="11" t="s">
        <v>3924</v>
      </c>
      <c r="P1315" s="11" t="s">
        <v>3925</v>
      </c>
      <c r="Q1315" s="11" t="s">
        <v>135</v>
      </c>
      <c r="U1315" s="11" t="s">
        <v>1745</v>
      </c>
      <c r="V1315" s="11" t="s">
        <v>137</v>
      </c>
      <c r="W1315" s="13">
        <v>46302.314618055556</v>
      </c>
    </row>
    <row r="1316" spans="1:23">
      <c r="A1316">
        <v>282447</v>
      </c>
      <c r="B1316">
        <v>37</v>
      </c>
      <c r="C1316" s="11" t="s">
        <v>129</v>
      </c>
      <c r="D1316" s="11" t="s">
        <v>130</v>
      </c>
      <c r="E1316" s="11" t="s">
        <v>25</v>
      </c>
      <c r="F1316" s="12">
        <v>46252</v>
      </c>
      <c r="G1316" s="11" t="s">
        <v>1740</v>
      </c>
      <c r="H1316">
        <v>5</v>
      </c>
      <c r="I1316" s="11" t="s">
        <v>3926</v>
      </c>
      <c r="M1316" s="11" t="s">
        <v>69</v>
      </c>
      <c r="N1316" s="11" t="s">
        <v>3927</v>
      </c>
      <c r="O1316" s="11" t="s">
        <v>3928</v>
      </c>
      <c r="P1316" s="11" t="s">
        <v>2501</v>
      </c>
      <c r="Q1316" s="11" t="s">
        <v>135</v>
      </c>
      <c r="U1316" s="11" t="s">
        <v>1745</v>
      </c>
      <c r="V1316" s="11" t="s">
        <v>137</v>
      </c>
      <c r="W1316" s="13">
        <v>46302.314618055556</v>
      </c>
    </row>
    <row r="1317" spans="1:23">
      <c r="A1317">
        <v>282448</v>
      </c>
      <c r="B1317">
        <v>38</v>
      </c>
      <c r="C1317" s="11" t="s">
        <v>129</v>
      </c>
      <c r="D1317" s="11" t="s">
        <v>130</v>
      </c>
      <c r="E1317" s="11" t="s">
        <v>25</v>
      </c>
      <c r="F1317" s="12">
        <v>46252</v>
      </c>
      <c r="G1317" s="11" t="s">
        <v>1740</v>
      </c>
      <c r="H1317">
        <v>1</v>
      </c>
      <c r="I1317" s="11" t="s">
        <v>3929</v>
      </c>
      <c r="M1317" s="11" t="s">
        <v>69</v>
      </c>
      <c r="N1317" s="11" t="s">
        <v>3930</v>
      </c>
      <c r="O1317" s="11" t="s">
        <v>3931</v>
      </c>
      <c r="P1317" s="11" t="s">
        <v>3929</v>
      </c>
      <c r="Q1317" s="11" t="s">
        <v>135</v>
      </c>
      <c r="U1317" s="11" t="s">
        <v>1745</v>
      </c>
      <c r="V1317" s="11" t="s">
        <v>137</v>
      </c>
      <c r="W1317" s="13">
        <v>46302.314618055556</v>
      </c>
    </row>
    <row r="1318" spans="1:23">
      <c r="A1318">
        <v>282449</v>
      </c>
      <c r="B1318">
        <v>27</v>
      </c>
      <c r="C1318" s="11" t="s">
        <v>129</v>
      </c>
      <c r="D1318" s="11" t="s">
        <v>130</v>
      </c>
      <c r="E1318" s="11" t="s">
        <v>25</v>
      </c>
      <c r="F1318" s="12">
        <v>46252</v>
      </c>
      <c r="G1318" s="11" t="s">
        <v>607</v>
      </c>
      <c r="H1318">
        <v>1</v>
      </c>
      <c r="I1318" s="11" t="s">
        <v>3932</v>
      </c>
      <c r="M1318" s="11" t="s">
        <v>42</v>
      </c>
      <c r="N1318" s="11" t="s">
        <v>3933</v>
      </c>
      <c r="O1318" s="11" t="s">
        <v>3934</v>
      </c>
      <c r="P1318" s="11" t="s">
        <v>3932</v>
      </c>
      <c r="Q1318" s="11" t="s">
        <v>3935</v>
      </c>
      <c r="U1318" s="11" t="s">
        <v>611</v>
      </c>
      <c r="V1318" s="11" t="s">
        <v>137</v>
      </c>
      <c r="W1318" s="13">
        <v>46302.314618055556</v>
      </c>
    </row>
    <row r="1319" spans="1:23">
      <c r="A1319">
        <v>282450</v>
      </c>
      <c r="B1319">
        <v>23</v>
      </c>
      <c r="C1319" s="11" t="s">
        <v>129</v>
      </c>
      <c r="D1319" s="11" t="s">
        <v>130</v>
      </c>
      <c r="E1319" s="11" t="s">
        <v>25</v>
      </c>
      <c r="F1319" s="12">
        <v>46252</v>
      </c>
      <c r="G1319" s="11" t="s">
        <v>328</v>
      </c>
      <c r="H1319">
        <v>1</v>
      </c>
      <c r="I1319" s="11" t="s">
        <v>3936</v>
      </c>
      <c r="M1319" s="11" t="s">
        <v>66</v>
      </c>
      <c r="N1319" s="11" t="s">
        <v>3937</v>
      </c>
      <c r="O1319" s="11" t="s">
        <v>3938</v>
      </c>
      <c r="P1319" s="11" t="s">
        <v>3936</v>
      </c>
      <c r="Q1319" s="11" t="s">
        <v>3939</v>
      </c>
      <c r="U1319" s="11" t="s">
        <v>333</v>
      </c>
      <c r="V1319" s="11" t="s">
        <v>137</v>
      </c>
      <c r="W1319" s="13">
        <v>46302.314618055556</v>
      </c>
    </row>
    <row r="1320" spans="1:23">
      <c r="A1320">
        <v>282451</v>
      </c>
      <c r="B1320">
        <v>25</v>
      </c>
      <c r="C1320" s="11" t="s">
        <v>129</v>
      </c>
      <c r="D1320" s="11" t="s">
        <v>130</v>
      </c>
      <c r="E1320" s="11" t="s">
        <v>25</v>
      </c>
      <c r="F1320" s="12">
        <v>46252</v>
      </c>
      <c r="G1320" s="11" t="s">
        <v>344</v>
      </c>
      <c r="H1320">
        <v>1</v>
      </c>
      <c r="I1320" s="11" t="s">
        <v>3940</v>
      </c>
      <c r="M1320" s="11" t="s">
        <v>65</v>
      </c>
      <c r="N1320" s="11" t="s">
        <v>3941</v>
      </c>
      <c r="O1320" s="11" t="s">
        <v>3942</v>
      </c>
      <c r="P1320" s="11" t="s">
        <v>3940</v>
      </c>
      <c r="Q1320" s="11" t="s">
        <v>135</v>
      </c>
      <c r="U1320" s="11" t="s">
        <v>348</v>
      </c>
      <c r="V1320" s="11" t="s">
        <v>137</v>
      </c>
      <c r="W1320" s="13">
        <v>46302.314618055556</v>
      </c>
    </row>
    <row r="1321" spans="1:23">
      <c r="A1321">
        <v>282452</v>
      </c>
      <c r="B1321">
        <v>26</v>
      </c>
      <c r="C1321" s="11" t="s">
        <v>129</v>
      </c>
      <c r="D1321" s="11" t="s">
        <v>130</v>
      </c>
      <c r="E1321" s="11" t="s">
        <v>25</v>
      </c>
      <c r="F1321" s="12">
        <v>46252</v>
      </c>
      <c r="G1321" s="11" t="s">
        <v>321</v>
      </c>
      <c r="H1321">
        <v>1</v>
      </c>
      <c r="I1321" s="11" t="s">
        <v>3603</v>
      </c>
      <c r="M1321" s="11" t="s">
        <v>67</v>
      </c>
      <c r="N1321" s="11" t="s">
        <v>3943</v>
      </c>
      <c r="O1321" s="11" t="s">
        <v>3944</v>
      </c>
      <c r="P1321" s="11" t="s">
        <v>3603</v>
      </c>
      <c r="Q1321" s="11" t="s">
        <v>135</v>
      </c>
      <c r="U1321" s="11" t="s">
        <v>327</v>
      </c>
      <c r="V1321" s="11" t="s">
        <v>137</v>
      </c>
      <c r="W1321" s="13">
        <v>46302.314618055556</v>
      </c>
    </row>
    <row r="1322" spans="1:23">
      <c r="A1322">
        <v>282453</v>
      </c>
      <c r="B1322">
        <v>33</v>
      </c>
      <c r="C1322" s="11" t="s">
        <v>129</v>
      </c>
      <c r="D1322" s="11" t="s">
        <v>130</v>
      </c>
      <c r="E1322" s="11" t="s">
        <v>25</v>
      </c>
      <c r="F1322" s="12">
        <v>46252</v>
      </c>
      <c r="G1322" s="11" t="s">
        <v>355</v>
      </c>
      <c r="H1322">
        <v>1</v>
      </c>
      <c r="I1322" s="11" t="s">
        <v>1474</v>
      </c>
      <c r="M1322" s="11" t="s">
        <v>77</v>
      </c>
      <c r="N1322" s="11" t="s">
        <v>3945</v>
      </c>
      <c r="O1322" s="11" t="s">
        <v>3946</v>
      </c>
      <c r="P1322" s="11" t="s">
        <v>1474</v>
      </c>
      <c r="Q1322" s="11" t="s">
        <v>135</v>
      </c>
      <c r="U1322" s="11" t="s">
        <v>359</v>
      </c>
      <c r="V1322" s="11" t="s">
        <v>137</v>
      </c>
      <c r="W1322" s="13">
        <v>46302.314618055556</v>
      </c>
    </row>
    <row r="1323" spans="1:23">
      <c r="A1323">
        <v>282454</v>
      </c>
      <c r="B1323">
        <v>34</v>
      </c>
      <c r="C1323" s="11" t="s">
        <v>129</v>
      </c>
      <c r="D1323" s="11" t="s">
        <v>130</v>
      </c>
      <c r="E1323" s="11" t="s">
        <v>25</v>
      </c>
      <c r="F1323" s="12">
        <v>46252</v>
      </c>
      <c r="G1323" s="11" t="s">
        <v>360</v>
      </c>
      <c r="H1323">
        <v>1</v>
      </c>
      <c r="I1323" s="11" t="s">
        <v>3947</v>
      </c>
      <c r="M1323" s="11" t="s">
        <v>79</v>
      </c>
      <c r="N1323" s="11" t="s">
        <v>3948</v>
      </c>
      <c r="O1323" s="11" t="s">
        <v>3949</v>
      </c>
      <c r="P1323" s="11" t="s">
        <v>3947</v>
      </c>
      <c r="Q1323" s="11" t="s">
        <v>135</v>
      </c>
      <c r="U1323" s="11" t="s">
        <v>364</v>
      </c>
      <c r="V1323" s="11" t="s">
        <v>137</v>
      </c>
      <c r="W1323" s="13">
        <v>46302.314618055556</v>
      </c>
    </row>
    <row r="1324" spans="1:23">
      <c r="A1324">
        <v>282455</v>
      </c>
      <c r="B1324">
        <v>35</v>
      </c>
      <c r="C1324" s="11" t="s">
        <v>129</v>
      </c>
      <c r="D1324" s="11" t="s">
        <v>130</v>
      </c>
      <c r="E1324" s="11" t="s">
        <v>25</v>
      </c>
      <c r="F1324" s="12">
        <v>46252</v>
      </c>
      <c r="G1324" s="11" t="s">
        <v>1777</v>
      </c>
      <c r="H1324">
        <v>1</v>
      </c>
      <c r="I1324" s="11" t="s">
        <v>1836</v>
      </c>
      <c r="M1324" s="11" t="s">
        <v>80</v>
      </c>
      <c r="N1324" s="11" t="s">
        <v>3950</v>
      </c>
      <c r="O1324" s="11" t="s">
        <v>3951</v>
      </c>
      <c r="P1324" s="11" t="s">
        <v>1836</v>
      </c>
      <c r="Q1324" s="11" t="s">
        <v>135</v>
      </c>
      <c r="U1324" s="11" t="s">
        <v>1781</v>
      </c>
      <c r="V1324" s="11" t="s">
        <v>137</v>
      </c>
      <c r="W1324" s="13">
        <v>46302.314618055556</v>
      </c>
    </row>
    <row r="1325" spans="1:23">
      <c r="A1325">
        <v>282456</v>
      </c>
      <c r="B1325">
        <v>41</v>
      </c>
      <c r="C1325" s="11" t="s">
        <v>129</v>
      </c>
      <c r="D1325" s="11" t="s">
        <v>130</v>
      </c>
      <c r="E1325" s="11" t="s">
        <v>25</v>
      </c>
      <c r="F1325" s="12">
        <v>46252</v>
      </c>
      <c r="G1325" s="11" t="s">
        <v>1731</v>
      </c>
      <c r="H1325">
        <v>1</v>
      </c>
      <c r="I1325" s="11" t="s">
        <v>3952</v>
      </c>
      <c r="M1325" s="11" t="s">
        <v>88</v>
      </c>
      <c r="N1325" s="11" t="s">
        <v>3953</v>
      </c>
      <c r="O1325" s="11" t="s">
        <v>546</v>
      </c>
      <c r="P1325" s="11" t="s">
        <v>3952</v>
      </c>
      <c r="Q1325" s="11" t="s">
        <v>135</v>
      </c>
      <c r="U1325" s="11" t="s">
        <v>1735</v>
      </c>
      <c r="V1325" s="11" t="s">
        <v>137</v>
      </c>
      <c r="W1325" s="13">
        <v>46302.314618055556</v>
      </c>
    </row>
    <row r="1326" spans="1:23">
      <c r="A1326">
        <v>282457</v>
      </c>
      <c r="B1326">
        <v>24</v>
      </c>
      <c r="C1326" s="11" t="s">
        <v>129</v>
      </c>
      <c r="D1326" s="11" t="s">
        <v>130</v>
      </c>
      <c r="E1326" s="11" t="s">
        <v>25</v>
      </c>
      <c r="F1326" s="12">
        <v>46252</v>
      </c>
      <c r="G1326" s="11" t="s">
        <v>401</v>
      </c>
      <c r="H1326">
        <v>1</v>
      </c>
      <c r="I1326" s="11" t="s">
        <v>3939</v>
      </c>
      <c r="M1326" s="11" t="s">
        <v>90</v>
      </c>
      <c r="N1326" s="11" t="s">
        <v>3954</v>
      </c>
      <c r="O1326" s="11" t="s">
        <v>1864</v>
      </c>
      <c r="P1326" s="11" t="s">
        <v>3939</v>
      </c>
      <c r="Q1326" s="11" t="s">
        <v>135</v>
      </c>
      <c r="R1326">
        <v>23</v>
      </c>
      <c r="U1326" s="11" t="s">
        <v>404</v>
      </c>
      <c r="V1326" s="11" t="s">
        <v>137</v>
      </c>
      <c r="W1326" s="13">
        <v>46302.314618055556</v>
      </c>
    </row>
    <row r="1327" spans="1:23">
      <c r="A1327">
        <v>282458</v>
      </c>
      <c r="B1327">
        <v>39</v>
      </c>
      <c r="C1327" s="11" t="s">
        <v>129</v>
      </c>
      <c r="D1327" s="11" t="s">
        <v>130</v>
      </c>
      <c r="E1327" s="11" t="s">
        <v>25</v>
      </c>
      <c r="F1327" s="12">
        <v>46252</v>
      </c>
      <c r="G1327" s="11" t="s">
        <v>316</v>
      </c>
      <c r="H1327">
        <v>1</v>
      </c>
      <c r="I1327" s="11" t="s">
        <v>3864</v>
      </c>
      <c r="M1327" s="11" t="s">
        <v>87</v>
      </c>
      <c r="N1327" s="11" t="s">
        <v>3955</v>
      </c>
      <c r="O1327" s="11" t="s">
        <v>3956</v>
      </c>
      <c r="P1327" s="11" t="s">
        <v>3864</v>
      </c>
      <c r="Q1327" s="11" t="s">
        <v>135</v>
      </c>
      <c r="U1327" s="11" t="s">
        <v>320</v>
      </c>
      <c r="V1327" s="11" t="s">
        <v>137</v>
      </c>
      <c r="W1327" s="13">
        <v>46302.314618055556</v>
      </c>
    </row>
    <row r="1328" spans="1:23">
      <c r="A1328">
        <v>282459</v>
      </c>
      <c r="B1328">
        <v>43</v>
      </c>
      <c r="C1328" s="11" t="s">
        <v>129</v>
      </c>
      <c r="D1328" s="11" t="s">
        <v>130</v>
      </c>
      <c r="E1328" s="11" t="s">
        <v>25</v>
      </c>
      <c r="F1328" s="12">
        <v>46252</v>
      </c>
      <c r="G1328" s="11" t="s">
        <v>316</v>
      </c>
      <c r="H1328">
        <v>1</v>
      </c>
      <c r="I1328" s="11" t="s">
        <v>301</v>
      </c>
      <c r="M1328" s="11" t="s">
        <v>87</v>
      </c>
      <c r="N1328" s="11" t="s">
        <v>3957</v>
      </c>
      <c r="O1328" s="11" t="s">
        <v>3958</v>
      </c>
      <c r="P1328" s="11" t="s">
        <v>301</v>
      </c>
      <c r="Q1328" s="11" t="s">
        <v>135</v>
      </c>
      <c r="U1328" s="11" t="s">
        <v>320</v>
      </c>
      <c r="V1328" s="11" t="s">
        <v>137</v>
      </c>
      <c r="W1328" s="13">
        <v>46302.314618055556</v>
      </c>
    </row>
    <row r="1329" spans="1:23">
      <c r="A1329">
        <v>282460</v>
      </c>
      <c r="B1329">
        <v>22</v>
      </c>
      <c r="C1329" s="11" t="s">
        <v>129</v>
      </c>
      <c r="D1329" s="11" t="s">
        <v>130</v>
      </c>
      <c r="E1329" s="11" t="s">
        <v>25</v>
      </c>
      <c r="F1329" s="12">
        <v>46252</v>
      </c>
      <c r="G1329" s="11" t="s">
        <v>316</v>
      </c>
      <c r="H1329">
        <v>1</v>
      </c>
      <c r="I1329" s="11" t="s">
        <v>1755</v>
      </c>
      <c r="M1329" s="11" t="s">
        <v>87</v>
      </c>
      <c r="N1329" s="11" t="s">
        <v>3959</v>
      </c>
      <c r="O1329" s="11" t="s">
        <v>1460</v>
      </c>
      <c r="P1329" s="11" t="s">
        <v>1755</v>
      </c>
      <c r="Q1329" s="11" t="s">
        <v>135</v>
      </c>
      <c r="U1329" s="11" t="s">
        <v>320</v>
      </c>
      <c r="V1329" s="11" t="s">
        <v>137</v>
      </c>
      <c r="W1329" s="13">
        <v>46302.314618055556</v>
      </c>
    </row>
    <row r="1330" spans="1:23">
      <c r="A1330">
        <v>282461</v>
      </c>
      <c r="B1330">
        <v>28</v>
      </c>
      <c r="C1330" s="11" t="s">
        <v>129</v>
      </c>
      <c r="D1330" s="11" t="s">
        <v>130</v>
      </c>
      <c r="E1330" s="11" t="s">
        <v>25</v>
      </c>
      <c r="F1330" s="12">
        <v>46252</v>
      </c>
      <c r="G1330" s="11" t="s">
        <v>308</v>
      </c>
      <c r="H1330">
        <v>1</v>
      </c>
      <c r="I1330" s="11" t="s">
        <v>3935</v>
      </c>
      <c r="M1330" s="11" t="s">
        <v>90</v>
      </c>
      <c r="N1330" s="11" t="s">
        <v>3960</v>
      </c>
      <c r="O1330" s="11" t="s">
        <v>3961</v>
      </c>
      <c r="P1330" s="11" t="s">
        <v>3935</v>
      </c>
      <c r="Q1330" s="11" t="s">
        <v>135</v>
      </c>
      <c r="R1330">
        <v>27</v>
      </c>
      <c r="U1330" s="11" t="s">
        <v>311</v>
      </c>
      <c r="V1330" s="11" t="s">
        <v>137</v>
      </c>
      <c r="W1330" s="13">
        <v>46302.314618055556</v>
      </c>
    </row>
    <row r="1331" spans="1:23">
      <c r="A1331">
        <v>282462</v>
      </c>
      <c r="B1331">
        <v>30</v>
      </c>
      <c r="C1331" s="11" t="s">
        <v>129</v>
      </c>
      <c r="D1331" s="11" t="s">
        <v>130</v>
      </c>
      <c r="E1331" s="11" t="s">
        <v>25</v>
      </c>
      <c r="F1331" s="12">
        <v>46252</v>
      </c>
      <c r="G1331" s="11" t="s">
        <v>339</v>
      </c>
      <c r="H1331">
        <v>1</v>
      </c>
      <c r="I1331" s="11" t="s">
        <v>2227</v>
      </c>
      <c r="M1331" s="11" t="s">
        <v>92</v>
      </c>
      <c r="N1331" s="11" t="s">
        <v>3962</v>
      </c>
      <c r="O1331" s="11" t="s">
        <v>3963</v>
      </c>
      <c r="P1331" s="11" t="s">
        <v>2227</v>
      </c>
      <c r="Q1331" s="11" t="s">
        <v>135</v>
      </c>
      <c r="U1331" s="11" t="s">
        <v>343</v>
      </c>
      <c r="V1331" s="11" t="s">
        <v>137</v>
      </c>
      <c r="W1331" s="13">
        <v>46302.314618055556</v>
      </c>
    </row>
    <row r="1332" spans="1:23">
      <c r="A1332">
        <v>282463</v>
      </c>
      <c r="B1332">
        <v>32</v>
      </c>
      <c r="C1332" s="11" t="s">
        <v>129</v>
      </c>
      <c r="D1332" s="11" t="s">
        <v>130</v>
      </c>
      <c r="E1332" s="11" t="s">
        <v>25</v>
      </c>
      <c r="F1332" s="12">
        <v>46252</v>
      </c>
      <c r="G1332" s="11" t="s">
        <v>339</v>
      </c>
      <c r="H1332">
        <v>1</v>
      </c>
      <c r="I1332" s="11" t="s">
        <v>3964</v>
      </c>
      <c r="M1332" s="11" t="s">
        <v>92</v>
      </c>
      <c r="N1332" s="11" t="s">
        <v>3965</v>
      </c>
      <c r="O1332" s="11" t="s">
        <v>3966</v>
      </c>
      <c r="P1332" s="11" t="s">
        <v>3964</v>
      </c>
      <c r="Q1332" s="11" t="s">
        <v>135</v>
      </c>
      <c r="U1332" s="11" t="s">
        <v>343</v>
      </c>
      <c r="V1332" s="11" t="s">
        <v>137</v>
      </c>
      <c r="W1332" s="13">
        <v>46302.314618055556</v>
      </c>
    </row>
    <row r="1333" spans="1:23">
      <c r="A1333">
        <v>283122</v>
      </c>
      <c r="B1333">
        <v>63</v>
      </c>
      <c r="C1333" s="11" t="s">
        <v>129</v>
      </c>
      <c r="D1333" s="11" t="s">
        <v>130</v>
      </c>
      <c r="E1333" s="11" t="s">
        <v>25</v>
      </c>
      <c r="F1333" s="12">
        <v>46255</v>
      </c>
      <c r="G1333" s="11" t="s">
        <v>512</v>
      </c>
      <c r="H1333">
        <v>1</v>
      </c>
      <c r="I1333" s="11" t="s">
        <v>652</v>
      </c>
      <c r="M1333" s="11" t="s">
        <v>44</v>
      </c>
      <c r="N1333" s="11" t="s">
        <v>3967</v>
      </c>
      <c r="O1333" s="11" t="s">
        <v>3131</v>
      </c>
      <c r="P1333" s="11" t="s">
        <v>652</v>
      </c>
      <c r="Q1333" s="11" t="s">
        <v>135</v>
      </c>
      <c r="U1333" s="11" t="s">
        <v>516</v>
      </c>
      <c r="V1333" s="11" t="s">
        <v>137</v>
      </c>
      <c r="W1333" s="13">
        <v>46302.314618055556</v>
      </c>
    </row>
    <row r="1334" spans="1:23">
      <c r="A1334">
        <v>283123</v>
      </c>
      <c r="B1334">
        <v>61</v>
      </c>
      <c r="C1334" s="11" t="s">
        <v>129</v>
      </c>
      <c r="D1334" s="11" t="s">
        <v>130</v>
      </c>
      <c r="E1334" s="11" t="s">
        <v>25</v>
      </c>
      <c r="F1334" s="12">
        <v>46255</v>
      </c>
      <c r="G1334" s="11" t="s">
        <v>1848</v>
      </c>
      <c r="H1334">
        <v>1</v>
      </c>
      <c r="I1334" s="11" t="s">
        <v>2333</v>
      </c>
      <c r="M1334" s="11" t="s">
        <v>56</v>
      </c>
      <c r="N1334" s="11" t="s">
        <v>3968</v>
      </c>
      <c r="O1334" s="11" t="s">
        <v>3969</v>
      </c>
      <c r="P1334" s="11" t="s">
        <v>2333</v>
      </c>
      <c r="Q1334" s="11" t="s">
        <v>135</v>
      </c>
      <c r="U1334" s="11" t="s">
        <v>1852</v>
      </c>
      <c r="V1334" s="11" t="s">
        <v>137</v>
      </c>
      <c r="W1334" s="13">
        <v>46302.314618055556</v>
      </c>
    </row>
    <row r="1335" spans="1:23">
      <c r="A1335">
        <v>283124</v>
      </c>
      <c r="B1335">
        <v>62</v>
      </c>
      <c r="C1335" s="11" t="s">
        <v>129</v>
      </c>
      <c r="D1335" s="11" t="s">
        <v>130</v>
      </c>
      <c r="E1335" s="11" t="s">
        <v>25</v>
      </c>
      <c r="F1335" s="12">
        <v>46255</v>
      </c>
      <c r="G1335" s="11" t="s">
        <v>1848</v>
      </c>
      <c r="H1335">
        <v>1</v>
      </c>
      <c r="I1335" s="11" t="s">
        <v>3970</v>
      </c>
      <c r="M1335" s="11" t="s">
        <v>56</v>
      </c>
      <c r="N1335" s="11" t="s">
        <v>3971</v>
      </c>
      <c r="O1335" s="11" t="s">
        <v>3972</v>
      </c>
      <c r="P1335" s="11" t="s">
        <v>3970</v>
      </c>
      <c r="Q1335" s="11" t="s">
        <v>135</v>
      </c>
      <c r="U1335" s="11" t="s">
        <v>1852</v>
      </c>
      <c r="V1335" s="11" t="s">
        <v>137</v>
      </c>
      <c r="W1335" s="13">
        <v>46302.314618055556</v>
      </c>
    </row>
    <row r="1336" spans="1:23">
      <c r="A1336">
        <v>283125</v>
      </c>
      <c r="B1336">
        <v>46</v>
      </c>
      <c r="C1336" s="11" t="s">
        <v>129</v>
      </c>
      <c r="D1336" s="11" t="s">
        <v>130</v>
      </c>
      <c r="E1336" s="11" t="s">
        <v>25</v>
      </c>
      <c r="F1336" s="12">
        <v>46255</v>
      </c>
      <c r="G1336" s="11" t="s">
        <v>328</v>
      </c>
      <c r="H1336">
        <v>1</v>
      </c>
      <c r="I1336" s="11" t="s">
        <v>3973</v>
      </c>
      <c r="M1336" s="11" t="s">
        <v>66</v>
      </c>
      <c r="N1336" s="11" t="s">
        <v>3974</v>
      </c>
      <c r="O1336" s="11" t="s">
        <v>3975</v>
      </c>
      <c r="P1336" s="11" t="s">
        <v>3973</v>
      </c>
      <c r="Q1336" s="11" t="s">
        <v>135</v>
      </c>
      <c r="U1336" s="11" t="s">
        <v>333</v>
      </c>
      <c r="V1336" s="11" t="s">
        <v>137</v>
      </c>
      <c r="W1336" s="13">
        <v>46302.314618055556</v>
      </c>
    </row>
    <row r="1337" spans="1:23">
      <c r="A1337">
        <v>283126</v>
      </c>
      <c r="B1337">
        <v>45</v>
      </c>
      <c r="C1337" s="11" t="s">
        <v>129</v>
      </c>
      <c r="D1337" s="11" t="s">
        <v>130</v>
      </c>
      <c r="E1337" s="11" t="s">
        <v>25</v>
      </c>
      <c r="F1337" s="12">
        <v>46255</v>
      </c>
      <c r="G1337" s="11" t="s">
        <v>334</v>
      </c>
      <c r="H1337">
        <v>1</v>
      </c>
      <c r="I1337" s="11" t="s">
        <v>2846</v>
      </c>
      <c r="M1337" s="11" t="s">
        <v>64</v>
      </c>
      <c r="N1337" s="11" t="s">
        <v>2251</v>
      </c>
      <c r="O1337" s="11" t="s">
        <v>3976</v>
      </c>
      <c r="P1337" s="11" t="s">
        <v>2846</v>
      </c>
      <c r="Q1337" s="11" t="s">
        <v>135</v>
      </c>
      <c r="U1337" s="11" t="s">
        <v>338</v>
      </c>
      <c r="V1337" s="11" t="s">
        <v>137</v>
      </c>
      <c r="W1337" s="13">
        <v>46302.314618055556</v>
      </c>
    </row>
    <row r="1338" spans="1:23">
      <c r="A1338">
        <v>283127</v>
      </c>
      <c r="B1338">
        <v>47</v>
      </c>
      <c r="C1338" s="11" t="s">
        <v>129</v>
      </c>
      <c r="D1338" s="11" t="s">
        <v>130</v>
      </c>
      <c r="E1338" s="11" t="s">
        <v>25</v>
      </c>
      <c r="F1338" s="12">
        <v>46255</v>
      </c>
      <c r="G1338" s="11" t="s">
        <v>334</v>
      </c>
      <c r="H1338">
        <v>1</v>
      </c>
      <c r="I1338" s="11" t="s">
        <v>3256</v>
      </c>
      <c r="M1338" s="11" t="s">
        <v>64</v>
      </c>
      <c r="N1338" s="11" t="s">
        <v>3977</v>
      </c>
      <c r="O1338" s="11" t="s">
        <v>3978</v>
      </c>
      <c r="P1338" s="11" t="s">
        <v>3256</v>
      </c>
      <c r="Q1338" s="11" t="s">
        <v>135</v>
      </c>
      <c r="U1338" s="11" t="s">
        <v>338</v>
      </c>
      <c r="V1338" s="11" t="s">
        <v>137</v>
      </c>
      <c r="W1338" s="13">
        <v>46302.314618055556</v>
      </c>
    </row>
    <row r="1339" spans="1:23">
      <c r="A1339">
        <v>283128</v>
      </c>
      <c r="B1339">
        <v>49</v>
      </c>
      <c r="C1339" s="11" t="s">
        <v>129</v>
      </c>
      <c r="D1339" s="11" t="s">
        <v>130</v>
      </c>
      <c r="E1339" s="11" t="s">
        <v>25</v>
      </c>
      <c r="F1339" s="12">
        <v>46255</v>
      </c>
      <c r="G1339" s="11" t="s">
        <v>334</v>
      </c>
      <c r="H1339">
        <v>1</v>
      </c>
      <c r="I1339" s="11" t="s">
        <v>3979</v>
      </c>
      <c r="M1339" s="11" t="s">
        <v>64</v>
      </c>
      <c r="N1339" s="11" t="s">
        <v>3980</v>
      </c>
      <c r="O1339" s="11" t="s">
        <v>3981</v>
      </c>
      <c r="P1339" s="11" t="s">
        <v>3979</v>
      </c>
      <c r="Q1339" s="11" t="s">
        <v>135</v>
      </c>
      <c r="U1339" s="11" t="s">
        <v>338</v>
      </c>
      <c r="V1339" s="11" t="s">
        <v>137</v>
      </c>
      <c r="W1339" s="13">
        <v>46302.314618055556</v>
      </c>
    </row>
    <row r="1340" spans="1:23">
      <c r="A1340">
        <v>283129</v>
      </c>
      <c r="B1340">
        <v>56</v>
      </c>
      <c r="C1340" s="11" t="s">
        <v>129</v>
      </c>
      <c r="D1340" s="11" t="s">
        <v>130</v>
      </c>
      <c r="E1340" s="11" t="s">
        <v>25</v>
      </c>
      <c r="F1340" s="12">
        <v>46255</v>
      </c>
      <c r="G1340" s="11" t="s">
        <v>164</v>
      </c>
      <c r="H1340">
        <v>1</v>
      </c>
      <c r="I1340" s="11" t="s">
        <v>3982</v>
      </c>
      <c r="M1340" s="11" t="s">
        <v>62</v>
      </c>
      <c r="N1340" s="11" t="s">
        <v>3983</v>
      </c>
      <c r="O1340" s="11" t="s">
        <v>3984</v>
      </c>
      <c r="P1340" s="11" t="s">
        <v>3982</v>
      </c>
      <c r="Q1340" s="11" t="s">
        <v>135</v>
      </c>
      <c r="U1340" s="11" t="s">
        <v>168</v>
      </c>
      <c r="V1340" s="11" t="s">
        <v>137</v>
      </c>
      <c r="W1340" s="13">
        <v>46302.314618055556</v>
      </c>
    </row>
    <row r="1341" spans="1:23">
      <c r="A1341">
        <v>283130</v>
      </c>
      <c r="B1341">
        <v>58</v>
      </c>
      <c r="C1341" s="11" t="s">
        <v>129</v>
      </c>
      <c r="D1341" s="11" t="s">
        <v>130</v>
      </c>
      <c r="E1341" s="11" t="s">
        <v>25</v>
      </c>
      <c r="F1341" s="12">
        <v>46255</v>
      </c>
      <c r="G1341" s="11" t="s">
        <v>164</v>
      </c>
      <c r="H1341">
        <v>1</v>
      </c>
      <c r="I1341" s="11" t="s">
        <v>3985</v>
      </c>
      <c r="M1341" s="11" t="s">
        <v>62</v>
      </c>
      <c r="N1341" s="11" t="s">
        <v>3986</v>
      </c>
      <c r="O1341" s="11" t="s">
        <v>3987</v>
      </c>
      <c r="P1341" s="11" t="s">
        <v>3985</v>
      </c>
      <c r="Q1341" s="11" t="s">
        <v>135</v>
      </c>
      <c r="U1341" s="11" t="s">
        <v>168</v>
      </c>
      <c r="V1341" s="11" t="s">
        <v>137</v>
      </c>
      <c r="W1341" s="13">
        <v>46302.314618055556</v>
      </c>
    </row>
    <row r="1342" spans="1:23">
      <c r="A1342">
        <v>283131</v>
      </c>
      <c r="B1342">
        <v>59</v>
      </c>
      <c r="C1342" s="11" t="s">
        <v>129</v>
      </c>
      <c r="D1342" s="11" t="s">
        <v>130</v>
      </c>
      <c r="E1342" s="11" t="s">
        <v>25</v>
      </c>
      <c r="F1342" s="12">
        <v>46255</v>
      </c>
      <c r="G1342" s="11" t="s">
        <v>164</v>
      </c>
      <c r="H1342">
        <v>1</v>
      </c>
      <c r="I1342" s="11" t="s">
        <v>3988</v>
      </c>
      <c r="M1342" s="11" t="s">
        <v>62</v>
      </c>
      <c r="N1342" s="11" t="s">
        <v>2420</v>
      </c>
      <c r="O1342" s="11" t="s">
        <v>3989</v>
      </c>
      <c r="P1342" s="11" t="s">
        <v>3988</v>
      </c>
      <c r="Q1342" s="11" t="s">
        <v>135</v>
      </c>
      <c r="U1342" s="11" t="s">
        <v>168</v>
      </c>
      <c r="V1342" s="11" t="s">
        <v>137</v>
      </c>
      <c r="W1342" s="13">
        <v>46302.314618055556</v>
      </c>
    </row>
    <row r="1343" spans="1:23">
      <c r="A1343">
        <v>283132</v>
      </c>
      <c r="B1343">
        <v>65</v>
      </c>
      <c r="C1343" s="11" t="s">
        <v>129</v>
      </c>
      <c r="D1343" s="11" t="s">
        <v>130</v>
      </c>
      <c r="E1343" s="11" t="s">
        <v>25</v>
      </c>
      <c r="F1343" s="12">
        <v>46255</v>
      </c>
      <c r="G1343" s="11" t="s">
        <v>164</v>
      </c>
      <c r="H1343">
        <v>1</v>
      </c>
      <c r="I1343" s="11" t="s">
        <v>3990</v>
      </c>
      <c r="M1343" s="11" t="s">
        <v>62</v>
      </c>
      <c r="N1343" s="11" t="s">
        <v>3991</v>
      </c>
      <c r="O1343" s="11" t="s">
        <v>3992</v>
      </c>
      <c r="P1343" s="11" t="s">
        <v>3990</v>
      </c>
      <c r="Q1343" s="11" t="s">
        <v>135</v>
      </c>
      <c r="U1343" s="11" t="s">
        <v>168</v>
      </c>
      <c r="V1343" s="11" t="s">
        <v>137</v>
      </c>
      <c r="W1343" s="13">
        <v>46302.314618055556</v>
      </c>
    </row>
    <row r="1344" spans="1:23">
      <c r="A1344">
        <v>283133</v>
      </c>
      <c r="B1344">
        <v>60</v>
      </c>
      <c r="C1344" s="11" t="s">
        <v>129</v>
      </c>
      <c r="D1344" s="11" t="s">
        <v>130</v>
      </c>
      <c r="E1344" s="11" t="s">
        <v>25</v>
      </c>
      <c r="F1344" s="12">
        <v>46255</v>
      </c>
      <c r="G1344" s="11" t="s">
        <v>195</v>
      </c>
      <c r="H1344">
        <v>1</v>
      </c>
      <c r="I1344" s="11" t="s">
        <v>3993</v>
      </c>
      <c r="M1344" s="11" t="s">
        <v>68</v>
      </c>
      <c r="N1344" s="11" t="s">
        <v>3994</v>
      </c>
      <c r="O1344" s="11" t="s">
        <v>3995</v>
      </c>
      <c r="P1344" s="11" t="s">
        <v>3993</v>
      </c>
      <c r="Q1344" s="11" t="s">
        <v>135</v>
      </c>
      <c r="U1344" s="11" t="s">
        <v>199</v>
      </c>
      <c r="V1344" s="11" t="s">
        <v>137</v>
      </c>
      <c r="W1344" s="13">
        <v>46302.314618055556</v>
      </c>
    </row>
    <row r="1345" spans="1:23">
      <c r="A1345">
        <v>283134</v>
      </c>
      <c r="B1345">
        <v>66</v>
      </c>
      <c r="C1345" s="11" t="s">
        <v>129</v>
      </c>
      <c r="D1345" s="11" t="s">
        <v>130</v>
      </c>
      <c r="E1345" s="11" t="s">
        <v>25</v>
      </c>
      <c r="F1345" s="12">
        <v>46255</v>
      </c>
      <c r="G1345" s="11" t="s">
        <v>217</v>
      </c>
      <c r="H1345">
        <v>1</v>
      </c>
      <c r="I1345" s="11" t="s">
        <v>3996</v>
      </c>
      <c r="M1345" s="11" t="s">
        <v>86</v>
      </c>
      <c r="N1345" s="11" t="s">
        <v>1334</v>
      </c>
      <c r="O1345" s="11" t="s">
        <v>3997</v>
      </c>
      <c r="P1345" s="11" t="s">
        <v>3996</v>
      </c>
      <c r="Q1345" s="11" t="s">
        <v>135</v>
      </c>
      <c r="U1345" s="11" t="s">
        <v>221</v>
      </c>
      <c r="V1345" s="11" t="s">
        <v>137</v>
      </c>
      <c r="W1345" s="13">
        <v>46302.314618055556</v>
      </c>
    </row>
    <row r="1346" spans="1:23">
      <c r="A1346">
        <v>283135</v>
      </c>
      <c r="B1346">
        <v>53</v>
      </c>
      <c r="C1346" s="11" t="s">
        <v>129</v>
      </c>
      <c r="D1346" s="11" t="s">
        <v>130</v>
      </c>
      <c r="E1346" s="11" t="s">
        <v>25</v>
      </c>
      <c r="F1346" s="12">
        <v>46255</v>
      </c>
      <c r="G1346" s="11" t="s">
        <v>355</v>
      </c>
      <c r="H1346">
        <v>1</v>
      </c>
      <c r="I1346" s="11" t="s">
        <v>3998</v>
      </c>
      <c r="M1346" s="11" t="s">
        <v>77</v>
      </c>
      <c r="N1346" s="11" t="s">
        <v>3999</v>
      </c>
      <c r="O1346" s="11" t="s">
        <v>4000</v>
      </c>
      <c r="P1346" s="11" t="s">
        <v>3998</v>
      </c>
      <c r="Q1346" s="11" t="s">
        <v>135</v>
      </c>
      <c r="U1346" s="11" t="s">
        <v>359</v>
      </c>
      <c r="V1346" s="11" t="s">
        <v>137</v>
      </c>
      <c r="W1346" s="13">
        <v>46302.314618055556</v>
      </c>
    </row>
    <row r="1347" spans="1:23">
      <c r="A1347">
        <v>283136</v>
      </c>
      <c r="B1347">
        <v>54</v>
      </c>
      <c r="C1347" s="11" t="s">
        <v>129</v>
      </c>
      <c r="D1347" s="11" t="s">
        <v>130</v>
      </c>
      <c r="E1347" s="11" t="s">
        <v>25</v>
      </c>
      <c r="F1347" s="12">
        <v>46255</v>
      </c>
      <c r="G1347" s="11" t="s">
        <v>4001</v>
      </c>
      <c r="H1347">
        <v>1</v>
      </c>
      <c r="I1347" s="11" t="s">
        <v>1355</v>
      </c>
      <c r="M1347" s="11" t="s">
        <v>81</v>
      </c>
      <c r="N1347" s="11" t="s">
        <v>4002</v>
      </c>
      <c r="O1347" s="11" t="s">
        <v>4003</v>
      </c>
      <c r="P1347" s="11" t="s">
        <v>1355</v>
      </c>
      <c r="Q1347" s="11" t="s">
        <v>135</v>
      </c>
      <c r="U1347" s="11" t="s">
        <v>4004</v>
      </c>
      <c r="V1347" s="11" t="s">
        <v>137</v>
      </c>
      <c r="W1347" s="13">
        <v>46302.314618055556</v>
      </c>
    </row>
    <row r="1348" spans="1:23">
      <c r="A1348">
        <v>283137</v>
      </c>
      <c r="B1348">
        <v>55</v>
      </c>
      <c r="C1348" s="11" t="s">
        <v>129</v>
      </c>
      <c r="D1348" s="11" t="s">
        <v>130</v>
      </c>
      <c r="E1348" s="11" t="s">
        <v>25</v>
      </c>
      <c r="F1348" s="12">
        <v>46255</v>
      </c>
      <c r="G1348" s="11" t="s">
        <v>1782</v>
      </c>
      <c r="H1348">
        <v>1</v>
      </c>
      <c r="I1348" s="11" t="s">
        <v>4005</v>
      </c>
      <c r="M1348" s="11" t="s">
        <v>82</v>
      </c>
      <c r="N1348" s="11" t="s">
        <v>4006</v>
      </c>
      <c r="O1348" s="11" t="s">
        <v>4007</v>
      </c>
      <c r="P1348" s="11" t="s">
        <v>4005</v>
      </c>
      <c r="Q1348" s="11" t="s">
        <v>135</v>
      </c>
      <c r="U1348" s="11" t="s">
        <v>1786</v>
      </c>
      <c r="V1348" s="11" t="s">
        <v>137</v>
      </c>
      <c r="W1348" s="13">
        <v>46302.314618055556</v>
      </c>
    </row>
    <row r="1349" spans="1:23">
      <c r="A1349">
        <v>283138</v>
      </c>
      <c r="B1349">
        <v>57</v>
      </c>
      <c r="C1349" s="11" t="s">
        <v>129</v>
      </c>
      <c r="D1349" s="11" t="s">
        <v>130</v>
      </c>
      <c r="E1349" s="11" t="s">
        <v>25</v>
      </c>
      <c r="F1349" s="12">
        <v>46255</v>
      </c>
      <c r="G1349" s="11" t="s">
        <v>138</v>
      </c>
      <c r="H1349">
        <v>1</v>
      </c>
      <c r="I1349" s="11" t="s">
        <v>3049</v>
      </c>
      <c r="M1349" s="11" t="s">
        <v>89</v>
      </c>
      <c r="N1349" s="11" t="s">
        <v>4008</v>
      </c>
      <c r="O1349" s="11" t="s">
        <v>4009</v>
      </c>
      <c r="P1349" s="11" t="s">
        <v>3049</v>
      </c>
      <c r="Q1349" s="11" t="s">
        <v>135</v>
      </c>
      <c r="U1349" s="11" t="s">
        <v>142</v>
      </c>
      <c r="V1349" s="11" t="s">
        <v>137</v>
      </c>
      <c r="W1349" s="13">
        <v>46302.314618055556</v>
      </c>
    </row>
    <row r="1350" spans="1:23">
      <c r="A1350">
        <v>283139</v>
      </c>
      <c r="B1350">
        <v>51</v>
      </c>
      <c r="C1350" s="11" t="s">
        <v>129</v>
      </c>
      <c r="D1350" s="11" t="s">
        <v>130</v>
      </c>
      <c r="E1350" s="11" t="s">
        <v>25</v>
      </c>
      <c r="F1350" s="12">
        <v>46255</v>
      </c>
      <c r="G1350" s="11" t="s">
        <v>1731</v>
      </c>
      <c r="H1350">
        <v>1</v>
      </c>
      <c r="I1350" s="11" t="s">
        <v>4010</v>
      </c>
      <c r="M1350" s="11" t="s">
        <v>88</v>
      </c>
      <c r="N1350" s="11" t="s">
        <v>4011</v>
      </c>
      <c r="O1350" s="11" t="s">
        <v>2629</v>
      </c>
      <c r="P1350" s="11" t="s">
        <v>4010</v>
      </c>
      <c r="Q1350" s="11" t="s">
        <v>135</v>
      </c>
      <c r="U1350" s="11" t="s">
        <v>1735</v>
      </c>
      <c r="V1350" s="11" t="s">
        <v>137</v>
      </c>
      <c r="W1350" s="13">
        <v>46302.314618055556</v>
      </c>
    </row>
    <row r="1351" spans="1:23">
      <c r="A1351">
        <v>283140</v>
      </c>
      <c r="B1351">
        <v>44</v>
      </c>
      <c r="C1351" s="11" t="s">
        <v>129</v>
      </c>
      <c r="D1351" s="11" t="s">
        <v>130</v>
      </c>
      <c r="E1351" s="11" t="s">
        <v>25</v>
      </c>
      <c r="F1351" s="12">
        <v>46255</v>
      </c>
      <c r="G1351" s="11" t="s">
        <v>316</v>
      </c>
      <c r="H1351">
        <v>1</v>
      </c>
      <c r="I1351" s="11" t="s">
        <v>4012</v>
      </c>
      <c r="M1351" s="11" t="s">
        <v>87</v>
      </c>
      <c r="N1351" s="11" t="s">
        <v>4013</v>
      </c>
      <c r="O1351" s="11" t="s">
        <v>4014</v>
      </c>
      <c r="P1351" s="11" t="s">
        <v>4012</v>
      </c>
      <c r="Q1351" s="11" t="s">
        <v>135</v>
      </c>
      <c r="U1351" s="11" t="s">
        <v>320</v>
      </c>
      <c r="V1351" s="11" t="s">
        <v>137</v>
      </c>
      <c r="W1351" s="13">
        <v>46302.314618055556</v>
      </c>
    </row>
    <row r="1352" spans="1:23">
      <c r="A1352">
        <v>283141</v>
      </c>
      <c r="B1352">
        <v>48</v>
      </c>
      <c r="C1352" s="11" t="s">
        <v>129</v>
      </c>
      <c r="D1352" s="11" t="s">
        <v>130</v>
      </c>
      <c r="E1352" s="11" t="s">
        <v>25</v>
      </c>
      <c r="F1352" s="12">
        <v>46255</v>
      </c>
      <c r="G1352" s="11" t="s">
        <v>316</v>
      </c>
      <c r="H1352">
        <v>1</v>
      </c>
      <c r="I1352" s="11" t="s">
        <v>4015</v>
      </c>
      <c r="M1352" s="11" t="s">
        <v>87</v>
      </c>
      <c r="N1352" s="11" t="s">
        <v>4016</v>
      </c>
      <c r="O1352" s="11" t="s">
        <v>1539</v>
      </c>
      <c r="P1352" s="11" t="s">
        <v>4015</v>
      </c>
      <c r="Q1352" s="11" t="s">
        <v>135</v>
      </c>
      <c r="U1352" s="11" t="s">
        <v>320</v>
      </c>
      <c r="V1352" s="11" t="s">
        <v>137</v>
      </c>
      <c r="W1352" s="13">
        <v>46302.314618055556</v>
      </c>
    </row>
    <row r="1353" spans="1:23">
      <c r="A1353">
        <v>283142</v>
      </c>
      <c r="B1353">
        <v>50</v>
      </c>
      <c r="C1353" s="11" t="s">
        <v>129</v>
      </c>
      <c r="D1353" s="11" t="s">
        <v>130</v>
      </c>
      <c r="E1353" s="11" t="s">
        <v>25</v>
      </c>
      <c r="F1353" s="12">
        <v>46255</v>
      </c>
      <c r="G1353" s="11" t="s">
        <v>316</v>
      </c>
      <c r="H1353">
        <v>1</v>
      </c>
      <c r="I1353" s="11" t="s">
        <v>1807</v>
      </c>
      <c r="M1353" s="11" t="s">
        <v>87</v>
      </c>
      <c r="N1353" s="11" t="s">
        <v>4017</v>
      </c>
      <c r="O1353" s="11" t="s">
        <v>4018</v>
      </c>
      <c r="P1353" s="11" t="s">
        <v>1807</v>
      </c>
      <c r="Q1353" s="11" t="s">
        <v>135</v>
      </c>
      <c r="U1353" s="11" t="s">
        <v>320</v>
      </c>
      <c r="V1353" s="11" t="s">
        <v>137</v>
      </c>
      <c r="W1353" s="13">
        <v>46302.314618055556</v>
      </c>
    </row>
    <row r="1354" spans="1:23">
      <c r="A1354">
        <v>283143</v>
      </c>
      <c r="B1354">
        <v>64</v>
      </c>
      <c r="C1354" s="11" t="s">
        <v>129</v>
      </c>
      <c r="D1354" s="11" t="s">
        <v>130</v>
      </c>
      <c r="E1354" s="11" t="s">
        <v>25</v>
      </c>
      <c r="F1354" s="12">
        <v>46255</v>
      </c>
      <c r="G1354" s="11" t="s">
        <v>174</v>
      </c>
      <c r="H1354">
        <v>1</v>
      </c>
      <c r="I1354" s="11" t="s">
        <v>1235</v>
      </c>
      <c r="M1354" s="11" t="s">
        <v>92</v>
      </c>
      <c r="N1354" s="11" t="s">
        <v>4019</v>
      </c>
      <c r="O1354" s="11" t="s">
        <v>4020</v>
      </c>
      <c r="P1354" s="11" t="s">
        <v>1235</v>
      </c>
      <c r="Q1354" s="11" t="s">
        <v>135</v>
      </c>
      <c r="U1354" s="11" t="s">
        <v>178</v>
      </c>
      <c r="V1354" s="11" t="s">
        <v>137</v>
      </c>
      <c r="W1354" s="13">
        <v>46302.314618055556</v>
      </c>
    </row>
    <row r="1355" spans="1:23">
      <c r="A1355">
        <v>283144</v>
      </c>
      <c r="B1355">
        <v>52</v>
      </c>
      <c r="C1355" s="11" t="s">
        <v>129</v>
      </c>
      <c r="D1355" s="11" t="s">
        <v>130</v>
      </c>
      <c r="E1355" s="11" t="s">
        <v>25</v>
      </c>
      <c r="F1355" s="12">
        <v>46255</v>
      </c>
      <c r="G1355" s="11" t="s">
        <v>339</v>
      </c>
      <c r="H1355">
        <v>1</v>
      </c>
      <c r="I1355" s="11" t="s">
        <v>4021</v>
      </c>
      <c r="M1355" s="11" t="s">
        <v>92</v>
      </c>
      <c r="N1355" s="11" t="s">
        <v>2631</v>
      </c>
      <c r="O1355" s="11" t="s">
        <v>4022</v>
      </c>
      <c r="P1355" s="11" t="s">
        <v>4021</v>
      </c>
      <c r="Q1355" s="11" t="s">
        <v>135</v>
      </c>
      <c r="U1355" s="11" t="s">
        <v>343</v>
      </c>
      <c r="V1355" s="11" t="s">
        <v>137</v>
      </c>
      <c r="W1355" s="13">
        <v>46302.314618055556</v>
      </c>
    </row>
    <row r="1356" spans="1:23">
      <c r="A1356">
        <v>283595</v>
      </c>
      <c r="B1356">
        <v>67</v>
      </c>
      <c r="C1356" s="11" t="s">
        <v>129</v>
      </c>
      <c r="D1356" s="11" t="s">
        <v>130</v>
      </c>
      <c r="E1356" s="11" t="s">
        <v>25</v>
      </c>
      <c r="F1356" s="12">
        <v>46259</v>
      </c>
      <c r="G1356" s="11" t="s">
        <v>131</v>
      </c>
      <c r="H1356">
        <v>1</v>
      </c>
      <c r="I1356" s="11" t="s">
        <v>4023</v>
      </c>
      <c r="M1356" s="11" t="s">
        <v>87</v>
      </c>
      <c r="N1356" s="11" t="s">
        <v>4024</v>
      </c>
      <c r="O1356" s="11" t="s">
        <v>4025</v>
      </c>
      <c r="P1356" s="11" t="s">
        <v>4023</v>
      </c>
      <c r="Q1356" s="11" t="s">
        <v>135</v>
      </c>
      <c r="U1356" s="11" t="s">
        <v>136</v>
      </c>
      <c r="V1356" s="11" t="s">
        <v>137</v>
      </c>
      <c r="W1356" s="13">
        <v>46302.314618055556</v>
      </c>
    </row>
    <row r="1357" spans="1:23">
      <c r="A1357">
        <v>283596</v>
      </c>
      <c r="B1357">
        <v>68</v>
      </c>
      <c r="C1357" s="11" t="s">
        <v>129</v>
      </c>
      <c r="D1357" s="11" t="s">
        <v>130</v>
      </c>
      <c r="E1357" s="11" t="s">
        <v>25</v>
      </c>
      <c r="F1357" s="12">
        <v>46259</v>
      </c>
      <c r="G1357" s="11" t="s">
        <v>159</v>
      </c>
      <c r="H1357">
        <v>1</v>
      </c>
      <c r="I1357" s="11" t="s">
        <v>4026</v>
      </c>
      <c r="M1357" s="11" t="s">
        <v>95</v>
      </c>
      <c r="N1357" s="11" t="s">
        <v>4027</v>
      </c>
      <c r="O1357" s="11" t="s">
        <v>4028</v>
      </c>
      <c r="P1357" s="11" t="s">
        <v>4026</v>
      </c>
      <c r="Q1357" s="11" t="s">
        <v>135</v>
      </c>
      <c r="U1357" s="11" t="s">
        <v>163</v>
      </c>
      <c r="V1357" s="11" t="s">
        <v>137</v>
      </c>
      <c r="W1357" s="13">
        <v>46302.314618055556</v>
      </c>
    </row>
    <row r="1358" spans="1:23">
      <c r="A1358">
        <v>283597</v>
      </c>
      <c r="B1358">
        <v>69</v>
      </c>
      <c r="C1358" s="11" t="s">
        <v>129</v>
      </c>
      <c r="D1358" s="11" t="s">
        <v>130</v>
      </c>
      <c r="E1358" s="11" t="s">
        <v>25</v>
      </c>
      <c r="F1358" s="12">
        <v>46259</v>
      </c>
      <c r="G1358" s="11" t="s">
        <v>222</v>
      </c>
      <c r="H1358">
        <v>1</v>
      </c>
      <c r="I1358" s="11" t="s">
        <v>3532</v>
      </c>
      <c r="M1358" s="11" t="s">
        <v>90</v>
      </c>
      <c r="N1358" s="11" t="s">
        <v>4029</v>
      </c>
      <c r="O1358" s="11" t="s">
        <v>4030</v>
      </c>
      <c r="P1358" s="11" t="s">
        <v>3532</v>
      </c>
      <c r="Q1358" s="11" t="s">
        <v>135</v>
      </c>
      <c r="U1358" s="11" t="s">
        <v>225</v>
      </c>
      <c r="V1358" s="11" t="s">
        <v>137</v>
      </c>
      <c r="W1358" s="13">
        <v>46302.314618055556</v>
      </c>
    </row>
    <row r="1359" spans="1:23">
      <c r="A1359">
        <v>283598</v>
      </c>
      <c r="B1359">
        <v>70</v>
      </c>
      <c r="C1359" s="11" t="s">
        <v>129</v>
      </c>
      <c r="D1359" s="11" t="s">
        <v>130</v>
      </c>
      <c r="E1359" s="11" t="s">
        <v>25</v>
      </c>
      <c r="F1359" s="12">
        <v>46259</v>
      </c>
      <c r="G1359" s="11" t="s">
        <v>131</v>
      </c>
      <c r="H1359">
        <v>1</v>
      </c>
      <c r="I1359" s="11" t="s">
        <v>4031</v>
      </c>
      <c r="M1359" s="11" t="s">
        <v>87</v>
      </c>
      <c r="N1359" s="11" t="s">
        <v>4032</v>
      </c>
      <c r="O1359" s="11" t="s">
        <v>4033</v>
      </c>
      <c r="P1359" s="11" t="s">
        <v>4031</v>
      </c>
      <c r="Q1359" s="11" t="s">
        <v>135</v>
      </c>
      <c r="U1359" s="11" t="s">
        <v>136</v>
      </c>
      <c r="V1359" s="11" t="s">
        <v>137</v>
      </c>
      <c r="W1359" s="13">
        <v>46302.314618055556</v>
      </c>
    </row>
    <row r="1360" spans="1:23">
      <c r="A1360">
        <v>283599</v>
      </c>
      <c r="B1360">
        <v>71</v>
      </c>
      <c r="C1360" s="11" t="s">
        <v>129</v>
      </c>
      <c r="D1360" s="11" t="s">
        <v>130</v>
      </c>
      <c r="E1360" s="11" t="s">
        <v>25</v>
      </c>
      <c r="F1360" s="12">
        <v>46259</v>
      </c>
      <c r="G1360" s="11" t="s">
        <v>1848</v>
      </c>
      <c r="H1360">
        <v>1</v>
      </c>
      <c r="I1360" s="11" t="s">
        <v>4034</v>
      </c>
      <c r="M1360" s="11" t="s">
        <v>56</v>
      </c>
      <c r="N1360" s="11" t="s">
        <v>4035</v>
      </c>
      <c r="O1360" s="11" t="s">
        <v>4036</v>
      </c>
      <c r="P1360" s="11" t="s">
        <v>4034</v>
      </c>
      <c r="Q1360" s="11" t="s">
        <v>135</v>
      </c>
      <c r="U1360" s="11" t="s">
        <v>1852</v>
      </c>
      <c r="V1360" s="11" t="s">
        <v>137</v>
      </c>
      <c r="W1360" s="13">
        <v>46302.314618055556</v>
      </c>
    </row>
    <row r="1361" spans="1:23">
      <c r="A1361">
        <v>283600</v>
      </c>
      <c r="B1361">
        <v>72</v>
      </c>
      <c r="C1361" s="11" t="s">
        <v>129</v>
      </c>
      <c r="D1361" s="11" t="s">
        <v>130</v>
      </c>
      <c r="E1361" s="11" t="s">
        <v>25</v>
      </c>
      <c r="F1361" s="12">
        <v>46259</v>
      </c>
      <c r="G1361" s="11" t="s">
        <v>512</v>
      </c>
      <c r="H1361">
        <v>1</v>
      </c>
      <c r="I1361" s="11" t="s">
        <v>991</v>
      </c>
      <c r="M1361" s="11" t="s">
        <v>44</v>
      </c>
      <c r="N1361" s="11" t="s">
        <v>4037</v>
      </c>
      <c r="O1361" s="11" t="s">
        <v>4038</v>
      </c>
      <c r="P1361" s="11" t="s">
        <v>991</v>
      </c>
      <c r="Q1361" s="11" t="s">
        <v>135</v>
      </c>
      <c r="U1361" s="11" t="s">
        <v>516</v>
      </c>
      <c r="V1361" s="11" t="s">
        <v>137</v>
      </c>
      <c r="W1361" s="13">
        <v>46302.314618055556</v>
      </c>
    </row>
    <row r="1362" spans="1:23">
      <c r="A1362">
        <v>283601</v>
      </c>
      <c r="B1362">
        <v>73</v>
      </c>
      <c r="C1362" s="11" t="s">
        <v>129</v>
      </c>
      <c r="D1362" s="11" t="s">
        <v>130</v>
      </c>
      <c r="E1362" s="11" t="s">
        <v>25</v>
      </c>
      <c r="F1362" s="12">
        <v>46259</v>
      </c>
      <c r="G1362" s="11" t="s">
        <v>607</v>
      </c>
      <c r="H1362">
        <v>1</v>
      </c>
      <c r="I1362" s="11" t="s">
        <v>4039</v>
      </c>
      <c r="M1362" s="11" t="s">
        <v>42</v>
      </c>
      <c r="N1362" s="11" t="s">
        <v>4040</v>
      </c>
      <c r="O1362" s="11" t="s">
        <v>4041</v>
      </c>
      <c r="P1362" s="11" t="s">
        <v>4039</v>
      </c>
      <c r="Q1362" s="11" t="s">
        <v>135</v>
      </c>
      <c r="U1362" s="11" t="s">
        <v>611</v>
      </c>
      <c r="V1362" s="11" t="s">
        <v>137</v>
      </c>
      <c r="W1362" s="13">
        <v>46302.314618055556</v>
      </c>
    </row>
    <row r="1363" spans="1:23">
      <c r="A1363">
        <v>283602</v>
      </c>
      <c r="B1363">
        <v>74</v>
      </c>
      <c r="C1363" s="11" t="s">
        <v>129</v>
      </c>
      <c r="D1363" s="11" t="s">
        <v>130</v>
      </c>
      <c r="E1363" s="11" t="s">
        <v>25</v>
      </c>
      <c r="F1363" s="12">
        <v>46259</v>
      </c>
      <c r="G1363" s="11" t="s">
        <v>131</v>
      </c>
      <c r="H1363">
        <v>1</v>
      </c>
      <c r="I1363" s="11" t="s">
        <v>4042</v>
      </c>
      <c r="M1363" s="11" t="s">
        <v>87</v>
      </c>
      <c r="N1363" s="11" t="s">
        <v>4043</v>
      </c>
      <c r="O1363" s="11" t="s">
        <v>4044</v>
      </c>
      <c r="P1363" s="11" t="s">
        <v>4042</v>
      </c>
      <c r="Q1363" s="11" t="s">
        <v>135</v>
      </c>
      <c r="U1363" s="11" t="s">
        <v>136</v>
      </c>
      <c r="V1363" s="11" t="s">
        <v>137</v>
      </c>
      <c r="W1363" s="13">
        <v>46302.314618055556</v>
      </c>
    </row>
    <row r="1364" spans="1:23">
      <c r="A1364">
        <v>283603</v>
      </c>
      <c r="B1364">
        <v>75</v>
      </c>
      <c r="C1364" s="11" t="s">
        <v>129</v>
      </c>
      <c r="D1364" s="11" t="s">
        <v>130</v>
      </c>
      <c r="E1364" s="11" t="s">
        <v>25</v>
      </c>
      <c r="F1364" s="12">
        <v>46259</v>
      </c>
      <c r="G1364" s="11" t="s">
        <v>164</v>
      </c>
      <c r="H1364">
        <v>1</v>
      </c>
      <c r="I1364" s="11" t="s">
        <v>2343</v>
      </c>
      <c r="M1364" s="11" t="s">
        <v>62</v>
      </c>
      <c r="N1364" s="11" t="s">
        <v>4045</v>
      </c>
      <c r="O1364" s="11" t="s">
        <v>4046</v>
      </c>
      <c r="P1364" s="11" t="s">
        <v>2343</v>
      </c>
      <c r="Q1364" s="11" t="s">
        <v>135</v>
      </c>
      <c r="U1364" s="11" t="s">
        <v>168</v>
      </c>
      <c r="V1364" s="11" t="s">
        <v>137</v>
      </c>
      <c r="W1364" s="13">
        <v>46302.314618055556</v>
      </c>
    </row>
    <row r="1365" spans="1:23">
      <c r="A1365">
        <v>283604</v>
      </c>
      <c r="B1365">
        <v>76</v>
      </c>
      <c r="C1365" s="11" t="s">
        <v>129</v>
      </c>
      <c r="D1365" s="11" t="s">
        <v>130</v>
      </c>
      <c r="E1365" s="11" t="s">
        <v>25</v>
      </c>
      <c r="F1365" s="12">
        <v>46259</v>
      </c>
      <c r="G1365" s="11" t="s">
        <v>607</v>
      </c>
      <c r="H1365">
        <v>1</v>
      </c>
      <c r="I1365" s="11" t="s">
        <v>4047</v>
      </c>
      <c r="M1365" s="11" t="s">
        <v>42</v>
      </c>
      <c r="N1365" s="11" t="s">
        <v>4048</v>
      </c>
      <c r="O1365" s="11" t="s">
        <v>4049</v>
      </c>
      <c r="P1365" s="11" t="s">
        <v>4047</v>
      </c>
      <c r="Q1365" s="11" t="s">
        <v>135</v>
      </c>
      <c r="U1365" s="11" t="s">
        <v>611</v>
      </c>
      <c r="V1365" s="11" t="s">
        <v>137</v>
      </c>
      <c r="W1365" s="13">
        <v>46302.314618055556</v>
      </c>
    </row>
    <row r="1366" spans="1:23">
      <c r="A1366">
        <v>283605</v>
      </c>
      <c r="B1366">
        <v>77</v>
      </c>
      <c r="C1366" s="11" t="s">
        <v>129</v>
      </c>
      <c r="D1366" s="11" t="s">
        <v>130</v>
      </c>
      <c r="E1366" s="11" t="s">
        <v>25</v>
      </c>
      <c r="F1366" s="12">
        <v>46259</v>
      </c>
      <c r="G1366" s="11" t="s">
        <v>174</v>
      </c>
      <c r="H1366">
        <v>1</v>
      </c>
      <c r="I1366" s="11" t="s">
        <v>4050</v>
      </c>
      <c r="M1366" s="11" t="s">
        <v>92</v>
      </c>
      <c r="N1366" s="11" t="s">
        <v>4051</v>
      </c>
      <c r="O1366" s="11" t="s">
        <v>4052</v>
      </c>
      <c r="P1366" s="11" t="s">
        <v>4050</v>
      </c>
      <c r="Q1366" s="11" t="s">
        <v>135</v>
      </c>
      <c r="U1366" s="11" t="s">
        <v>178</v>
      </c>
      <c r="V1366" s="11" t="s">
        <v>137</v>
      </c>
      <c r="W1366" s="13">
        <v>46302.314618055556</v>
      </c>
    </row>
    <row r="1367" spans="1:23">
      <c r="A1367">
        <v>283606</v>
      </c>
      <c r="B1367">
        <v>78</v>
      </c>
      <c r="C1367" s="11" t="s">
        <v>129</v>
      </c>
      <c r="D1367" s="11" t="s">
        <v>130</v>
      </c>
      <c r="E1367" s="11" t="s">
        <v>25</v>
      </c>
      <c r="F1367" s="12">
        <v>46259</v>
      </c>
      <c r="G1367" s="11" t="s">
        <v>164</v>
      </c>
      <c r="H1367">
        <v>1</v>
      </c>
      <c r="I1367" s="11" t="s">
        <v>4053</v>
      </c>
      <c r="M1367" s="11" t="s">
        <v>62</v>
      </c>
      <c r="N1367" s="11" t="s">
        <v>4054</v>
      </c>
      <c r="O1367" s="11" t="s">
        <v>4055</v>
      </c>
      <c r="P1367" s="11" t="s">
        <v>4053</v>
      </c>
      <c r="Q1367" s="11" t="s">
        <v>135</v>
      </c>
      <c r="U1367" s="11" t="s">
        <v>168</v>
      </c>
      <c r="V1367" s="11" t="s">
        <v>137</v>
      </c>
      <c r="W1367" s="13">
        <v>46302.314618055556</v>
      </c>
    </row>
    <row r="1368" spans="1:23">
      <c r="A1368">
        <v>283607</v>
      </c>
      <c r="B1368">
        <v>79</v>
      </c>
      <c r="C1368" s="11" t="s">
        <v>129</v>
      </c>
      <c r="D1368" s="11" t="s">
        <v>130</v>
      </c>
      <c r="E1368" s="11" t="s">
        <v>25</v>
      </c>
      <c r="F1368" s="12">
        <v>46259</v>
      </c>
      <c r="G1368" s="11" t="s">
        <v>131</v>
      </c>
      <c r="H1368">
        <v>1</v>
      </c>
      <c r="I1368" s="11" t="s">
        <v>4056</v>
      </c>
      <c r="M1368" s="11" t="s">
        <v>87</v>
      </c>
      <c r="N1368" s="11" t="s">
        <v>4057</v>
      </c>
      <c r="O1368" s="11" t="s">
        <v>4058</v>
      </c>
      <c r="P1368" s="11" t="s">
        <v>4056</v>
      </c>
      <c r="Q1368" s="11" t="s">
        <v>135</v>
      </c>
      <c r="U1368" s="11" t="s">
        <v>136</v>
      </c>
      <c r="V1368" s="11" t="s">
        <v>137</v>
      </c>
      <c r="W1368" s="13">
        <v>46302.314618055556</v>
      </c>
    </row>
    <row r="1369" spans="1:23">
      <c r="A1369">
        <v>283608</v>
      </c>
      <c r="B1369">
        <v>80</v>
      </c>
      <c r="C1369" s="11" t="s">
        <v>129</v>
      </c>
      <c r="D1369" s="11" t="s">
        <v>130</v>
      </c>
      <c r="E1369" s="11" t="s">
        <v>25</v>
      </c>
      <c r="F1369" s="12">
        <v>46259</v>
      </c>
      <c r="G1369" s="11" t="s">
        <v>164</v>
      </c>
      <c r="H1369">
        <v>1</v>
      </c>
      <c r="I1369" s="11" t="s">
        <v>4059</v>
      </c>
      <c r="M1369" s="11" t="s">
        <v>62</v>
      </c>
      <c r="N1369" s="11" t="s">
        <v>4060</v>
      </c>
      <c r="O1369" s="11" t="s">
        <v>4061</v>
      </c>
      <c r="P1369" s="11" t="s">
        <v>4059</v>
      </c>
      <c r="Q1369" s="11" t="s">
        <v>135</v>
      </c>
      <c r="U1369" s="11" t="s">
        <v>168</v>
      </c>
      <c r="V1369" s="11" t="s">
        <v>137</v>
      </c>
      <c r="W1369" s="13">
        <v>46302.314618055556</v>
      </c>
    </row>
    <row r="1370" spans="1:23">
      <c r="A1370">
        <v>283609</v>
      </c>
      <c r="B1370">
        <v>81</v>
      </c>
      <c r="C1370" s="11" t="s">
        <v>129</v>
      </c>
      <c r="D1370" s="11" t="s">
        <v>130</v>
      </c>
      <c r="E1370" s="11" t="s">
        <v>25</v>
      </c>
      <c r="F1370" s="12">
        <v>46259</v>
      </c>
      <c r="G1370" s="11" t="s">
        <v>174</v>
      </c>
      <c r="H1370">
        <v>1</v>
      </c>
      <c r="I1370" s="11" t="s">
        <v>2627</v>
      </c>
      <c r="M1370" s="11" t="s">
        <v>92</v>
      </c>
      <c r="N1370" s="11" t="s">
        <v>4062</v>
      </c>
      <c r="O1370" s="11" t="s">
        <v>4063</v>
      </c>
      <c r="P1370" s="11" t="s">
        <v>2627</v>
      </c>
      <c r="Q1370" s="11" t="s">
        <v>135</v>
      </c>
      <c r="U1370" s="11" t="s">
        <v>178</v>
      </c>
      <c r="V1370" s="11" t="s">
        <v>137</v>
      </c>
      <c r="W1370" s="13">
        <v>46302.314618055556</v>
      </c>
    </row>
    <row r="1371" spans="1:23">
      <c r="A1371">
        <v>283610</v>
      </c>
      <c r="B1371">
        <v>82</v>
      </c>
      <c r="C1371" s="11" t="s">
        <v>129</v>
      </c>
      <c r="D1371" s="11" t="s">
        <v>130</v>
      </c>
      <c r="E1371" s="11" t="s">
        <v>25</v>
      </c>
      <c r="F1371" s="12">
        <v>46259</v>
      </c>
      <c r="G1371" s="11" t="s">
        <v>179</v>
      </c>
      <c r="H1371">
        <v>1</v>
      </c>
      <c r="I1371" s="11" t="s">
        <v>4064</v>
      </c>
      <c r="M1371" s="11" t="s">
        <v>83</v>
      </c>
      <c r="N1371" s="11" t="s">
        <v>4065</v>
      </c>
      <c r="O1371" s="11" t="s">
        <v>4066</v>
      </c>
      <c r="P1371" s="11" t="s">
        <v>4064</v>
      </c>
      <c r="Q1371" s="11" t="s">
        <v>135</v>
      </c>
      <c r="U1371" s="11" t="s">
        <v>183</v>
      </c>
      <c r="V1371" s="11" t="s">
        <v>137</v>
      </c>
      <c r="W1371" s="13">
        <v>46302.314618055556</v>
      </c>
    </row>
    <row r="1372" spans="1:23">
      <c r="A1372">
        <v>283611</v>
      </c>
      <c r="B1372">
        <v>83</v>
      </c>
      <c r="C1372" s="11" t="s">
        <v>129</v>
      </c>
      <c r="D1372" s="11" t="s">
        <v>130</v>
      </c>
      <c r="E1372" s="11" t="s">
        <v>25</v>
      </c>
      <c r="F1372" s="12">
        <v>46259</v>
      </c>
      <c r="G1372" s="11" t="s">
        <v>159</v>
      </c>
      <c r="H1372">
        <v>1</v>
      </c>
      <c r="I1372" s="11" t="s">
        <v>4067</v>
      </c>
      <c r="M1372" s="11" t="s">
        <v>95</v>
      </c>
      <c r="N1372" s="11" t="s">
        <v>4068</v>
      </c>
      <c r="O1372" s="11" t="s">
        <v>4069</v>
      </c>
      <c r="P1372" s="11" t="s">
        <v>4067</v>
      </c>
      <c r="Q1372" s="11" t="s">
        <v>135</v>
      </c>
      <c r="U1372" s="11" t="s">
        <v>163</v>
      </c>
      <c r="V1372" s="11" t="s">
        <v>137</v>
      </c>
      <c r="W1372" s="13">
        <v>46302.314618055556</v>
      </c>
    </row>
    <row r="1373" spans="1:23">
      <c r="A1373">
        <v>283612</v>
      </c>
      <c r="B1373">
        <v>84</v>
      </c>
      <c r="C1373" s="11" t="s">
        <v>129</v>
      </c>
      <c r="D1373" s="11" t="s">
        <v>130</v>
      </c>
      <c r="E1373" s="11" t="s">
        <v>25</v>
      </c>
      <c r="F1373" s="12">
        <v>46259</v>
      </c>
      <c r="G1373" s="11" t="s">
        <v>131</v>
      </c>
      <c r="H1373">
        <v>1</v>
      </c>
      <c r="I1373" s="11" t="s">
        <v>2097</v>
      </c>
      <c r="M1373" s="11" t="s">
        <v>87</v>
      </c>
      <c r="N1373" s="11" t="s">
        <v>4070</v>
      </c>
      <c r="O1373" s="11" t="s">
        <v>4071</v>
      </c>
      <c r="P1373" s="11" t="s">
        <v>2097</v>
      </c>
      <c r="Q1373" s="11" t="s">
        <v>135</v>
      </c>
      <c r="U1373" s="11" t="s">
        <v>136</v>
      </c>
      <c r="V1373" s="11" t="s">
        <v>137</v>
      </c>
      <c r="W1373" s="13">
        <v>46302.314618055556</v>
      </c>
    </row>
    <row r="1374" spans="1:23">
      <c r="A1374">
        <v>283613</v>
      </c>
      <c r="B1374">
        <v>85</v>
      </c>
      <c r="C1374" s="11" t="s">
        <v>129</v>
      </c>
      <c r="D1374" s="11" t="s">
        <v>130</v>
      </c>
      <c r="E1374" s="11" t="s">
        <v>25</v>
      </c>
      <c r="F1374" s="12">
        <v>46259</v>
      </c>
      <c r="G1374" s="11" t="s">
        <v>1457</v>
      </c>
      <c r="H1374">
        <v>1</v>
      </c>
      <c r="I1374" s="11" t="s">
        <v>4072</v>
      </c>
      <c r="M1374" s="11" t="s">
        <v>88</v>
      </c>
      <c r="N1374" s="11" t="s">
        <v>4073</v>
      </c>
      <c r="O1374" s="11" t="s">
        <v>4074</v>
      </c>
      <c r="P1374" s="11" t="s">
        <v>4072</v>
      </c>
      <c r="Q1374" s="11" t="s">
        <v>135</v>
      </c>
      <c r="U1374" s="11" t="s">
        <v>1461</v>
      </c>
      <c r="V1374" s="11" t="s">
        <v>137</v>
      </c>
      <c r="W1374" s="13">
        <v>46302.314618055556</v>
      </c>
    </row>
    <row r="1375" spans="1:23">
      <c r="A1375">
        <v>283614</v>
      </c>
      <c r="B1375">
        <v>86</v>
      </c>
      <c r="C1375" s="11" t="s">
        <v>129</v>
      </c>
      <c r="D1375" s="11" t="s">
        <v>130</v>
      </c>
      <c r="E1375" s="11" t="s">
        <v>25</v>
      </c>
      <c r="F1375" s="12">
        <v>46259</v>
      </c>
      <c r="G1375" s="11" t="s">
        <v>607</v>
      </c>
      <c r="H1375">
        <v>1</v>
      </c>
      <c r="I1375" s="11" t="s">
        <v>4075</v>
      </c>
      <c r="M1375" s="11" t="s">
        <v>42</v>
      </c>
      <c r="N1375" s="11" t="s">
        <v>4076</v>
      </c>
      <c r="O1375" s="11" t="s">
        <v>4077</v>
      </c>
      <c r="P1375" s="11" t="s">
        <v>4075</v>
      </c>
      <c r="Q1375" s="11" t="s">
        <v>135</v>
      </c>
      <c r="U1375" s="11" t="s">
        <v>611</v>
      </c>
      <c r="V1375" s="11" t="s">
        <v>137</v>
      </c>
      <c r="W1375" s="13">
        <v>46302.314618055556</v>
      </c>
    </row>
    <row r="1376" spans="1:23">
      <c r="A1376">
        <v>283615</v>
      </c>
      <c r="B1376">
        <v>87</v>
      </c>
      <c r="C1376" s="11" t="s">
        <v>129</v>
      </c>
      <c r="D1376" s="11" t="s">
        <v>130</v>
      </c>
      <c r="E1376" s="11" t="s">
        <v>25</v>
      </c>
      <c r="F1376" s="12">
        <v>46259</v>
      </c>
      <c r="G1376" s="11" t="s">
        <v>159</v>
      </c>
      <c r="H1376">
        <v>1</v>
      </c>
      <c r="I1376" s="11" t="s">
        <v>2846</v>
      </c>
      <c r="M1376" s="11" t="s">
        <v>95</v>
      </c>
      <c r="N1376" s="11" t="s">
        <v>4078</v>
      </c>
      <c r="O1376" s="11" t="s">
        <v>4079</v>
      </c>
      <c r="P1376" s="11" t="s">
        <v>2846</v>
      </c>
      <c r="Q1376" s="11" t="s">
        <v>135</v>
      </c>
      <c r="U1376" s="11" t="s">
        <v>163</v>
      </c>
      <c r="V1376" s="11" t="s">
        <v>137</v>
      </c>
      <c r="W1376" s="13">
        <v>46302.314618055556</v>
      </c>
    </row>
    <row r="1377" spans="1:23">
      <c r="A1377">
        <v>283616</v>
      </c>
      <c r="B1377">
        <v>88</v>
      </c>
      <c r="C1377" s="11" t="s">
        <v>129</v>
      </c>
      <c r="D1377" s="11" t="s">
        <v>130</v>
      </c>
      <c r="E1377" s="11" t="s">
        <v>25</v>
      </c>
      <c r="F1377" s="12">
        <v>46259</v>
      </c>
      <c r="G1377" s="11" t="s">
        <v>504</v>
      </c>
      <c r="H1377">
        <v>1</v>
      </c>
      <c r="I1377" s="11" t="s">
        <v>4080</v>
      </c>
      <c r="M1377" s="11" t="s">
        <v>53</v>
      </c>
      <c r="N1377" s="11" t="s">
        <v>4081</v>
      </c>
      <c r="O1377" s="11" t="s">
        <v>4082</v>
      </c>
      <c r="P1377" s="11" t="s">
        <v>4080</v>
      </c>
      <c r="Q1377" s="11" t="s">
        <v>135</v>
      </c>
      <c r="U1377" s="11" t="s">
        <v>508</v>
      </c>
      <c r="V1377" s="11" t="s">
        <v>137</v>
      </c>
      <c r="W1377" s="13">
        <v>46302.314618055556</v>
      </c>
    </row>
    <row r="1378" spans="1:23">
      <c r="A1378">
        <v>283617</v>
      </c>
      <c r="B1378">
        <v>89</v>
      </c>
      <c r="C1378" s="11" t="s">
        <v>129</v>
      </c>
      <c r="D1378" s="11" t="s">
        <v>130</v>
      </c>
      <c r="E1378" s="11" t="s">
        <v>25</v>
      </c>
      <c r="F1378" s="12">
        <v>46259</v>
      </c>
      <c r="G1378" s="11" t="s">
        <v>217</v>
      </c>
      <c r="H1378">
        <v>1</v>
      </c>
      <c r="I1378" s="11" t="s">
        <v>2423</v>
      </c>
      <c r="M1378" s="11" t="s">
        <v>86</v>
      </c>
      <c r="N1378" s="11" t="s">
        <v>4083</v>
      </c>
      <c r="O1378" s="11" t="s">
        <v>4084</v>
      </c>
      <c r="P1378" s="11" t="s">
        <v>2423</v>
      </c>
      <c r="Q1378" s="11" t="s">
        <v>135</v>
      </c>
      <c r="U1378" s="11" t="s">
        <v>221</v>
      </c>
      <c r="V1378" s="11" t="s">
        <v>137</v>
      </c>
      <c r="W1378" s="13">
        <v>46302.314618055556</v>
      </c>
    </row>
    <row r="1379" spans="1:23">
      <c r="A1379">
        <v>283860</v>
      </c>
      <c r="B1379">
        <v>90</v>
      </c>
      <c r="C1379" s="11" t="s">
        <v>129</v>
      </c>
      <c r="D1379" s="11" t="s">
        <v>130</v>
      </c>
      <c r="E1379" s="11" t="s">
        <v>25</v>
      </c>
      <c r="F1379" s="12">
        <v>46260</v>
      </c>
      <c r="G1379" s="11" t="s">
        <v>131</v>
      </c>
      <c r="H1379">
        <v>1</v>
      </c>
      <c r="I1379" s="11" t="s">
        <v>1573</v>
      </c>
      <c r="M1379" s="11" t="s">
        <v>87</v>
      </c>
      <c r="N1379" s="11" t="s">
        <v>4085</v>
      </c>
      <c r="O1379" s="11" t="s">
        <v>4086</v>
      </c>
      <c r="P1379" s="11" t="s">
        <v>1573</v>
      </c>
      <c r="Q1379" s="11" t="s">
        <v>135</v>
      </c>
      <c r="U1379" s="11" t="s">
        <v>136</v>
      </c>
      <c r="V1379" s="11" t="s">
        <v>137</v>
      </c>
      <c r="W1379" s="13">
        <v>46302.314618055556</v>
      </c>
    </row>
    <row r="1380" spans="1:23">
      <c r="A1380">
        <v>283861</v>
      </c>
      <c r="B1380">
        <v>91</v>
      </c>
      <c r="C1380" s="11" t="s">
        <v>129</v>
      </c>
      <c r="D1380" s="11" t="s">
        <v>130</v>
      </c>
      <c r="E1380" s="11" t="s">
        <v>25</v>
      </c>
      <c r="F1380" s="12">
        <v>46260</v>
      </c>
      <c r="G1380" s="11" t="s">
        <v>504</v>
      </c>
      <c r="H1380">
        <v>1</v>
      </c>
      <c r="I1380" s="11" t="s">
        <v>1035</v>
      </c>
      <c r="M1380" s="11" t="s">
        <v>53</v>
      </c>
      <c r="N1380" s="11" t="s">
        <v>4087</v>
      </c>
      <c r="O1380" s="11" t="s">
        <v>4088</v>
      </c>
      <c r="P1380" s="11" t="s">
        <v>1035</v>
      </c>
      <c r="Q1380" s="11" t="s">
        <v>135</v>
      </c>
      <c r="U1380" s="11" t="s">
        <v>508</v>
      </c>
      <c r="V1380" s="11" t="s">
        <v>137</v>
      </c>
      <c r="W1380" s="13">
        <v>46302.314618055556</v>
      </c>
    </row>
    <row r="1381" spans="1:23">
      <c r="A1381">
        <v>283862</v>
      </c>
      <c r="B1381">
        <v>92</v>
      </c>
      <c r="C1381" s="11" t="s">
        <v>129</v>
      </c>
      <c r="D1381" s="11" t="s">
        <v>130</v>
      </c>
      <c r="E1381" s="11" t="s">
        <v>25</v>
      </c>
      <c r="F1381" s="12">
        <v>46260</v>
      </c>
      <c r="G1381" s="11" t="s">
        <v>131</v>
      </c>
      <c r="H1381">
        <v>1</v>
      </c>
      <c r="I1381" s="11" t="s">
        <v>4089</v>
      </c>
      <c r="M1381" s="11" t="s">
        <v>87</v>
      </c>
      <c r="N1381" s="11" t="s">
        <v>4090</v>
      </c>
      <c r="O1381" s="11" t="s">
        <v>4091</v>
      </c>
      <c r="P1381" s="11" t="s">
        <v>4089</v>
      </c>
      <c r="Q1381" s="11" t="s">
        <v>135</v>
      </c>
      <c r="U1381" s="11" t="s">
        <v>136</v>
      </c>
      <c r="V1381" s="11" t="s">
        <v>137</v>
      </c>
      <c r="W1381" s="13">
        <v>46302.314618055556</v>
      </c>
    </row>
    <row r="1382" spans="1:23">
      <c r="A1382">
        <v>283863</v>
      </c>
      <c r="B1382">
        <v>93</v>
      </c>
      <c r="C1382" s="11" t="s">
        <v>129</v>
      </c>
      <c r="D1382" s="11" t="s">
        <v>130</v>
      </c>
      <c r="E1382" s="11" t="s">
        <v>25</v>
      </c>
      <c r="F1382" s="12">
        <v>46260</v>
      </c>
      <c r="G1382" s="11" t="s">
        <v>607</v>
      </c>
      <c r="H1382">
        <v>1</v>
      </c>
      <c r="I1382" s="11" t="s">
        <v>4092</v>
      </c>
      <c r="M1382" s="11" t="s">
        <v>42</v>
      </c>
      <c r="N1382" s="11" t="s">
        <v>4093</v>
      </c>
      <c r="O1382" s="11" t="s">
        <v>4094</v>
      </c>
      <c r="P1382" s="11" t="s">
        <v>4092</v>
      </c>
      <c r="Q1382" s="11" t="s">
        <v>135</v>
      </c>
      <c r="U1382" s="11" t="s">
        <v>611</v>
      </c>
      <c r="V1382" s="11" t="s">
        <v>137</v>
      </c>
      <c r="W1382" s="13">
        <v>46302.314618055556</v>
      </c>
    </row>
    <row r="1383" spans="1:23">
      <c r="A1383">
        <v>283864</v>
      </c>
      <c r="B1383">
        <v>94</v>
      </c>
      <c r="C1383" s="11" t="s">
        <v>129</v>
      </c>
      <c r="D1383" s="11" t="s">
        <v>130</v>
      </c>
      <c r="E1383" s="11" t="s">
        <v>25</v>
      </c>
      <c r="F1383" s="12">
        <v>46260</v>
      </c>
      <c r="G1383" s="11" t="s">
        <v>131</v>
      </c>
      <c r="H1383">
        <v>1</v>
      </c>
      <c r="I1383" s="11" t="s">
        <v>4095</v>
      </c>
      <c r="M1383" s="11" t="s">
        <v>87</v>
      </c>
      <c r="N1383" s="11" t="s">
        <v>4096</v>
      </c>
      <c r="O1383" s="11" t="s">
        <v>1931</v>
      </c>
      <c r="P1383" s="11" t="s">
        <v>4095</v>
      </c>
      <c r="Q1383" s="11" t="s">
        <v>135</v>
      </c>
      <c r="U1383" s="11" t="s">
        <v>136</v>
      </c>
      <c r="V1383" s="11" t="s">
        <v>137</v>
      </c>
      <c r="W1383" s="13">
        <v>46302.314618055556</v>
      </c>
    </row>
    <row r="1384" spans="1:23">
      <c r="A1384">
        <v>283865</v>
      </c>
      <c r="B1384">
        <v>95</v>
      </c>
      <c r="C1384" s="11" t="s">
        <v>129</v>
      </c>
      <c r="D1384" s="11" t="s">
        <v>130</v>
      </c>
      <c r="E1384" s="11" t="s">
        <v>25</v>
      </c>
      <c r="F1384" s="12">
        <v>46260</v>
      </c>
      <c r="G1384" s="11" t="s">
        <v>190</v>
      </c>
      <c r="H1384">
        <v>2</v>
      </c>
      <c r="I1384" s="11" t="s">
        <v>4097</v>
      </c>
      <c r="M1384" s="11" t="s">
        <v>52</v>
      </c>
      <c r="N1384" s="11" t="s">
        <v>4098</v>
      </c>
      <c r="O1384" s="11" t="s">
        <v>4099</v>
      </c>
      <c r="P1384" s="11" t="s">
        <v>4100</v>
      </c>
      <c r="Q1384" s="11" t="s">
        <v>135</v>
      </c>
      <c r="U1384" s="11" t="s">
        <v>194</v>
      </c>
      <c r="V1384" s="11" t="s">
        <v>137</v>
      </c>
      <c r="W1384" s="13">
        <v>46302.314618055556</v>
      </c>
    </row>
    <row r="1385" spans="1:23">
      <c r="A1385">
        <v>283866</v>
      </c>
      <c r="B1385">
        <v>96</v>
      </c>
      <c r="C1385" s="11" t="s">
        <v>129</v>
      </c>
      <c r="D1385" s="11" t="s">
        <v>130</v>
      </c>
      <c r="E1385" s="11" t="s">
        <v>25</v>
      </c>
      <c r="F1385" s="12">
        <v>46260</v>
      </c>
      <c r="G1385" s="11" t="s">
        <v>131</v>
      </c>
      <c r="H1385">
        <v>1</v>
      </c>
      <c r="I1385" s="11" t="s">
        <v>4101</v>
      </c>
      <c r="M1385" s="11" t="s">
        <v>87</v>
      </c>
      <c r="N1385" s="11" t="s">
        <v>4102</v>
      </c>
      <c r="O1385" s="11" t="s">
        <v>4103</v>
      </c>
      <c r="P1385" s="11" t="s">
        <v>4101</v>
      </c>
      <c r="Q1385" s="11" t="s">
        <v>135</v>
      </c>
      <c r="U1385" s="11" t="s">
        <v>136</v>
      </c>
      <c r="V1385" s="11" t="s">
        <v>137</v>
      </c>
      <c r="W1385" s="13">
        <v>46302.314618055556</v>
      </c>
    </row>
    <row r="1386" spans="1:23">
      <c r="A1386">
        <v>283867</v>
      </c>
      <c r="B1386">
        <v>97</v>
      </c>
      <c r="C1386" s="11" t="s">
        <v>129</v>
      </c>
      <c r="D1386" s="11" t="s">
        <v>130</v>
      </c>
      <c r="E1386" s="11" t="s">
        <v>25</v>
      </c>
      <c r="F1386" s="12">
        <v>46260</v>
      </c>
      <c r="G1386" s="11" t="s">
        <v>3746</v>
      </c>
      <c r="H1386">
        <v>1</v>
      </c>
      <c r="I1386" s="11" t="s">
        <v>4104</v>
      </c>
      <c r="M1386" s="11" t="s">
        <v>96</v>
      </c>
      <c r="N1386" s="11" t="s">
        <v>4105</v>
      </c>
      <c r="O1386" s="11" t="s">
        <v>4106</v>
      </c>
      <c r="P1386" s="11" t="s">
        <v>4104</v>
      </c>
      <c r="Q1386" s="11" t="s">
        <v>135</v>
      </c>
      <c r="U1386" s="11" t="s">
        <v>3750</v>
      </c>
      <c r="V1386" s="11" t="s">
        <v>137</v>
      </c>
      <c r="W1386" s="13">
        <v>46302.314618055556</v>
      </c>
    </row>
    <row r="1387" spans="1:23">
      <c r="A1387">
        <v>283868</v>
      </c>
      <c r="B1387">
        <v>98</v>
      </c>
      <c r="C1387" s="11" t="s">
        <v>129</v>
      </c>
      <c r="D1387" s="11" t="s">
        <v>130</v>
      </c>
      <c r="E1387" s="11" t="s">
        <v>25</v>
      </c>
      <c r="F1387" s="12">
        <v>46260</v>
      </c>
      <c r="G1387" s="11" t="s">
        <v>131</v>
      </c>
      <c r="H1387">
        <v>1</v>
      </c>
      <c r="I1387" s="11" t="s">
        <v>4107</v>
      </c>
      <c r="M1387" s="11" t="s">
        <v>87</v>
      </c>
      <c r="N1387" s="11" t="s">
        <v>4108</v>
      </c>
      <c r="O1387" s="11" t="s">
        <v>3831</v>
      </c>
      <c r="P1387" s="11" t="s">
        <v>4107</v>
      </c>
      <c r="Q1387" s="11" t="s">
        <v>135</v>
      </c>
      <c r="U1387" s="11" t="s">
        <v>136</v>
      </c>
      <c r="V1387" s="11" t="s">
        <v>137</v>
      </c>
      <c r="W1387" s="13">
        <v>46302.314618055556</v>
      </c>
    </row>
    <row r="1388" spans="1:23">
      <c r="A1388">
        <v>283869</v>
      </c>
      <c r="B1388">
        <v>99</v>
      </c>
      <c r="C1388" s="11" t="s">
        <v>129</v>
      </c>
      <c r="D1388" s="11" t="s">
        <v>130</v>
      </c>
      <c r="E1388" s="11" t="s">
        <v>25</v>
      </c>
      <c r="F1388" s="12">
        <v>46260</v>
      </c>
      <c r="G1388" s="11" t="s">
        <v>174</v>
      </c>
      <c r="H1388">
        <v>1</v>
      </c>
      <c r="I1388" s="11" t="s">
        <v>4109</v>
      </c>
      <c r="M1388" s="11" t="s">
        <v>92</v>
      </c>
      <c r="N1388" s="11" t="s">
        <v>1943</v>
      </c>
      <c r="O1388" s="11" t="s">
        <v>4110</v>
      </c>
      <c r="P1388" s="11" t="s">
        <v>4109</v>
      </c>
      <c r="Q1388" s="11" t="s">
        <v>135</v>
      </c>
      <c r="U1388" s="11" t="s">
        <v>178</v>
      </c>
      <c r="V1388" s="11" t="s">
        <v>137</v>
      </c>
      <c r="W1388" s="13">
        <v>46302.314618055556</v>
      </c>
    </row>
    <row r="1389" spans="1:23">
      <c r="A1389">
        <v>283870</v>
      </c>
      <c r="B1389">
        <v>100</v>
      </c>
      <c r="C1389" s="11" t="s">
        <v>129</v>
      </c>
      <c r="D1389" s="11" t="s">
        <v>130</v>
      </c>
      <c r="E1389" s="11" t="s">
        <v>25</v>
      </c>
      <c r="F1389" s="12">
        <v>46260</v>
      </c>
      <c r="G1389" s="11" t="s">
        <v>149</v>
      </c>
      <c r="H1389">
        <v>1</v>
      </c>
      <c r="I1389" s="11" t="s">
        <v>4111</v>
      </c>
      <c r="M1389" s="11" t="s">
        <v>77</v>
      </c>
      <c r="N1389" s="11" t="s">
        <v>2233</v>
      </c>
      <c r="O1389" s="11" t="s">
        <v>4112</v>
      </c>
      <c r="P1389" s="11" t="s">
        <v>4111</v>
      </c>
      <c r="Q1389" s="11" t="s">
        <v>135</v>
      </c>
      <c r="U1389" s="11" t="s">
        <v>153</v>
      </c>
      <c r="V1389" s="11" t="s">
        <v>137</v>
      </c>
      <c r="W1389" s="13">
        <v>46302.314618055556</v>
      </c>
    </row>
    <row r="1390" spans="1:23">
      <c r="A1390">
        <v>283871</v>
      </c>
      <c r="B1390">
        <v>101</v>
      </c>
      <c r="C1390" s="11" t="s">
        <v>129</v>
      </c>
      <c r="D1390" s="11" t="s">
        <v>130</v>
      </c>
      <c r="E1390" s="11" t="s">
        <v>25</v>
      </c>
      <c r="F1390" s="12">
        <v>46260</v>
      </c>
      <c r="G1390" s="11" t="s">
        <v>523</v>
      </c>
      <c r="H1390">
        <v>1</v>
      </c>
      <c r="I1390" s="11" t="s">
        <v>829</v>
      </c>
      <c r="M1390" s="11" t="s">
        <v>80</v>
      </c>
      <c r="N1390" s="11" t="s">
        <v>4113</v>
      </c>
      <c r="O1390" s="11" t="s">
        <v>4114</v>
      </c>
      <c r="P1390" s="11" t="s">
        <v>829</v>
      </c>
      <c r="Q1390" s="11" t="s">
        <v>135</v>
      </c>
      <c r="U1390" s="11" t="s">
        <v>527</v>
      </c>
      <c r="V1390" s="11" t="s">
        <v>137</v>
      </c>
      <c r="W1390" s="13">
        <v>46302.314618055556</v>
      </c>
    </row>
    <row r="1391" spans="1:23">
      <c r="A1391">
        <v>283872</v>
      </c>
      <c r="B1391">
        <v>102</v>
      </c>
      <c r="C1391" s="11" t="s">
        <v>129</v>
      </c>
      <c r="D1391" s="11" t="s">
        <v>130</v>
      </c>
      <c r="E1391" s="11" t="s">
        <v>25</v>
      </c>
      <c r="F1391" s="12">
        <v>46260</v>
      </c>
      <c r="G1391" s="11" t="s">
        <v>4115</v>
      </c>
      <c r="H1391">
        <v>1</v>
      </c>
      <c r="I1391" s="11" t="s">
        <v>4116</v>
      </c>
      <c r="M1391" s="11" t="s">
        <v>84</v>
      </c>
      <c r="N1391" s="11" t="s">
        <v>4117</v>
      </c>
      <c r="O1391" s="11" t="s">
        <v>4118</v>
      </c>
      <c r="P1391" s="11" t="s">
        <v>4116</v>
      </c>
      <c r="Q1391" s="11" t="s">
        <v>135</v>
      </c>
      <c r="U1391" s="11" t="s">
        <v>4119</v>
      </c>
      <c r="V1391" s="11" t="s">
        <v>137</v>
      </c>
      <c r="W1391" s="13">
        <v>46302.314618055556</v>
      </c>
    </row>
    <row r="1392" spans="1:23">
      <c r="A1392">
        <v>283873</v>
      </c>
      <c r="B1392">
        <v>103</v>
      </c>
      <c r="C1392" s="11" t="s">
        <v>129</v>
      </c>
      <c r="D1392" s="11" t="s">
        <v>130</v>
      </c>
      <c r="E1392" s="11" t="s">
        <v>25</v>
      </c>
      <c r="F1392" s="12">
        <v>46260</v>
      </c>
      <c r="G1392" s="11" t="s">
        <v>164</v>
      </c>
      <c r="H1392">
        <v>1</v>
      </c>
      <c r="I1392" s="11" t="s">
        <v>4120</v>
      </c>
      <c r="M1392" s="11" t="s">
        <v>62</v>
      </c>
      <c r="N1392" s="11" t="s">
        <v>4121</v>
      </c>
      <c r="O1392" s="11" t="s">
        <v>4122</v>
      </c>
      <c r="P1392" s="11" t="s">
        <v>4120</v>
      </c>
      <c r="Q1392" s="11" t="s">
        <v>135</v>
      </c>
      <c r="U1392" s="11" t="s">
        <v>168</v>
      </c>
      <c r="V1392" s="11" t="s">
        <v>137</v>
      </c>
      <c r="W1392" s="13">
        <v>46302.314618055556</v>
      </c>
    </row>
    <row r="1393" spans="1:23">
      <c r="A1393">
        <v>283874</v>
      </c>
      <c r="B1393">
        <v>104</v>
      </c>
      <c r="C1393" s="11" t="s">
        <v>129</v>
      </c>
      <c r="D1393" s="11" t="s">
        <v>130</v>
      </c>
      <c r="E1393" s="11" t="s">
        <v>25</v>
      </c>
      <c r="F1393" s="12">
        <v>46260</v>
      </c>
      <c r="G1393" s="11" t="s">
        <v>1663</v>
      </c>
      <c r="H1393">
        <v>1</v>
      </c>
      <c r="I1393" s="11" t="s">
        <v>4123</v>
      </c>
      <c r="M1393" s="11" t="s">
        <v>47</v>
      </c>
      <c r="N1393" s="11" t="s">
        <v>4124</v>
      </c>
      <c r="O1393" s="11" t="s">
        <v>4125</v>
      </c>
      <c r="P1393" s="11" t="s">
        <v>4123</v>
      </c>
      <c r="Q1393" s="11" t="s">
        <v>135</v>
      </c>
      <c r="U1393" s="11" t="s">
        <v>1666</v>
      </c>
      <c r="V1393" s="11" t="s">
        <v>137</v>
      </c>
      <c r="W1393" s="13">
        <v>46302.314618055556</v>
      </c>
    </row>
    <row r="1394" spans="1:23">
      <c r="A1394">
        <v>283875</v>
      </c>
      <c r="B1394">
        <v>105</v>
      </c>
      <c r="C1394" s="11" t="s">
        <v>129</v>
      </c>
      <c r="D1394" s="11" t="s">
        <v>130</v>
      </c>
      <c r="E1394" s="11" t="s">
        <v>25</v>
      </c>
      <c r="F1394" s="12">
        <v>46260</v>
      </c>
      <c r="G1394" s="11" t="s">
        <v>164</v>
      </c>
      <c r="H1394">
        <v>1</v>
      </c>
      <c r="I1394" s="11" t="s">
        <v>4126</v>
      </c>
      <c r="M1394" s="11" t="s">
        <v>62</v>
      </c>
      <c r="N1394" s="11" t="s">
        <v>4127</v>
      </c>
      <c r="O1394" s="11" t="s">
        <v>4128</v>
      </c>
      <c r="P1394" s="11" t="s">
        <v>4126</v>
      </c>
      <c r="Q1394" s="11" t="s">
        <v>135</v>
      </c>
      <c r="U1394" s="11" t="s">
        <v>168</v>
      </c>
      <c r="V1394" s="11" t="s">
        <v>137</v>
      </c>
      <c r="W1394" s="13">
        <v>46302.314618055556</v>
      </c>
    </row>
    <row r="1395" spans="1:23">
      <c r="A1395">
        <v>283876</v>
      </c>
      <c r="B1395">
        <v>106</v>
      </c>
      <c r="C1395" s="11" t="s">
        <v>129</v>
      </c>
      <c r="D1395" s="11" t="s">
        <v>130</v>
      </c>
      <c r="E1395" s="11" t="s">
        <v>25</v>
      </c>
      <c r="F1395" s="12">
        <v>46260</v>
      </c>
      <c r="G1395" s="11" t="s">
        <v>217</v>
      </c>
      <c r="H1395">
        <v>1</v>
      </c>
      <c r="I1395" s="11" t="s">
        <v>3850</v>
      </c>
      <c r="M1395" s="11" t="s">
        <v>86</v>
      </c>
      <c r="N1395" s="11" t="s">
        <v>4129</v>
      </c>
      <c r="O1395" s="11" t="s">
        <v>2845</v>
      </c>
      <c r="P1395" s="11" t="s">
        <v>3850</v>
      </c>
      <c r="Q1395" s="11" t="s">
        <v>135</v>
      </c>
      <c r="U1395" s="11" t="s">
        <v>221</v>
      </c>
      <c r="V1395" s="11" t="s">
        <v>137</v>
      </c>
      <c r="W1395" s="13">
        <v>46302.314618055556</v>
      </c>
    </row>
    <row r="1396" spans="1:23">
      <c r="A1396">
        <v>283877</v>
      </c>
      <c r="B1396">
        <v>107</v>
      </c>
      <c r="C1396" s="11" t="s">
        <v>129</v>
      </c>
      <c r="D1396" s="11" t="s">
        <v>130</v>
      </c>
      <c r="E1396" s="11" t="s">
        <v>25</v>
      </c>
      <c r="F1396" s="12">
        <v>46260</v>
      </c>
      <c r="G1396" s="11" t="s">
        <v>131</v>
      </c>
      <c r="H1396">
        <v>1</v>
      </c>
      <c r="I1396" s="11" t="s">
        <v>4130</v>
      </c>
      <c r="M1396" s="11" t="s">
        <v>87</v>
      </c>
      <c r="N1396" s="11" t="s">
        <v>4131</v>
      </c>
      <c r="O1396" s="11" t="s">
        <v>4132</v>
      </c>
      <c r="P1396" s="11" t="s">
        <v>4130</v>
      </c>
      <c r="Q1396" s="11" t="s">
        <v>135</v>
      </c>
      <c r="U1396" s="11" t="s">
        <v>136</v>
      </c>
      <c r="V1396" s="11" t="s">
        <v>137</v>
      </c>
      <c r="W1396" s="13">
        <v>46302.314618055556</v>
      </c>
    </row>
    <row r="1397" spans="1:23">
      <c r="A1397">
        <v>284416</v>
      </c>
      <c r="B1397">
        <v>108</v>
      </c>
      <c r="C1397" s="11" t="s">
        <v>129</v>
      </c>
      <c r="D1397" s="11" t="s">
        <v>130</v>
      </c>
      <c r="E1397" s="11" t="s">
        <v>25</v>
      </c>
      <c r="F1397" s="12">
        <v>46262</v>
      </c>
      <c r="G1397" s="11" t="s">
        <v>131</v>
      </c>
      <c r="H1397">
        <v>1</v>
      </c>
      <c r="I1397" s="11" t="s">
        <v>1514</v>
      </c>
      <c r="M1397" s="11" t="s">
        <v>87</v>
      </c>
      <c r="N1397" s="11" t="s">
        <v>4133</v>
      </c>
      <c r="O1397" s="11" t="s">
        <v>4134</v>
      </c>
      <c r="P1397" s="11" t="s">
        <v>1514</v>
      </c>
      <c r="Q1397" s="11" t="s">
        <v>135</v>
      </c>
      <c r="U1397" s="11" t="s">
        <v>136</v>
      </c>
      <c r="V1397" s="11" t="s">
        <v>137</v>
      </c>
      <c r="W1397" s="13">
        <v>46302.314618055556</v>
      </c>
    </row>
    <row r="1398" spans="1:23">
      <c r="A1398">
        <v>284417</v>
      </c>
      <c r="B1398">
        <v>109</v>
      </c>
      <c r="C1398" s="11" t="s">
        <v>129</v>
      </c>
      <c r="D1398" s="11" t="s">
        <v>130</v>
      </c>
      <c r="E1398" s="11" t="s">
        <v>25</v>
      </c>
      <c r="F1398" s="12">
        <v>46262</v>
      </c>
      <c r="G1398" s="11" t="s">
        <v>1848</v>
      </c>
      <c r="H1398">
        <v>1</v>
      </c>
      <c r="I1398" s="11" t="s">
        <v>2535</v>
      </c>
      <c r="M1398" s="11" t="s">
        <v>56</v>
      </c>
      <c r="N1398" s="11" t="s">
        <v>4135</v>
      </c>
      <c r="O1398" s="11" t="s">
        <v>797</v>
      </c>
      <c r="P1398" s="11" t="s">
        <v>2535</v>
      </c>
      <c r="Q1398" s="11" t="s">
        <v>135</v>
      </c>
      <c r="U1398" s="11" t="s">
        <v>1852</v>
      </c>
      <c r="V1398" s="11" t="s">
        <v>137</v>
      </c>
      <c r="W1398" s="13">
        <v>46302.314618055556</v>
      </c>
    </row>
    <row r="1399" spans="1:23">
      <c r="A1399">
        <v>284418</v>
      </c>
      <c r="B1399">
        <v>110</v>
      </c>
      <c r="C1399" s="11" t="s">
        <v>129</v>
      </c>
      <c r="D1399" s="11" t="s">
        <v>130</v>
      </c>
      <c r="E1399" s="11" t="s">
        <v>25</v>
      </c>
      <c r="F1399" s="12">
        <v>46262</v>
      </c>
      <c r="G1399" s="11" t="s">
        <v>222</v>
      </c>
      <c r="H1399">
        <v>1</v>
      </c>
      <c r="I1399" s="11" t="s">
        <v>2595</v>
      </c>
      <c r="M1399" s="11" t="s">
        <v>90</v>
      </c>
      <c r="N1399" s="11" t="s">
        <v>1189</v>
      </c>
      <c r="O1399" s="11" t="s">
        <v>4136</v>
      </c>
      <c r="P1399" s="11" t="s">
        <v>2595</v>
      </c>
      <c r="Q1399" s="11" t="s">
        <v>135</v>
      </c>
      <c r="U1399" s="11" t="s">
        <v>225</v>
      </c>
      <c r="V1399" s="11" t="s">
        <v>137</v>
      </c>
      <c r="W1399" s="13">
        <v>46302.314618055556</v>
      </c>
    </row>
    <row r="1400" spans="1:23">
      <c r="A1400">
        <v>284419</v>
      </c>
      <c r="B1400">
        <v>111</v>
      </c>
      <c r="C1400" s="11" t="s">
        <v>129</v>
      </c>
      <c r="D1400" s="11" t="s">
        <v>130</v>
      </c>
      <c r="E1400" s="11" t="s">
        <v>25</v>
      </c>
      <c r="F1400" s="12">
        <v>46262</v>
      </c>
      <c r="G1400" s="11" t="s">
        <v>1848</v>
      </c>
      <c r="H1400">
        <v>1</v>
      </c>
      <c r="I1400" s="11" t="s">
        <v>4137</v>
      </c>
      <c r="M1400" s="11" t="s">
        <v>56</v>
      </c>
      <c r="N1400" s="11" t="s">
        <v>1610</v>
      </c>
      <c r="O1400" s="11" t="s">
        <v>4138</v>
      </c>
      <c r="P1400" s="11" t="s">
        <v>4137</v>
      </c>
      <c r="Q1400" s="11" t="s">
        <v>135</v>
      </c>
      <c r="U1400" s="11" t="s">
        <v>1852</v>
      </c>
      <c r="V1400" s="11" t="s">
        <v>137</v>
      </c>
      <c r="W1400" s="13">
        <v>46302.314618055556</v>
      </c>
    </row>
    <row r="1401" spans="1:23">
      <c r="A1401">
        <v>284420</v>
      </c>
      <c r="B1401">
        <v>112</v>
      </c>
      <c r="C1401" s="11" t="s">
        <v>129</v>
      </c>
      <c r="D1401" s="11" t="s">
        <v>130</v>
      </c>
      <c r="E1401" s="11" t="s">
        <v>25</v>
      </c>
      <c r="F1401" s="12">
        <v>46262</v>
      </c>
      <c r="G1401" s="11" t="s">
        <v>1848</v>
      </c>
      <c r="H1401">
        <v>1</v>
      </c>
      <c r="I1401" s="11" t="s">
        <v>4139</v>
      </c>
      <c r="M1401" s="11" t="s">
        <v>56</v>
      </c>
      <c r="N1401" s="11" t="s">
        <v>4140</v>
      </c>
      <c r="O1401" s="11" t="s">
        <v>4141</v>
      </c>
      <c r="P1401" s="11" t="s">
        <v>4139</v>
      </c>
      <c r="Q1401" s="11" t="s">
        <v>135</v>
      </c>
      <c r="U1401" s="11" t="s">
        <v>1852</v>
      </c>
      <c r="V1401" s="11" t="s">
        <v>137</v>
      </c>
      <c r="W1401" s="13">
        <v>46302.314618055556</v>
      </c>
    </row>
    <row r="1402" spans="1:23">
      <c r="A1402">
        <v>284421</v>
      </c>
      <c r="B1402">
        <v>113</v>
      </c>
      <c r="C1402" s="11" t="s">
        <v>129</v>
      </c>
      <c r="D1402" s="11" t="s">
        <v>130</v>
      </c>
      <c r="E1402" s="11" t="s">
        <v>25</v>
      </c>
      <c r="F1402" s="12">
        <v>46262</v>
      </c>
      <c r="G1402" s="11" t="s">
        <v>131</v>
      </c>
      <c r="H1402">
        <v>1</v>
      </c>
      <c r="I1402" s="11" t="s">
        <v>1293</v>
      </c>
      <c r="M1402" s="11" t="s">
        <v>87</v>
      </c>
      <c r="N1402" s="11" t="s">
        <v>4142</v>
      </c>
      <c r="O1402" s="11" t="s">
        <v>4143</v>
      </c>
      <c r="P1402" s="11" t="s">
        <v>1293</v>
      </c>
      <c r="Q1402" s="11" t="s">
        <v>135</v>
      </c>
      <c r="U1402" s="11" t="s">
        <v>136</v>
      </c>
      <c r="V1402" s="11" t="s">
        <v>137</v>
      </c>
      <c r="W1402" s="13">
        <v>46302.314618055556</v>
      </c>
    </row>
    <row r="1403" spans="1:23">
      <c r="A1403">
        <v>284422</v>
      </c>
      <c r="B1403">
        <v>114</v>
      </c>
      <c r="C1403" s="11" t="s">
        <v>129</v>
      </c>
      <c r="D1403" s="11" t="s">
        <v>130</v>
      </c>
      <c r="E1403" s="11" t="s">
        <v>25</v>
      </c>
      <c r="F1403" s="12">
        <v>46262</v>
      </c>
      <c r="G1403" s="11" t="s">
        <v>1848</v>
      </c>
      <c r="H1403">
        <v>1</v>
      </c>
      <c r="I1403" s="11" t="s">
        <v>2639</v>
      </c>
      <c r="M1403" s="11" t="s">
        <v>56</v>
      </c>
      <c r="N1403" s="11" t="s">
        <v>4144</v>
      </c>
      <c r="O1403" s="11" t="s">
        <v>4145</v>
      </c>
      <c r="P1403" s="11" t="s">
        <v>2639</v>
      </c>
      <c r="Q1403" s="11" t="s">
        <v>307</v>
      </c>
      <c r="U1403" s="11" t="s">
        <v>1852</v>
      </c>
      <c r="V1403" s="11" t="s">
        <v>137</v>
      </c>
      <c r="W1403" s="13">
        <v>46302.314618055556</v>
      </c>
    </row>
    <row r="1404" spans="1:23">
      <c r="A1404">
        <v>284423</v>
      </c>
      <c r="B1404">
        <v>116</v>
      </c>
      <c r="C1404" s="11" t="s">
        <v>129</v>
      </c>
      <c r="D1404" s="11" t="s">
        <v>130</v>
      </c>
      <c r="E1404" s="11" t="s">
        <v>25</v>
      </c>
      <c r="F1404" s="12">
        <v>46262</v>
      </c>
      <c r="G1404" s="11" t="s">
        <v>504</v>
      </c>
      <c r="H1404">
        <v>1</v>
      </c>
      <c r="I1404" s="11" t="s">
        <v>4146</v>
      </c>
      <c r="M1404" s="11" t="s">
        <v>53</v>
      </c>
      <c r="N1404" s="11" t="s">
        <v>4147</v>
      </c>
      <c r="O1404" s="11" t="s">
        <v>4148</v>
      </c>
      <c r="P1404" s="11" t="s">
        <v>4146</v>
      </c>
      <c r="Q1404" s="11" t="s">
        <v>135</v>
      </c>
      <c r="U1404" s="11" t="s">
        <v>508</v>
      </c>
      <c r="V1404" s="11" t="s">
        <v>137</v>
      </c>
      <c r="W1404" s="13">
        <v>46302.314618055556</v>
      </c>
    </row>
    <row r="1405" spans="1:23">
      <c r="A1405">
        <v>284424</v>
      </c>
      <c r="B1405">
        <v>117</v>
      </c>
      <c r="C1405" s="11" t="s">
        <v>129</v>
      </c>
      <c r="D1405" s="11" t="s">
        <v>130</v>
      </c>
      <c r="E1405" s="11" t="s">
        <v>25</v>
      </c>
      <c r="F1405" s="12">
        <v>46262</v>
      </c>
      <c r="G1405" s="11" t="s">
        <v>174</v>
      </c>
      <c r="H1405">
        <v>1</v>
      </c>
      <c r="I1405" s="11" t="s">
        <v>2530</v>
      </c>
      <c r="M1405" s="11" t="s">
        <v>92</v>
      </c>
      <c r="N1405" s="11" t="s">
        <v>4149</v>
      </c>
      <c r="O1405" s="11" t="s">
        <v>2173</v>
      </c>
      <c r="P1405" s="11" t="s">
        <v>2530</v>
      </c>
      <c r="Q1405" s="11" t="s">
        <v>135</v>
      </c>
      <c r="U1405" s="11" t="s">
        <v>178</v>
      </c>
      <c r="V1405" s="11" t="s">
        <v>137</v>
      </c>
      <c r="W1405" s="13">
        <v>46302.314618055556</v>
      </c>
    </row>
    <row r="1406" spans="1:23">
      <c r="A1406">
        <v>284425</v>
      </c>
      <c r="B1406">
        <v>118</v>
      </c>
      <c r="C1406" s="11" t="s">
        <v>129</v>
      </c>
      <c r="D1406" s="11" t="s">
        <v>130</v>
      </c>
      <c r="E1406" s="11" t="s">
        <v>25</v>
      </c>
      <c r="F1406" s="12">
        <v>46262</v>
      </c>
      <c r="G1406" s="11" t="s">
        <v>504</v>
      </c>
      <c r="H1406">
        <v>1</v>
      </c>
      <c r="I1406" s="11" t="s">
        <v>621</v>
      </c>
      <c r="M1406" s="11" t="s">
        <v>53</v>
      </c>
      <c r="N1406" s="11" t="s">
        <v>4150</v>
      </c>
      <c r="O1406" s="11" t="s">
        <v>4151</v>
      </c>
      <c r="P1406" s="11" t="s">
        <v>621</v>
      </c>
      <c r="Q1406" s="11" t="s">
        <v>135</v>
      </c>
      <c r="U1406" s="11" t="s">
        <v>508</v>
      </c>
      <c r="V1406" s="11" t="s">
        <v>137</v>
      </c>
      <c r="W1406" s="13">
        <v>46302.314618055556</v>
      </c>
    </row>
    <row r="1407" spans="1:23">
      <c r="A1407">
        <v>284426</v>
      </c>
      <c r="B1407">
        <v>119</v>
      </c>
      <c r="C1407" s="11" t="s">
        <v>129</v>
      </c>
      <c r="D1407" s="11" t="s">
        <v>130</v>
      </c>
      <c r="E1407" s="11" t="s">
        <v>25</v>
      </c>
      <c r="F1407" s="12">
        <v>46262</v>
      </c>
      <c r="G1407" s="11" t="s">
        <v>1848</v>
      </c>
      <c r="H1407">
        <v>1</v>
      </c>
      <c r="I1407" s="11" t="s">
        <v>2968</v>
      </c>
      <c r="M1407" s="11" t="s">
        <v>56</v>
      </c>
      <c r="N1407" s="11" t="s">
        <v>4152</v>
      </c>
      <c r="O1407" s="11" t="s">
        <v>3315</v>
      </c>
      <c r="P1407" s="11" t="s">
        <v>2968</v>
      </c>
      <c r="Q1407" s="11" t="s">
        <v>135</v>
      </c>
      <c r="U1407" s="11" t="s">
        <v>1852</v>
      </c>
      <c r="V1407" s="11" t="s">
        <v>137</v>
      </c>
      <c r="W1407" s="13">
        <v>46302.314618055556</v>
      </c>
    </row>
    <row r="1408" spans="1:23">
      <c r="A1408">
        <v>284427</v>
      </c>
      <c r="B1408">
        <v>120</v>
      </c>
      <c r="C1408" s="11" t="s">
        <v>129</v>
      </c>
      <c r="D1408" s="11" t="s">
        <v>130</v>
      </c>
      <c r="E1408" s="11" t="s">
        <v>25</v>
      </c>
      <c r="F1408" s="12">
        <v>46262</v>
      </c>
      <c r="G1408" s="11" t="s">
        <v>174</v>
      </c>
      <c r="H1408">
        <v>1</v>
      </c>
      <c r="I1408" s="11" t="s">
        <v>4153</v>
      </c>
      <c r="M1408" s="11" t="s">
        <v>92</v>
      </c>
      <c r="N1408" s="11" t="s">
        <v>4154</v>
      </c>
      <c r="O1408" s="11" t="s">
        <v>4155</v>
      </c>
      <c r="P1408" s="11" t="s">
        <v>4153</v>
      </c>
      <c r="Q1408" s="11" t="s">
        <v>135</v>
      </c>
      <c r="U1408" s="11" t="s">
        <v>178</v>
      </c>
      <c r="V1408" s="11" t="s">
        <v>137</v>
      </c>
      <c r="W1408" s="13">
        <v>46302.314618055556</v>
      </c>
    </row>
    <row r="1409" spans="1:23">
      <c r="A1409">
        <v>284428</v>
      </c>
      <c r="B1409">
        <v>121</v>
      </c>
      <c r="C1409" s="11" t="s">
        <v>129</v>
      </c>
      <c r="D1409" s="11" t="s">
        <v>130</v>
      </c>
      <c r="E1409" s="11" t="s">
        <v>25</v>
      </c>
      <c r="F1409" s="12">
        <v>46262</v>
      </c>
      <c r="G1409" s="11" t="s">
        <v>149</v>
      </c>
      <c r="H1409">
        <v>1</v>
      </c>
      <c r="I1409" s="11" t="s">
        <v>4156</v>
      </c>
      <c r="M1409" s="11" t="s">
        <v>77</v>
      </c>
      <c r="N1409" s="11" t="s">
        <v>4022</v>
      </c>
      <c r="O1409" s="11" t="s">
        <v>4157</v>
      </c>
      <c r="P1409" s="11" t="s">
        <v>4156</v>
      </c>
      <c r="Q1409" s="11" t="s">
        <v>135</v>
      </c>
      <c r="U1409" s="11" t="s">
        <v>153</v>
      </c>
      <c r="V1409" s="11" t="s">
        <v>137</v>
      </c>
      <c r="W1409" s="13">
        <v>46302.314618055556</v>
      </c>
    </row>
    <row r="1410" spans="1:23">
      <c r="A1410">
        <v>284429</v>
      </c>
      <c r="B1410">
        <v>122</v>
      </c>
      <c r="C1410" s="11" t="s">
        <v>129</v>
      </c>
      <c r="D1410" s="11" t="s">
        <v>130</v>
      </c>
      <c r="E1410" s="11" t="s">
        <v>25</v>
      </c>
      <c r="F1410" s="12">
        <v>46262</v>
      </c>
      <c r="G1410" s="11" t="s">
        <v>523</v>
      </c>
      <c r="H1410">
        <v>1</v>
      </c>
      <c r="I1410" s="11" t="s">
        <v>3763</v>
      </c>
      <c r="M1410" s="11" t="s">
        <v>80</v>
      </c>
      <c r="N1410" s="11" t="s">
        <v>4158</v>
      </c>
      <c r="O1410" s="11" t="s">
        <v>4159</v>
      </c>
      <c r="P1410" s="11" t="s">
        <v>3763</v>
      </c>
      <c r="Q1410" s="11" t="s">
        <v>135</v>
      </c>
      <c r="U1410" s="11" t="s">
        <v>527</v>
      </c>
      <c r="V1410" s="11" t="s">
        <v>137</v>
      </c>
      <c r="W1410" s="13">
        <v>46302.314618055556</v>
      </c>
    </row>
    <row r="1411" spans="1:23">
      <c r="A1411">
        <v>284430</v>
      </c>
      <c r="B1411">
        <v>123</v>
      </c>
      <c r="C1411" s="11" t="s">
        <v>129</v>
      </c>
      <c r="D1411" s="11" t="s">
        <v>130</v>
      </c>
      <c r="E1411" s="11" t="s">
        <v>25</v>
      </c>
      <c r="F1411" s="12">
        <v>46262</v>
      </c>
      <c r="G1411" s="11" t="s">
        <v>179</v>
      </c>
      <c r="H1411">
        <v>1</v>
      </c>
      <c r="I1411" s="11" t="s">
        <v>4160</v>
      </c>
      <c r="M1411" s="11" t="s">
        <v>83</v>
      </c>
      <c r="N1411" s="11" t="s">
        <v>4161</v>
      </c>
      <c r="O1411" s="11" t="s">
        <v>4162</v>
      </c>
      <c r="P1411" s="11" t="s">
        <v>4160</v>
      </c>
      <c r="Q1411" s="11" t="s">
        <v>135</v>
      </c>
      <c r="U1411" s="11" t="s">
        <v>183</v>
      </c>
      <c r="V1411" s="11" t="s">
        <v>137</v>
      </c>
      <c r="W1411" s="13">
        <v>46302.314618055556</v>
      </c>
    </row>
    <row r="1412" spans="1:23">
      <c r="A1412">
        <v>284431</v>
      </c>
      <c r="B1412">
        <v>124</v>
      </c>
      <c r="C1412" s="11" t="s">
        <v>129</v>
      </c>
      <c r="D1412" s="11" t="s">
        <v>130</v>
      </c>
      <c r="E1412" s="11" t="s">
        <v>25</v>
      </c>
      <c r="F1412" s="12">
        <v>46262</v>
      </c>
      <c r="G1412" s="11" t="s">
        <v>499</v>
      </c>
      <c r="H1412">
        <v>1</v>
      </c>
      <c r="I1412" s="11" t="s">
        <v>4163</v>
      </c>
      <c r="M1412" s="11" t="s">
        <v>55</v>
      </c>
      <c r="N1412" s="11" t="s">
        <v>4164</v>
      </c>
      <c r="O1412" s="11" t="s">
        <v>4165</v>
      </c>
      <c r="P1412" s="11" t="s">
        <v>4163</v>
      </c>
      <c r="Q1412" s="11" t="s">
        <v>135</v>
      </c>
      <c r="U1412" s="11" t="s">
        <v>503</v>
      </c>
      <c r="V1412" s="11" t="s">
        <v>137</v>
      </c>
      <c r="W1412" s="13">
        <v>46302.314618055556</v>
      </c>
    </row>
    <row r="1413" spans="1:23">
      <c r="A1413">
        <v>284432</v>
      </c>
      <c r="B1413">
        <v>125</v>
      </c>
      <c r="C1413" s="11" t="s">
        <v>129</v>
      </c>
      <c r="D1413" s="11" t="s">
        <v>130</v>
      </c>
      <c r="E1413" s="11" t="s">
        <v>25</v>
      </c>
      <c r="F1413" s="12">
        <v>46262</v>
      </c>
      <c r="G1413" s="11" t="s">
        <v>499</v>
      </c>
      <c r="H1413">
        <v>1</v>
      </c>
      <c r="I1413" s="11" t="s">
        <v>329</v>
      </c>
      <c r="M1413" s="11" t="s">
        <v>55</v>
      </c>
      <c r="N1413" s="11" t="s">
        <v>4166</v>
      </c>
      <c r="O1413" s="11" t="s">
        <v>4167</v>
      </c>
      <c r="P1413" s="11" t="s">
        <v>329</v>
      </c>
      <c r="Q1413" s="11" t="s">
        <v>135</v>
      </c>
      <c r="U1413" s="11" t="s">
        <v>503</v>
      </c>
      <c r="V1413" s="11" t="s">
        <v>137</v>
      </c>
      <c r="W1413" s="13">
        <v>46302.314618055556</v>
      </c>
    </row>
    <row r="1414" spans="1:23">
      <c r="A1414">
        <v>284433</v>
      </c>
      <c r="B1414">
        <v>126</v>
      </c>
      <c r="C1414" s="11" t="s">
        <v>129</v>
      </c>
      <c r="D1414" s="11" t="s">
        <v>130</v>
      </c>
      <c r="E1414" s="11" t="s">
        <v>25</v>
      </c>
      <c r="F1414" s="12">
        <v>46262</v>
      </c>
      <c r="G1414" s="11" t="s">
        <v>212</v>
      </c>
      <c r="H1414">
        <v>1</v>
      </c>
      <c r="I1414" s="11" t="s">
        <v>592</v>
      </c>
      <c r="M1414" s="11" t="s">
        <v>40</v>
      </c>
      <c r="N1414" s="11" t="s">
        <v>4168</v>
      </c>
      <c r="O1414" s="11" t="s">
        <v>4169</v>
      </c>
      <c r="P1414" s="11" t="s">
        <v>592</v>
      </c>
      <c r="Q1414" s="11" t="s">
        <v>135</v>
      </c>
      <c r="U1414" s="11" t="s">
        <v>216</v>
      </c>
      <c r="V1414" s="11" t="s">
        <v>137</v>
      </c>
      <c r="W1414" s="13">
        <v>46302.314618055556</v>
      </c>
    </row>
    <row r="1415" spans="1:23">
      <c r="A1415">
        <v>284434</v>
      </c>
      <c r="B1415">
        <v>127</v>
      </c>
      <c r="C1415" s="11" t="s">
        <v>129</v>
      </c>
      <c r="D1415" s="11" t="s">
        <v>130</v>
      </c>
      <c r="E1415" s="11" t="s">
        <v>25</v>
      </c>
      <c r="F1415" s="12">
        <v>46262</v>
      </c>
      <c r="G1415" s="11" t="s">
        <v>174</v>
      </c>
      <c r="H1415">
        <v>1</v>
      </c>
      <c r="I1415" s="11" t="s">
        <v>1458</v>
      </c>
      <c r="M1415" s="11" t="s">
        <v>92</v>
      </c>
      <c r="N1415" s="11" t="s">
        <v>4170</v>
      </c>
      <c r="O1415" s="11" t="s">
        <v>3907</v>
      </c>
      <c r="P1415" s="11" t="s">
        <v>1458</v>
      </c>
      <c r="Q1415" s="11" t="s">
        <v>135</v>
      </c>
      <c r="U1415" s="11" t="s">
        <v>178</v>
      </c>
      <c r="V1415" s="11" t="s">
        <v>137</v>
      </c>
      <c r="W1415" s="13">
        <v>46302.314618055556</v>
      </c>
    </row>
    <row r="1416" spans="1:23">
      <c r="A1416">
        <v>284435</v>
      </c>
      <c r="B1416">
        <v>128</v>
      </c>
      <c r="C1416" s="11" t="s">
        <v>129</v>
      </c>
      <c r="D1416" s="11" t="s">
        <v>130</v>
      </c>
      <c r="E1416" s="11" t="s">
        <v>25</v>
      </c>
      <c r="F1416" s="12">
        <v>46262</v>
      </c>
      <c r="G1416" s="11" t="s">
        <v>131</v>
      </c>
      <c r="H1416">
        <v>1</v>
      </c>
      <c r="I1416" s="11" t="s">
        <v>246</v>
      </c>
      <c r="M1416" s="11" t="s">
        <v>87</v>
      </c>
      <c r="N1416" s="11" t="s">
        <v>4171</v>
      </c>
      <c r="O1416" s="11" t="s">
        <v>4172</v>
      </c>
      <c r="P1416" s="11" t="s">
        <v>246</v>
      </c>
      <c r="Q1416" s="11" t="s">
        <v>135</v>
      </c>
      <c r="U1416" s="11" t="s">
        <v>136</v>
      </c>
      <c r="V1416" s="11" t="s">
        <v>137</v>
      </c>
      <c r="W1416" s="13">
        <v>46302.314618055556</v>
      </c>
    </row>
    <row r="1417" spans="1:23">
      <c r="A1417">
        <v>284436</v>
      </c>
      <c r="B1417">
        <v>129</v>
      </c>
      <c r="C1417" s="11" t="s">
        <v>129</v>
      </c>
      <c r="D1417" s="11" t="s">
        <v>130</v>
      </c>
      <c r="E1417" s="11" t="s">
        <v>25</v>
      </c>
      <c r="F1417" s="12">
        <v>46262</v>
      </c>
      <c r="G1417" s="11" t="s">
        <v>512</v>
      </c>
      <c r="H1417">
        <v>1</v>
      </c>
      <c r="I1417" s="11" t="s">
        <v>471</v>
      </c>
      <c r="M1417" s="11" t="s">
        <v>44</v>
      </c>
      <c r="N1417" s="11" t="s">
        <v>4173</v>
      </c>
      <c r="O1417" s="11" t="s">
        <v>4174</v>
      </c>
      <c r="P1417" s="11" t="s">
        <v>471</v>
      </c>
      <c r="Q1417" s="11" t="s">
        <v>135</v>
      </c>
      <c r="U1417" s="11" t="s">
        <v>516</v>
      </c>
      <c r="V1417" s="11" t="s">
        <v>137</v>
      </c>
      <c r="W1417" s="13">
        <v>46302.314618055556</v>
      </c>
    </row>
    <row r="1418" spans="1:23">
      <c r="A1418">
        <v>284437</v>
      </c>
      <c r="B1418">
        <v>115</v>
      </c>
      <c r="C1418" s="11" t="s">
        <v>129</v>
      </c>
      <c r="D1418" s="11" t="s">
        <v>130</v>
      </c>
      <c r="E1418" s="11" t="s">
        <v>25</v>
      </c>
      <c r="F1418" s="12">
        <v>46262</v>
      </c>
      <c r="G1418" s="11" t="s">
        <v>222</v>
      </c>
      <c r="H1418">
        <v>1</v>
      </c>
      <c r="I1418" s="11" t="s">
        <v>307</v>
      </c>
      <c r="M1418" s="11" t="s">
        <v>90</v>
      </c>
      <c r="N1418" s="11" t="s">
        <v>4175</v>
      </c>
      <c r="O1418" s="11" t="s">
        <v>4176</v>
      </c>
      <c r="P1418" s="11" t="s">
        <v>307</v>
      </c>
      <c r="Q1418" s="11" t="s">
        <v>135</v>
      </c>
      <c r="R1418">
        <v>114</v>
      </c>
      <c r="U1418" s="11" t="s">
        <v>225</v>
      </c>
      <c r="V1418" s="11" t="s">
        <v>137</v>
      </c>
      <c r="W1418" s="13">
        <v>46302.314618055556</v>
      </c>
    </row>
    <row r="1419" spans="1:23">
      <c r="A1419">
        <v>285185</v>
      </c>
      <c r="B1419">
        <v>130</v>
      </c>
      <c r="C1419" s="11" t="s">
        <v>129</v>
      </c>
      <c r="D1419" s="11" t="s">
        <v>130</v>
      </c>
      <c r="E1419" s="11" t="s">
        <v>25</v>
      </c>
      <c r="F1419" s="12">
        <v>46267</v>
      </c>
      <c r="G1419" s="11" t="s">
        <v>131</v>
      </c>
      <c r="H1419">
        <v>1</v>
      </c>
      <c r="I1419" s="11" t="s">
        <v>505</v>
      </c>
      <c r="M1419" s="11" t="s">
        <v>87</v>
      </c>
      <c r="N1419" s="11" t="s">
        <v>4177</v>
      </c>
      <c r="O1419" s="11" t="s">
        <v>4178</v>
      </c>
      <c r="P1419" s="11" t="s">
        <v>505</v>
      </c>
      <c r="Q1419" s="11" t="s">
        <v>135</v>
      </c>
      <c r="U1419" s="11" t="s">
        <v>136</v>
      </c>
      <c r="V1419" s="11" t="s">
        <v>137</v>
      </c>
      <c r="W1419" s="13">
        <v>46302.314618055556</v>
      </c>
    </row>
    <row r="1420" spans="1:23">
      <c r="A1420">
        <v>285186</v>
      </c>
      <c r="B1420">
        <v>131</v>
      </c>
      <c r="C1420" s="11" t="s">
        <v>129</v>
      </c>
      <c r="D1420" s="11" t="s">
        <v>130</v>
      </c>
      <c r="E1420" s="11" t="s">
        <v>25</v>
      </c>
      <c r="F1420" s="12">
        <v>46267</v>
      </c>
      <c r="G1420" s="11" t="s">
        <v>159</v>
      </c>
      <c r="H1420">
        <v>1</v>
      </c>
      <c r="I1420" s="11" t="s">
        <v>4179</v>
      </c>
      <c r="M1420" s="11" t="s">
        <v>95</v>
      </c>
      <c r="N1420" s="11" t="s">
        <v>4180</v>
      </c>
      <c r="O1420" s="11" t="s">
        <v>4181</v>
      </c>
      <c r="P1420" s="11" t="s">
        <v>4179</v>
      </c>
      <c r="Q1420" s="11" t="s">
        <v>135</v>
      </c>
      <c r="U1420" s="11" t="s">
        <v>163</v>
      </c>
      <c r="V1420" s="11" t="s">
        <v>137</v>
      </c>
      <c r="W1420" s="13">
        <v>46302.314618055556</v>
      </c>
    </row>
    <row r="1421" spans="1:23">
      <c r="A1421">
        <v>285187</v>
      </c>
      <c r="B1421">
        <v>132</v>
      </c>
      <c r="C1421" s="11" t="s">
        <v>129</v>
      </c>
      <c r="D1421" s="11" t="s">
        <v>130</v>
      </c>
      <c r="E1421" s="11" t="s">
        <v>25</v>
      </c>
      <c r="F1421" s="12">
        <v>46267</v>
      </c>
      <c r="G1421" s="11" t="s">
        <v>222</v>
      </c>
      <c r="H1421">
        <v>1</v>
      </c>
      <c r="I1421" s="11" t="s">
        <v>2851</v>
      </c>
      <c r="M1421" s="11" t="s">
        <v>90</v>
      </c>
      <c r="N1421" s="11" t="s">
        <v>2780</v>
      </c>
      <c r="O1421" s="11" t="s">
        <v>3533</v>
      </c>
      <c r="P1421" s="11" t="s">
        <v>2851</v>
      </c>
      <c r="Q1421" s="11" t="s">
        <v>135</v>
      </c>
      <c r="U1421" s="11" t="s">
        <v>225</v>
      </c>
      <c r="V1421" s="11" t="s">
        <v>137</v>
      </c>
      <c r="W1421" s="13">
        <v>46302.314618055556</v>
      </c>
    </row>
    <row r="1422" spans="1:23">
      <c r="A1422">
        <v>285188</v>
      </c>
      <c r="B1422">
        <v>133</v>
      </c>
      <c r="C1422" s="11" t="s">
        <v>129</v>
      </c>
      <c r="D1422" s="11" t="s">
        <v>130</v>
      </c>
      <c r="E1422" s="11" t="s">
        <v>25</v>
      </c>
      <c r="F1422" s="12">
        <v>46267</v>
      </c>
      <c r="G1422" s="11" t="s">
        <v>138</v>
      </c>
      <c r="H1422">
        <v>1</v>
      </c>
      <c r="I1422" s="11" t="s">
        <v>4182</v>
      </c>
      <c r="M1422" s="11" t="s">
        <v>89</v>
      </c>
      <c r="N1422" s="11" t="s">
        <v>4183</v>
      </c>
      <c r="O1422" s="11" t="s">
        <v>4184</v>
      </c>
      <c r="P1422" s="11" t="s">
        <v>4182</v>
      </c>
      <c r="Q1422" s="11" t="s">
        <v>135</v>
      </c>
      <c r="U1422" s="11" t="s">
        <v>142</v>
      </c>
      <c r="V1422" s="11" t="s">
        <v>137</v>
      </c>
      <c r="W1422" s="13">
        <v>46302.314618055556</v>
      </c>
    </row>
    <row r="1423" spans="1:23">
      <c r="A1423">
        <v>285189</v>
      </c>
      <c r="B1423">
        <v>134</v>
      </c>
      <c r="C1423" s="11" t="s">
        <v>129</v>
      </c>
      <c r="D1423" s="11" t="s">
        <v>130</v>
      </c>
      <c r="E1423" s="11" t="s">
        <v>25</v>
      </c>
      <c r="F1423" s="12">
        <v>46267</v>
      </c>
      <c r="G1423" s="11" t="s">
        <v>499</v>
      </c>
      <c r="H1423">
        <v>1</v>
      </c>
      <c r="I1423" s="11" t="s">
        <v>1275</v>
      </c>
      <c r="M1423" s="11" t="s">
        <v>55</v>
      </c>
      <c r="N1423" s="11" t="s">
        <v>4185</v>
      </c>
      <c r="O1423" s="11" t="s">
        <v>4186</v>
      </c>
      <c r="P1423" s="11" t="s">
        <v>1275</v>
      </c>
      <c r="Q1423" s="11" t="s">
        <v>135</v>
      </c>
      <c r="U1423" s="11" t="s">
        <v>503</v>
      </c>
      <c r="V1423" s="11" t="s">
        <v>137</v>
      </c>
      <c r="W1423" s="13">
        <v>46302.314618055556</v>
      </c>
    </row>
    <row r="1424" spans="1:23">
      <c r="A1424">
        <v>285190</v>
      </c>
      <c r="B1424">
        <v>135</v>
      </c>
      <c r="C1424" s="11" t="s">
        <v>129</v>
      </c>
      <c r="D1424" s="11" t="s">
        <v>130</v>
      </c>
      <c r="E1424" s="11" t="s">
        <v>25</v>
      </c>
      <c r="F1424" s="12">
        <v>46267</v>
      </c>
      <c r="G1424" s="11" t="s">
        <v>499</v>
      </c>
      <c r="H1424">
        <v>1</v>
      </c>
      <c r="I1424" s="11" t="s">
        <v>4187</v>
      </c>
      <c r="M1424" s="11" t="s">
        <v>55</v>
      </c>
      <c r="N1424" s="11" t="s">
        <v>4188</v>
      </c>
      <c r="O1424" s="11" t="s">
        <v>4189</v>
      </c>
      <c r="P1424" s="11" t="s">
        <v>4187</v>
      </c>
      <c r="Q1424" s="11" t="s">
        <v>135</v>
      </c>
      <c r="U1424" s="11" t="s">
        <v>503</v>
      </c>
      <c r="V1424" s="11" t="s">
        <v>137</v>
      </c>
      <c r="W1424" s="13">
        <v>46302.314618055556</v>
      </c>
    </row>
    <row r="1425" spans="1:23">
      <c r="A1425">
        <v>285191</v>
      </c>
      <c r="B1425">
        <v>136</v>
      </c>
      <c r="C1425" s="11" t="s">
        <v>129</v>
      </c>
      <c r="D1425" s="11" t="s">
        <v>130</v>
      </c>
      <c r="E1425" s="11" t="s">
        <v>25</v>
      </c>
      <c r="F1425" s="12">
        <v>46267</v>
      </c>
      <c r="G1425" s="11" t="s">
        <v>512</v>
      </c>
      <c r="H1425">
        <v>1</v>
      </c>
      <c r="I1425" s="11" t="s">
        <v>1257</v>
      </c>
      <c r="M1425" s="11" t="s">
        <v>44</v>
      </c>
      <c r="N1425" s="11" t="s">
        <v>4190</v>
      </c>
      <c r="O1425" s="11" t="s">
        <v>4191</v>
      </c>
      <c r="P1425" s="11" t="s">
        <v>1257</v>
      </c>
      <c r="Q1425" s="11" t="s">
        <v>135</v>
      </c>
      <c r="U1425" s="11" t="s">
        <v>516</v>
      </c>
      <c r="V1425" s="11" t="s">
        <v>137</v>
      </c>
      <c r="W1425" s="13">
        <v>46302.314618055556</v>
      </c>
    </row>
    <row r="1426" spans="1:23">
      <c r="A1426">
        <v>285192</v>
      </c>
      <c r="B1426">
        <v>137</v>
      </c>
      <c r="C1426" s="11" t="s">
        <v>129</v>
      </c>
      <c r="D1426" s="11" t="s">
        <v>130</v>
      </c>
      <c r="E1426" s="11" t="s">
        <v>25</v>
      </c>
      <c r="F1426" s="12">
        <v>46267</v>
      </c>
      <c r="G1426" s="11" t="s">
        <v>512</v>
      </c>
      <c r="H1426">
        <v>1</v>
      </c>
      <c r="I1426" s="11" t="s">
        <v>4192</v>
      </c>
      <c r="M1426" s="11" t="s">
        <v>44</v>
      </c>
      <c r="N1426" s="11" t="s">
        <v>4193</v>
      </c>
      <c r="O1426" s="11" t="s">
        <v>4194</v>
      </c>
      <c r="P1426" s="11" t="s">
        <v>4192</v>
      </c>
      <c r="Q1426" s="11" t="s">
        <v>135</v>
      </c>
      <c r="U1426" s="11" t="s">
        <v>516</v>
      </c>
      <c r="V1426" s="11" t="s">
        <v>137</v>
      </c>
      <c r="W1426" s="13">
        <v>46302.314618055556</v>
      </c>
    </row>
    <row r="1427" spans="1:23">
      <c r="A1427">
        <v>285193</v>
      </c>
      <c r="B1427">
        <v>138</v>
      </c>
      <c r="C1427" s="11" t="s">
        <v>129</v>
      </c>
      <c r="D1427" s="11" t="s">
        <v>130</v>
      </c>
      <c r="E1427" s="11" t="s">
        <v>25</v>
      </c>
      <c r="F1427" s="12">
        <v>46267</v>
      </c>
      <c r="G1427" s="11" t="s">
        <v>131</v>
      </c>
      <c r="H1427">
        <v>1</v>
      </c>
      <c r="I1427" s="11" t="s">
        <v>4195</v>
      </c>
      <c r="M1427" s="11" t="s">
        <v>87</v>
      </c>
      <c r="N1427" s="11" t="s">
        <v>4196</v>
      </c>
      <c r="O1427" s="11" t="s">
        <v>4197</v>
      </c>
      <c r="P1427" s="11" t="s">
        <v>4195</v>
      </c>
      <c r="Q1427" s="11" t="s">
        <v>135</v>
      </c>
      <c r="U1427" s="11" t="s">
        <v>136</v>
      </c>
      <c r="V1427" s="11" t="s">
        <v>137</v>
      </c>
      <c r="W1427" s="13">
        <v>46302.314618055556</v>
      </c>
    </row>
    <row r="1428" spans="1:23">
      <c r="A1428">
        <v>285194</v>
      </c>
      <c r="B1428">
        <v>139</v>
      </c>
      <c r="C1428" s="11" t="s">
        <v>129</v>
      </c>
      <c r="D1428" s="11" t="s">
        <v>130</v>
      </c>
      <c r="E1428" s="11" t="s">
        <v>25</v>
      </c>
      <c r="F1428" s="12">
        <v>46267</v>
      </c>
      <c r="G1428" s="11" t="s">
        <v>512</v>
      </c>
      <c r="H1428">
        <v>1</v>
      </c>
      <c r="I1428" s="11" t="s">
        <v>4198</v>
      </c>
      <c r="M1428" s="11" t="s">
        <v>44</v>
      </c>
      <c r="N1428" s="11" t="s">
        <v>4199</v>
      </c>
      <c r="O1428" s="11" t="s">
        <v>4200</v>
      </c>
      <c r="P1428" s="11" t="s">
        <v>4198</v>
      </c>
      <c r="Q1428" s="11" t="s">
        <v>135</v>
      </c>
      <c r="U1428" s="11" t="s">
        <v>516</v>
      </c>
      <c r="V1428" s="11" t="s">
        <v>137</v>
      </c>
      <c r="W1428" s="13">
        <v>46302.314618055556</v>
      </c>
    </row>
    <row r="1429" spans="1:23">
      <c r="A1429">
        <v>285195</v>
      </c>
      <c r="B1429">
        <v>140</v>
      </c>
      <c r="C1429" s="11" t="s">
        <v>129</v>
      </c>
      <c r="D1429" s="11" t="s">
        <v>130</v>
      </c>
      <c r="E1429" s="11" t="s">
        <v>25</v>
      </c>
      <c r="F1429" s="12">
        <v>46267</v>
      </c>
      <c r="G1429" s="11" t="s">
        <v>195</v>
      </c>
      <c r="H1429">
        <v>1</v>
      </c>
      <c r="I1429" s="11" t="s">
        <v>1967</v>
      </c>
      <c r="M1429" s="11" t="s">
        <v>68</v>
      </c>
      <c r="N1429" s="11" t="s">
        <v>4201</v>
      </c>
      <c r="O1429" s="11" t="s">
        <v>4202</v>
      </c>
      <c r="P1429" s="11" t="s">
        <v>1967</v>
      </c>
      <c r="Q1429" s="11" t="s">
        <v>135</v>
      </c>
      <c r="U1429" s="11" t="s">
        <v>199</v>
      </c>
      <c r="V1429" s="11" t="s">
        <v>137</v>
      </c>
      <c r="W1429" s="13">
        <v>46302.314618055556</v>
      </c>
    </row>
    <row r="1430" spans="1:23">
      <c r="A1430">
        <v>285196</v>
      </c>
      <c r="B1430">
        <v>141</v>
      </c>
      <c r="C1430" s="11" t="s">
        <v>129</v>
      </c>
      <c r="D1430" s="11" t="s">
        <v>130</v>
      </c>
      <c r="E1430" s="11" t="s">
        <v>25</v>
      </c>
      <c r="F1430" s="12">
        <v>46267</v>
      </c>
      <c r="G1430" s="11" t="s">
        <v>1848</v>
      </c>
      <c r="H1430">
        <v>1</v>
      </c>
      <c r="I1430" s="11" t="s">
        <v>1505</v>
      </c>
      <c r="M1430" s="11" t="s">
        <v>56</v>
      </c>
      <c r="N1430" s="11" t="s">
        <v>4203</v>
      </c>
      <c r="O1430" s="11" t="s">
        <v>4204</v>
      </c>
      <c r="P1430" s="11" t="s">
        <v>1505</v>
      </c>
      <c r="Q1430" s="11" t="s">
        <v>135</v>
      </c>
      <c r="U1430" s="11" t="s">
        <v>1852</v>
      </c>
      <c r="V1430" s="11" t="s">
        <v>137</v>
      </c>
      <c r="W1430" s="13">
        <v>46302.314618055556</v>
      </c>
    </row>
    <row r="1431" spans="1:23">
      <c r="A1431">
        <v>285197</v>
      </c>
      <c r="B1431">
        <v>142</v>
      </c>
      <c r="C1431" s="11" t="s">
        <v>129</v>
      </c>
      <c r="D1431" s="11" t="s">
        <v>130</v>
      </c>
      <c r="E1431" s="11" t="s">
        <v>25</v>
      </c>
      <c r="F1431" s="12">
        <v>46267</v>
      </c>
      <c r="G1431" s="11" t="s">
        <v>174</v>
      </c>
      <c r="H1431">
        <v>1</v>
      </c>
      <c r="I1431" s="11" t="s">
        <v>951</v>
      </c>
      <c r="M1431" s="11" t="s">
        <v>92</v>
      </c>
      <c r="N1431" s="11" t="s">
        <v>4205</v>
      </c>
      <c r="O1431" s="11" t="s">
        <v>4206</v>
      </c>
      <c r="P1431" s="11" t="s">
        <v>951</v>
      </c>
      <c r="Q1431" s="11" t="s">
        <v>135</v>
      </c>
      <c r="U1431" s="11" t="s">
        <v>178</v>
      </c>
      <c r="V1431" s="11" t="s">
        <v>137</v>
      </c>
      <c r="W1431" s="13">
        <v>46302.314618055556</v>
      </c>
    </row>
    <row r="1432" spans="1:23">
      <c r="A1432">
        <v>285198</v>
      </c>
      <c r="B1432">
        <v>143</v>
      </c>
      <c r="C1432" s="11" t="s">
        <v>129</v>
      </c>
      <c r="D1432" s="11" t="s">
        <v>130</v>
      </c>
      <c r="E1432" s="11" t="s">
        <v>25</v>
      </c>
      <c r="F1432" s="12">
        <v>46267</v>
      </c>
      <c r="G1432" s="11" t="s">
        <v>131</v>
      </c>
      <c r="H1432">
        <v>1</v>
      </c>
      <c r="I1432" s="11" t="s">
        <v>1358</v>
      </c>
      <c r="M1432" s="11" t="s">
        <v>87</v>
      </c>
      <c r="N1432" s="11" t="s">
        <v>758</v>
      </c>
      <c r="O1432" s="11" t="s">
        <v>4207</v>
      </c>
      <c r="P1432" s="11" t="s">
        <v>1358</v>
      </c>
      <c r="Q1432" s="11" t="s">
        <v>135</v>
      </c>
      <c r="U1432" s="11" t="s">
        <v>136</v>
      </c>
      <c r="V1432" s="11" t="s">
        <v>137</v>
      </c>
      <c r="W1432" s="13">
        <v>46302.314618055556</v>
      </c>
    </row>
    <row r="1433" spans="1:23">
      <c r="A1433">
        <v>285199</v>
      </c>
      <c r="B1433">
        <v>144</v>
      </c>
      <c r="C1433" s="11" t="s">
        <v>129</v>
      </c>
      <c r="D1433" s="11" t="s">
        <v>130</v>
      </c>
      <c r="E1433" s="11" t="s">
        <v>25</v>
      </c>
      <c r="F1433" s="12">
        <v>46267</v>
      </c>
      <c r="G1433" s="11" t="s">
        <v>1848</v>
      </c>
      <c r="H1433">
        <v>1</v>
      </c>
      <c r="I1433" s="11" t="s">
        <v>4034</v>
      </c>
      <c r="M1433" s="11" t="s">
        <v>56</v>
      </c>
      <c r="N1433" s="11" t="s">
        <v>4208</v>
      </c>
      <c r="O1433" s="11" t="s">
        <v>4209</v>
      </c>
      <c r="P1433" s="11" t="s">
        <v>4034</v>
      </c>
      <c r="Q1433" s="11" t="s">
        <v>135</v>
      </c>
      <c r="U1433" s="11" t="s">
        <v>1852</v>
      </c>
      <c r="V1433" s="11" t="s">
        <v>137</v>
      </c>
      <c r="W1433" s="13">
        <v>46302.314618055556</v>
      </c>
    </row>
    <row r="1434" spans="1:23">
      <c r="A1434">
        <v>285200</v>
      </c>
      <c r="B1434">
        <v>145</v>
      </c>
      <c r="C1434" s="11" t="s">
        <v>129</v>
      </c>
      <c r="D1434" s="11" t="s">
        <v>130</v>
      </c>
      <c r="E1434" s="11" t="s">
        <v>25</v>
      </c>
      <c r="F1434" s="12">
        <v>46267</v>
      </c>
      <c r="G1434" s="11" t="s">
        <v>512</v>
      </c>
      <c r="H1434">
        <v>1</v>
      </c>
      <c r="I1434" s="11" t="s">
        <v>4210</v>
      </c>
      <c r="M1434" s="11" t="s">
        <v>44</v>
      </c>
      <c r="N1434" s="11" t="s">
        <v>4211</v>
      </c>
      <c r="O1434" s="11" t="s">
        <v>4212</v>
      </c>
      <c r="P1434" s="11" t="s">
        <v>4210</v>
      </c>
      <c r="Q1434" s="11" t="s">
        <v>135</v>
      </c>
      <c r="U1434" s="11" t="s">
        <v>516</v>
      </c>
      <c r="V1434" s="11" t="s">
        <v>137</v>
      </c>
      <c r="W1434" s="13">
        <v>46302.314618055556</v>
      </c>
    </row>
    <row r="1435" spans="1:23">
      <c r="A1435">
        <v>285201</v>
      </c>
      <c r="B1435">
        <v>146</v>
      </c>
      <c r="C1435" s="11" t="s">
        <v>129</v>
      </c>
      <c r="D1435" s="11" t="s">
        <v>130</v>
      </c>
      <c r="E1435" s="11" t="s">
        <v>25</v>
      </c>
      <c r="F1435" s="12">
        <v>46267</v>
      </c>
      <c r="G1435" s="11" t="s">
        <v>174</v>
      </c>
      <c r="H1435">
        <v>1</v>
      </c>
      <c r="I1435" s="11" t="s">
        <v>4213</v>
      </c>
      <c r="M1435" s="11" t="s">
        <v>92</v>
      </c>
      <c r="N1435" s="11" t="s">
        <v>4214</v>
      </c>
      <c r="O1435" s="11" t="s">
        <v>4215</v>
      </c>
      <c r="P1435" s="11" t="s">
        <v>4213</v>
      </c>
      <c r="Q1435" s="11" t="s">
        <v>135</v>
      </c>
      <c r="U1435" s="11" t="s">
        <v>178</v>
      </c>
      <c r="V1435" s="11" t="s">
        <v>137</v>
      </c>
      <c r="W1435" s="13">
        <v>46302.314618055556</v>
      </c>
    </row>
    <row r="1436" spans="1:23">
      <c r="A1436">
        <v>285202</v>
      </c>
      <c r="B1436">
        <v>147</v>
      </c>
      <c r="C1436" s="11" t="s">
        <v>129</v>
      </c>
      <c r="D1436" s="11" t="s">
        <v>130</v>
      </c>
      <c r="E1436" s="11" t="s">
        <v>25</v>
      </c>
      <c r="F1436" s="12">
        <v>46267</v>
      </c>
      <c r="G1436" s="11" t="s">
        <v>179</v>
      </c>
      <c r="H1436">
        <v>1</v>
      </c>
      <c r="I1436" s="11" t="s">
        <v>2991</v>
      </c>
      <c r="M1436" s="11" t="s">
        <v>83</v>
      </c>
      <c r="N1436" s="11" t="s">
        <v>1001</v>
      </c>
      <c r="O1436" s="11" t="s">
        <v>4216</v>
      </c>
      <c r="P1436" s="11" t="s">
        <v>2991</v>
      </c>
      <c r="Q1436" s="11" t="s">
        <v>135</v>
      </c>
      <c r="U1436" s="11" t="s">
        <v>183</v>
      </c>
      <c r="V1436" s="11" t="s">
        <v>137</v>
      </c>
      <c r="W1436" s="13">
        <v>46302.314618055556</v>
      </c>
    </row>
    <row r="1437" spans="1:23">
      <c r="A1437">
        <v>285203</v>
      </c>
      <c r="B1437">
        <v>148</v>
      </c>
      <c r="C1437" s="11" t="s">
        <v>129</v>
      </c>
      <c r="D1437" s="11" t="s">
        <v>130</v>
      </c>
      <c r="E1437" s="11" t="s">
        <v>25</v>
      </c>
      <c r="F1437" s="12">
        <v>46267</v>
      </c>
      <c r="G1437" s="11" t="s">
        <v>523</v>
      </c>
      <c r="H1437">
        <v>1</v>
      </c>
      <c r="I1437" s="11" t="s">
        <v>4217</v>
      </c>
      <c r="M1437" s="11" t="s">
        <v>80</v>
      </c>
      <c r="N1437" s="11" t="s">
        <v>4218</v>
      </c>
      <c r="O1437" s="11" t="s">
        <v>4219</v>
      </c>
      <c r="P1437" s="11" t="s">
        <v>4217</v>
      </c>
      <c r="Q1437" s="11" t="s">
        <v>135</v>
      </c>
      <c r="U1437" s="11" t="s">
        <v>527</v>
      </c>
      <c r="V1437" s="11" t="s">
        <v>137</v>
      </c>
      <c r="W1437" s="13">
        <v>46302.314618055556</v>
      </c>
    </row>
    <row r="1438" spans="1:23">
      <c r="A1438">
        <v>285204</v>
      </c>
      <c r="B1438">
        <v>149</v>
      </c>
      <c r="C1438" s="11" t="s">
        <v>129</v>
      </c>
      <c r="D1438" s="11" t="s">
        <v>130</v>
      </c>
      <c r="E1438" s="11" t="s">
        <v>25</v>
      </c>
      <c r="F1438" s="12">
        <v>46267</v>
      </c>
      <c r="G1438" s="11" t="s">
        <v>131</v>
      </c>
      <c r="H1438">
        <v>1</v>
      </c>
      <c r="I1438" s="11" t="s">
        <v>4195</v>
      </c>
      <c r="M1438" s="11" t="s">
        <v>87</v>
      </c>
      <c r="N1438" s="11" t="s">
        <v>4220</v>
      </c>
      <c r="O1438" s="11" t="s">
        <v>4221</v>
      </c>
      <c r="P1438" s="11" t="s">
        <v>4195</v>
      </c>
      <c r="Q1438" s="11" t="s">
        <v>135</v>
      </c>
      <c r="U1438" s="11" t="s">
        <v>136</v>
      </c>
      <c r="V1438" s="11" t="s">
        <v>137</v>
      </c>
      <c r="W1438" s="13">
        <v>46302.314618055556</v>
      </c>
    </row>
    <row r="1439" spans="1:23">
      <c r="A1439">
        <v>285205</v>
      </c>
      <c r="B1439">
        <v>150</v>
      </c>
      <c r="C1439" s="11" t="s">
        <v>129</v>
      </c>
      <c r="D1439" s="11" t="s">
        <v>130</v>
      </c>
      <c r="E1439" s="11" t="s">
        <v>25</v>
      </c>
      <c r="F1439" s="12">
        <v>46267</v>
      </c>
      <c r="G1439" s="11" t="s">
        <v>512</v>
      </c>
      <c r="H1439">
        <v>1</v>
      </c>
      <c r="I1439" s="11" t="s">
        <v>4222</v>
      </c>
      <c r="M1439" s="11" t="s">
        <v>44</v>
      </c>
      <c r="N1439" s="11" t="s">
        <v>4223</v>
      </c>
      <c r="O1439" s="11" t="s">
        <v>4224</v>
      </c>
      <c r="P1439" s="11" t="s">
        <v>4222</v>
      </c>
      <c r="Q1439" s="11" t="s">
        <v>135</v>
      </c>
      <c r="U1439" s="11" t="s">
        <v>516</v>
      </c>
      <c r="V1439" s="11" t="s">
        <v>137</v>
      </c>
      <c r="W1439" s="13">
        <v>46302.314618055556</v>
      </c>
    </row>
    <row r="1440" spans="1:23">
      <c r="A1440">
        <v>285206</v>
      </c>
      <c r="B1440">
        <v>151</v>
      </c>
      <c r="C1440" s="11" t="s">
        <v>129</v>
      </c>
      <c r="D1440" s="11" t="s">
        <v>130</v>
      </c>
      <c r="E1440" s="11" t="s">
        <v>25</v>
      </c>
      <c r="F1440" s="12">
        <v>46267</v>
      </c>
      <c r="G1440" s="11" t="s">
        <v>1823</v>
      </c>
      <c r="H1440">
        <v>1</v>
      </c>
      <c r="I1440" s="11" t="s">
        <v>754</v>
      </c>
      <c r="M1440" s="11" t="s">
        <v>61</v>
      </c>
      <c r="N1440" s="11" t="s">
        <v>4225</v>
      </c>
      <c r="O1440" s="11" t="s">
        <v>4226</v>
      </c>
      <c r="P1440" s="11" t="s">
        <v>754</v>
      </c>
      <c r="Q1440" s="11" t="s">
        <v>135</v>
      </c>
      <c r="U1440" s="11" t="s">
        <v>1827</v>
      </c>
      <c r="V1440" s="11" t="s">
        <v>137</v>
      </c>
      <c r="W1440" s="13">
        <v>46302.314618055556</v>
      </c>
    </row>
    <row r="1441" spans="1:23">
      <c r="A1441">
        <v>285207</v>
      </c>
      <c r="B1441">
        <v>152</v>
      </c>
      <c r="C1441" s="11" t="s">
        <v>129</v>
      </c>
      <c r="D1441" s="11" t="s">
        <v>130</v>
      </c>
      <c r="E1441" s="11" t="s">
        <v>25</v>
      </c>
      <c r="F1441" s="12">
        <v>46267</v>
      </c>
      <c r="G1441" s="11" t="s">
        <v>1848</v>
      </c>
      <c r="H1441">
        <v>1</v>
      </c>
      <c r="I1441" s="11" t="s">
        <v>1752</v>
      </c>
      <c r="M1441" s="11" t="s">
        <v>56</v>
      </c>
      <c r="N1441" s="11" t="s">
        <v>4227</v>
      </c>
      <c r="O1441" s="11" t="s">
        <v>1714</v>
      </c>
      <c r="P1441" s="11" t="s">
        <v>1752</v>
      </c>
      <c r="Q1441" s="11" t="s">
        <v>135</v>
      </c>
      <c r="U1441" s="11" t="s">
        <v>1852</v>
      </c>
      <c r="V1441" s="11" t="s">
        <v>137</v>
      </c>
      <c r="W1441" s="13">
        <v>46302.314618055556</v>
      </c>
    </row>
    <row r="1442" spans="1:23">
      <c r="A1442">
        <v>285208</v>
      </c>
      <c r="B1442">
        <v>153</v>
      </c>
      <c r="C1442" s="11" t="s">
        <v>129</v>
      </c>
      <c r="D1442" s="11" t="s">
        <v>130</v>
      </c>
      <c r="E1442" s="11" t="s">
        <v>25</v>
      </c>
      <c r="F1442" s="12">
        <v>46267</v>
      </c>
      <c r="G1442" s="11" t="s">
        <v>174</v>
      </c>
      <c r="H1442">
        <v>1</v>
      </c>
      <c r="I1442" s="11" t="s">
        <v>4228</v>
      </c>
      <c r="M1442" s="11" t="s">
        <v>92</v>
      </c>
      <c r="N1442" s="11" t="s">
        <v>4229</v>
      </c>
      <c r="O1442" s="11" t="s">
        <v>4230</v>
      </c>
      <c r="P1442" s="11" t="s">
        <v>4228</v>
      </c>
      <c r="Q1442" s="11" t="s">
        <v>135</v>
      </c>
      <c r="U1442" s="11" t="s">
        <v>178</v>
      </c>
      <c r="V1442" s="11" t="s">
        <v>137</v>
      </c>
      <c r="W1442" s="13">
        <v>46302.314618055556</v>
      </c>
    </row>
    <row r="1443" spans="1:23">
      <c r="A1443">
        <v>285209</v>
      </c>
      <c r="B1443">
        <v>154</v>
      </c>
      <c r="C1443" s="11" t="s">
        <v>129</v>
      </c>
      <c r="D1443" s="11" t="s">
        <v>130</v>
      </c>
      <c r="E1443" s="11" t="s">
        <v>25</v>
      </c>
      <c r="F1443" s="12">
        <v>46267</v>
      </c>
      <c r="G1443" s="11" t="s">
        <v>1361</v>
      </c>
      <c r="H1443">
        <v>6</v>
      </c>
      <c r="I1443" s="11" t="s">
        <v>4231</v>
      </c>
      <c r="M1443" s="11" t="s">
        <v>58</v>
      </c>
      <c r="N1443" s="11" t="s">
        <v>4232</v>
      </c>
      <c r="O1443" s="11" t="s">
        <v>4233</v>
      </c>
      <c r="P1443" s="11" t="s">
        <v>4234</v>
      </c>
      <c r="Q1443" s="11" t="s">
        <v>135</v>
      </c>
      <c r="U1443" s="11" t="s">
        <v>1365</v>
      </c>
      <c r="V1443" s="11" t="s">
        <v>137</v>
      </c>
      <c r="W1443" s="13">
        <v>46302.314618055556</v>
      </c>
    </row>
    <row r="1444" spans="1:23">
      <c r="A1444">
        <v>285210</v>
      </c>
      <c r="B1444">
        <v>155</v>
      </c>
      <c r="C1444" s="11" t="s">
        <v>129</v>
      </c>
      <c r="D1444" s="11" t="s">
        <v>130</v>
      </c>
      <c r="E1444" s="11" t="s">
        <v>25</v>
      </c>
      <c r="F1444" s="12">
        <v>46267</v>
      </c>
      <c r="G1444" s="11" t="s">
        <v>217</v>
      </c>
      <c r="H1444">
        <v>1</v>
      </c>
      <c r="I1444" s="11" t="s">
        <v>2192</v>
      </c>
      <c r="M1444" s="11" t="s">
        <v>86</v>
      </c>
      <c r="N1444" s="11" t="s">
        <v>4235</v>
      </c>
      <c r="O1444" s="11" t="s">
        <v>4236</v>
      </c>
      <c r="P1444" s="11" t="s">
        <v>2192</v>
      </c>
      <c r="Q1444" s="11" t="s">
        <v>135</v>
      </c>
      <c r="U1444" s="11" t="s">
        <v>221</v>
      </c>
      <c r="V1444" s="11" t="s">
        <v>137</v>
      </c>
      <c r="W1444" s="13">
        <v>46302.314618055556</v>
      </c>
    </row>
    <row r="1445" spans="1:23">
      <c r="A1445">
        <v>285701</v>
      </c>
      <c r="B1445">
        <v>156</v>
      </c>
      <c r="C1445" s="11" t="s">
        <v>129</v>
      </c>
      <c r="D1445" s="11" t="s">
        <v>130</v>
      </c>
      <c r="E1445" s="11" t="s">
        <v>25</v>
      </c>
      <c r="F1445" s="12">
        <v>46269</v>
      </c>
      <c r="G1445" s="11" t="s">
        <v>226</v>
      </c>
      <c r="H1445">
        <v>1</v>
      </c>
      <c r="I1445" s="11" t="s">
        <v>4237</v>
      </c>
      <c r="M1445" s="11" t="s">
        <v>87</v>
      </c>
      <c r="N1445" s="11" t="s">
        <v>4238</v>
      </c>
      <c r="O1445" s="11" t="s">
        <v>978</v>
      </c>
      <c r="P1445" s="11" t="s">
        <v>4237</v>
      </c>
      <c r="Q1445" s="11" t="s">
        <v>135</v>
      </c>
      <c r="U1445" s="11" t="s">
        <v>231</v>
      </c>
      <c r="V1445" s="11" t="s">
        <v>137</v>
      </c>
      <c r="W1445" s="13">
        <v>46302.314618055556</v>
      </c>
    </row>
    <row r="1446" spans="1:23">
      <c r="A1446">
        <v>285702</v>
      </c>
      <c r="B1446">
        <v>157</v>
      </c>
      <c r="C1446" s="11" t="s">
        <v>129</v>
      </c>
      <c r="D1446" s="11" t="s">
        <v>130</v>
      </c>
      <c r="E1446" s="11" t="s">
        <v>25</v>
      </c>
      <c r="F1446" s="12">
        <v>46269</v>
      </c>
      <c r="G1446" s="11" t="s">
        <v>308</v>
      </c>
      <c r="H1446">
        <v>1</v>
      </c>
      <c r="I1446" s="11" t="s">
        <v>1241</v>
      </c>
      <c r="M1446" s="11" t="s">
        <v>90</v>
      </c>
      <c r="N1446" s="11" t="s">
        <v>1130</v>
      </c>
      <c r="O1446" s="11" t="s">
        <v>4239</v>
      </c>
      <c r="P1446" s="11" t="s">
        <v>1241</v>
      </c>
      <c r="Q1446" s="11" t="s">
        <v>135</v>
      </c>
      <c r="U1446" s="11" t="s">
        <v>311</v>
      </c>
      <c r="V1446" s="11" t="s">
        <v>137</v>
      </c>
      <c r="W1446" s="13">
        <v>46302.314618055556</v>
      </c>
    </row>
    <row r="1447" spans="1:23">
      <c r="A1447">
        <v>285703</v>
      </c>
      <c r="B1447">
        <v>158</v>
      </c>
      <c r="C1447" s="11" t="s">
        <v>129</v>
      </c>
      <c r="D1447" s="11" t="s">
        <v>130</v>
      </c>
      <c r="E1447" s="11" t="s">
        <v>25</v>
      </c>
      <c r="F1447" s="12">
        <v>46269</v>
      </c>
      <c r="G1447" s="11" t="s">
        <v>4240</v>
      </c>
      <c r="H1447">
        <v>1</v>
      </c>
      <c r="I1447" s="11" t="s">
        <v>4241</v>
      </c>
      <c r="M1447" s="11" t="s">
        <v>88</v>
      </c>
      <c r="N1447" s="11" t="s">
        <v>4242</v>
      </c>
      <c r="O1447" s="11" t="s">
        <v>4243</v>
      </c>
      <c r="P1447" s="11" t="s">
        <v>4241</v>
      </c>
      <c r="Q1447" s="11" t="s">
        <v>135</v>
      </c>
      <c r="U1447" s="11" t="s">
        <v>4244</v>
      </c>
      <c r="V1447" s="11" t="s">
        <v>137</v>
      </c>
      <c r="W1447" s="13">
        <v>46302.314618055556</v>
      </c>
    </row>
    <row r="1448" spans="1:23">
      <c r="A1448">
        <v>285704</v>
      </c>
      <c r="B1448">
        <v>159</v>
      </c>
      <c r="C1448" s="11" t="s">
        <v>129</v>
      </c>
      <c r="D1448" s="11" t="s">
        <v>130</v>
      </c>
      <c r="E1448" s="11" t="s">
        <v>25</v>
      </c>
      <c r="F1448" s="12">
        <v>46269</v>
      </c>
      <c r="G1448" s="11" t="s">
        <v>308</v>
      </c>
      <c r="H1448">
        <v>1</v>
      </c>
      <c r="I1448" s="11" t="s">
        <v>3296</v>
      </c>
      <c r="M1448" s="11" t="s">
        <v>90</v>
      </c>
      <c r="N1448" s="11" t="s">
        <v>4245</v>
      </c>
      <c r="O1448" s="11" t="s">
        <v>4246</v>
      </c>
      <c r="P1448" s="11" t="s">
        <v>3296</v>
      </c>
      <c r="Q1448" s="11" t="s">
        <v>135</v>
      </c>
      <c r="U1448" s="11" t="s">
        <v>311</v>
      </c>
      <c r="V1448" s="11" t="s">
        <v>137</v>
      </c>
      <c r="W1448" s="13">
        <v>46302.314618055556</v>
      </c>
    </row>
    <row r="1449" spans="1:23">
      <c r="A1449">
        <v>285705</v>
      </c>
      <c r="B1449">
        <v>160</v>
      </c>
      <c r="C1449" s="11" t="s">
        <v>129</v>
      </c>
      <c r="D1449" s="11" t="s">
        <v>130</v>
      </c>
      <c r="E1449" s="11" t="s">
        <v>25</v>
      </c>
      <c r="F1449" s="12">
        <v>46269</v>
      </c>
      <c r="G1449" s="11" t="s">
        <v>4240</v>
      </c>
      <c r="H1449">
        <v>1</v>
      </c>
      <c r="I1449" s="11" t="s">
        <v>2100</v>
      </c>
      <c r="M1449" s="11" t="s">
        <v>88</v>
      </c>
      <c r="N1449" s="11" t="s">
        <v>2090</v>
      </c>
      <c r="O1449" s="11" t="s">
        <v>4247</v>
      </c>
      <c r="P1449" s="11" t="s">
        <v>2100</v>
      </c>
      <c r="Q1449" s="11" t="s">
        <v>135</v>
      </c>
      <c r="U1449" s="11" t="s">
        <v>4244</v>
      </c>
      <c r="V1449" s="11" t="s">
        <v>137</v>
      </c>
      <c r="W1449" s="13">
        <v>46302.314618055556</v>
      </c>
    </row>
    <row r="1450" spans="1:23">
      <c r="A1450">
        <v>285706</v>
      </c>
      <c r="B1450">
        <v>161</v>
      </c>
      <c r="C1450" s="11" t="s">
        <v>129</v>
      </c>
      <c r="D1450" s="11" t="s">
        <v>130</v>
      </c>
      <c r="E1450" s="11" t="s">
        <v>25</v>
      </c>
      <c r="F1450" s="12">
        <v>46269</v>
      </c>
      <c r="G1450" s="11" t="s">
        <v>416</v>
      </c>
      <c r="H1450">
        <v>1</v>
      </c>
      <c r="I1450" s="11" t="s">
        <v>4248</v>
      </c>
      <c r="M1450" s="11" t="s">
        <v>75</v>
      </c>
      <c r="N1450" s="11" t="s">
        <v>4249</v>
      </c>
      <c r="O1450" s="11" t="s">
        <v>4250</v>
      </c>
      <c r="P1450" s="11" t="s">
        <v>4248</v>
      </c>
      <c r="Q1450" s="11" t="s">
        <v>135</v>
      </c>
      <c r="U1450" s="11" t="s">
        <v>420</v>
      </c>
      <c r="V1450" s="11" t="s">
        <v>137</v>
      </c>
      <c r="W1450" s="13">
        <v>46302.314618055556</v>
      </c>
    </row>
    <row r="1451" spans="1:23">
      <c r="A1451">
        <v>285707</v>
      </c>
      <c r="B1451">
        <v>162</v>
      </c>
      <c r="C1451" s="11" t="s">
        <v>129</v>
      </c>
      <c r="D1451" s="11" t="s">
        <v>130</v>
      </c>
      <c r="E1451" s="11" t="s">
        <v>25</v>
      </c>
      <c r="F1451" s="12">
        <v>46269</v>
      </c>
      <c r="G1451" s="11" t="s">
        <v>263</v>
      </c>
      <c r="H1451">
        <v>1</v>
      </c>
      <c r="I1451" s="11" t="s">
        <v>3947</v>
      </c>
      <c r="M1451" s="11" t="s">
        <v>92</v>
      </c>
      <c r="N1451" s="11" t="s">
        <v>4251</v>
      </c>
      <c r="O1451" s="11" t="s">
        <v>4252</v>
      </c>
      <c r="P1451" s="11" t="s">
        <v>3947</v>
      </c>
      <c r="Q1451" s="11" t="s">
        <v>135</v>
      </c>
      <c r="U1451" s="11" t="s">
        <v>267</v>
      </c>
      <c r="V1451" s="11" t="s">
        <v>137</v>
      </c>
      <c r="W1451" s="13">
        <v>46302.314618055556</v>
      </c>
    </row>
    <row r="1452" spans="1:23">
      <c r="A1452">
        <v>285708</v>
      </c>
      <c r="B1452">
        <v>163</v>
      </c>
      <c r="C1452" s="11" t="s">
        <v>129</v>
      </c>
      <c r="D1452" s="11" t="s">
        <v>130</v>
      </c>
      <c r="E1452" s="11" t="s">
        <v>25</v>
      </c>
      <c r="F1452" s="12">
        <v>46269</v>
      </c>
      <c r="G1452" s="11" t="s">
        <v>416</v>
      </c>
      <c r="H1452">
        <v>1</v>
      </c>
      <c r="I1452" s="11" t="s">
        <v>4253</v>
      </c>
      <c r="M1452" s="11" t="s">
        <v>75</v>
      </c>
      <c r="N1452" s="11" t="s">
        <v>4254</v>
      </c>
      <c r="O1452" s="11" t="s">
        <v>4255</v>
      </c>
      <c r="P1452" s="11" t="s">
        <v>4253</v>
      </c>
      <c r="Q1452" s="11" t="s">
        <v>135</v>
      </c>
      <c r="U1452" s="11" t="s">
        <v>420</v>
      </c>
      <c r="V1452" s="11" t="s">
        <v>137</v>
      </c>
      <c r="W1452" s="13">
        <v>46302.314618055556</v>
      </c>
    </row>
    <row r="1453" spans="1:23">
      <c r="A1453">
        <v>285709</v>
      </c>
      <c r="B1453">
        <v>164</v>
      </c>
      <c r="C1453" s="11" t="s">
        <v>129</v>
      </c>
      <c r="D1453" s="11" t="s">
        <v>130</v>
      </c>
      <c r="E1453" s="11" t="s">
        <v>25</v>
      </c>
      <c r="F1453" s="12">
        <v>46269</v>
      </c>
      <c r="G1453" s="11" t="s">
        <v>263</v>
      </c>
      <c r="H1453">
        <v>1</v>
      </c>
      <c r="I1453" s="11" t="s">
        <v>4256</v>
      </c>
      <c r="M1453" s="11" t="s">
        <v>92</v>
      </c>
      <c r="N1453" s="11" t="s">
        <v>4257</v>
      </c>
      <c r="O1453" s="11" t="s">
        <v>3623</v>
      </c>
      <c r="P1453" s="11" t="s">
        <v>4256</v>
      </c>
      <c r="Q1453" s="11" t="s">
        <v>135</v>
      </c>
      <c r="U1453" s="11" t="s">
        <v>267</v>
      </c>
      <c r="V1453" s="11" t="s">
        <v>137</v>
      </c>
      <c r="W1453" s="13">
        <v>46302.314618055556</v>
      </c>
    </row>
    <row r="1454" spans="1:23">
      <c r="A1454">
        <v>285710</v>
      </c>
      <c r="B1454">
        <v>165</v>
      </c>
      <c r="C1454" s="11" t="s">
        <v>129</v>
      </c>
      <c r="D1454" s="11" t="s">
        <v>130</v>
      </c>
      <c r="E1454" s="11" t="s">
        <v>25</v>
      </c>
      <c r="F1454" s="12">
        <v>46269</v>
      </c>
      <c r="G1454" s="11" t="s">
        <v>274</v>
      </c>
      <c r="H1454">
        <v>1</v>
      </c>
      <c r="I1454" s="11" t="s">
        <v>4258</v>
      </c>
      <c r="M1454" s="11" t="s">
        <v>77</v>
      </c>
      <c r="N1454" s="11" t="s">
        <v>4259</v>
      </c>
      <c r="O1454" s="11" t="s">
        <v>4260</v>
      </c>
      <c r="P1454" s="11" t="s">
        <v>4258</v>
      </c>
      <c r="Q1454" s="11" t="s">
        <v>135</v>
      </c>
      <c r="U1454" s="11" t="s">
        <v>278</v>
      </c>
      <c r="V1454" s="11" t="s">
        <v>137</v>
      </c>
      <c r="W1454" s="13">
        <v>46302.314618055556</v>
      </c>
    </row>
    <row r="1455" spans="1:23">
      <c r="A1455">
        <v>285711</v>
      </c>
      <c r="B1455">
        <v>166</v>
      </c>
      <c r="C1455" s="11" t="s">
        <v>129</v>
      </c>
      <c r="D1455" s="11" t="s">
        <v>130</v>
      </c>
      <c r="E1455" s="11" t="s">
        <v>25</v>
      </c>
      <c r="F1455" s="12">
        <v>46269</v>
      </c>
      <c r="G1455" s="11" t="s">
        <v>4261</v>
      </c>
      <c r="H1455">
        <v>1</v>
      </c>
      <c r="I1455" s="11" t="s">
        <v>268</v>
      </c>
      <c r="M1455" s="11" t="s">
        <v>81</v>
      </c>
      <c r="N1455" s="11" t="s">
        <v>4262</v>
      </c>
      <c r="O1455" s="11" t="s">
        <v>4263</v>
      </c>
      <c r="P1455" s="11" t="s">
        <v>268</v>
      </c>
      <c r="Q1455" s="11" t="s">
        <v>135</v>
      </c>
      <c r="U1455" s="11" t="s">
        <v>4264</v>
      </c>
      <c r="V1455" s="11" t="s">
        <v>137</v>
      </c>
      <c r="W1455" s="13">
        <v>46302.314618055556</v>
      </c>
    </row>
    <row r="1456" spans="1:23">
      <c r="A1456">
        <v>285712</v>
      </c>
      <c r="B1456">
        <v>167</v>
      </c>
      <c r="C1456" s="11" t="s">
        <v>129</v>
      </c>
      <c r="D1456" s="11" t="s">
        <v>130</v>
      </c>
      <c r="E1456" s="11" t="s">
        <v>25</v>
      </c>
      <c r="F1456" s="12">
        <v>46269</v>
      </c>
      <c r="G1456" s="11" t="s">
        <v>416</v>
      </c>
      <c r="H1456">
        <v>1</v>
      </c>
      <c r="I1456" s="11" t="s">
        <v>2758</v>
      </c>
      <c r="M1456" s="11" t="s">
        <v>75</v>
      </c>
      <c r="N1456" s="11" t="s">
        <v>4265</v>
      </c>
      <c r="O1456" s="11" t="s">
        <v>4266</v>
      </c>
      <c r="P1456" s="11" t="s">
        <v>2758</v>
      </c>
      <c r="Q1456" s="11" t="s">
        <v>135</v>
      </c>
      <c r="U1456" s="11" t="s">
        <v>420</v>
      </c>
      <c r="V1456" s="11" t="s">
        <v>137</v>
      </c>
      <c r="W1456" s="13">
        <v>46302.314618055556</v>
      </c>
    </row>
    <row r="1457" spans="1:23">
      <c r="A1457">
        <v>285713</v>
      </c>
      <c r="B1457">
        <v>168</v>
      </c>
      <c r="C1457" s="11" t="s">
        <v>129</v>
      </c>
      <c r="D1457" s="11" t="s">
        <v>130</v>
      </c>
      <c r="E1457" s="11" t="s">
        <v>25</v>
      </c>
      <c r="F1457" s="12">
        <v>46269</v>
      </c>
      <c r="G1457" s="11" t="s">
        <v>416</v>
      </c>
      <c r="H1457">
        <v>1</v>
      </c>
      <c r="I1457" s="11" t="s">
        <v>4267</v>
      </c>
      <c r="M1457" s="11" t="s">
        <v>75</v>
      </c>
      <c r="N1457" s="11" t="s">
        <v>4268</v>
      </c>
      <c r="O1457" s="11" t="s">
        <v>4269</v>
      </c>
      <c r="P1457" s="11" t="s">
        <v>4267</v>
      </c>
      <c r="Q1457" s="11" t="s">
        <v>135</v>
      </c>
      <c r="U1457" s="11" t="s">
        <v>420</v>
      </c>
      <c r="V1457" s="11" t="s">
        <v>137</v>
      </c>
      <c r="W1457" s="13">
        <v>46302.314618055556</v>
      </c>
    </row>
    <row r="1458" spans="1:23">
      <c r="A1458">
        <v>285714</v>
      </c>
      <c r="B1458">
        <v>169</v>
      </c>
      <c r="C1458" s="11" t="s">
        <v>129</v>
      </c>
      <c r="D1458" s="11" t="s">
        <v>130</v>
      </c>
      <c r="E1458" s="11" t="s">
        <v>25</v>
      </c>
      <c r="F1458" s="12">
        <v>46269</v>
      </c>
      <c r="G1458" s="11" t="s">
        <v>237</v>
      </c>
      <c r="H1458">
        <v>1</v>
      </c>
      <c r="I1458" s="11" t="s">
        <v>4270</v>
      </c>
      <c r="M1458" s="11" t="s">
        <v>71</v>
      </c>
      <c r="N1458" s="11" t="s">
        <v>4271</v>
      </c>
      <c r="O1458" s="11" t="s">
        <v>4272</v>
      </c>
      <c r="P1458" s="11" t="s">
        <v>4270</v>
      </c>
      <c r="Q1458" s="11" t="s">
        <v>135</v>
      </c>
      <c r="U1458" s="11" t="s">
        <v>241</v>
      </c>
      <c r="V1458" s="11" t="s">
        <v>137</v>
      </c>
      <c r="W1458" s="13">
        <v>46302.314618055556</v>
      </c>
    </row>
    <row r="1459" spans="1:23">
      <c r="A1459">
        <v>285715</v>
      </c>
      <c r="B1459">
        <v>170</v>
      </c>
      <c r="C1459" s="11" t="s">
        <v>129</v>
      </c>
      <c r="D1459" s="11" t="s">
        <v>130</v>
      </c>
      <c r="E1459" s="11" t="s">
        <v>25</v>
      </c>
      <c r="F1459" s="12">
        <v>46269</v>
      </c>
      <c r="G1459" s="11" t="s">
        <v>416</v>
      </c>
      <c r="H1459">
        <v>1</v>
      </c>
      <c r="I1459" s="11" t="s">
        <v>4273</v>
      </c>
      <c r="M1459" s="11" t="s">
        <v>75</v>
      </c>
      <c r="N1459" s="11" t="s">
        <v>4274</v>
      </c>
      <c r="O1459" s="11" t="s">
        <v>4275</v>
      </c>
      <c r="P1459" s="11" t="s">
        <v>4273</v>
      </c>
      <c r="Q1459" s="11" t="s">
        <v>135</v>
      </c>
      <c r="U1459" s="11" t="s">
        <v>420</v>
      </c>
      <c r="V1459" s="11" t="s">
        <v>137</v>
      </c>
      <c r="W1459" s="13">
        <v>46302.314618055556</v>
      </c>
    </row>
    <row r="1460" spans="1:23">
      <c r="A1460">
        <v>285716</v>
      </c>
      <c r="B1460">
        <v>171</v>
      </c>
      <c r="C1460" s="11" t="s">
        <v>129</v>
      </c>
      <c r="D1460" s="11" t="s">
        <v>130</v>
      </c>
      <c r="E1460" s="11" t="s">
        <v>25</v>
      </c>
      <c r="F1460" s="12">
        <v>46269</v>
      </c>
      <c r="G1460" s="11" t="s">
        <v>263</v>
      </c>
      <c r="H1460">
        <v>1</v>
      </c>
      <c r="I1460" s="11" t="s">
        <v>456</v>
      </c>
      <c r="M1460" s="11" t="s">
        <v>92</v>
      </c>
      <c r="N1460" s="11" t="s">
        <v>4276</v>
      </c>
      <c r="O1460" s="11" t="s">
        <v>4277</v>
      </c>
      <c r="P1460" s="11" t="s">
        <v>456</v>
      </c>
      <c r="Q1460" s="11" t="s">
        <v>135</v>
      </c>
      <c r="U1460" s="11" t="s">
        <v>267</v>
      </c>
      <c r="V1460" s="11" t="s">
        <v>137</v>
      </c>
      <c r="W1460" s="13">
        <v>46302.314618055556</v>
      </c>
    </row>
    <row r="1461" spans="1:23">
      <c r="A1461">
        <v>285717</v>
      </c>
      <c r="B1461">
        <v>172</v>
      </c>
      <c r="C1461" s="11" t="s">
        <v>129</v>
      </c>
      <c r="D1461" s="11" t="s">
        <v>130</v>
      </c>
      <c r="E1461" s="11" t="s">
        <v>25</v>
      </c>
      <c r="F1461" s="12">
        <v>46269</v>
      </c>
      <c r="G1461" s="11" t="s">
        <v>226</v>
      </c>
      <c r="H1461">
        <v>1</v>
      </c>
      <c r="I1461" s="11" t="s">
        <v>387</v>
      </c>
      <c r="M1461" s="11" t="s">
        <v>87</v>
      </c>
      <c r="N1461" s="11" t="s">
        <v>4278</v>
      </c>
      <c r="O1461" s="11" t="s">
        <v>2659</v>
      </c>
      <c r="P1461" s="11" t="s">
        <v>387</v>
      </c>
      <c r="Q1461" s="11" t="s">
        <v>135</v>
      </c>
      <c r="U1461" s="11" t="s">
        <v>231</v>
      </c>
      <c r="V1461" s="11" t="s">
        <v>137</v>
      </c>
      <c r="W1461" s="13">
        <v>46302.314618055556</v>
      </c>
    </row>
    <row r="1462" spans="1:23">
      <c r="A1462">
        <v>285718</v>
      </c>
      <c r="B1462">
        <v>173</v>
      </c>
      <c r="C1462" s="11" t="s">
        <v>129</v>
      </c>
      <c r="D1462" s="11" t="s">
        <v>130</v>
      </c>
      <c r="E1462" s="11" t="s">
        <v>25</v>
      </c>
      <c r="F1462" s="12">
        <v>46269</v>
      </c>
      <c r="G1462" s="11" t="s">
        <v>237</v>
      </c>
      <c r="H1462">
        <v>1</v>
      </c>
      <c r="I1462" s="11" t="s">
        <v>4279</v>
      </c>
      <c r="M1462" s="11" t="s">
        <v>71</v>
      </c>
      <c r="N1462" s="11" t="s">
        <v>4280</v>
      </c>
      <c r="O1462" s="11" t="s">
        <v>4281</v>
      </c>
      <c r="P1462" s="11" t="s">
        <v>4279</v>
      </c>
      <c r="Q1462" s="11" t="s">
        <v>135</v>
      </c>
      <c r="U1462" s="11" t="s">
        <v>241</v>
      </c>
      <c r="V1462" s="11" t="s">
        <v>137</v>
      </c>
      <c r="W1462" s="13">
        <v>46302.314618055556</v>
      </c>
    </row>
    <row r="1463" spans="1:23">
      <c r="A1463">
        <v>285719</v>
      </c>
      <c r="B1463">
        <v>174</v>
      </c>
      <c r="C1463" s="11" t="s">
        <v>129</v>
      </c>
      <c r="D1463" s="11" t="s">
        <v>130</v>
      </c>
      <c r="E1463" s="11" t="s">
        <v>25</v>
      </c>
      <c r="F1463" s="12">
        <v>46269</v>
      </c>
      <c r="G1463" s="11" t="s">
        <v>312</v>
      </c>
      <c r="H1463">
        <v>1</v>
      </c>
      <c r="I1463" s="11" t="s">
        <v>4282</v>
      </c>
      <c r="M1463" s="11" t="s">
        <v>86</v>
      </c>
      <c r="N1463" s="11" t="s">
        <v>4171</v>
      </c>
      <c r="O1463" s="11" t="s">
        <v>4283</v>
      </c>
      <c r="P1463" s="11" t="s">
        <v>4282</v>
      </c>
      <c r="Q1463" s="11" t="s">
        <v>135</v>
      </c>
      <c r="U1463" s="11" t="s">
        <v>315</v>
      </c>
      <c r="V1463" s="11" t="s">
        <v>137</v>
      </c>
      <c r="W1463" s="13">
        <v>46302.314618055556</v>
      </c>
    </row>
    <row r="1464" spans="1:23">
      <c r="A1464">
        <v>285840</v>
      </c>
      <c r="B1464">
        <v>175</v>
      </c>
      <c r="C1464" s="11" t="s">
        <v>129</v>
      </c>
      <c r="D1464" s="11" t="s">
        <v>130</v>
      </c>
      <c r="E1464" s="11" t="s">
        <v>25</v>
      </c>
      <c r="F1464" s="12">
        <v>46272</v>
      </c>
      <c r="G1464" s="11" t="s">
        <v>226</v>
      </c>
      <c r="H1464">
        <v>1</v>
      </c>
      <c r="I1464" s="11" t="s">
        <v>4284</v>
      </c>
      <c r="M1464" s="11" t="s">
        <v>87</v>
      </c>
      <c r="N1464" s="11" t="s">
        <v>4285</v>
      </c>
      <c r="O1464" s="11" t="s">
        <v>4286</v>
      </c>
      <c r="P1464" s="11" t="s">
        <v>4284</v>
      </c>
      <c r="Q1464" s="11" t="s">
        <v>135</v>
      </c>
      <c r="U1464" s="11" t="s">
        <v>231</v>
      </c>
      <c r="V1464" s="11" t="s">
        <v>137</v>
      </c>
      <c r="W1464" s="13">
        <v>46302.314618055556</v>
      </c>
    </row>
    <row r="1465" spans="1:23">
      <c r="A1465">
        <v>285841</v>
      </c>
      <c r="B1465">
        <v>176</v>
      </c>
      <c r="C1465" s="11" t="s">
        <v>129</v>
      </c>
      <c r="D1465" s="11" t="s">
        <v>130</v>
      </c>
      <c r="E1465" s="11" t="s">
        <v>25</v>
      </c>
      <c r="F1465" s="12">
        <v>46272</v>
      </c>
      <c r="G1465" s="11" t="s">
        <v>308</v>
      </c>
      <c r="H1465">
        <v>1</v>
      </c>
      <c r="I1465" s="11" t="s">
        <v>4287</v>
      </c>
      <c r="M1465" s="11" t="s">
        <v>90</v>
      </c>
      <c r="N1465" s="11" t="s">
        <v>4288</v>
      </c>
      <c r="O1465" s="11" t="s">
        <v>4289</v>
      </c>
      <c r="P1465" s="11" t="s">
        <v>4287</v>
      </c>
      <c r="Q1465" s="11" t="s">
        <v>135</v>
      </c>
      <c r="U1465" s="11" t="s">
        <v>311</v>
      </c>
      <c r="V1465" s="11" t="s">
        <v>137</v>
      </c>
      <c r="W1465" s="13">
        <v>46302.314618055556</v>
      </c>
    </row>
    <row r="1466" spans="1:23">
      <c r="A1466">
        <v>285842</v>
      </c>
      <c r="B1466">
        <v>177</v>
      </c>
      <c r="C1466" s="11" t="s">
        <v>129</v>
      </c>
      <c r="D1466" s="11" t="s">
        <v>130</v>
      </c>
      <c r="E1466" s="11" t="s">
        <v>25</v>
      </c>
      <c r="F1466" s="12">
        <v>46272</v>
      </c>
      <c r="G1466" s="11" t="s">
        <v>4290</v>
      </c>
      <c r="H1466">
        <v>1</v>
      </c>
      <c r="I1466" s="11" t="s">
        <v>4291</v>
      </c>
      <c r="M1466" s="11" t="s">
        <v>88</v>
      </c>
      <c r="N1466" s="11" t="s">
        <v>1350</v>
      </c>
      <c r="O1466" s="11" t="s">
        <v>4292</v>
      </c>
      <c r="P1466" s="11" t="s">
        <v>4291</v>
      </c>
      <c r="Q1466" s="11" t="s">
        <v>135</v>
      </c>
      <c r="U1466" s="11" t="s">
        <v>4293</v>
      </c>
      <c r="V1466" s="11" t="s">
        <v>137</v>
      </c>
      <c r="W1466" s="13">
        <v>46302.314618055556</v>
      </c>
    </row>
    <row r="1467" spans="1:23">
      <c r="A1467">
        <v>285843</v>
      </c>
      <c r="B1467">
        <v>178</v>
      </c>
      <c r="C1467" s="11" t="s">
        <v>129</v>
      </c>
      <c r="D1467" s="11" t="s">
        <v>130</v>
      </c>
      <c r="E1467" s="11" t="s">
        <v>25</v>
      </c>
      <c r="F1467" s="12">
        <v>46272</v>
      </c>
      <c r="G1467" s="11" t="s">
        <v>4294</v>
      </c>
      <c r="H1467">
        <v>1</v>
      </c>
      <c r="I1467" s="11" t="s">
        <v>4295</v>
      </c>
      <c r="M1467" s="11" t="s">
        <v>92</v>
      </c>
      <c r="N1467" s="11" t="s">
        <v>4296</v>
      </c>
      <c r="O1467" s="11" t="s">
        <v>1001</v>
      </c>
      <c r="P1467" s="11" t="s">
        <v>4295</v>
      </c>
      <c r="Q1467" s="11" t="s">
        <v>135</v>
      </c>
      <c r="U1467" s="11" t="s">
        <v>4297</v>
      </c>
      <c r="V1467" s="11" t="s">
        <v>137</v>
      </c>
      <c r="W1467" s="13">
        <v>46302.314618055556</v>
      </c>
    </row>
    <row r="1468" spans="1:23">
      <c r="A1468">
        <v>285844</v>
      </c>
      <c r="B1468">
        <v>179</v>
      </c>
      <c r="C1468" s="11" t="s">
        <v>129</v>
      </c>
      <c r="D1468" s="11" t="s">
        <v>130</v>
      </c>
      <c r="E1468" s="11" t="s">
        <v>25</v>
      </c>
      <c r="F1468" s="12">
        <v>46272</v>
      </c>
      <c r="G1468" s="11" t="s">
        <v>274</v>
      </c>
      <c r="H1468">
        <v>1</v>
      </c>
      <c r="I1468" s="11" t="s">
        <v>4298</v>
      </c>
      <c r="M1468" s="11" t="s">
        <v>77</v>
      </c>
      <c r="N1468" s="11" t="s">
        <v>4299</v>
      </c>
      <c r="O1468" s="11" t="s">
        <v>4300</v>
      </c>
      <c r="P1468" s="11" t="s">
        <v>4298</v>
      </c>
      <c r="Q1468" s="11" t="s">
        <v>135</v>
      </c>
      <c r="U1468" s="11" t="s">
        <v>278</v>
      </c>
      <c r="V1468" s="11" t="s">
        <v>137</v>
      </c>
      <c r="W1468" s="13">
        <v>46302.314618055556</v>
      </c>
    </row>
    <row r="1469" spans="1:23">
      <c r="A1469">
        <v>285845</v>
      </c>
      <c r="B1469">
        <v>180</v>
      </c>
      <c r="C1469" s="11" t="s">
        <v>129</v>
      </c>
      <c r="D1469" s="11" t="s">
        <v>130</v>
      </c>
      <c r="E1469" s="11" t="s">
        <v>25</v>
      </c>
      <c r="F1469" s="12">
        <v>46272</v>
      </c>
      <c r="G1469" s="11" t="s">
        <v>284</v>
      </c>
      <c r="H1469">
        <v>1</v>
      </c>
      <c r="I1469" s="11" t="s">
        <v>4301</v>
      </c>
      <c r="M1469" s="11" t="s">
        <v>80</v>
      </c>
      <c r="N1469" s="11" t="s">
        <v>4302</v>
      </c>
      <c r="O1469" s="11" t="s">
        <v>4303</v>
      </c>
      <c r="P1469" s="11" t="s">
        <v>4301</v>
      </c>
      <c r="Q1469" s="11" t="s">
        <v>135</v>
      </c>
      <c r="U1469" s="11" t="s">
        <v>288</v>
      </c>
      <c r="V1469" s="11" t="s">
        <v>137</v>
      </c>
      <c r="W1469" s="13">
        <v>46302.314618055556</v>
      </c>
    </row>
    <row r="1470" spans="1:23">
      <c r="A1470">
        <v>285846</v>
      </c>
      <c r="B1470">
        <v>181</v>
      </c>
      <c r="C1470" s="11" t="s">
        <v>129</v>
      </c>
      <c r="D1470" s="11" t="s">
        <v>130</v>
      </c>
      <c r="E1470" s="11" t="s">
        <v>25</v>
      </c>
      <c r="F1470" s="12">
        <v>46272</v>
      </c>
      <c r="G1470" s="11" t="s">
        <v>4304</v>
      </c>
      <c r="H1470">
        <v>1</v>
      </c>
      <c r="I1470" s="11" t="s">
        <v>4305</v>
      </c>
      <c r="M1470" s="11" t="s">
        <v>82</v>
      </c>
      <c r="N1470" s="11" t="s">
        <v>2238</v>
      </c>
      <c r="O1470" s="11" t="s">
        <v>4306</v>
      </c>
      <c r="P1470" s="11" t="s">
        <v>4305</v>
      </c>
      <c r="Q1470" s="11" t="s">
        <v>135</v>
      </c>
      <c r="U1470" s="11" t="s">
        <v>4307</v>
      </c>
      <c r="V1470" s="11" t="s">
        <v>137</v>
      </c>
      <c r="W1470" s="13">
        <v>46302.314618055556</v>
      </c>
    </row>
    <row r="1471" spans="1:23">
      <c r="A1471">
        <v>285847</v>
      </c>
      <c r="B1471">
        <v>182</v>
      </c>
      <c r="C1471" s="11" t="s">
        <v>129</v>
      </c>
      <c r="D1471" s="11" t="s">
        <v>130</v>
      </c>
      <c r="E1471" s="11" t="s">
        <v>25</v>
      </c>
      <c r="F1471" s="12">
        <v>46272</v>
      </c>
      <c r="G1471" s="11" t="s">
        <v>232</v>
      </c>
      <c r="H1471">
        <v>1</v>
      </c>
      <c r="I1471" s="11" t="s">
        <v>3185</v>
      </c>
      <c r="M1471" s="11" t="s">
        <v>89</v>
      </c>
      <c r="N1471" s="11" t="s">
        <v>4308</v>
      </c>
      <c r="O1471" s="11" t="s">
        <v>4309</v>
      </c>
      <c r="P1471" s="11" t="s">
        <v>3185</v>
      </c>
      <c r="Q1471" s="11" t="s">
        <v>135</v>
      </c>
      <c r="U1471" s="11" t="s">
        <v>236</v>
      </c>
      <c r="V1471" s="11" t="s">
        <v>137</v>
      </c>
      <c r="W1471" s="13">
        <v>46302.314618055556</v>
      </c>
    </row>
    <row r="1472" spans="1:23">
      <c r="A1472">
        <v>285848</v>
      </c>
      <c r="B1472">
        <v>183</v>
      </c>
      <c r="C1472" s="11" t="s">
        <v>129</v>
      </c>
      <c r="D1472" s="11" t="s">
        <v>130</v>
      </c>
      <c r="E1472" s="11" t="s">
        <v>25</v>
      </c>
      <c r="F1472" s="12">
        <v>46272</v>
      </c>
      <c r="G1472" s="11" t="s">
        <v>242</v>
      </c>
      <c r="H1472">
        <v>1</v>
      </c>
      <c r="I1472" s="11" t="s">
        <v>4310</v>
      </c>
      <c r="M1472" s="11" t="s">
        <v>76</v>
      </c>
      <c r="N1472" s="11" t="s">
        <v>4311</v>
      </c>
      <c r="O1472" s="11" t="s">
        <v>4312</v>
      </c>
      <c r="P1472" s="11" t="s">
        <v>4310</v>
      </c>
      <c r="Q1472" s="11" t="s">
        <v>135</v>
      </c>
      <c r="U1472" s="11" t="s">
        <v>245</v>
      </c>
      <c r="V1472" s="11" t="s">
        <v>137</v>
      </c>
      <c r="W1472" s="13">
        <v>46302.314618055556</v>
      </c>
    </row>
    <row r="1473" spans="1:23">
      <c r="A1473">
        <v>285849</v>
      </c>
      <c r="B1473">
        <v>184</v>
      </c>
      <c r="C1473" s="11" t="s">
        <v>129</v>
      </c>
      <c r="D1473" s="11" t="s">
        <v>130</v>
      </c>
      <c r="E1473" s="11" t="s">
        <v>25</v>
      </c>
      <c r="F1473" s="12">
        <v>46272</v>
      </c>
      <c r="G1473" s="11" t="s">
        <v>263</v>
      </c>
      <c r="H1473">
        <v>1</v>
      </c>
      <c r="I1473" s="11" t="s">
        <v>2097</v>
      </c>
      <c r="M1473" s="11" t="s">
        <v>92</v>
      </c>
      <c r="N1473" s="11" t="s">
        <v>4313</v>
      </c>
      <c r="O1473" s="11" t="s">
        <v>4314</v>
      </c>
      <c r="P1473" s="11" t="s">
        <v>2097</v>
      </c>
      <c r="Q1473" s="11" t="s">
        <v>135</v>
      </c>
      <c r="U1473" s="11" t="s">
        <v>267</v>
      </c>
      <c r="V1473" s="11" t="s">
        <v>137</v>
      </c>
      <c r="W1473" s="13">
        <v>46302.314618055556</v>
      </c>
    </row>
    <row r="1474" spans="1:23">
      <c r="A1474">
        <v>285850</v>
      </c>
      <c r="B1474">
        <v>185</v>
      </c>
      <c r="C1474" s="11" t="s">
        <v>129</v>
      </c>
      <c r="D1474" s="11" t="s">
        <v>130</v>
      </c>
      <c r="E1474" s="11" t="s">
        <v>25</v>
      </c>
      <c r="F1474" s="12">
        <v>46272</v>
      </c>
      <c r="G1474" s="11" t="s">
        <v>4315</v>
      </c>
      <c r="H1474">
        <v>1</v>
      </c>
      <c r="I1474" s="11" t="s">
        <v>4316</v>
      </c>
      <c r="M1474" s="11" t="s">
        <v>70</v>
      </c>
      <c r="N1474" s="11" t="s">
        <v>4317</v>
      </c>
      <c r="O1474" s="11" t="s">
        <v>1336</v>
      </c>
      <c r="P1474" s="11" t="s">
        <v>4316</v>
      </c>
      <c r="Q1474" s="11" t="s">
        <v>135</v>
      </c>
      <c r="U1474" s="11" t="s">
        <v>4318</v>
      </c>
      <c r="V1474" s="11" t="s">
        <v>137</v>
      </c>
      <c r="W1474" s="13">
        <v>46302.314618055556</v>
      </c>
    </row>
    <row r="1475" spans="1:23">
      <c r="A1475">
        <v>285851</v>
      </c>
      <c r="B1475">
        <v>186</v>
      </c>
      <c r="C1475" s="11" t="s">
        <v>129</v>
      </c>
      <c r="D1475" s="11" t="s">
        <v>130</v>
      </c>
      <c r="E1475" s="11" t="s">
        <v>25</v>
      </c>
      <c r="F1475" s="12">
        <v>46272</v>
      </c>
      <c r="G1475" s="11" t="s">
        <v>312</v>
      </c>
      <c r="H1475">
        <v>1</v>
      </c>
      <c r="I1475" s="11" t="s">
        <v>4319</v>
      </c>
      <c r="M1475" s="11" t="s">
        <v>86</v>
      </c>
      <c r="N1475" s="11" t="s">
        <v>4320</v>
      </c>
      <c r="O1475" s="11" t="s">
        <v>3898</v>
      </c>
      <c r="P1475" s="11" t="s">
        <v>4319</v>
      </c>
      <c r="Q1475" s="11" t="s">
        <v>135</v>
      </c>
      <c r="U1475" s="11" t="s">
        <v>315</v>
      </c>
      <c r="V1475" s="11" t="s">
        <v>137</v>
      </c>
      <c r="W1475" s="13">
        <v>46302.314618055556</v>
      </c>
    </row>
    <row r="1476" spans="1:23">
      <c r="A1476">
        <v>286081</v>
      </c>
      <c r="B1476">
        <v>187</v>
      </c>
      <c r="C1476" s="11" t="s">
        <v>129</v>
      </c>
      <c r="D1476" s="11" t="s">
        <v>130</v>
      </c>
      <c r="E1476" s="11" t="s">
        <v>25</v>
      </c>
      <c r="F1476" s="12">
        <v>46273</v>
      </c>
      <c r="G1476" s="11" t="s">
        <v>131</v>
      </c>
      <c r="H1476">
        <v>1</v>
      </c>
      <c r="I1476" s="11" t="s">
        <v>4321</v>
      </c>
      <c r="M1476" s="11" t="s">
        <v>87</v>
      </c>
      <c r="N1476" s="11" t="s">
        <v>1276</v>
      </c>
      <c r="O1476" s="11" t="s">
        <v>4322</v>
      </c>
      <c r="P1476" s="11" t="s">
        <v>4321</v>
      </c>
      <c r="Q1476" s="11" t="s">
        <v>135</v>
      </c>
      <c r="U1476" s="11" t="s">
        <v>136</v>
      </c>
      <c r="V1476" s="11" t="s">
        <v>137</v>
      </c>
      <c r="W1476" s="13">
        <v>46302.314618055556</v>
      </c>
    </row>
    <row r="1477" spans="1:23">
      <c r="A1477">
        <v>286082</v>
      </c>
      <c r="B1477">
        <v>188</v>
      </c>
      <c r="C1477" s="11" t="s">
        <v>129</v>
      </c>
      <c r="D1477" s="11" t="s">
        <v>130</v>
      </c>
      <c r="E1477" s="11" t="s">
        <v>25</v>
      </c>
      <c r="F1477" s="12">
        <v>46273</v>
      </c>
      <c r="G1477" s="11" t="s">
        <v>212</v>
      </c>
      <c r="H1477">
        <v>1</v>
      </c>
      <c r="I1477" s="11" t="s">
        <v>4323</v>
      </c>
      <c r="M1477" s="11" t="s">
        <v>40</v>
      </c>
      <c r="N1477" s="11" t="s">
        <v>2712</v>
      </c>
      <c r="O1477" s="11" t="s">
        <v>4324</v>
      </c>
      <c r="P1477" s="11" t="s">
        <v>4323</v>
      </c>
      <c r="Q1477" s="11" t="s">
        <v>135</v>
      </c>
      <c r="U1477" s="11" t="s">
        <v>216</v>
      </c>
      <c r="V1477" s="11" t="s">
        <v>137</v>
      </c>
      <c r="W1477" s="13">
        <v>46302.314618055556</v>
      </c>
    </row>
    <row r="1478" spans="1:23">
      <c r="A1478">
        <v>286083</v>
      </c>
      <c r="B1478">
        <v>189</v>
      </c>
      <c r="C1478" s="11" t="s">
        <v>129</v>
      </c>
      <c r="D1478" s="11" t="s">
        <v>130</v>
      </c>
      <c r="E1478" s="11" t="s">
        <v>25</v>
      </c>
      <c r="F1478" s="12">
        <v>46273</v>
      </c>
      <c r="G1478" s="11" t="s">
        <v>344</v>
      </c>
      <c r="H1478">
        <v>1</v>
      </c>
      <c r="I1478" s="11" t="s">
        <v>2676</v>
      </c>
      <c r="M1478" s="11" t="s">
        <v>65</v>
      </c>
      <c r="N1478" s="11" t="s">
        <v>4325</v>
      </c>
      <c r="O1478" s="11" t="s">
        <v>4326</v>
      </c>
      <c r="P1478" s="11" t="s">
        <v>2676</v>
      </c>
      <c r="Q1478" s="11" t="s">
        <v>135</v>
      </c>
      <c r="U1478" s="11" t="s">
        <v>348</v>
      </c>
      <c r="V1478" s="11" t="s">
        <v>137</v>
      </c>
      <c r="W1478" s="13">
        <v>46302.314618055556</v>
      </c>
    </row>
    <row r="1479" spans="1:23">
      <c r="A1479">
        <v>286084</v>
      </c>
      <c r="B1479">
        <v>190</v>
      </c>
      <c r="C1479" s="11" t="s">
        <v>129</v>
      </c>
      <c r="D1479" s="11" t="s">
        <v>130</v>
      </c>
      <c r="E1479" s="11" t="s">
        <v>25</v>
      </c>
      <c r="F1479" s="12">
        <v>46273</v>
      </c>
      <c r="G1479" s="11" t="s">
        <v>316</v>
      </c>
      <c r="H1479">
        <v>1</v>
      </c>
      <c r="I1479" s="11" t="s">
        <v>4327</v>
      </c>
      <c r="M1479" s="11" t="s">
        <v>87</v>
      </c>
      <c r="N1479" s="11" t="s">
        <v>3086</v>
      </c>
      <c r="O1479" s="11" t="s">
        <v>4328</v>
      </c>
      <c r="P1479" s="11" t="s">
        <v>4327</v>
      </c>
      <c r="Q1479" s="11" t="s">
        <v>135</v>
      </c>
      <c r="U1479" s="11" t="s">
        <v>320</v>
      </c>
      <c r="V1479" s="11" t="s">
        <v>137</v>
      </c>
      <c r="W1479" s="13">
        <v>46302.314618055556</v>
      </c>
    </row>
    <row r="1480" spans="1:23">
      <c r="A1480">
        <v>286085</v>
      </c>
      <c r="B1480">
        <v>191</v>
      </c>
      <c r="C1480" s="11" t="s">
        <v>129</v>
      </c>
      <c r="D1480" s="11" t="s">
        <v>130</v>
      </c>
      <c r="E1480" s="11" t="s">
        <v>25</v>
      </c>
      <c r="F1480" s="12">
        <v>46273</v>
      </c>
      <c r="G1480" s="11" t="s">
        <v>321</v>
      </c>
      <c r="H1480">
        <v>1</v>
      </c>
      <c r="I1480" s="11" t="s">
        <v>4095</v>
      </c>
      <c r="M1480" s="11" t="s">
        <v>67</v>
      </c>
      <c r="N1480" s="11" t="s">
        <v>4329</v>
      </c>
      <c r="O1480" s="11" t="s">
        <v>4330</v>
      </c>
      <c r="P1480" s="11" t="s">
        <v>4095</v>
      </c>
      <c r="Q1480" s="11" t="s">
        <v>135</v>
      </c>
      <c r="U1480" s="11" t="s">
        <v>327</v>
      </c>
      <c r="V1480" s="11" t="s">
        <v>137</v>
      </c>
      <c r="W1480" s="13">
        <v>46302.314618055556</v>
      </c>
    </row>
    <row r="1481" spans="1:23">
      <c r="A1481">
        <v>286086</v>
      </c>
      <c r="B1481">
        <v>192</v>
      </c>
      <c r="C1481" s="11" t="s">
        <v>129</v>
      </c>
      <c r="D1481" s="11" t="s">
        <v>130</v>
      </c>
      <c r="E1481" s="11" t="s">
        <v>25</v>
      </c>
      <c r="F1481" s="12">
        <v>46273</v>
      </c>
      <c r="G1481" s="11" t="s">
        <v>1848</v>
      </c>
      <c r="H1481">
        <v>1</v>
      </c>
      <c r="I1481" s="11" t="s">
        <v>877</v>
      </c>
      <c r="M1481" s="11" t="s">
        <v>56</v>
      </c>
      <c r="N1481" s="11" t="s">
        <v>4331</v>
      </c>
      <c r="O1481" s="11" t="s">
        <v>4332</v>
      </c>
      <c r="P1481" s="11" t="s">
        <v>877</v>
      </c>
      <c r="Q1481" s="11" t="s">
        <v>135</v>
      </c>
      <c r="U1481" s="11" t="s">
        <v>1852</v>
      </c>
      <c r="V1481" s="11" t="s">
        <v>137</v>
      </c>
      <c r="W1481" s="13">
        <v>46302.314618055556</v>
      </c>
    </row>
    <row r="1482" spans="1:23">
      <c r="A1482">
        <v>286087</v>
      </c>
      <c r="B1482">
        <v>193</v>
      </c>
      <c r="C1482" s="11" t="s">
        <v>129</v>
      </c>
      <c r="D1482" s="11" t="s">
        <v>130</v>
      </c>
      <c r="E1482" s="11" t="s">
        <v>25</v>
      </c>
      <c r="F1482" s="12">
        <v>46273</v>
      </c>
      <c r="G1482" s="11" t="s">
        <v>1361</v>
      </c>
      <c r="H1482">
        <v>1</v>
      </c>
      <c r="I1482" s="11" t="s">
        <v>2744</v>
      </c>
      <c r="M1482" s="11" t="s">
        <v>58</v>
      </c>
      <c r="N1482" s="11" t="s">
        <v>4333</v>
      </c>
      <c r="O1482" s="11" t="s">
        <v>4334</v>
      </c>
      <c r="P1482" s="11" t="s">
        <v>2744</v>
      </c>
      <c r="Q1482" s="11" t="s">
        <v>135</v>
      </c>
      <c r="U1482" s="11" t="s">
        <v>1365</v>
      </c>
      <c r="V1482" s="11" t="s">
        <v>137</v>
      </c>
      <c r="W1482" s="13">
        <v>46302.314618055556</v>
      </c>
    </row>
    <row r="1483" spans="1:23">
      <c r="A1483">
        <v>286088</v>
      </c>
      <c r="B1483">
        <v>194</v>
      </c>
      <c r="C1483" s="11" t="s">
        <v>129</v>
      </c>
      <c r="D1483" s="11" t="s">
        <v>130</v>
      </c>
      <c r="E1483" s="11" t="s">
        <v>25</v>
      </c>
      <c r="F1483" s="12">
        <v>46273</v>
      </c>
      <c r="G1483" s="11" t="s">
        <v>164</v>
      </c>
      <c r="H1483">
        <v>1</v>
      </c>
      <c r="I1483" s="11" t="s">
        <v>2310</v>
      </c>
      <c r="M1483" s="11" t="s">
        <v>62</v>
      </c>
      <c r="N1483" s="11" t="s">
        <v>4335</v>
      </c>
      <c r="O1483" s="11" t="s">
        <v>4336</v>
      </c>
      <c r="P1483" s="11" t="s">
        <v>2310</v>
      </c>
      <c r="Q1483" s="11" t="s">
        <v>135</v>
      </c>
      <c r="U1483" s="11" t="s">
        <v>168</v>
      </c>
      <c r="V1483" s="11" t="s">
        <v>137</v>
      </c>
      <c r="W1483" s="13">
        <v>46302.314618055556</v>
      </c>
    </row>
    <row r="1484" spans="1:23">
      <c r="A1484">
        <v>286089</v>
      </c>
      <c r="B1484">
        <v>195</v>
      </c>
      <c r="C1484" s="11" t="s">
        <v>129</v>
      </c>
      <c r="D1484" s="11" t="s">
        <v>130</v>
      </c>
      <c r="E1484" s="11" t="s">
        <v>25</v>
      </c>
      <c r="F1484" s="12">
        <v>46273</v>
      </c>
      <c r="G1484" s="11" t="s">
        <v>131</v>
      </c>
      <c r="H1484">
        <v>1</v>
      </c>
      <c r="I1484" s="11" t="s">
        <v>4337</v>
      </c>
      <c r="M1484" s="11" t="s">
        <v>87</v>
      </c>
      <c r="N1484" s="11" t="s">
        <v>4338</v>
      </c>
      <c r="O1484" s="11" t="s">
        <v>4339</v>
      </c>
      <c r="P1484" s="11" t="s">
        <v>4337</v>
      </c>
      <c r="Q1484" s="11" t="s">
        <v>135</v>
      </c>
      <c r="U1484" s="11" t="s">
        <v>136</v>
      </c>
      <c r="V1484" s="11" t="s">
        <v>137</v>
      </c>
      <c r="W1484" s="13">
        <v>46302.314618055556</v>
      </c>
    </row>
    <row r="1485" spans="1:23">
      <c r="A1485">
        <v>286090</v>
      </c>
      <c r="B1485">
        <v>196</v>
      </c>
      <c r="C1485" s="11" t="s">
        <v>129</v>
      </c>
      <c r="D1485" s="11" t="s">
        <v>130</v>
      </c>
      <c r="E1485" s="11" t="s">
        <v>25</v>
      </c>
      <c r="F1485" s="12">
        <v>46273</v>
      </c>
      <c r="G1485" s="11" t="s">
        <v>1823</v>
      </c>
      <c r="H1485">
        <v>1</v>
      </c>
      <c r="I1485" s="11" t="s">
        <v>3613</v>
      </c>
      <c r="M1485" s="11" t="s">
        <v>61</v>
      </c>
      <c r="N1485" s="11" t="s">
        <v>3934</v>
      </c>
      <c r="O1485" s="11" t="s">
        <v>4340</v>
      </c>
      <c r="P1485" s="11" t="s">
        <v>3613</v>
      </c>
      <c r="Q1485" s="11" t="s">
        <v>135</v>
      </c>
      <c r="U1485" s="11" t="s">
        <v>1827</v>
      </c>
      <c r="V1485" s="11" t="s">
        <v>137</v>
      </c>
      <c r="W1485" s="13">
        <v>46302.314618055556</v>
      </c>
    </row>
    <row r="1486" spans="1:23">
      <c r="A1486">
        <v>286091</v>
      </c>
      <c r="B1486">
        <v>197</v>
      </c>
      <c r="C1486" s="11" t="s">
        <v>129</v>
      </c>
      <c r="D1486" s="11" t="s">
        <v>130</v>
      </c>
      <c r="E1486" s="11" t="s">
        <v>25</v>
      </c>
      <c r="F1486" s="12">
        <v>46273</v>
      </c>
      <c r="G1486" s="11" t="s">
        <v>131</v>
      </c>
      <c r="H1486">
        <v>1</v>
      </c>
      <c r="I1486" s="11" t="s">
        <v>4341</v>
      </c>
      <c r="M1486" s="11" t="s">
        <v>87</v>
      </c>
      <c r="N1486" s="11" t="s">
        <v>4342</v>
      </c>
      <c r="O1486" s="11" t="s">
        <v>4343</v>
      </c>
      <c r="P1486" s="11" t="s">
        <v>4341</v>
      </c>
      <c r="Q1486" s="11" t="s">
        <v>135</v>
      </c>
      <c r="U1486" s="11" t="s">
        <v>136</v>
      </c>
      <c r="V1486" s="11" t="s">
        <v>137</v>
      </c>
      <c r="W1486" s="13">
        <v>46302.314618055556</v>
      </c>
    </row>
    <row r="1487" spans="1:23">
      <c r="A1487">
        <v>286092</v>
      </c>
      <c r="B1487">
        <v>198</v>
      </c>
      <c r="C1487" s="11" t="s">
        <v>129</v>
      </c>
      <c r="D1487" s="11" t="s">
        <v>130</v>
      </c>
      <c r="E1487" s="11" t="s">
        <v>25</v>
      </c>
      <c r="F1487" s="12">
        <v>46273</v>
      </c>
      <c r="G1487" s="11" t="s">
        <v>1823</v>
      </c>
      <c r="H1487">
        <v>1</v>
      </c>
      <c r="I1487" s="11" t="s">
        <v>4344</v>
      </c>
      <c r="M1487" s="11" t="s">
        <v>61</v>
      </c>
      <c r="N1487" s="11" t="s">
        <v>4345</v>
      </c>
      <c r="O1487" s="11" t="s">
        <v>4346</v>
      </c>
      <c r="P1487" s="11" t="s">
        <v>4344</v>
      </c>
      <c r="Q1487" s="11" t="s">
        <v>135</v>
      </c>
      <c r="U1487" s="11" t="s">
        <v>1827</v>
      </c>
      <c r="V1487" s="11" t="s">
        <v>137</v>
      </c>
      <c r="W1487" s="13">
        <v>46302.314618055556</v>
      </c>
    </row>
    <row r="1488" spans="1:23">
      <c r="A1488">
        <v>286093</v>
      </c>
      <c r="B1488">
        <v>199</v>
      </c>
      <c r="C1488" s="11" t="s">
        <v>129</v>
      </c>
      <c r="D1488" s="11" t="s">
        <v>130</v>
      </c>
      <c r="E1488" s="11" t="s">
        <v>25</v>
      </c>
      <c r="F1488" s="12">
        <v>46273</v>
      </c>
      <c r="G1488" s="11" t="s">
        <v>174</v>
      </c>
      <c r="H1488">
        <v>1</v>
      </c>
      <c r="I1488" s="11" t="s">
        <v>937</v>
      </c>
      <c r="M1488" s="11" t="s">
        <v>92</v>
      </c>
      <c r="N1488" s="11" t="s">
        <v>4347</v>
      </c>
      <c r="O1488" s="11" t="s">
        <v>4348</v>
      </c>
      <c r="P1488" s="11" t="s">
        <v>937</v>
      </c>
      <c r="Q1488" s="11" t="s">
        <v>135</v>
      </c>
      <c r="U1488" s="11" t="s">
        <v>178</v>
      </c>
      <c r="V1488" s="11" t="s">
        <v>137</v>
      </c>
      <c r="W1488" s="13">
        <v>46302.314618055556</v>
      </c>
    </row>
    <row r="1489" spans="1:23">
      <c r="A1489">
        <v>286094</v>
      </c>
      <c r="B1489">
        <v>200</v>
      </c>
      <c r="C1489" s="11" t="s">
        <v>129</v>
      </c>
      <c r="D1489" s="11" t="s">
        <v>130</v>
      </c>
      <c r="E1489" s="11" t="s">
        <v>25</v>
      </c>
      <c r="F1489" s="12">
        <v>46273</v>
      </c>
      <c r="G1489" s="11" t="s">
        <v>499</v>
      </c>
      <c r="H1489">
        <v>1</v>
      </c>
      <c r="I1489" s="11" t="s">
        <v>4349</v>
      </c>
      <c r="M1489" s="11" t="s">
        <v>55</v>
      </c>
      <c r="N1489" s="11" t="s">
        <v>4350</v>
      </c>
      <c r="O1489" s="11" t="s">
        <v>4351</v>
      </c>
      <c r="P1489" s="11" t="s">
        <v>4349</v>
      </c>
      <c r="Q1489" s="11" t="s">
        <v>135</v>
      </c>
      <c r="U1489" s="11" t="s">
        <v>503</v>
      </c>
      <c r="V1489" s="11" t="s">
        <v>137</v>
      </c>
      <c r="W1489" s="13">
        <v>46302.314618055556</v>
      </c>
    </row>
    <row r="1490" spans="1:23">
      <c r="A1490">
        <v>286095</v>
      </c>
      <c r="B1490">
        <v>201</v>
      </c>
      <c r="C1490" s="11" t="s">
        <v>129</v>
      </c>
      <c r="D1490" s="11" t="s">
        <v>130</v>
      </c>
      <c r="E1490" s="11" t="s">
        <v>25</v>
      </c>
      <c r="F1490" s="12">
        <v>46273</v>
      </c>
      <c r="G1490" s="11" t="s">
        <v>138</v>
      </c>
      <c r="H1490">
        <v>1</v>
      </c>
      <c r="I1490" s="11" t="s">
        <v>951</v>
      </c>
      <c r="M1490" s="11" t="s">
        <v>89</v>
      </c>
      <c r="N1490" s="11" t="s">
        <v>4352</v>
      </c>
      <c r="O1490" s="11" t="s">
        <v>4353</v>
      </c>
      <c r="P1490" s="11" t="s">
        <v>951</v>
      </c>
      <c r="Q1490" s="11" t="s">
        <v>135</v>
      </c>
      <c r="U1490" s="11" t="s">
        <v>142</v>
      </c>
      <c r="V1490" s="11" t="s">
        <v>137</v>
      </c>
      <c r="W1490" s="13">
        <v>46302.314618055556</v>
      </c>
    </row>
    <row r="1491" spans="1:23">
      <c r="A1491">
        <v>286096</v>
      </c>
      <c r="B1491">
        <v>202</v>
      </c>
      <c r="C1491" s="11" t="s">
        <v>129</v>
      </c>
      <c r="D1491" s="11" t="s">
        <v>130</v>
      </c>
      <c r="E1491" s="11" t="s">
        <v>25</v>
      </c>
      <c r="F1491" s="12">
        <v>46273</v>
      </c>
      <c r="G1491" s="11" t="s">
        <v>174</v>
      </c>
      <c r="H1491">
        <v>1</v>
      </c>
      <c r="I1491" s="11" t="s">
        <v>4354</v>
      </c>
      <c r="M1491" s="11" t="s">
        <v>92</v>
      </c>
      <c r="N1491" s="11" t="s">
        <v>4355</v>
      </c>
      <c r="O1491" s="11" t="s">
        <v>4356</v>
      </c>
      <c r="P1491" s="11" t="s">
        <v>4354</v>
      </c>
      <c r="Q1491" s="11" t="s">
        <v>135</v>
      </c>
      <c r="U1491" s="11" t="s">
        <v>178</v>
      </c>
      <c r="V1491" s="11" t="s">
        <v>137</v>
      </c>
      <c r="W1491" s="13">
        <v>46302.314618055556</v>
      </c>
    </row>
    <row r="1492" spans="1:23">
      <c r="A1492">
        <v>286097</v>
      </c>
      <c r="B1492">
        <v>203</v>
      </c>
      <c r="C1492" s="11" t="s">
        <v>129</v>
      </c>
      <c r="D1492" s="11" t="s">
        <v>130</v>
      </c>
      <c r="E1492" s="11" t="s">
        <v>25</v>
      </c>
      <c r="F1492" s="12">
        <v>46273</v>
      </c>
      <c r="G1492" s="11" t="s">
        <v>179</v>
      </c>
      <c r="H1492">
        <v>1</v>
      </c>
      <c r="I1492" s="11" t="s">
        <v>4357</v>
      </c>
      <c r="M1492" s="11" t="s">
        <v>83</v>
      </c>
      <c r="N1492" s="11" t="s">
        <v>2586</v>
      </c>
      <c r="O1492" s="11" t="s">
        <v>4358</v>
      </c>
      <c r="P1492" s="11" t="s">
        <v>4357</v>
      </c>
      <c r="Q1492" s="11" t="s">
        <v>135</v>
      </c>
      <c r="U1492" s="11" t="s">
        <v>183</v>
      </c>
      <c r="V1492" s="11" t="s">
        <v>137</v>
      </c>
      <c r="W1492" s="13">
        <v>46302.314618055556</v>
      </c>
    </row>
    <row r="1493" spans="1:23">
      <c r="A1493">
        <v>286098</v>
      </c>
      <c r="B1493">
        <v>204</v>
      </c>
      <c r="C1493" s="11" t="s">
        <v>129</v>
      </c>
      <c r="D1493" s="11" t="s">
        <v>130</v>
      </c>
      <c r="E1493" s="11" t="s">
        <v>25</v>
      </c>
      <c r="F1493" s="12">
        <v>46273</v>
      </c>
      <c r="G1493" s="11" t="s">
        <v>4115</v>
      </c>
      <c r="H1493">
        <v>1</v>
      </c>
      <c r="I1493" s="11" t="s">
        <v>1631</v>
      </c>
      <c r="M1493" s="11" t="s">
        <v>84</v>
      </c>
      <c r="N1493" s="11" t="s">
        <v>4359</v>
      </c>
      <c r="O1493" s="11" t="s">
        <v>4360</v>
      </c>
      <c r="P1493" s="11" t="s">
        <v>1631</v>
      </c>
      <c r="Q1493" s="11" t="s">
        <v>135</v>
      </c>
      <c r="U1493" s="11" t="s">
        <v>4119</v>
      </c>
      <c r="V1493" s="11" t="s">
        <v>137</v>
      </c>
      <c r="W1493" s="13">
        <v>46302.314618055556</v>
      </c>
    </row>
    <row r="1494" spans="1:23">
      <c r="A1494">
        <v>286099</v>
      </c>
      <c r="B1494">
        <v>205</v>
      </c>
      <c r="C1494" s="11" t="s">
        <v>129</v>
      </c>
      <c r="D1494" s="11" t="s">
        <v>130</v>
      </c>
      <c r="E1494" s="11" t="s">
        <v>25</v>
      </c>
      <c r="F1494" s="12">
        <v>46273</v>
      </c>
      <c r="G1494" s="11" t="s">
        <v>164</v>
      </c>
      <c r="H1494">
        <v>5</v>
      </c>
      <c r="I1494" s="11" t="s">
        <v>4361</v>
      </c>
      <c r="M1494" s="11" t="s">
        <v>62</v>
      </c>
      <c r="N1494" s="11" t="s">
        <v>4362</v>
      </c>
      <c r="O1494" s="11" t="s">
        <v>4363</v>
      </c>
      <c r="P1494" s="11" t="s">
        <v>170</v>
      </c>
      <c r="Q1494" s="11" t="s">
        <v>135</v>
      </c>
      <c r="U1494" s="11" t="s">
        <v>168</v>
      </c>
      <c r="V1494" s="11" t="s">
        <v>137</v>
      </c>
      <c r="W1494" s="13">
        <v>46302.314618055556</v>
      </c>
    </row>
    <row r="1495" spans="1:23">
      <c r="A1495">
        <v>286100</v>
      </c>
      <c r="B1495">
        <v>206</v>
      </c>
      <c r="C1495" s="11" t="s">
        <v>129</v>
      </c>
      <c r="D1495" s="11" t="s">
        <v>130</v>
      </c>
      <c r="E1495" s="11" t="s">
        <v>25</v>
      </c>
      <c r="F1495" s="12">
        <v>46273</v>
      </c>
      <c r="G1495" s="11" t="s">
        <v>131</v>
      </c>
      <c r="H1495">
        <v>1</v>
      </c>
      <c r="I1495" s="11" t="s">
        <v>4364</v>
      </c>
      <c r="M1495" s="11" t="s">
        <v>87</v>
      </c>
      <c r="N1495" s="11" t="s">
        <v>4365</v>
      </c>
      <c r="O1495" s="11" t="s">
        <v>4366</v>
      </c>
      <c r="P1495" s="11" t="s">
        <v>4364</v>
      </c>
      <c r="Q1495" s="11" t="s">
        <v>135</v>
      </c>
      <c r="U1495" s="11" t="s">
        <v>136</v>
      </c>
      <c r="V1495" s="11" t="s">
        <v>137</v>
      </c>
      <c r="W1495" s="13">
        <v>46302.314618055556</v>
      </c>
    </row>
    <row r="1496" spans="1:23">
      <c r="A1496">
        <v>286101</v>
      </c>
      <c r="B1496">
        <v>207</v>
      </c>
      <c r="C1496" s="11" t="s">
        <v>129</v>
      </c>
      <c r="D1496" s="11" t="s">
        <v>130</v>
      </c>
      <c r="E1496" s="11" t="s">
        <v>25</v>
      </c>
      <c r="F1496" s="12">
        <v>46273</v>
      </c>
      <c r="G1496" s="11" t="s">
        <v>164</v>
      </c>
      <c r="H1496">
        <v>3</v>
      </c>
      <c r="I1496" s="11" t="s">
        <v>4367</v>
      </c>
      <c r="M1496" s="11" t="s">
        <v>62</v>
      </c>
      <c r="N1496" s="11" t="s">
        <v>4368</v>
      </c>
      <c r="O1496" s="11" t="s">
        <v>4369</v>
      </c>
      <c r="P1496" s="11" t="s">
        <v>4370</v>
      </c>
      <c r="Q1496" s="11" t="s">
        <v>135</v>
      </c>
      <c r="U1496" s="11" t="s">
        <v>168</v>
      </c>
      <c r="V1496" s="11" t="s">
        <v>137</v>
      </c>
      <c r="W1496" s="13">
        <v>46302.314618055556</v>
      </c>
    </row>
    <row r="1497" spans="1:23">
      <c r="A1497">
        <v>286102</v>
      </c>
      <c r="B1497">
        <v>208</v>
      </c>
      <c r="C1497" s="11" t="s">
        <v>129</v>
      </c>
      <c r="D1497" s="11" t="s">
        <v>130</v>
      </c>
      <c r="E1497" s="11" t="s">
        <v>25</v>
      </c>
      <c r="F1497" s="12">
        <v>46273</v>
      </c>
      <c r="G1497" s="11" t="s">
        <v>217</v>
      </c>
      <c r="H1497">
        <v>1</v>
      </c>
      <c r="I1497" s="11" t="s">
        <v>4371</v>
      </c>
      <c r="M1497" s="11" t="s">
        <v>86</v>
      </c>
      <c r="N1497" s="11" t="s">
        <v>4372</v>
      </c>
      <c r="O1497" s="11" t="s">
        <v>4373</v>
      </c>
      <c r="P1497" s="11" t="s">
        <v>4371</v>
      </c>
      <c r="Q1497" s="11" t="s">
        <v>135</v>
      </c>
      <c r="U1497" s="11" t="s">
        <v>221</v>
      </c>
      <c r="V1497" s="11" t="s">
        <v>137</v>
      </c>
      <c r="W1497" s="13">
        <v>46302.314618055556</v>
      </c>
    </row>
    <row r="1498" spans="1:23">
      <c r="A1498">
        <v>286363</v>
      </c>
      <c r="B1498">
        <v>209</v>
      </c>
      <c r="C1498" s="11" t="s">
        <v>129</v>
      </c>
      <c r="D1498" s="11" t="s">
        <v>130</v>
      </c>
      <c r="E1498" s="11" t="s">
        <v>25</v>
      </c>
      <c r="F1498" s="12">
        <v>46274</v>
      </c>
      <c r="G1498" s="11" t="s">
        <v>131</v>
      </c>
      <c r="H1498">
        <v>1</v>
      </c>
      <c r="I1498" s="11" t="s">
        <v>4374</v>
      </c>
      <c r="M1498" s="11" t="s">
        <v>87</v>
      </c>
      <c r="N1498" s="11" t="s">
        <v>4375</v>
      </c>
      <c r="O1498" s="11" t="s">
        <v>4376</v>
      </c>
      <c r="P1498" s="11" t="s">
        <v>4374</v>
      </c>
      <c r="Q1498" s="11" t="s">
        <v>135</v>
      </c>
      <c r="U1498" s="11" t="s">
        <v>136</v>
      </c>
      <c r="V1498" s="11" t="s">
        <v>137</v>
      </c>
      <c r="W1498" s="13">
        <v>46302.314618055556</v>
      </c>
    </row>
    <row r="1499" spans="1:23">
      <c r="A1499">
        <v>286364</v>
      </c>
      <c r="B1499">
        <v>210</v>
      </c>
      <c r="C1499" s="11" t="s">
        <v>129</v>
      </c>
      <c r="D1499" s="11" t="s">
        <v>130</v>
      </c>
      <c r="E1499" s="11" t="s">
        <v>25</v>
      </c>
      <c r="F1499" s="12">
        <v>46274</v>
      </c>
      <c r="G1499" s="11" t="s">
        <v>164</v>
      </c>
      <c r="H1499">
        <v>3</v>
      </c>
      <c r="I1499" s="11" t="s">
        <v>4377</v>
      </c>
      <c r="M1499" s="11" t="s">
        <v>62</v>
      </c>
      <c r="N1499" s="11" t="s">
        <v>4378</v>
      </c>
      <c r="O1499" s="11" t="s">
        <v>4379</v>
      </c>
      <c r="P1499" s="11" t="s">
        <v>4380</v>
      </c>
      <c r="Q1499" s="11" t="s">
        <v>135</v>
      </c>
      <c r="U1499" s="11" t="s">
        <v>168</v>
      </c>
      <c r="V1499" s="11" t="s">
        <v>137</v>
      </c>
      <c r="W1499" s="13">
        <v>46302.314618055556</v>
      </c>
    </row>
    <row r="1500" spans="1:23">
      <c r="A1500">
        <v>286365</v>
      </c>
      <c r="B1500">
        <v>211</v>
      </c>
      <c r="C1500" s="11" t="s">
        <v>129</v>
      </c>
      <c r="D1500" s="11" t="s">
        <v>130</v>
      </c>
      <c r="E1500" s="11" t="s">
        <v>25</v>
      </c>
      <c r="F1500" s="12">
        <v>46274</v>
      </c>
      <c r="G1500" s="11" t="s">
        <v>131</v>
      </c>
      <c r="H1500">
        <v>1</v>
      </c>
      <c r="I1500" s="11" t="s">
        <v>1961</v>
      </c>
      <c r="M1500" s="11" t="s">
        <v>87</v>
      </c>
      <c r="N1500" s="11" t="s">
        <v>4381</v>
      </c>
      <c r="O1500" s="11" t="s">
        <v>4382</v>
      </c>
      <c r="P1500" s="11" t="s">
        <v>1961</v>
      </c>
      <c r="Q1500" s="11" t="s">
        <v>135</v>
      </c>
      <c r="U1500" s="11" t="s">
        <v>136</v>
      </c>
      <c r="V1500" s="11" t="s">
        <v>137</v>
      </c>
      <c r="W1500" s="13">
        <v>46302.314618055556</v>
      </c>
    </row>
    <row r="1501" spans="1:23">
      <c r="A1501">
        <v>286366</v>
      </c>
      <c r="B1501">
        <v>212</v>
      </c>
      <c r="C1501" s="11" t="s">
        <v>129</v>
      </c>
      <c r="D1501" s="11" t="s">
        <v>130</v>
      </c>
      <c r="E1501" s="11" t="s">
        <v>25</v>
      </c>
      <c r="F1501" s="12">
        <v>46274</v>
      </c>
      <c r="G1501" s="11" t="s">
        <v>334</v>
      </c>
      <c r="H1501">
        <v>1</v>
      </c>
      <c r="I1501" s="11" t="s">
        <v>2062</v>
      </c>
      <c r="M1501" s="11" t="s">
        <v>64</v>
      </c>
      <c r="N1501" s="11" t="s">
        <v>4383</v>
      </c>
      <c r="O1501" s="11" t="s">
        <v>4384</v>
      </c>
      <c r="P1501" s="11" t="s">
        <v>2062</v>
      </c>
      <c r="Q1501" s="11" t="s">
        <v>135</v>
      </c>
      <c r="U1501" s="11" t="s">
        <v>338</v>
      </c>
      <c r="V1501" s="11" t="s">
        <v>137</v>
      </c>
      <c r="W1501" s="13">
        <v>46302.314618055556</v>
      </c>
    </row>
    <row r="1502" spans="1:23">
      <c r="A1502">
        <v>286367</v>
      </c>
      <c r="B1502">
        <v>213</v>
      </c>
      <c r="C1502" s="11" t="s">
        <v>129</v>
      </c>
      <c r="D1502" s="11" t="s">
        <v>130</v>
      </c>
      <c r="E1502" s="11" t="s">
        <v>25</v>
      </c>
      <c r="F1502" s="12">
        <v>46274</v>
      </c>
      <c r="G1502" s="11" t="s">
        <v>339</v>
      </c>
      <c r="H1502">
        <v>1</v>
      </c>
      <c r="I1502" s="11" t="s">
        <v>3344</v>
      </c>
      <c r="M1502" s="11" t="s">
        <v>92</v>
      </c>
      <c r="N1502" s="11" t="s">
        <v>4385</v>
      </c>
      <c r="O1502" s="11" t="s">
        <v>4386</v>
      </c>
      <c r="P1502" s="11" t="s">
        <v>3344</v>
      </c>
      <c r="Q1502" s="11" t="s">
        <v>135</v>
      </c>
      <c r="U1502" s="11" t="s">
        <v>343</v>
      </c>
      <c r="V1502" s="11" t="s">
        <v>137</v>
      </c>
      <c r="W1502" s="13">
        <v>46302.314618055556</v>
      </c>
    </row>
    <row r="1503" spans="1:23">
      <c r="A1503">
        <v>286368</v>
      </c>
      <c r="B1503">
        <v>214</v>
      </c>
      <c r="C1503" s="11" t="s">
        <v>129</v>
      </c>
      <c r="D1503" s="11" t="s">
        <v>130</v>
      </c>
      <c r="E1503" s="11" t="s">
        <v>25</v>
      </c>
      <c r="F1503" s="12">
        <v>46274</v>
      </c>
      <c r="G1503" s="11" t="s">
        <v>1527</v>
      </c>
      <c r="H1503">
        <v>1</v>
      </c>
      <c r="I1503" s="11" t="s">
        <v>4387</v>
      </c>
      <c r="M1503" s="11" t="s">
        <v>89</v>
      </c>
      <c r="N1503" s="11" t="s">
        <v>4388</v>
      </c>
      <c r="O1503" s="11" t="s">
        <v>4389</v>
      </c>
      <c r="P1503" s="11" t="s">
        <v>4387</v>
      </c>
      <c r="Q1503" s="11" t="s">
        <v>135</v>
      </c>
      <c r="U1503" s="11" t="s">
        <v>1531</v>
      </c>
      <c r="V1503" s="11" t="s">
        <v>137</v>
      </c>
      <c r="W1503" s="13">
        <v>46302.314618055556</v>
      </c>
    </row>
    <row r="1504" spans="1:23">
      <c r="A1504">
        <v>286369</v>
      </c>
      <c r="B1504">
        <v>215</v>
      </c>
      <c r="C1504" s="11" t="s">
        <v>129</v>
      </c>
      <c r="D1504" s="11" t="s">
        <v>130</v>
      </c>
      <c r="E1504" s="11" t="s">
        <v>25</v>
      </c>
      <c r="F1504" s="12">
        <v>46274</v>
      </c>
      <c r="G1504" s="11" t="s">
        <v>1731</v>
      </c>
      <c r="H1504">
        <v>1</v>
      </c>
      <c r="I1504" s="11" t="s">
        <v>1831</v>
      </c>
      <c r="M1504" s="11" t="s">
        <v>88</v>
      </c>
      <c r="N1504" s="11" t="s">
        <v>4390</v>
      </c>
      <c r="O1504" s="11" t="s">
        <v>4391</v>
      </c>
      <c r="P1504" s="11" t="s">
        <v>1831</v>
      </c>
      <c r="Q1504" s="11" t="s">
        <v>135</v>
      </c>
      <c r="U1504" s="11" t="s">
        <v>1735</v>
      </c>
      <c r="V1504" s="11" t="s">
        <v>137</v>
      </c>
      <c r="W1504" s="13">
        <v>46302.314618055556</v>
      </c>
    </row>
    <row r="1505" spans="1:23">
      <c r="A1505">
        <v>286370</v>
      </c>
      <c r="B1505">
        <v>216</v>
      </c>
      <c r="C1505" s="11" t="s">
        <v>129</v>
      </c>
      <c r="D1505" s="11" t="s">
        <v>130</v>
      </c>
      <c r="E1505" s="11" t="s">
        <v>25</v>
      </c>
      <c r="F1505" s="12">
        <v>46274</v>
      </c>
      <c r="G1505" s="11" t="s">
        <v>344</v>
      </c>
      <c r="H1505">
        <v>1</v>
      </c>
      <c r="I1505" s="11" t="s">
        <v>1859</v>
      </c>
      <c r="M1505" s="11" t="s">
        <v>65</v>
      </c>
      <c r="N1505" s="11" t="s">
        <v>1303</v>
      </c>
      <c r="O1505" s="11" t="s">
        <v>4392</v>
      </c>
      <c r="P1505" s="11" t="s">
        <v>1859</v>
      </c>
      <c r="Q1505" s="11" t="s">
        <v>135</v>
      </c>
      <c r="U1505" s="11" t="s">
        <v>348</v>
      </c>
      <c r="V1505" s="11" t="s">
        <v>137</v>
      </c>
      <c r="W1505" s="13">
        <v>46302.314618055556</v>
      </c>
    </row>
    <row r="1506" spans="1:23">
      <c r="A1506">
        <v>286371</v>
      </c>
      <c r="B1506">
        <v>217</v>
      </c>
      <c r="C1506" s="11" t="s">
        <v>129</v>
      </c>
      <c r="D1506" s="11" t="s">
        <v>130</v>
      </c>
      <c r="E1506" s="11" t="s">
        <v>25</v>
      </c>
      <c r="F1506" s="12">
        <v>46274</v>
      </c>
      <c r="G1506" s="11" t="s">
        <v>339</v>
      </c>
      <c r="H1506">
        <v>1</v>
      </c>
      <c r="I1506" s="11" t="s">
        <v>4393</v>
      </c>
      <c r="M1506" s="11" t="s">
        <v>92</v>
      </c>
      <c r="N1506" s="11" t="s">
        <v>4394</v>
      </c>
      <c r="O1506" s="11" t="s">
        <v>2634</v>
      </c>
      <c r="P1506" s="11" t="s">
        <v>4393</v>
      </c>
      <c r="Q1506" s="11" t="s">
        <v>135</v>
      </c>
      <c r="U1506" s="11" t="s">
        <v>343</v>
      </c>
      <c r="V1506" s="11" t="s">
        <v>137</v>
      </c>
      <c r="W1506" s="13">
        <v>46302.314618055556</v>
      </c>
    </row>
    <row r="1507" spans="1:23">
      <c r="A1507">
        <v>286372</v>
      </c>
      <c r="B1507">
        <v>218</v>
      </c>
      <c r="C1507" s="11" t="s">
        <v>129</v>
      </c>
      <c r="D1507" s="11" t="s">
        <v>130</v>
      </c>
      <c r="E1507" s="11" t="s">
        <v>25</v>
      </c>
      <c r="F1507" s="12">
        <v>46274</v>
      </c>
      <c r="G1507" s="11" t="s">
        <v>355</v>
      </c>
      <c r="H1507">
        <v>1</v>
      </c>
      <c r="I1507" s="11" t="s">
        <v>4395</v>
      </c>
      <c r="M1507" s="11" t="s">
        <v>77</v>
      </c>
      <c r="N1507" s="11" t="s">
        <v>4396</v>
      </c>
      <c r="O1507" s="11" t="s">
        <v>4397</v>
      </c>
      <c r="P1507" s="11" t="s">
        <v>4395</v>
      </c>
      <c r="Q1507" s="11" t="s">
        <v>135</v>
      </c>
      <c r="U1507" s="11" t="s">
        <v>359</v>
      </c>
      <c r="V1507" s="11" t="s">
        <v>137</v>
      </c>
      <c r="W1507" s="13">
        <v>46302.314618055556</v>
      </c>
    </row>
    <row r="1508" spans="1:23">
      <c r="A1508">
        <v>286373</v>
      </c>
      <c r="B1508">
        <v>219</v>
      </c>
      <c r="C1508" s="11" t="s">
        <v>129</v>
      </c>
      <c r="D1508" s="11" t="s">
        <v>130</v>
      </c>
      <c r="E1508" s="11" t="s">
        <v>25</v>
      </c>
      <c r="F1508" s="12">
        <v>46274</v>
      </c>
      <c r="G1508" s="11" t="s">
        <v>360</v>
      </c>
      <c r="H1508">
        <v>1</v>
      </c>
      <c r="I1508" s="11" t="s">
        <v>1806</v>
      </c>
      <c r="M1508" s="11" t="s">
        <v>79</v>
      </c>
      <c r="N1508" s="11" t="s">
        <v>4398</v>
      </c>
      <c r="O1508" s="11" t="s">
        <v>4399</v>
      </c>
      <c r="P1508" s="11" t="s">
        <v>1806</v>
      </c>
      <c r="Q1508" s="11" t="s">
        <v>135</v>
      </c>
      <c r="U1508" s="11" t="s">
        <v>364</v>
      </c>
      <c r="V1508" s="11" t="s">
        <v>137</v>
      </c>
      <c r="W1508" s="13">
        <v>46302.314618055556</v>
      </c>
    </row>
    <row r="1509" spans="1:23">
      <c r="A1509">
        <v>286374</v>
      </c>
      <c r="B1509">
        <v>220</v>
      </c>
      <c r="C1509" s="11" t="s">
        <v>129</v>
      </c>
      <c r="D1509" s="11" t="s">
        <v>130</v>
      </c>
      <c r="E1509" s="11" t="s">
        <v>25</v>
      </c>
      <c r="F1509" s="12">
        <v>46274</v>
      </c>
      <c r="G1509" s="11" t="s">
        <v>3055</v>
      </c>
      <c r="H1509">
        <v>1</v>
      </c>
      <c r="I1509" s="11" t="s">
        <v>3444</v>
      </c>
      <c r="M1509" s="11" t="s">
        <v>83</v>
      </c>
      <c r="N1509" s="11" t="s">
        <v>4400</v>
      </c>
      <c r="O1509" s="11" t="s">
        <v>4401</v>
      </c>
      <c r="P1509" s="11" t="s">
        <v>3444</v>
      </c>
      <c r="Q1509" s="11" t="s">
        <v>135</v>
      </c>
      <c r="U1509" s="11" t="s">
        <v>3059</v>
      </c>
      <c r="V1509" s="11" t="s">
        <v>137</v>
      </c>
      <c r="W1509" s="13">
        <v>46302.314618055556</v>
      </c>
    </row>
    <row r="1510" spans="1:23">
      <c r="A1510">
        <v>286375</v>
      </c>
      <c r="B1510">
        <v>221</v>
      </c>
      <c r="C1510" s="11" t="s">
        <v>129</v>
      </c>
      <c r="D1510" s="11" t="s">
        <v>130</v>
      </c>
      <c r="E1510" s="11" t="s">
        <v>25</v>
      </c>
      <c r="F1510" s="12">
        <v>46274</v>
      </c>
      <c r="G1510" s="11" t="s">
        <v>921</v>
      </c>
      <c r="H1510">
        <v>1</v>
      </c>
      <c r="I1510" s="11" t="s">
        <v>1886</v>
      </c>
      <c r="M1510" s="11" t="s">
        <v>95</v>
      </c>
      <c r="N1510" s="11" t="s">
        <v>4402</v>
      </c>
      <c r="O1510" s="11" t="s">
        <v>4403</v>
      </c>
      <c r="P1510" s="11" t="s">
        <v>1886</v>
      </c>
      <c r="Q1510" s="11" t="s">
        <v>135</v>
      </c>
      <c r="U1510" s="11" t="s">
        <v>925</v>
      </c>
      <c r="V1510" s="11" t="s">
        <v>137</v>
      </c>
      <c r="W1510" s="13">
        <v>46302.314618055556</v>
      </c>
    </row>
    <row r="1511" spans="1:23">
      <c r="A1511">
        <v>286376</v>
      </c>
      <c r="B1511">
        <v>222</v>
      </c>
      <c r="C1511" s="11" t="s">
        <v>129</v>
      </c>
      <c r="D1511" s="11" t="s">
        <v>130</v>
      </c>
      <c r="E1511" s="11" t="s">
        <v>25</v>
      </c>
      <c r="F1511" s="12">
        <v>46274</v>
      </c>
      <c r="G1511" s="11" t="s">
        <v>344</v>
      </c>
      <c r="H1511">
        <v>1</v>
      </c>
      <c r="I1511" s="11" t="s">
        <v>4404</v>
      </c>
      <c r="M1511" s="11" t="s">
        <v>65</v>
      </c>
      <c r="N1511" s="11" t="s">
        <v>4405</v>
      </c>
      <c r="O1511" s="11" t="s">
        <v>4406</v>
      </c>
      <c r="P1511" s="11" t="s">
        <v>4404</v>
      </c>
      <c r="Q1511" s="11" t="s">
        <v>135</v>
      </c>
      <c r="U1511" s="11" t="s">
        <v>348</v>
      </c>
      <c r="V1511" s="11" t="s">
        <v>137</v>
      </c>
      <c r="W1511" s="13">
        <v>46302.314618055556</v>
      </c>
    </row>
    <row r="1512" spans="1:23">
      <c r="A1512">
        <v>286377</v>
      </c>
      <c r="B1512">
        <v>223</v>
      </c>
      <c r="C1512" s="11" t="s">
        <v>129</v>
      </c>
      <c r="D1512" s="11" t="s">
        <v>130</v>
      </c>
      <c r="E1512" s="11" t="s">
        <v>25</v>
      </c>
      <c r="F1512" s="12">
        <v>46274</v>
      </c>
      <c r="G1512" s="11" t="s">
        <v>930</v>
      </c>
      <c r="H1512">
        <v>2</v>
      </c>
      <c r="I1512" s="11" t="s">
        <v>2423</v>
      </c>
      <c r="M1512" s="11" t="s">
        <v>50</v>
      </c>
      <c r="N1512" s="11" t="s">
        <v>3246</v>
      </c>
      <c r="O1512" s="11" t="s">
        <v>4407</v>
      </c>
      <c r="P1512" s="11" t="s">
        <v>1335</v>
      </c>
      <c r="Q1512" s="11" t="s">
        <v>135</v>
      </c>
      <c r="U1512" s="11" t="s">
        <v>934</v>
      </c>
      <c r="V1512" s="11" t="s">
        <v>137</v>
      </c>
      <c r="W1512" s="13">
        <v>46302.314618055556</v>
      </c>
    </row>
    <row r="1513" spans="1:23">
      <c r="A1513">
        <v>286378</v>
      </c>
      <c r="B1513">
        <v>224</v>
      </c>
      <c r="C1513" s="11" t="s">
        <v>129</v>
      </c>
      <c r="D1513" s="11" t="s">
        <v>130</v>
      </c>
      <c r="E1513" s="11" t="s">
        <v>25</v>
      </c>
      <c r="F1513" s="12">
        <v>46274</v>
      </c>
      <c r="G1513" s="11" t="s">
        <v>930</v>
      </c>
      <c r="H1513">
        <v>1</v>
      </c>
      <c r="I1513" s="11" t="s">
        <v>4408</v>
      </c>
      <c r="M1513" s="11" t="s">
        <v>50</v>
      </c>
      <c r="N1513" s="11" t="s">
        <v>4409</v>
      </c>
      <c r="O1513" s="11" t="s">
        <v>4410</v>
      </c>
      <c r="P1513" s="11" t="s">
        <v>4408</v>
      </c>
      <c r="Q1513" s="11" t="s">
        <v>135</v>
      </c>
      <c r="U1513" s="11" t="s">
        <v>934</v>
      </c>
      <c r="V1513" s="11" t="s">
        <v>137</v>
      </c>
      <c r="W1513" s="13">
        <v>46302.314618055556</v>
      </c>
    </row>
    <row r="1514" spans="1:23">
      <c r="A1514">
        <v>286379</v>
      </c>
      <c r="B1514">
        <v>225</v>
      </c>
      <c r="C1514" s="11" t="s">
        <v>129</v>
      </c>
      <c r="D1514" s="11" t="s">
        <v>130</v>
      </c>
      <c r="E1514" s="11" t="s">
        <v>25</v>
      </c>
      <c r="F1514" s="12">
        <v>46274</v>
      </c>
      <c r="G1514" s="11" t="s">
        <v>930</v>
      </c>
      <c r="H1514">
        <v>1</v>
      </c>
      <c r="I1514" s="11" t="s">
        <v>4042</v>
      </c>
      <c r="M1514" s="11" t="s">
        <v>50</v>
      </c>
      <c r="N1514" s="11" t="s">
        <v>4411</v>
      </c>
      <c r="O1514" s="11" t="s">
        <v>3406</v>
      </c>
      <c r="P1514" s="11" t="s">
        <v>4042</v>
      </c>
      <c r="Q1514" s="11" t="s">
        <v>135</v>
      </c>
      <c r="U1514" s="11" t="s">
        <v>934</v>
      </c>
      <c r="V1514" s="11" t="s">
        <v>137</v>
      </c>
      <c r="W1514" s="13">
        <v>46302.314618055556</v>
      </c>
    </row>
    <row r="1515" spans="1:23">
      <c r="A1515">
        <v>286380</v>
      </c>
      <c r="B1515">
        <v>226</v>
      </c>
      <c r="C1515" s="11" t="s">
        <v>129</v>
      </c>
      <c r="D1515" s="11" t="s">
        <v>130</v>
      </c>
      <c r="E1515" s="11" t="s">
        <v>25</v>
      </c>
      <c r="F1515" s="12">
        <v>46274</v>
      </c>
      <c r="G1515" s="11" t="s">
        <v>344</v>
      </c>
      <c r="H1515">
        <v>1</v>
      </c>
      <c r="I1515" s="11" t="s">
        <v>4412</v>
      </c>
      <c r="M1515" s="11" t="s">
        <v>65</v>
      </c>
      <c r="N1515" s="11" t="s">
        <v>4413</v>
      </c>
      <c r="O1515" s="11" t="s">
        <v>4414</v>
      </c>
      <c r="P1515" s="11" t="s">
        <v>4412</v>
      </c>
      <c r="Q1515" s="11" t="s">
        <v>135</v>
      </c>
      <c r="U1515" s="11" t="s">
        <v>348</v>
      </c>
      <c r="V1515" s="11" t="s">
        <v>137</v>
      </c>
      <c r="W1515" s="13">
        <v>46302.314618055556</v>
      </c>
    </row>
    <row r="1516" spans="1:23">
      <c r="A1516">
        <v>286381</v>
      </c>
      <c r="B1516">
        <v>227</v>
      </c>
      <c r="C1516" s="11" t="s">
        <v>129</v>
      </c>
      <c r="D1516" s="11" t="s">
        <v>130</v>
      </c>
      <c r="E1516" s="11" t="s">
        <v>25</v>
      </c>
      <c r="F1516" s="12">
        <v>46274</v>
      </c>
      <c r="G1516" s="11" t="s">
        <v>393</v>
      </c>
      <c r="H1516">
        <v>1</v>
      </c>
      <c r="I1516" s="11" t="s">
        <v>4415</v>
      </c>
      <c r="M1516" s="11" t="s">
        <v>86</v>
      </c>
      <c r="N1516" s="11" t="s">
        <v>4416</v>
      </c>
      <c r="O1516" s="11" t="s">
        <v>4417</v>
      </c>
      <c r="P1516" s="11" t="s">
        <v>4415</v>
      </c>
      <c r="Q1516" s="11" t="s">
        <v>135</v>
      </c>
      <c r="U1516" s="11" t="s">
        <v>397</v>
      </c>
      <c r="V1516" s="11" t="s">
        <v>137</v>
      </c>
      <c r="W1516" s="13">
        <v>46302.314618055556</v>
      </c>
    </row>
    <row r="1517" spans="1:23">
      <c r="A1517">
        <v>286382</v>
      </c>
      <c r="B1517">
        <v>228</v>
      </c>
      <c r="C1517" s="11" t="s">
        <v>129</v>
      </c>
      <c r="D1517" s="11" t="s">
        <v>130</v>
      </c>
      <c r="E1517" s="11" t="s">
        <v>25</v>
      </c>
      <c r="F1517" s="12">
        <v>46274</v>
      </c>
      <c r="G1517" s="11" t="s">
        <v>1527</v>
      </c>
      <c r="H1517">
        <v>1</v>
      </c>
      <c r="I1517" s="11" t="s">
        <v>3197</v>
      </c>
      <c r="M1517" s="11" t="s">
        <v>89</v>
      </c>
      <c r="N1517" s="11" t="s">
        <v>1516</v>
      </c>
      <c r="O1517" s="11" t="s">
        <v>4418</v>
      </c>
      <c r="P1517" s="11" t="s">
        <v>3197</v>
      </c>
      <c r="Q1517" s="11" t="s">
        <v>135</v>
      </c>
      <c r="U1517" s="11" t="s">
        <v>1531</v>
      </c>
      <c r="V1517" s="11" t="s">
        <v>137</v>
      </c>
      <c r="W1517" s="13">
        <v>46302.314618055556</v>
      </c>
    </row>
    <row r="1518" spans="1:23">
      <c r="A1518">
        <v>286837</v>
      </c>
      <c r="B1518">
        <v>229</v>
      </c>
      <c r="C1518" s="11" t="s">
        <v>129</v>
      </c>
      <c r="D1518" s="11" t="s">
        <v>130</v>
      </c>
      <c r="E1518" s="11" t="s">
        <v>25</v>
      </c>
      <c r="F1518" s="12">
        <v>46276</v>
      </c>
      <c r="G1518" s="11" t="s">
        <v>131</v>
      </c>
      <c r="H1518">
        <v>1</v>
      </c>
      <c r="I1518" s="11" t="s">
        <v>4419</v>
      </c>
      <c r="M1518" s="11" t="s">
        <v>87</v>
      </c>
      <c r="N1518" s="11" t="s">
        <v>4420</v>
      </c>
      <c r="O1518" s="11" t="s">
        <v>4421</v>
      </c>
      <c r="P1518" s="11" t="s">
        <v>4419</v>
      </c>
      <c r="Q1518" s="11" t="s">
        <v>135</v>
      </c>
      <c r="U1518" s="11" t="s">
        <v>136</v>
      </c>
      <c r="V1518" s="11" t="s">
        <v>137</v>
      </c>
      <c r="W1518" s="13">
        <v>46302.314618055556</v>
      </c>
    </row>
    <row r="1519" spans="1:23">
      <c r="A1519">
        <v>286838</v>
      </c>
      <c r="B1519">
        <v>230</v>
      </c>
      <c r="C1519" s="11" t="s">
        <v>129</v>
      </c>
      <c r="D1519" s="11" t="s">
        <v>130</v>
      </c>
      <c r="E1519" s="11" t="s">
        <v>25</v>
      </c>
      <c r="F1519" s="12">
        <v>46276</v>
      </c>
      <c r="G1519" s="11" t="s">
        <v>1457</v>
      </c>
      <c r="H1519">
        <v>1</v>
      </c>
      <c r="I1519" s="11" t="s">
        <v>4422</v>
      </c>
      <c r="M1519" s="11" t="s">
        <v>88</v>
      </c>
      <c r="N1519" s="11" t="s">
        <v>4423</v>
      </c>
      <c r="O1519" s="11" t="s">
        <v>4424</v>
      </c>
      <c r="P1519" s="11" t="s">
        <v>4422</v>
      </c>
      <c r="Q1519" s="11" t="s">
        <v>135</v>
      </c>
      <c r="U1519" s="11" t="s">
        <v>1461</v>
      </c>
      <c r="V1519" s="11" t="s">
        <v>137</v>
      </c>
      <c r="W1519" s="13">
        <v>46302.314618055556</v>
      </c>
    </row>
    <row r="1520" spans="1:23">
      <c r="A1520">
        <v>286839</v>
      </c>
      <c r="B1520">
        <v>231</v>
      </c>
      <c r="C1520" s="11" t="s">
        <v>129</v>
      </c>
      <c r="D1520" s="11" t="s">
        <v>130</v>
      </c>
      <c r="E1520" s="11" t="s">
        <v>25</v>
      </c>
      <c r="F1520" s="12">
        <v>46276</v>
      </c>
      <c r="G1520" s="11" t="s">
        <v>222</v>
      </c>
      <c r="H1520">
        <v>1</v>
      </c>
      <c r="I1520" s="11" t="s">
        <v>4425</v>
      </c>
      <c r="M1520" s="11" t="s">
        <v>90</v>
      </c>
      <c r="N1520" s="11" t="s">
        <v>2442</v>
      </c>
      <c r="O1520" s="11" t="s">
        <v>4426</v>
      </c>
      <c r="P1520" s="11" t="s">
        <v>4425</v>
      </c>
      <c r="Q1520" s="11" t="s">
        <v>135</v>
      </c>
      <c r="U1520" s="11" t="s">
        <v>225</v>
      </c>
      <c r="V1520" s="11" t="s">
        <v>137</v>
      </c>
      <c r="W1520" s="13">
        <v>46302.314618055556</v>
      </c>
    </row>
    <row r="1521" spans="1:23">
      <c r="A1521">
        <v>286840</v>
      </c>
      <c r="B1521">
        <v>232</v>
      </c>
      <c r="C1521" s="11" t="s">
        <v>129</v>
      </c>
      <c r="D1521" s="11" t="s">
        <v>130</v>
      </c>
      <c r="E1521" s="11" t="s">
        <v>25</v>
      </c>
      <c r="F1521" s="12">
        <v>46276</v>
      </c>
      <c r="G1521" s="11" t="s">
        <v>131</v>
      </c>
      <c r="H1521">
        <v>1</v>
      </c>
      <c r="I1521" s="11" t="s">
        <v>2317</v>
      </c>
      <c r="M1521" s="11" t="s">
        <v>87</v>
      </c>
      <c r="N1521" s="11" t="s">
        <v>4427</v>
      </c>
      <c r="O1521" s="11" t="s">
        <v>4428</v>
      </c>
      <c r="P1521" s="11" t="s">
        <v>2317</v>
      </c>
      <c r="Q1521" s="11" t="s">
        <v>135</v>
      </c>
      <c r="U1521" s="11" t="s">
        <v>136</v>
      </c>
      <c r="V1521" s="11" t="s">
        <v>137</v>
      </c>
      <c r="W1521" s="13">
        <v>46302.314618055556</v>
      </c>
    </row>
    <row r="1522" spans="1:23">
      <c r="A1522">
        <v>286841</v>
      </c>
      <c r="B1522">
        <v>233</v>
      </c>
      <c r="C1522" s="11" t="s">
        <v>129</v>
      </c>
      <c r="D1522" s="11" t="s">
        <v>130</v>
      </c>
      <c r="E1522" s="11" t="s">
        <v>25</v>
      </c>
      <c r="F1522" s="12">
        <v>46276</v>
      </c>
      <c r="G1522" s="11" t="s">
        <v>1457</v>
      </c>
      <c r="H1522">
        <v>1</v>
      </c>
      <c r="I1522" s="11" t="s">
        <v>4429</v>
      </c>
      <c r="M1522" s="11" t="s">
        <v>88</v>
      </c>
      <c r="N1522" s="11" t="s">
        <v>4430</v>
      </c>
      <c r="O1522" s="11" t="s">
        <v>4431</v>
      </c>
      <c r="P1522" s="11" t="s">
        <v>4429</v>
      </c>
      <c r="Q1522" s="11" t="s">
        <v>135</v>
      </c>
      <c r="U1522" s="11" t="s">
        <v>1461</v>
      </c>
      <c r="V1522" s="11" t="s">
        <v>137</v>
      </c>
      <c r="W1522" s="13">
        <v>46302.314618055556</v>
      </c>
    </row>
    <row r="1523" spans="1:23">
      <c r="A1523">
        <v>286842</v>
      </c>
      <c r="B1523">
        <v>234</v>
      </c>
      <c r="C1523" s="11" t="s">
        <v>129</v>
      </c>
      <c r="D1523" s="11" t="s">
        <v>130</v>
      </c>
      <c r="E1523" s="11" t="s">
        <v>25</v>
      </c>
      <c r="F1523" s="12">
        <v>46276</v>
      </c>
      <c r="G1523" s="11" t="s">
        <v>174</v>
      </c>
      <c r="H1523">
        <v>1</v>
      </c>
      <c r="I1523" s="11" t="s">
        <v>4432</v>
      </c>
      <c r="M1523" s="11" t="s">
        <v>92</v>
      </c>
      <c r="N1523" s="11" t="s">
        <v>4433</v>
      </c>
      <c r="O1523" s="11" t="s">
        <v>4434</v>
      </c>
      <c r="P1523" s="11" t="s">
        <v>4432</v>
      </c>
      <c r="Q1523" s="11" t="s">
        <v>135</v>
      </c>
      <c r="U1523" s="11" t="s">
        <v>178</v>
      </c>
      <c r="V1523" s="11" t="s">
        <v>137</v>
      </c>
      <c r="W1523" s="13">
        <v>46302.314618055556</v>
      </c>
    </row>
    <row r="1524" spans="1:23">
      <c r="A1524">
        <v>286843</v>
      </c>
      <c r="B1524">
        <v>235</v>
      </c>
      <c r="C1524" s="11" t="s">
        <v>129</v>
      </c>
      <c r="D1524" s="11" t="s">
        <v>130</v>
      </c>
      <c r="E1524" s="11" t="s">
        <v>25</v>
      </c>
      <c r="F1524" s="12">
        <v>46276</v>
      </c>
      <c r="G1524" s="11" t="s">
        <v>179</v>
      </c>
      <c r="H1524">
        <v>1</v>
      </c>
      <c r="I1524" s="11" t="s">
        <v>4435</v>
      </c>
      <c r="M1524" s="11" t="s">
        <v>83</v>
      </c>
      <c r="N1524" s="11" t="s">
        <v>1308</v>
      </c>
      <c r="O1524" s="11" t="s">
        <v>4436</v>
      </c>
      <c r="P1524" s="11" t="s">
        <v>4435</v>
      </c>
      <c r="Q1524" s="11" t="s">
        <v>135</v>
      </c>
      <c r="U1524" s="11" t="s">
        <v>183</v>
      </c>
      <c r="V1524" s="11" t="s">
        <v>137</v>
      </c>
      <c r="W1524" s="13">
        <v>46302.314618055556</v>
      </c>
    </row>
    <row r="1525" spans="1:23">
      <c r="A1525">
        <v>286844</v>
      </c>
      <c r="B1525">
        <v>236</v>
      </c>
      <c r="C1525" s="11" t="s">
        <v>129</v>
      </c>
      <c r="D1525" s="11" t="s">
        <v>130</v>
      </c>
      <c r="E1525" s="11" t="s">
        <v>25</v>
      </c>
      <c r="F1525" s="12">
        <v>46276</v>
      </c>
      <c r="G1525" s="11" t="s">
        <v>164</v>
      </c>
      <c r="H1525">
        <v>3</v>
      </c>
      <c r="I1525" s="11" t="s">
        <v>4437</v>
      </c>
      <c r="M1525" s="11" t="s">
        <v>62</v>
      </c>
      <c r="N1525" s="11" t="s">
        <v>4438</v>
      </c>
      <c r="O1525" s="11" t="s">
        <v>4439</v>
      </c>
      <c r="P1525" s="11" t="s">
        <v>4440</v>
      </c>
      <c r="Q1525" s="11" t="s">
        <v>135</v>
      </c>
      <c r="U1525" s="11" t="s">
        <v>168</v>
      </c>
      <c r="V1525" s="11" t="s">
        <v>137</v>
      </c>
      <c r="W1525" s="13">
        <v>46302.314618055556</v>
      </c>
    </row>
    <row r="1526" spans="1:23">
      <c r="A1526">
        <v>286845</v>
      </c>
      <c r="B1526">
        <v>237</v>
      </c>
      <c r="C1526" s="11" t="s">
        <v>129</v>
      </c>
      <c r="D1526" s="11" t="s">
        <v>130</v>
      </c>
      <c r="E1526" s="11" t="s">
        <v>25</v>
      </c>
      <c r="F1526" s="12">
        <v>46276</v>
      </c>
      <c r="G1526" s="11" t="s">
        <v>195</v>
      </c>
      <c r="H1526">
        <v>1</v>
      </c>
      <c r="I1526" s="11" t="s">
        <v>4441</v>
      </c>
      <c r="M1526" s="11" t="s">
        <v>68</v>
      </c>
      <c r="N1526" s="11" t="s">
        <v>4442</v>
      </c>
      <c r="O1526" s="11" t="s">
        <v>3781</v>
      </c>
      <c r="P1526" s="11" t="s">
        <v>4441</v>
      </c>
      <c r="Q1526" s="11" t="s">
        <v>135</v>
      </c>
      <c r="U1526" s="11" t="s">
        <v>199</v>
      </c>
      <c r="V1526" s="11" t="s">
        <v>137</v>
      </c>
      <c r="W1526" s="13">
        <v>46302.314618055556</v>
      </c>
    </row>
    <row r="1527" spans="1:23">
      <c r="A1527">
        <v>286846</v>
      </c>
      <c r="B1527">
        <v>238</v>
      </c>
      <c r="C1527" s="11" t="s">
        <v>129</v>
      </c>
      <c r="D1527" s="11" t="s">
        <v>130</v>
      </c>
      <c r="E1527" s="11" t="s">
        <v>25</v>
      </c>
      <c r="F1527" s="12">
        <v>46276</v>
      </c>
      <c r="G1527" s="11" t="s">
        <v>504</v>
      </c>
      <c r="H1527">
        <v>2</v>
      </c>
      <c r="I1527" s="11" t="s">
        <v>4443</v>
      </c>
      <c r="M1527" s="11" t="s">
        <v>53</v>
      </c>
      <c r="N1527" s="11" t="s">
        <v>4444</v>
      </c>
      <c r="O1527" s="11" t="s">
        <v>4445</v>
      </c>
      <c r="P1527" s="11" t="s">
        <v>4446</v>
      </c>
      <c r="Q1527" s="11" t="s">
        <v>135</v>
      </c>
      <c r="U1527" s="11" t="s">
        <v>508</v>
      </c>
      <c r="V1527" s="11" t="s">
        <v>137</v>
      </c>
      <c r="W1527" s="13">
        <v>46302.314618055556</v>
      </c>
    </row>
    <row r="1528" spans="1:23">
      <c r="A1528">
        <v>286847</v>
      </c>
      <c r="B1528">
        <v>239</v>
      </c>
      <c r="C1528" s="11" t="s">
        <v>129</v>
      </c>
      <c r="D1528" s="11" t="s">
        <v>130</v>
      </c>
      <c r="E1528" s="11" t="s">
        <v>25</v>
      </c>
      <c r="F1528" s="12">
        <v>46276</v>
      </c>
      <c r="G1528" s="11" t="s">
        <v>1848</v>
      </c>
      <c r="H1528">
        <v>1</v>
      </c>
      <c r="I1528" s="11" t="s">
        <v>4447</v>
      </c>
      <c r="M1528" s="11" t="s">
        <v>56</v>
      </c>
      <c r="N1528" s="11" t="s">
        <v>4448</v>
      </c>
      <c r="O1528" s="11" t="s">
        <v>4449</v>
      </c>
      <c r="P1528" s="11" t="s">
        <v>4447</v>
      </c>
      <c r="Q1528" s="11" t="s">
        <v>135</v>
      </c>
      <c r="U1528" s="11" t="s">
        <v>1852</v>
      </c>
      <c r="V1528" s="11" t="s">
        <v>137</v>
      </c>
      <c r="W1528" s="13">
        <v>46302.314618055556</v>
      </c>
    </row>
    <row r="1529" spans="1:23">
      <c r="A1529">
        <v>286848</v>
      </c>
      <c r="B1529">
        <v>240</v>
      </c>
      <c r="C1529" s="11" t="s">
        <v>129</v>
      </c>
      <c r="D1529" s="11" t="s">
        <v>130</v>
      </c>
      <c r="E1529" s="11" t="s">
        <v>25</v>
      </c>
      <c r="F1529" s="12">
        <v>46276</v>
      </c>
      <c r="G1529" s="11" t="s">
        <v>212</v>
      </c>
      <c r="H1529">
        <v>1</v>
      </c>
      <c r="I1529" s="11" t="s">
        <v>1327</v>
      </c>
      <c r="M1529" s="11" t="s">
        <v>40</v>
      </c>
      <c r="N1529" s="11" t="s">
        <v>4450</v>
      </c>
      <c r="O1529" s="11" t="s">
        <v>4451</v>
      </c>
      <c r="P1529" s="11" t="s">
        <v>1327</v>
      </c>
      <c r="Q1529" s="11" t="s">
        <v>135</v>
      </c>
      <c r="U1529" s="11" t="s">
        <v>216</v>
      </c>
      <c r="V1529" s="11" t="s">
        <v>137</v>
      </c>
      <c r="W1529" s="13">
        <v>46302.314618055556</v>
      </c>
    </row>
    <row r="1530" spans="1:23">
      <c r="A1530">
        <v>286849</v>
      </c>
      <c r="B1530">
        <v>241</v>
      </c>
      <c r="C1530" s="11" t="s">
        <v>129</v>
      </c>
      <c r="D1530" s="11" t="s">
        <v>130</v>
      </c>
      <c r="E1530" s="11" t="s">
        <v>25</v>
      </c>
      <c r="F1530" s="12">
        <v>46276</v>
      </c>
      <c r="G1530" s="11" t="s">
        <v>131</v>
      </c>
      <c r="H1530">
        <v>1</v>
      </c>
      <c r="I1530" s="11" t="s">
        <v>4452</v>
      </c>
      <c r="M1530" s="11" t="s">
        <v>87</v>
      </c>
      <c r="N1530" s="11" t="s">
        <v>4453</v>
      </c>
      <c r="O1530" s="11" t="s">
        <v>4129</v>
      </c>
      <c r="P1530" s="11" t="s">
        <v>4452</v>
      </c>
      <c r="Q1530" s="11" t="s">
        <v>135</v>
      </c>
      <c r="U1530" s="11" t="s">
        <v>136</v>
      </c>
      <c r="V1530" s="11" t="s">
        <v>137</v>
      </c>
      <c r="W1530" s="13">
        <v>46302.314618055556</v>
      </c>
    </row>
    <row r="1531" spans="1:23">
      <c r="A1531">
        <v>286850</v>
      </c>
      <c r="B1531">
        <v>242</v>
      </c>
      <c r="C1531" s="11" t="s">
        <v>129</v>
      </c>
      <c r="D1531" s="11" t="s">
        <v>130</v>
      </c>
      <c r="E1531" s="11" t="s">
        <v>25</v>
      </c>
      <c r="F1531" s="12">
        <v>46276</v>
      </c>
      <c r="G1531" s="11" t="s">
        <v>607</v>
      </c>
      <c r="H1531">
        <v>1</v>
      </c>
      <c r="I1531" s="11" t="s">
        <v>4454</v>
      </c>
      <c r="M1531" s="11" t="s">
        <v>42</v>
      </c>
      <c r="N1531" s="11" t="s">
        <v>3276</v>
      </c>
      <c r="O1531" s="11" t="s">
        <v>1855</v>
      </c>
      <c r="P1531" s="11" t="s">
        <v>4454</v>
      </c>
      <c r="Q1531" s="11" t="s">
        <v>135</v>
      </c>
      <c r="U1531" s="11" t="s">
        <v>611</v>
      </c>
      <c r="V1531" s="11" t="s">
        <v>137</v>
      </c>
      <c r="W1531" s="13">
        <v>46302.314618055556</v>
      </c>
    </row>
    <row r="1532" spans="1:23">
      <c r="A1532">
        <v>286851</v>
      </c>
      <c r="B1532">
        <v>243</v>
      </c>
      <c r="C1532" s="11" t="s">
        <v>129</v>
      </c>
      <c r="D1532" s="11" t="s">
        <v>130</v>
      </c>
      <c r="E1532" s="11" t="s">
        <v>25</v>
      </c>
      <c r="F1532" s="12">
        <v>46276</v>
      </c>
      <c r="G1532" s="11" t="s">
        <v>174</v>
      </c>
      <c r="H1532">
        <v>1</v>
      </c>
      <c r="I1532" s="11" t="s">
        <v>1148</v>
      </c>
      <c r="M1532" s="11" t="s">
        <v>92</v>
      </c>
      <c r="N1532" s="11" t="s">
        <v>4455</v>
      </c>
      <c r="O1532" s="11" t="s">
        <v>4456</v>
      </c>
      <c r="P1532" s="11" t="s">
        <v>1148</v>
      </c>
      <c r="Q1532" s="11" t="s">
        <v>135</v>
      </c>
      <c r="U1532" s="11" t="s">
        <v>178</v>
      </c>
      <c r="V1532" s="11" t="s">
        <v>137</v>
      </c>
      <c r="W1532" s="13">
        <v>46302.314618055556</v>
      </c>
    </row>
    <row r="1533" spans="1:23">
      <c r="A1533">
        <v>286852</v>
      </c>
      <c r="B1533">
        <v>244</v>
      </c>
      <c r="C1533" s="11" t="s">
        <v>129</v>
      </c>
      <c r="D1533" s="11" t="s">
        <v>130</v>
      </c>
      <c r="E1533" s="11" t="s">
        <v>25</v>
      </c>
      <c r="F1533" s="12">
        <v>46276</v>
      </c>
      <c r="G1533" s="11" t="s">
        <v>131</v>
      </c>
      <c r="H1533">
        <v>1</v>
      </c>
      <c r="I1533" s="11" t="s">
        <v>2488</v>
      </c>
      <c r="M1533" s="11" t="s">
        <v>87</v>
      </c>
      <c r="N1533" s="11" t="s">
        <v>4457</v>
      </c>
      <c r="O1533" s="11" t="s">
        <v>3899</v>
      </c>
      <c r="P1533" s="11" t="s">
        <v>2488</v>
      </c>
      <c r="Q1533" s="11" t="s">
        <v>135</v>
      </c>
      <c r="U1533" s="11" t="s">
        <v>136</v>
      </c>
      <c r="V1533" s="11" t="s">
        <v>137</v>
      </c>
      <c r="W1533" s="13">
        <v>46302.314618055556</v>
      </c>
    </row>
    <row r="1534" spans="1:23">
      <c r="A1534">
        <v>287157</v>
      </c>
      <c r="B1534">
        <v>245</v>
      </c>
      <c r="C1534" s="11" t="s">
        <v>129</v>
      </c>
      <c r="D1534" s="11" t="s">
        <v>130</v>
      </c>
      <c r="E1534" s="11" t="s">
        <v>25</v>
      </c>
      <c r="F1534" s="12">
        <v>46279</v>
      </c>
      <c r="G1534" s="11" t="s">
        <v>131</v>
      </c>
      <c r="H1534">
        <v>1</v>
      </c>
      <c r="I1534" s="11" t="s">
        <v>1914</v>
      </c>
      <c r="M1534" s="11" t="s">
        <v>87</v>
      </c>
      <c r="N1534" s="11" t="s">
        <v>4458</v>
      </c>
      <c r="O1534" s="11" t="s">
        <v>4459</v>
      </c>
      <c r="P1534" s="11" t="s">
        <v>1914</v>
      </c>
      <c r="Q1534" s="11" t="s">
        <v>135</v>
      </c>
      <c r="U1534" s="11" t="s">
        <v>136</v>
      </c>
      <c r="V1534" s="11" t="s">
        <v>137</v>
      </c>
      <c r="W1534" s="13">
        <v>46302.314618055556</v>
      </c>
    </row>
    <row r="1535" spans="1:23">
      <c r="A1535">
        <v>287158</v>
      </c>
      <c r="B1535">
        <v>246</v>
      </c>
      <c r="C1535" s="11" t="s">
        <v>129</v>
      </c>
      <c r="D1535" s="11" t="s">
        <v>130</v>
      </c>
      <c r="E1535" s="11" t="s">
        <v>25</v>
      </c>
      <c r="F1535" s="12">
        <v>46279</v>
      </c>
      <c r="G1535" s="11" t="s">
        <v>653</v>
      </c>
      <c r="H1535">
        <v>1</v>
      </c>
      <c r="I1535" s="11" t="s">
        <v>4460</v>
      </c>
      <c r="M1535" s="11" t="s">
        <v>49</v>
      </c>
      <c r="N1535" s="11" t="s">
        <v>4461</v>
      </c>
      <c r="O1535" s="11" t="s">
        <v>4462</v>
      </c>
      <c r="P1535" s="11" t="s">
        <v>4460</v>
      </c>
      <c r="Q1535" s="11" t="s">
        <v>135</v>
      </c>
      <c r="U1535" s="11" t="s">
        <v>657</v>
      </c>
      <c r="V1535" s="11" t="s">
        <v>137</v>
      </c>
      <c r="W1535" s="13">
        <v>46302.314618055556</v>
      </c>
    </row>
    <row r="1536" spans="1:23">
      <c r="A1536">
        <v>287159</v>
      </c>
      <c r="B1536">
        <v>247</v>
      </c>
      <c r="C1536" s="11" t="s">
        <v>129</v>
      </c>
      <c r="D1536" s="11" t="s">
        <v>130</v>
      </c>
      <c r="E1536" s="11" t="s">
        <v>25</v>
      </c>
      <c r="F1536" s="12">
        <v>46279</v>
      </c>
      <c r="G1536" s="11" t="s">
        <v>131</v>
      </c>
      <c r="H1536">
        <v>1</v>
      </c>
      <c r="I1536" s="11" t="s">
        <v>3049</v>
      </c>
      <c r="M1536" s="11" t="s">
        <v>87</v>
      </c>
      <c r="N1536" s="11" t="s">
        <v>4463</v>
      </c>
      <c r="O1536" s="11" t="s">
        <v>4464</v>
      </c>
      <c r="P1536" s="11" t="s">
        <v>3049</v>
      </c>
      <c r="Q1536" s="11" t="s">
        <v>135</v>
      </c>
      <c r="U1536" s="11" t="s">
        <v>136</v>
      </c>
      <c r="V1536" s="11" t="s">
        <v>137</v>
      </c>
      <c r="W1536" s="13">
        <v>46302.314618055556</v>
      </c>
    </row>
    <row r="1537" spans="1:23">
      <c r="A1537">
        <v>287160</v>
      </c>
      <c r="B1537">
        <v>248</v>
      </c>
      <c r="C1537" s="11" t="s">
        <v>129</v>
      </c>
      <c r="D1537" s="11" t="s">
        <v>130</v>
      </c>
      <c r="E1537" s="11" t="s">
        <v>25</v>
      </c>
      <c r="F1537" s="12">
        <v>46279</v>
      </c>
      <c r="G1537" s="11" t="s">
        <v>1663</v>
      </c>
      <c r="H1537">
        <v>1</v>
      </c>
      <c r="I1537" s="11" t="s">
        <v>1205</v>
      </c>
      <c r="M1537" s="11" t="s">
        <v>47</v>
      </c>
      <c r="N1537" s="11" t="s">
        <v>4465</v>
      </c>
      <c r="O1537" s="11" t="s">
        <v>4466</v>
      </c>
      <c r="P1537" s="11" t="s">
        <v>1205</v>
      </c>
      <c r="Q1537" s="11" t="s">
        <v>2271</v>
      </c>
      <c r="U1537" s="11" t="s">
        <v>1666</v>
      </c>
      <c r="V1537" s="11" t="s">
        <v>137</v>
      </c>
      <c r="W1537" s="13">
        <v>46302.314618055556</v>
      </c>
    </row>
    <row r="1538" spans="1:23">
      <c r="A1538">
        <v>287161</v>
      </c>
      <c r="B1538">
        <v>250</v>
      </c>
      <c r="C1538" s="11" t="s">
        <v>129</v>
      </c>
      <c r="D1538" s="11" t="s">
        <v>130</v>
      </c>
      <c r="E1538" s="11" t="s">
        <v>25</v>
      </c>
      <c r="F1538" s="12">
        <v>46279</v>
      </c>
      <c r="G1538" s="11" t="s">
        <v>164</v>
      </c>
      <c r="H1538">
        <v>1</v>
      </c>
      <c r="I1538" s="11" t="s">
        <v>4467</v>
      </c>
      <c r="M1538" s="11" t="s">
        <v>62</v>
      </c>
      <c r="N1538" s="11" t="s">
        <v>4468</v>
      </c>
      <c r="O1538" s="11" t="s">
        <v>697</v>
      </c>
      <c r="P1538" s="11" t="s">
        <v>4467</v>
      </c>
      <c r="Q1538" s="11" t="s">
        <v>135</v>
      </c>
      <c r="U1538" s="11" t="s">
        <v>168</v>
      </c>
      <c r="V1538" s="11" t="s">
        <v>137</v>
      </c>
      <c r="W1538" s="13">
        <v>46302.314618055556</v>
      </c>
    </row>
    <row r="1539" spans="1:23">
      <c r="A1539">
        <v>287162</v>
      </c>
      <c r="B1539">
        <v>251</v>
      </c>
      <c r="C1539" s="11" t="s">
        <v>129</v>
      </c>
      <c r="D1539" s="11" t="s">
        <v>130</v>
      </c>
      <c r="E1539" s="11" t="s">
        <v>25</v>
      </c>
      <c r="F1539" s="12">
        <v>46279</v>
      </c>
      <c r="G1539" s="11" t="s">
        <v>174</v>
      </c>
      <c r="H1539">
        <v>1</v>
      </c>
      <c r="I1539" s="11" t="s">
        <v>4469</v>
      </c>
      <c r="M1539" s="11" t="s">
        <v>92</v>
      </c>
      <c r="N1539" s="11" t="s">
        <v>4470</v>
      </c>
      <c r="O1539" s="11" t="s">
        <v>4471</v>
      </c>
      <c r="P1539" s="11" t="s">
        <v>4469</v>
      </c>
      <c r="Q1539" s="11" t="s">
        <v>135</v>
      </c>
      <c r="U1539" s="11" t="s">
        <v>178</v>
      </c>
      <c r="V1539" s="11" t="s">
        <v>137</v>
      </c>
      <c r="W1539" s="13">
        <v>46302.314618055556</v>
      </c>
    </row>
    <row r="1540" spans="1:23">
      <c r="A1540">
        <v>287163</v>
      </c>
      <c r="B1540">
        <v>252</v>
      </c>
      <c r="C1540" s="11" t="s">
        <v>129</v>
      </c>
      <c r="D1540" s="11" t="s">
        <v>130</v>
      </c>
      <c r="E1540" s="11" t="s">
        <v>25</v>
      </c>
      <c r="F1540" s="12">
        <v>46279</v>
      </c>
      <c r="G1540" s="11" t="s">
        <v>179</v>
      </c>
      <c r="H1540">
        <v>1</v>
      </c>
      <c r="I1540" s="11" t="s">
        <v>4472</v>
      </c>
      <c r="M1540" s="11" t="s">
        <v>83</v>
      </c>
      <c r="N1540" s="11" t="s">
        <v>4473</v>
      </c>
      <c r="O1540" s="11" t="s">
        <v>4474</v>
      </c>
      <c r="P1540" s="11" t="s">
        <v>4472</v>
      </c>
      <c r="Q1540" s="11" t="s">
        <v>135</v>
      </c>
      <c r="U1540" s="11" t="s">
        <v>183</v>
      </c>
      <c r="V1540" s="11" t="s">
        <v>137</v>
      </c>
      <c r="W1540" s="13">
        <v>46302.314618055556</v>
      </c>
    </row>
    <row r="1541" spans="1:23">
      <c r="A1541">
        <v>287164</v>
      </c>
      <c r="B1541">
        <v>253</v>
      </c>
      <c r="C1541" s="11" t="s">
        <v>129</v>
      </c>
      <c r="D1541" s="11" t="s">
        <v>130</v>
      </c>
      <c r="E1541" s="11" t="s">
        <v>25</v>
      </c>
      <c r="F1541" s="12">
        <v>46279</v>
      </c>
      <c r="G1541" s="11" t="s">
        <v>164</v>
      </c>
      <c r="H1541">
        <v>1</v>
      </c>
      <c r="I1541" s="11" t="s">
        <v>1978</v>
      </c>
      <c r="M1541" s="11" t="s">
        <v>62</v>
      </c>
      <c r="N1541" s="11" t="s">
        <v>4475</v>
      </c>
      <c r="O1541" s="11" t="s">
        <v>4476</v>
      </c>
      <c r="P1541" s="11" t="s">
        <v>1978</v>
      </c>
      <c r="Q1541" s="11" t="s">
        <v>135</v>
      </c>
      <c r="U1541" s="11" t="s">
        <v>168</v>
      </c>
      <c r="V1541" s="11" t="s">
        <v>137</v>
      </c>
      <c r="W1541" s="13">
        <v>46302.314618055556</v>
      </c>
    </row>
    <row r="1542" spans="1:23">
      <c r="A1542">
        <v>287165</v>
      </c>
      <c r="B1542">
        <v>254</v>
      </c>
      <c r="C1542" s="11" t="s">
        <v>129</v>
      </c>
      <c r="D1542" s="11" t="s">
        <v>130</v>
      </c>
      <c r="E1542" s="11" t="s">
        <v>25</v>
      </c>
      <c r="F1542" s="12">
        <v>46279</v>
      </c>
      <c r="G1542" s="11" t="s">
        <v>131</v>
      </c>
      <c r="H1542">
        <v>1</v>
      </c>
      <c r="I1542" s="11" t="s">
        <v>2732</v>
      </c>
      <c r="M1542" s="11" t="s">
        <v>87</v>
      </c>
      <c r="N1542" s="11" t="s">
        <v>4477</v>
      </c>
      <c r="O1542" s="11" t="s">
        <v>4478</v>
      </c>
      <c r="P1542" s="11" t="s">
        <v>2732</v>
      </c>
      <c r="Q1542" s="11" t="s">
        <v>135</v>
      </c>
      <c r="U1542" s="11" t="s">
        <v>136</v>
      </c>
      <c r="V1542" s="11" t="s">
        <v>137</v>
      </c>
      <c r="W1542" s="13">
        <v>46302.314618055556</v>
      </c>
    </row>
    <row r="1543" spans="1:23">
      <c r="A1543">
        <v>287166</v>
      </c>
      <c r="B1543">
        <v>255</v>
      </c>
      <c r="C1543" s="11" t="s">
        <v>129</v>
      </c>
      <c r="D1543" s="11" t="s">
        <v>130</v>
      </c>
      <c r="E1543" s="11" t="s">
        <v>25</v>
      </c>
      <c r="F1543" s="12">
        <v>46279</v>
      </c>
      <c r="G1543" s="11" t="s">
        <v>222</v>
      </c>
      <c r="H1543">
        <v>1</v>
      </c>
      <c r="I1543" s="11" t="s">
        <v>4479</v>
      </c>
      <c r="M1543" s="11" t="s">
        <v>90</v>
      </c>
      <c r="N1543" s="11" t="s">
        <v>4480</v>
      </c>
      <c r="O1543" s="11" t="s">
        <v>4481</v>
      </c>
      <c r="P1543" s="11" t="s">
        <v>4479</v>
      </c>
      <c r="Q1543" s="11" t="s">
        <v>135</v>
      </c>
      <c r="U1543" s="11" t="s">
        <v>225</v>
      </c>
      <c r="V1543" s="11" t="s">
        <v>137</v>
      </c>
      <c r="W1543" s="13">
        <v>46302.314618055556</v>
      </c>
    </row>
    <row r="1544" spans="1:23">
      <c r="A1544">
        <v>287167</v>
      </c>
      <c r="B1544">
        <v>256</v>
      </c>
      <c r="C1544" s="11" t="s">
        <v>129</v>
      </c>
      <c r="D1544" s="11" t="s">
        <v>130</v>
      </c>
      <c r="E1544" s="11" t="s">
        <v>25</v>
      </c>
      <c r="F1544" s="12">
        <v>46279</v>
      </c>
      <c r="G1544" s="11" t="s">
        <v>1848</v>
      </c>
      <c r="H1544">
        <v>1</v>
      </c>
      <c r="I1544" s="11" t="s">
        <v>1612</v>
      </c>
      <c r="M1544" s="11" t="s">
        <v>56</v>
      </c>
      <c r="N1544" s="11" t="s">
        <v>4482</v>
      </c>
      <c r="O1544" s="11" t="s">
        <v>4483</v>
      </c>
      <c r="P1544" s="11" t="s">
        <v>1612</v>
      </c>
      <c r="Q1544" s="11" t="s">
        <v>135</v>
      </c>
      <c r="U1544" s="11" t="s">
        <v>1852</v>
      </c>
      <c r="V1544" s="11" t="s">
        <v>137</v>
      </c>
      <c r="W1544" s="13">
        <v>46302.314618055556</v>
      </c>
    </row>
    <row r="1545" spans="1:23">
      <c r="A1545">
        <v>287168</v>
      </c>
      <c r="B1545">
        <v>257</v>
      </c>
      <c r="C1545" s="11" t="s">
        <v>129</v>
      </c>
      <c r="D1545" s="11" t="s">
        <v>130</v>
      </c>
      <c r="E1545" s="11" t="s">
        <v>25</v>
      </c>
      <c r="F1545" s="12">
        <v>46279</v>
      </c>
      <c r="G1545" s="11" t="s">
        <v>164</v>
      </c>
      <c r="H1545">
        <v>1</v>
      </c>
      <c r="I1545" s="11" t="s">
        <v>2065</v>
      </c>
      <c r="M1545" s="11" t="s">
        <v>62</v>
      </c>
      <c r="N1545" s="11" t="s">
        <v>4484</v>
      </c>
      <c r="O1545" s="11" t="s">
        <v>4485</v>
      </c>
      <c r="P1545" s="11" t="s">
        <v>2065</v>
      </c>
      <c r="Q1545" s="11" t="s">
        <v>135</v>
      </c>
      <c r="U1545" s="11" t="s">
        <v>168</v>
      </c>
      <c r="V1545" s="11" t="s">
        <v>137</v>
      </c>
      <c r="W1545" s="13">
        <v>46302.314618055556</v>
      </c>
    </row>
    <row r="1546" spans="1:23">
      <c r="A1546">
        <v>287169</v>
      </c>
      <c r="B1546">
        <v>258</v>
      </c>
      <c r="C1546" s="11" t="s">
        <v>129</v>
      </c>
      <c r="D1546" s="11" t="s">
        <v>130</v>
      </c>
      <c r="E1546" s="11" t="s">
        <v>25</v>
      </c>
      <c r="F1546" s="12">
        <v>46279</v>
      </c>
      <c r="G1546" s="11" t="s">
        <v>131</v>
      </c>
      <c r="H1546">
        <v>1</v>
      </c>
      <c r="I1546" s="11" t="s">
        <v>1227</v>
      </c>
      <c r="M1546" s="11" t="s">
        <v>87</v>
      </c>
      <c r="N1546" s="11" t="s">
        <v>4486</v>
      </c>
      <c r="O1546" s="11" t="s">
        <v>4487</v>
      </c>
      <c r="P1546" s="11" t="s">
        <v>1227</v>
      </c>
      <c r="Q1546" s="11" t="s">
        <v>135</v>
      </c>
      <c r="U1546" s="11" t="s">
        <v>136</v>
      </c>
      <c r="V1546" s="11" t="s">
        <v>137</v>
      </c>
      <c r="W1546" s="13">
        <v>46302.314618055556</v>
      </c>
    </row>
    <row r="1547" spans="1:23">
      <c r="A1547">
        <v>287170</v>
      </c>
      <c r="B1547">
        <v>259</v>
      </c>
      <c r="C1547" s="11" t="s">
        <v>129</v>
      </c>
      <c r="D1547" s="11" t="s">
        <v>130</v>
      </c>
      <c r="E1547" s="11" t="s">
        <v>25</v>
      </c>
      <c r="F1547" s="12">
        <v>46279</v>
      </c>
      <c r="G1547" s="11" t="s">
        <v>174</v>
      </c>
      <c r="H1547">
        <v>1</v>
      </c>
      <c r="I1547" s="11" t="s">
        <v>4488</v>
      </c>
      <c r="M1547" s="11" t="s">
        <v>92</v>
      </c>
      <c r="N1547" s="11" t="s">
        <v>4489</v>
      </c>
      <c r="O1547" s="11" t="s">
        <v>4490</v>
      </c>
      <c r="P1547" s="11" t="s">
        <v>4488</v>
      </c>
      <c r="Q1547" s="11" t="s">
        <v>135</v>
      </c>
      <c r="U1547" s="11" t="s">
        <v>178</v>
      </c>
      <c r="V1547" s="11" t="s">
        <v>137</v>
      </c>
      <c r="W1547" s="13">
        <v>46302.314618055556</v>
      </c>
    </row>
    <row r="1548" spans="1:23">
      <c r="A1548">
        <v>287171</v>
      </c>
      <c r="B1548">
        <v>260</v>
      </c>
      <c r="C1548" s="11" t="s">
        <v>129</v>
      </c>
      <c r="D1548" s="11" t="s">
        <v>130</v>
      </c>
      <c r="E1548" s="11" t="s">
        <v>25</v>
      </c>
      <c r="F1548" s="12">
        <v>46279</v>
      </c>
      <c r="G1548" s="11" t="s">
        <v>131</v>
      </c>
      <c r="H1548">
        <v>1</v>
      </c>
      <c r="I1548" s="11" t="s">
        <v>4491</v>
      </c>
      <c r="M1548" s="11" t="s">
        <v>87</v>
      </c>
      <c r="N1548" s="11" t="s">
        <v>4492</v>
      </c>
      <c r="O1548" s="11" t="s">
        <v>4493</v>
      </c>
      <c r="P1548" s="11" t="s">
        <v>4491</v>
      </c>
      <c r="Q1548" s="11" t="s">
        <v>135</v>
      </c>
      <c r="U1548" s="11" t="s">
        <v>136</v>
      </c>
      <c r="V1548" s="11" t="s">
        <v>137</v>
      </c>
      <c r="W1548" s="13">
        <v>46302.314618055556</v>
      </c>
    </row>
    <row r="1549" spans="1:23">
      <c r="A1549">
        <v>287172</v>
      </c>
      <c r="B1549">
        <v>261</v>
      </c>
      <c r="C1549" s="11" t="s">
        <v>129</v>
      </c>
      <c r="D1549" s="11" t="s">
        <v>130</v>
      </c>
      <c r="E1549" s="11" t="s">
        <v>25</v>
      </c>
      <c r="F1549" s="12">
        <v>46279</v>
      </c>
      <c r="G1549" s="11" t="s">
        <v>1848</v>
      </c>
      <c r="H1549">
        <v>2</v>
      </c>
      <c r="I1549" s="11" t="s">
        <v>2642</v>
      </c>
      <c r="M1549" s="11" t="s">
        <v>56</v>
      </c>
      <c r="N1549" s="11" t="s">
        <v>4494</v>
      </c>
      <c r="O1549" s="11" t="s">
        <v>4495</v>
      </c>
      <c r="P1549" s="11" t="s">
        <v>2485</v>
      </c>
      <c r="Q1549" s="11" t="s">
        <v>135</v>
      </c>
      <c r="U1549" s="11" t="s">
        <v>1852</v>
      </c>
      <c r="V1549" s="11" t="s">
        <v>137</v>
      </c>
      <c r="W1549" s="13">
        <v>46302.314618055556</v>
      </c>
    </row>
    <row r="1550" spans="1:23">
      <c r="A1550">
        <v>287173</v>
      </c>
      <c r="B1550">
        <v>262</v>
      </c>
      <c r="C1550" s="11" t="s">
        <v>129</v>
      </c>
      <c r="D1550" s="11" t="s">
        <v>130</v>
      </c>
      <c r="E1550" s="11" t="s">
        <v>25</v>
      </c>
      <c r="F1550" s="12">
        <v>46279</v>
      </c>
      <c r="G1550" s="11" t="s">
        <v>131</v>
      </c>
      <c r="H1550">
        <v>1</v>
      </c>
      <c r="I1550" s="11" t="s">
        <v>4496</v>
      </c>
      <c r="M1550" s="11" t="s">
        <v>87</v>
      </c>
      <c r="N1550" s="11" t="s">
        <v>4497</v>
      </c>
      <c r="O1550" s="11" t="s">
        <v>4498</v>
      </c>
      <c r="P1550" s="11" t="s">
        <v>4496</v>
      </c>
      <c r="Q1550" s="11" t="s">
        <v>135</v>
      </c>
      <c r="U1550" s="11" t="s">
        <v>136</v>
      </c>
      <c r="V1550" s="11" t="s">
        <v>137</v>
      </c>
      <c r="W1550" s="13">
        <v>46302.314618055556</v>
      </c>
    </row>
    <row r="1551" spans="1:23">
      <c r="A1551">
        <v>287174</v>
      </c>
      <c r="B1551">
        <v>249</v>
      </c>
      <c r="C1551" s="11" t="s">
        <v>129</v>
      </c>
      <c r="D1551" s="11" t="s">
        <v>130</v>
      </c>
      <c r="E1551" s="11" t="s">
        <v>25</v>
      </c>
      <c r="F1551" s="12">
        <v>46279</v>
      </c>
      <c r="G1551" s="11" t="s">
        <v>149</v>
      </c>
      <c r="H1551">
        <v>1</v>
      </c>
      <c r="I1551" s="11" t="s">
        <v>2271</v>
      </c>
      <c r="M1551" s="11" t="s">
        <v>77</v>
      </c>
      <c r="N1551" s="11" t="s">
        <v>4499</v>
      </c>
      <c r="O1551" s="11" t="s">
        <v>4500</v>
      </c>
      <c r="P1551" s="11" t="s">
        <v>2271</v>
      </c>
      <c r="Q1551" s="11" t="s">
        <v>135</v>
      </c>
      <c r="R1551">
        <v>248</v>
      </c>
      <c r="U1551" s="11" t="s">
        <v>153</v>
      </c>
      <c r="V1551" s="11" t="s">
        <v>137</v>
      </c>
      <c r="W1551" s="13">
        <v>46302.314618055556</v>
      </c>
    </row>
    <row r="1552" spans="1:23">
      <c r="A1552">
        <v>287345</v>
      </c>
      <c r="B1552">
        <v>263</v>
      </c>
      <c r="C1552" s="11" t="s">
        <v>129</v>
      </c>
      <c r="D1552" s="11" t="s">
        <v>130</v>
      </c>
      <c r="E1552" s="11" t="s">
        <v>25</v>
      </c>
      <c r="F1552" s="12">
        <v>46280</v>
      </c>
      <c r="G1552" s="11" t="s">
        <v>226</v>
      </c>
      <c r="H1552">
        <v>1</v>
      </c>
      <c r="I1552" s="11" t="s">
        <v>4501</v>
      </c>
      <c r="M1552" s="11" t="s">
        <v>87</v>
      </c>
      <c r="N1552" s="11" t="s">
        <v>4502</v>
      </c>
      <c r="O1552" s="11" t="s">
        <v>4503</v>
      </c>
      <c r="P1552" s="11" t="s">
        <v>4501</v>
      </c>
      <c r="Q1552" s="11" t="s">
        <v>135</v>
      </c>
      <c r="U1552" s="11" t="s">
        <v>231</v>
      </c>
      <c r="V1552" s="11" t="s">
        <v>137</v>
      </c>
      <c r="W1552" s="13">
        <v>46302.314618055556</v>
      </c>
    </row>
    <row r="1553" spans="1:23">
      <c r="A1553">
        <v>287346</v>
      </c>
      <c r="B1553">
        <v>264</v>
      </c>
      <c r="C1553" s="11" t="s">
        <v>129</v>
      </c>
      <c r="D1553" s="11" t="s">
        <v>130</v>
      </c>
      <c r="E1553" s="11" t="s">
        <v>25</v>
      </c>
      <c r="F1553" s="12">
        <v>46280</v>
      </c>
      <c r="G1553" s="11" t="s">
        <v>232</v>
      </c>
      <c r="H1553">
        <v>1</v>
      </c>
      <c r="I1553" s="11" t="s">
        <v>3525</v>
      </c>
      <c r="M1553" s="11" t="s">
        <v>89</v>
      </c>
      <c r="N1553" s="11" t="s">
        <v>4504</v>
      </c>
      <c r="O1553" s="11" t="s">
        <v>4505</v>
      </c>
      <c r="P1553" s="11" t="s">
        <v>3525</v>
      </c>
      <c r="Q1553" s="11" t="s">
        <v>135</v>
      </c>
      <c r="U1553" s="11" t="s">
        <v>236</v>
      </c>
      <c r="V1553" s="11" t="s">
        <v>137</v>
      </c>
      <c r="W1553" s="13">
        <v>46302.314618055556</v>
      </c>
    </row>
    <row r="1554" spans="1:23">
      <c r="A1554">
        <v>287347</v>
      </c>
      <c r="B1554">
        <v>265</v>
      </c>
      <c r="C1554" s="11" t="s">
        <v>129</v>
      </c>
      <c r="D1554" s="11" t="s">
        <v>130</v>
      </c>
      <c r="E1554" s="11" t="s">
        <v>25</v>
      </c>
      <c r="F1554" s="12">
        <v>46280</v>
      </c>
      <c r="G1554" s="11" t="s">
        <v>672</v>
      </c>
      <c r="H1554">
        <v>2</v>
      </c>
      <c r="I1554" s="11" t="s">
        <v>4506</v>
      </c>
      <c r="M1554" s="11" t="s">
        <v>72</v>
      </c>
      <c r="N1554" s="11" t="s">
        <v>4507</v>
      </c>
      <c r="O1554" s="11" t="s">
        <v>4508</v>
      </c>
      <c r="P1554" s="11" t="s">
        <v>4509</v>
      </c>
      <c r="Q1554" s="11" t="s">
        <v>4510</v>
      </c>
      <c r="U1554" s="11" t="s">
        <v>677</v>
      </c>
      <c r="V1554" s="11" t="s">
        <v>137</v>
      </c>
      <c r="W1554" s="13">
        <v>46302.314618055556</v>
      </c>
    </row>
    <row r="1555" spans="1:23">
      <c r="A1555">
        <v>287348</v>
      </c>
      <c r="B1555">
        <v>267</v>
      </c>
      <c r="C1555" s="11" t="s">
        <v>129</v>
      </c>
      <c r="D1555" s="11" t="s">
        <v>130</v>
      </c>
      <c r="E1555" s="11" t="s">
        <v>25</v>
      </c>
      <c r="F1555" s="12">
        <v>46280</v>
      </c>
      <c r="G1555" s="11" t="s">
        <v>308</v>
      </c>
      <c r="H1555">
        <v>1</v>
      </c>
      <c r="I1555" s="11" t="s">
        <v>4511</v>
      </c>
      <c r="M1555" s="11" t="s">
        <v>90</v>
      </c>
      <c r="N1555" s="11" t="s">
        <v>4512</v>
      </c>
      <c r="O1555" s="11" t="s">
        <v>4513</v>
      </c>
      <c r="P1555" s="11" t="s">
        <v>4511</v>
      </c>
      <c r="Q1555" s="11" t="s">
        <v>135</v>
      </c>
      <c r="U1555" s="11" t="s">
        <v>311</v>
      </c>
      <c r="V1555" s="11" t="s">
        <v>137</v>
      </c>
      <c r="W1555" s="13">
        <v>46302.314618055556</v>
      </c>
    </row>
    <row r="1556" spans="1:23">
      <c r="A1556">
        <v>287349</v>
      </c>
      <c r="B1556">
        <v>268</v>
      </c>
      <c r="C1556" s="11" t="s">
        <v>129</v>
      </c>
      <c r="D1556" s="11" t="s">
        <v>130</v>
      </c>
      <c r="E1556" s="11" t="s">
        <v>25</v>
      </c>
      <c r="F1556" s="12">
        <v>46280</v>
      </c>
      <c r="G1556" s="11" t="s">
        <v>672</v>
      </c>
      <c r="H1556">
        <v>1</v>
      </c>
      <c r="I1556" s="11" t="s">
        <v>4111</v>
      </c>
      <c r="M1556" s="11" t="s">
        <v>72</v>
      </c>
      <c r="N1556" s="11" t="s">
        <v>4514</v>
      </c>
      <c r="O1556" s="11" t="s">
        <v>4515</v>
      </c>
      <c r="P1556" s="11" t="s">
        <v>4111</v>
      </c>
      <c r="Q1556" s="11" t="s">
        <v>135</v>
      </c>
      <c r="U1556" s="11" t="s">
        <v>677</v>
      </c>
      <c r="V1556" s="11" t="s">
        <v>137</v>
      </c>
      <c r="W1556" s="13">
        <v>46302.314618055556</v>
      </c>
    </row>
    <row r="1557" spans="1:23">
      <c r="A1557">
        <v>287350</v>
      </c>
      <c r="B1557">
        <v>269</v>
      </c>
      <c r="C1557" s="11" t="s">
        <v>129</v>
      </c>
      <c r="D1557" s="11" t="s">
        <v>130</v>
      </c>
      <c r="E1557" s="11" t="s">
        <v>25</v>
      </c>
      <c r="F1557" s="12">
        <v>46280</v>
      </c>
      <c r="G1557" s="11" t="s">
        <v>672</v>
      </c>
      <c r="H1557">
        <v>1</v>
      </c>
      <c r="I1557" s="11" t="s">
        <v>4516</v>
      </c>
      <c r="M1557" s="11" t="s">
        <v>72</v>
      </c>
      <c r="N1557" s="11" t="s">
        <v>4517</v>
      </c>
      <c r="O1557" s="11" t="s">
        <v>4518</v>
      </c>
      <c r="P1557" s="11" t="s">
        <v>4516</v>
      </c>
      <c r="Q1557" s="11" t="s">
        <v>135</v>
      </c>
      <c r="U1557" s="11" t="s">
        <v>677</v>
      </c>
      <c r="V1557" s="11" t="s">
        <v>137</v>
      </c>
      <c r="W1557" s="13">
        <v>46302.314618055556</v>
      </c>
    </row>
    <row r="1558" spans="1:23">
      <c r="A1558">
        <v>287351</v>
      </c>
      <c r="B1558">
        <v>270</v>
      </c>
      <c r="C1558" s="11" t="s">
        <v>129</v>
      </c>
      <c r="D1558" s="11" t="s">
        <v>130</v>
      </c>
      <c r="E1558" s="11" t="s">
        <v>25</v>
      </c>
      <c r="F1558" s="12">
        <v>46280</v>
      </c>
      <c r="G1558" s="11" t="s">
        <v>263</v>
      </c>
      <c r="H1558">
        <v>1</v>
      </c>
      <c r="I1558" s="11" t="s">
        <v>4519</v>
      </c>
      <c r="M1558" s="11" t="s">
        <v>92</v>
      </c>
      <c r="N1558" s="11" t="s">
        <v>4520</v>
      </c>
      <c r="O1558" s="11" t="s">
        <v>4521</v>
      </c>
      <c r="P1558" s="11" t="s">
        <v>4519</v>
      </c>
      <c r="Q1558" s="11" t="s">
        <v>135</v>
      </c>
      <c r="U1558" s="11" t="s">
        <v>267</v>
      </c>
      <c r="V1558" s="11" t="s">
        <v>137</v>
      </c>
      <c r="W1558" s="13">
        <v>46302.314618055556</v>
      </c>
    </row>
    <row r="1559" spans="1:23">
      <c r="A1559">
        <v>287352</v>
      </c>
      <c r="B1559">
        <v>271</v>
      </c>
      <c r="C1559" s="11" t="s">
        <v>129</v>
      </c>
      <c r="D1559" s="11" t="s">
        <v>130</v>
      </c>
      <c r="E1559" s="11" t="s">
        <v>25</v>
      </c>
      <c r="F1559" s="12">
        <v>46280</v>
      </c>
      <c r="G1559" s="11" t="s">
        <v>672</v>
      </c>
      <c r="H1559">
        <v>1</v>
      </c>
      <c r="I1559" s="11" t="s">
        <v>4192</v>
      </c>
      <c r="M1559" s="11" t="s">
        <v>72</v>
      </c>
      <c r="N1559" s="11" t="s">
        <v>1690</v>
      </c>
      <c r="O1559" s="11" t="s">
        <v>1429</v>
      </c>
      <c r="P1559" s="11" t="s">
        <v>4192</v>
      </c>
      <c r="Q1559" s="11" t="s">
        <v>135</v>
      </c>
      <c r="U1559" s="11" t="s">
        <v>677</v>
      </c>
      <c r="V1559" s="11" t="s">
        <v>137</v>
      </c>
      <c r="W1559" s="13">
        <v>46302.314618055556</v>
      </c>
    </row>
    <row r="1560" spans="1:23">
      <c r="A1560">
        <v>287353</v>
      </c>
      <c r="B1560">
        <v>272</v>
      </c>
      <c r="C1560" s="11" t="s">
        <v>129</v>
      </c>
      <c r="D1560" s="11" t="s">
        <v>130</v>
      </c>
      <c r="E1560" s="11" t="s">
        <v>25</v>
      </c>
      <c r="F1560" s="12">
        <v>46280</v>
      </c>
      <c r="G1560" s="11" t="s">
        <v>263</v>
      </c>
      <c r="H1560">
        <v>1</v>
      </c>
      <c r="I1560" s="11" t="s">
        <v>4522</v>
      </c>
      <c r="M1560" s="11" t="s">
        <v>92</v>
      </c>
      <c r="N1560" s="11" t="s">
        <v>4523</v>
      </c>
      <c r="O1560" s="11" t="s">
        <v>3623</v>
      </c>
      <c r="P1560" s="11" t="s">
        <v>4522</v>
      </c>
      <c r="Q1560" s="11" t="s">
        <v>135</v>
      </c>
      <c r="U1560" s="11" t="s">
        <v>267</v>
      </c>
      <c r="V1560" s="11" t="s">
        <v>137</v>
      </c>
      <c r="W1560" s="13">
        <v>46302.314618055556</v>
      </c>
    </row>
    <row r="1561" spans="1:23">
      <c r="A1561">
        <v>287354</v>
      </c>
      <c r="B1561">
        <v>273</v>
      </c>
      <c r="C1561" s="11" t="s">
        <v>129</v>
      </c>
      <c r="D1561" s="11" t="s">
        <v>130</v>
      </c>
      <c r="E1561" s="11" t="s">
        <v>25</v>
      </c>
      <c r="F1561" s="12">
        <v>46280</v>
      </c>
      <c r="G1561" s="11" t="s">
        <v>274</v>
      </c>
      <c r="H1561">
        <v>1</v>
      </c>
      <c r="I1561" s="11" t="s">
        <v>4524</v>
      </c>
      <c r="M1561" s="11" t="s">
        <v>77</v>
      </c>
      <c r="N1561" s="11" t="s">
        <v>4525</v>
      </c>
      <c r="O1561" s="11" t="s">
        <v>4526</v>
      </c>
      <c r="P1561" s="11" t="s">
        <v>4524</v>
      </c>
      <c r="Q1561" s="11" t="s">
        <v>135</v>
      </c>
      <c r="U1561" s="11" t="s">
        <v>278</v>
      </c>
      <c r="V1561" s="11" t="s">
        <v>137</v>
      </c>
      <c r="W1561" s="13">
        <v>46302.314618055556</v>
      </c>
    </row>
    <row r="1562" spans="1:23">
      <c r="A1562">
        <v>287355</v>
      </c>
      <c r="B1562">
        <v>274</v>
      </c>
      <c r="C1562" s="11" t="s">
        <v>129</v>
      </c>
      <c r="D1562" s="11" t="s">
        <v>130</v>
      </c>
      <c r="E1562" s="11" t="s">
        <v>25</v>
      </c>
      <c r="F1562" s="12">
        <v>46280</v>
      </c>
      <c r="G1562" s="11" t="s">
        <v>279</v>
      </c>
      <c r="H1562">
        <v>1</v>
      </c>
      <c r="I1562" s="11" t="s">
        <v>4527</v>
      </c>
      <c r="M1562" s="11" t="s">
        <v>79</v>
      </c>
      <c r="N1562" s="11" t="s">
        <v>4528</v>
      </c>
      <c r="O1562" s="11" t="s">
        <v>4529</v>
      </c>
      <c r="P1562" s="11" t="s">
        <v>4527</v>
      </c>
      <c r="Q1562" s="11" t="s">
        <v>135</v>
      </c>
      <c r="U1562" s="11" t="s">
        <v>283</v>
      </c>
      <c r="V1562" s="11" t="s">
        <v>137</v>
      </c>
      <c r="W1562" s="13">
        <v>46302.314618055556</v>
      </c>
    </row>
    <row r="1563" spans="1:23">
      <c r="A1563">
        <v>287356</v>
      </c>
      <c r="B1563">
        <v>275</v>
      </c>
      <c r="C1563" s="11" t="s">
        <v>129</v>
      </c>
      <c r="D1563" s="11" t="s">
        <v>130</v>
      </c>
      <c r="E1563" s="11" t="s">
        <v>25</v>
      </c>
      <c r="F1563" s="12">
        <v>46280</v>
      </c>
      <c r="G1563" s="11" t="s">
        <v>226</v>
      </c>
      <c r="H1563">
        <v>1</v>
      </c>
      <c r="I1563" s="11" t="s">
        <v>1546</v>
      </c>
      <c r="M1563" s="11" t="s">
        <v>87</v>
      </c>
      <c r="N1563" s="11" t="s">
        <v>4530</v>
      </c>
      <c r="O1563" s="11" t="s">
        <v>4531</v>
      </c>
      <c r="P1563" s="11" t="s">
        <v>1546</v>
      </c>
      <c r="Q1563" s="11" t="s">
        <v>135</v>
      </c>
      <c r="U1563" s="11" t="s">
        <v>231</v>
      </c>
      <c r="V1563" s="11" t="s">
        <v>137</v>
      </c>
      <c r="W1563" s="13">
        <v>46302.314618055556</v>
      </c>
    </row>
    <row r="1564" spans="1:23">
      <c r="A1564">
        <v>287357</v>
      </c>
      <c r="B1564">
        <v>276</v>
      </c>
      <c r="C1564" s="11" t="s">
        <v>129</v>
      </c>
      <c r="D1564" s="11" t="s">
        <v>130</v>
      </c>
      <c r="E1564" s="11" t="s">
        <v>25</v>
      </c>
      <c r="F1564" s="12">
        <v>46280</v>
      </c>
      <c r="G1564" s="11" t="s">
        <v>672</v>
      </c>
      <c r="H1564">
        <v>1</v>
      </c>
      <c r="I1564" s="11" t="s">
        <v>2207</v>
      </c>
      <c r="M1564" s="11" t="s">
        <v>72</v>
      </c>
      <c r="N1564" s="11" t="s">
        <v>4532</v>
      </c>
      <c r="O1564" s="11" t="s">
        <v>4533</v>
      </c>
      <c r="P1564" s="11" t="s">
        <v>2207</v>
      </c>
      <c r="Q1564" s="11" t="s">
        <v>135</v>
      </c>
      <c r="U1564" s="11" t="s">
        <v>677</v>
      </c>
      <c r="V1564" s="11" t="s">
        <v>137</v>
      </c>
      <c r="W1564" s="13">
        <v>46302.314618055556</v>
      </c>
    </row>
    <row r="1565" spans="1:23">
      <c r="A1565">
        <v>287358</v>
      </c>
      <c r="B1565">
        <v>277</v>
      </c>
      <c r="C1565" s="11" t="s">
        <v>129</v>
      </c>
      <c r="D1565" s="11" t="s">
        <v>130</v>
      </c>
      <c r="E1565" s="11" t="s">
        <v>25</v>
      </c>
      <c r="F1565" s="12">
        <v>46280</v>
      </c>
      <c r="G1565" s="11" t="s">
        <v>672</v>
      </c>
      <c r="H1565">
        <v>1</v>
      </c>
      <c r="I1565" s="11" t="s">
        <v>4534</v>
      </c>
      <c r="M1565" s="11" t="s">
        <v>72</v>
      </c>
      <c r="N1565" s="11" t="s">
        <v>1057</v>
      </c>
      <c r="O1565" s="11" t="s">
        <v>4535</v>
      </c>
      <c r="P1565" s="11" t="s">
        <v>4534</v>
      </c>
      <c r="Q1565" s="11" t="s">
        <v>135</v>
      </c>
      <c r="U1565" s="11" t="s">
        <v>677</v>
      </c>
      <c r="V1565" s="11" t="s">
        <v>137</v>
      </c>
      <c r="W1565" s="13">
        <v>46302.314618055556</v>
      </c>
    </row>
    <row r="1566" spans="1:23">
      <c r="A1566">
        <v>287359</v>
      </c>
      <c r="B1566">
        <v>278</v>
      </c>
      <c r="C1566" s="11" t="s">
        <v>129</v>
      </c>
      <c r="D1566" s="11" t="s">
        <v>130</v>
      </c>
      <c r="E1566" s="11" t="s">
        <v>25</v>
      </c>
      <c r="F1566" s="12">
        <v>46280</v>
      </c>
      <c r="G1566" s="11" t="s">
        <v>226</v>
      </c>
      <c r="H1566">
        <v>1</v>
      </c>
      <c r="I1566" s="11" t="s">
        <v>2900</v>
      </c>
      <c r="M1566" s="11" t="s">
        <v>87</v>
      </c>
      <c r="N1566" s="11" t="s">
        <v>4536</v>
      </c>
      <c r="O1566" s="11" t="s">
        <v>1170</v>
      </c>
      <c r="P1566" s="11" t="s">
        <v>2900</v>
      </c>
      <c r="Q1566" s="11" t="s">
        <v>135</v>
      </c>
      <c r="U1566" s="11" t="s">
        <v>231</v>
      </c>
      <c r="V1566" s="11" t="s">
        <v>137</v>
      </c>
      <c r="W1566" s="13">
        <v>46302.314618055556</v>
      </c>
    </row>
    <row r="1567" spans="1:23">
      <c r="A1567">
        <v>287360</v>
      </c>
      <c r="B1567">
        <v>279</v>
      </c>
      <c r="C1567" s="11" t="s">
        <v>129</v>
      </c>
      <c r="D1567" s="11" t="s">
        <v>130</v>
      </c>
      <c r="E1567" s="11" t="s">
        <v>25</v>
      </c>
      <c r="F1567" s="12">
        <v>46280</v>
      </c>
      <c r="G1567" s="11" t="s">
        <v>672</v>
      </c>
      <c r="H1567">
        <v>1</v>
      </c>
      <c r="I1567" s="11" t="s">
        <v>4319</v>
      </c>
      <c r="M1567" s="11" t="s">
        <v>72</v>
      </c>
      <c r="N1567" s="11" t="s">
        <v>2130</v>
      </c>
      <c r="O1567" s="11" t="s">
        <v>4537</v>
      </c>
      <c r="P1567" s="11" t="s">
        <v>4319</v>
      </c>
      <c r="Q1567" s="11" t="s">
        <v>135</v>
      </c>
      <c r="U1567" s="11" t="s">
        <v>677</v>
      </c>
      <c r="V1567" s="11" t="s">
        <v>137</v>
      </c>
      <c r="W1567" s="13">
        <v>46302.314618055556</v>
      </c>
    </row>
    <row r="1568" spans="1:23">
      <c r="A1568">
        <v>287361</v>
      </c>
      <c r="B1568">
        <v>280</v>
      </c>
      <c r="C1568" s="11" t="s">
        <v>129</v>
      </c>
      <c r="D1568" s="11" t="s">
        <v>130</v>
      </c>
      <c r="E1568" s="11" t="s">
        <v>25</v>
      </c>
      <c r="F1568" s="12">
        <v>46280</v>
      </c>
      <c r="G1568" s="11" t="s">
        <v>672</v>
      </c>
      <c r="H1568">
        <v>1</v>
      </c>
      <c r="I1568" s="11" t="s">
        <v>4538</v>
      </c>
      <c r="M1568" s="11" t="s">
        <v>72</v>
      </c>
      <c r="N1568" s="11" t="s">
        <v>4539</v>
      </c>
      <c r="O1568" s="11" t="s">
        <v>4540</v>
      </c>
      <c r="P1568" s="11" t="s">
        <v>4538</v>
      </c>
      <c r="Q1568" s="11" t="s">
        <v>135</v>
      </c>
      <c r="U1568" s="11" t="s">
        <v>677</v>
      </c>
      <c r="V1568" s="11" t="s">
        <v>137</v>
      </c>
      <c r="W1568" s="13">
        <v>46302.314618055556</v>
      </c>
    </row>
    <row r="1569" spans="1:23">
      <c r="A1569">
        <v>287362</v>
      </c>
      <c r="B1569">
        <v>281</v>
      </c>
      <c r="C1569" s="11" t="s">
        <v>129</v>
      </c>
      <c r="D1569" s="11" t="s">
        <v>130</v>
      </c>
      <c r="E1569" s="11" t="s">
        <v>25</v>
      </c>
      <c r="F1569" s="12">
        <v>46280</v>
      </c>
      <c r="G1569" s="11" t="s">
        <v>672</v>
      </c>
      <c r="H1569">
        <v>1</v>
      </c>
      <c r="I1569" s="11" t="s">
        <v>4541</v>
      </c>
      <c r="M1569" s="11" t="s">
        <v>72</v>
      </c>
      <c r="N1569" s="11" t="s">
        <v>4542</v>
      </c>
      <c r="O1569" s="11" t="s">
        <v>4543</v>
      </c>
      <c r="P1569" s="11" t="s">
        <v>4541</v>
      </c>
      <c r="Q1569" s="11" t="s">
        <v>135</v>
      </c>
      <c r="U1569" s="11" t="s">
        <v>677</v>
      </c>
      <c r="V1569" s="11" t="s">
        <v>137</v>
      </c>
      <c r="W1569" s="13">
        <v>46302.314618055556</v>
      </c>
    </row>
    <row r="1570" spans="1:23">
      <c r="A1570">
        <v>287363</v>
      </c>
      <c r="B1570">
        <v>282</v>
      </c>
      <c r="C1570" s="11" t="s">
        <v>129</v>
      </c>
      <c r="D1570" s="11" t="s">
        <v>130</v>
      </c>
      <c r="E1570" s="11" t="s">
        <v>25</v>
      </c>
      <c r="F1570" s="12">
        <v>46280</v>
      </c>
      <c r="G1570" s="11" t="s">
        <v>439</v>
      </c>
      <c r="H1570">
        <v>1</v>
      </c>
      <c r="I1570" s="11" t="s">
        <v>4544</v>
      </c>
      <c r="M1570" s="11" t="s">
        <v>73</v>
      </c>
      <c r="N1570" s="11" t="s">
        <v>2245</v>
      </c>
      <c r="O1570" s="11" t="s">
        <v>4545</v>
      </c>
      <c r="P1570" s="11" t="s">
        <v>4544</v>
      </c>
      <c r="Q1570" s="11" t="s">
        <v>135</v>
      </c>
      <c r="U1570" s="11" t="s">
        <v>443</v>
      </c>
      <c r="V1570" s="11" t="s">
        <v>137</v>
      </c>
      <c r="W1570" s="13">
        <v>46302.314618055556</v>
      </c>
    </row>
    <row r="1571" spans="1:23">
      <c r="A1571">
        <v>287364</v>
      </c>
      <c r="B1571">
        <v>283</v>
      </c>
      <c r="C1571" s="11" t="s">
        <v>129</v>
      </c>
      <c r="D1571" s="11" t="s">
        <v>130</v>
      </c>
      <c r="E1571" s="11" t="s">
        <v>25</v>
      </c>
      <c r="F1571" s="12">
        <v>46280</v>
      </c>
      <c r="G1571" s="11" t="s">
        <v>312</v>
      </c>
      <c r="H1571">
        <v>1</v>
      </c>
      <c r="I1571" s="11" t="s">
        <v>4546</v>
      </c>
      <c r="M1571" s="11" t="s">
        <v>86</v>
      </c>
      <c r="N1571" s="11" t="s">
        <v>4547</v>
      </c>
      <c r="O1571" s="11" t="s">
        <v>4548</v>
      </c>
      <c r="P1571" s="11" t="s">
        <v>4546</v>
      </c>
      <c r="Q1571" s="11" t="s">
        <v>135</v>
      </c>
      <c r="U1571" s="11" t="s">
        <v>315</v>
      </c>
      <c r="V1571" s="11" t="s">
        <v>137</v>
      </c>
      <c r="W1571" s="13">
        <v>46302.314618055556</v>
      </c>
    </row>
    <row r="1572" spans="1:23">
      <c r="A1572">
        <v>287365</v>
      </c>
      <c r="B1572">
        <v>266</v>
      </c>
      <c r="C1572" s="11" t="s">
        <v>129</v>
      </c>
      <c r="D1572" s="11" t="s">
        <v>130</v>
      </c>
      <c r="E1572" s="11" t="s">
        <v>25</v>
      </c>
      <c r="F1572" s="12">
        <v>46280</v>
      </c>
      <c r="G1572" s="11" t="s">
        <v>308</v>
      </c>
      <c r="H1572">
        <v>1</v>
      </c>
      <c r="I1572" s="11" t="s">
        <v>4510</v>
      </c>
      <c r="M1572" s="11" t="s">
        <v>90</v>
      </c>
      <c r="N1572" s="11" t="s">
        <v>1189</v>
      </c>
      <c r="O1572" s="11" t="s">
        <v>1411</v>
      </c>
      <c r="P1572" s="11" t="s">
        <v>4510</v>
      </c>
      <c r="Q1572" s="11" t="s">
        <v>135</v>
      </c>
      <c r="R1572">
        <v>265</v>
      </c>
      <c r="U1572" s="11" t="s">
        <v>311</v>
      </c>
      <c r="V1572" s="11" t="s">
        <v>137</v>
      </c>
      <c r="W1572" s="13">
        <v>46302.314618055556</v>
      </c>
    </row>
    <row r="1573" spans="1:23">
      <c r="A1573">
        <v>287628</v>
      </c>
      <c r="B1573">
        <v>284</v>
      </c>
      <c r="C1573" s="11" t="s">
        <v>129</v>
      </c>
      <c r="D1573" s="11" t="s">
        <v>130</v>
      </c>
      <c r="E1573" s="11" t="s">
        <v>25</v>
      </c>
      <c r="F1573" s="12">
        <v>46281</v>
      </c>
      <c r="G1573" s="11" t="s">
        <v>316</v>
      </c>
      <c r="H1573">
        <v>1</v>
      </c>
      <c r="I1573" s="11" t="s">
        <v>4549</v>
      </c>
      <c r="M1573" s="11" t="s">
        <v>87</v>
      </c>
      <c r="N1573" s="11" t="s">
        <v>4458</v>
      </c>
      <c r="O1573" s="11" t="s">
        <v>4550</v>
      </c>
      <c r="P1573" s="11" t="s">
        <v>4549</v>
      </c>
      <c r="Q1573" s="11" t="s">
        <v>135</v>
      </c>
      <c r="U1573" s="11" t="s">
        <v>320</v>
      </c>
      <c r="V1573" s="11" t="s">
        <v>137</v>
      </c>
      <c r="W1573" s="13">
        <v>46302.314618055556</v>
      </c>
    </row>
    <row r="1574" spans="1:23">
      <c r="A1574">
        <v>287629</v>
      </c>
      <c r="B1574">
        <v>285</v>
      </c>
      <c r="C1574" s="11" t="s">
        <v>129</v>
      </c>
      <c r="D1574" s="11" t="s">
        <v>130</v>
      </c>
      <c r="E1574" s="11" t="s">
        <v>25</v>
      </c>
      <c r="F1574" s="12">
        <v>46281</v>
      </c>
      <c r="G1574" s="11" t="s">
        <v>1740</v>
      </c>
      <c r="H1574">
        <v>1</v>
      </c>
      <c r="I1574" s="11" t="s">
        <v>218</v>
      </c>
      <c r="M1574" s="11" t="s">
        <v>69</v>
      </c>
      <c r="N1574" s="11" t="s">
        <v>4551</v>
      </c>
      <c r="O1574" s="11" t="s">
        <v>4552</v>
      </c>
      <c r="P1574" s="11" t="s">
        <v>218</v>
      </c>
      <c r="Q1574" s="11" t="s">
        <v>135</v>
      </c>
      <c r="U1574" s="11" t="s">
        <v>1745</v>
      </c>
      <c r="V1574" s="11" t="s">
        <v>137</v>
      </c>
      <c r="W1574" s="13">
        <v>46302.314618055556</v>
      </c>
    </row>
    <row r="1575" spans="1:23">
      <c r="A1575">
        <v>287630</v>
      </c>
      <c r="B1575">
        <v>286</v>
      </c>
      <c r="C1575" s="11" t="s">
        <v>129</v>
      </c>
      <c r="D1575" s="11" t="s">
        <v>130</v>
      </c>
      <c r="E1575" s="11" t="s">
        <v>25</v>
      </c>
      <c r="F1575" s="12">
        <v>46281</v>
      </c>
      <c r="G1575" s="11" t="s">
        <v>1740</v>
      </c>
      <c r="H1575">
        <v>1</v>
      </c>
      <c r="I1575" s="11" t="s">
        <v>4553</v>
      </c>
      <c r="M1575" s="11" t="s">
        <v>69</v>
      </c>
      <c r="N1575" s="11" t="s">
        <v>4554</v>
      </c>
      <c r="O1575" s="11" t="s">
        <v>4555</v>
      </c>
      <c r="P1575" s="11" t="s">
        <v>4553</v>
      </c>
      <c r="Q1575" s="11" t="s">
        <v>135</v>
      </c>
      <c r="U1575" s="11" t="s">
        <v>1745</v>
      </c>
      <c r="V1575" s="11" t="s">
        <v>137</v>
      </c>
      <c r="W1575" s="13">
        <v>46302.314618055556</v>
      </c>
    </row>
    <row r="1576" spans="1:23">
      <c r="A1576">
        <v>287631</v>
      </c>
      <c r="B1576">
        <v>287</v>
      </c>
      <c r="C1576" s="11" t="s">
        <v>129</v>
      </c>
      <c r="D1576" s="11" t="s">
        <v>130</v>
      </c>
      <c r="E1576" s="11" t="s">
        <v>25</v>
      </c>
      <c r="F1576" s="12">
        <v>46281</v>
      </c>
      <c r="G1576" s="11" t="s">
        <v>1740</v>
      </c>
      <c r="H1576">
        <v>1</v>
      </c>
      <c r="I1576" s="11" t="s">
        <v>4556</v>
      </c>
      <c r="M1576" s="11" t="s">
        <v>69</v>
      </c>
      <c r="N1576" s="11" t="s">
        <v>4557</v>
      </c>
      <c r="O1576" s="11" t="s">
        <v>4558</v>
      </c>
      <c r="P1576" s="11" t="s">
        <v>4556</v>
      </c>
      <c r="Q1576" s="11" t="s">
        <v>135</v>
      </c>
      <c r="U1576" s="11" t="s">
        <v>1745</v>
      </c>
      <c r="V1576" s="11" t="s">
        <v>137</v>
      </c>
      <c r="W1576" s="13">
        <v>46302.314618055556</v>
      </c>
    </row>
    <row r="1577" spans="1:23">
      <c r="A1577">
        <v>287632</v>
      </c>
      <c r="B1577">
        <v>288</v>
      </c>
      <c r="C1577" s="11" t="s">
        <v>129</v>
      </c>
      <c r="D1577" s="11" t="s">
        <v>130</v>
      </c>
      <c r="E1577" s="11" t="s">
        <v>25</v>
      </c>
      <c r="F1577" s="12">
        <v>46281</v>
      </c>
      <c r="G1577" s="11" t="s">
        <v>1740</v>
      </c>
      <c r="H1577">
        <v>1</v>
      </c>
      <c r="I1577" s="11" t="s">
        <v>4559</v>
      </c>
      <c r="M1577" s="11" t="s">
        <v>69</v>
      </c>
      <c r="N1577" s="11" t="s">
        <v>1141</v>
      </c>
      <c r="O1577" s="11" t="s">
        <v>4560</v>
      </c>
      <c r="P1577" s="11" t="s">
        <v>4559</v>
      </c>
      <c r="Q1577" s="11" t="s">
        <v>135</v>
      </c>
      <c r="U1577" s="11" t="s">
        <v>1745</v>
      </c>
      <c r="V1577" s="11" t="s">
        <v>137</v>
      </c>
      <c r="W1577" s="13">
        <v>46302.314618055556</v>
      </c>
    </row>
    <row r="1578" spans="1:23">
      <c r="A1578">
        <v>287633</v>
      </c>
      <c r="B1578">
        <v>289</v>
      </c>
      <c r="C1578" s="11" t="s">
        <v>129</v>
      </c>
      <c r="D1578" s="11" t="s">
        <v>130</v>
      </c>
      <c r="E1578" s="11" t="s">
        <v>25</v>
      </c>
      <c r="F1578" s="12">
        <v>46281</v>
      </c>
      <c r="G1578" s="11" t="s">
        <v>355</v>
      </c>
      <c r="H1578">
        <v>1</v>
      </c>
      <c r="I1578" s="11" t="s">
        <v>4561</v>
      </c>
      <c r="M1578" s="11" t="s">
        <v>77</v>
      </c>
      <c r="N1578" s="11" t="s">
        <v>4562</v>
      </c>
      <c r="O1578" s="11" t="s">
        <v>4563</v>
      </c>
      <c r="P1578" s="11" t="s">
        <v>4561</v>
      </c>
      <c r="Q1578" s="11" t="s">
        <v>135</v>
      </c>
      <c r="U1578" s="11" t="s">
        <v>359</v>
      </c>
      <c r="V1578" s="11" t="s">
        <v>137</v>
      </c>
      <c r="W1578" s="13">
        <v>46302.314618055556</v>
      </c>
    </row>
    <row r="1579" spans="1:23">
      <c r="A1579">
        <v>287634</v>
      </c>
      <c r="B1579">
        <v>290</v>
      </c>
      <c r="C1579" s="11" t="s">
        <v>129</v>
      </c>
      <c r="D1579" s="11" t="s">
        <v>130</v>
      </c>
      <c r="E1579" s="11" t="s">
        <v>25</v>
      </c>
      <c r="F1579" s="12">
        <v>46281</v>
      </c>
      <c r="G1579" s="11" t="s">
        <v>316</v>
      </c>
      <c r="H1579">
        <v>1</v>
      </c>
      <c r="I1579" s="11" t="s">
        <v>4564</v>
      </c>
      <c r="M1579" s="11" t="s">
        <v>87</v>
      </c>
      <c r="N1579" s="11" t="s">
        <v>4565</v>
      </c>
      <c r="O1579" s="11" t="s">
        <v>4566</v>
      </c>
      <c r="P1579" s="11" t="s">
        <v>4564</v>
      </c>
      <c r="Q1579" s="11" t="s">
        <v>135</v>
      </c>
      <c r="U1579" s="11" t="s">
        <v>320</v>
      </c>
      <c r="V1579" s="11" t="s">
        <v>137</v>
      </c>
      <c r="W1579" s="13">
        <v>46302.314618055556</v>
      </c>
    </row>
    <row r="1580" spans="1:23">
      <c r="A1580">
        <v>287635</v>
      </c>
      <c r="B1580">
        <v>291</v>
      </c>
      <c r="C1580" s="11" t="s">
        <v>129</v>
      </c>
      <c r="D1580" s="11" t="s">
        <v>130</v>
      </c>
      <c r="E1580" s="11" t="s">
        <v>25</v>
      </c>
      <c r="F1580" s="12">
        <v>46281</v>
      </c>
      <c r="G1580" s="11" t="s">
        <v>1740</v>
      </c>
      <c r="H1580">
        <v>1</v>
      </c>
      <c r="I1580" s="11" t="s">
        <v>940</v>
      </c>
      <c r="M1580" s="11" t="s">
        <v>69</v>
      </c>
      <c r="N1580" s="11" t="s">
        <v>4567</v>
      </c>
      <c r="O1580" s="11" t="s">
        <v>3490</v>
      </c>
      <c r="P1580" s="11" t="s">
        <v>940</v>
      </c>
      <c r="Q1580" s="11" t="s">
        <v>135</v>
      </c>
      <c r="U1580" s="11" t="s">
        <v>1745</v>
      </c>
      <c r="V1580" s="11" t="s">
        <v>137</v>
      </c>
      <c r="W1580" s="13">
        <v>46302.314618055556</v>
      </c>
    </row>
    <row r="1581" spans="1:23">
      <c r="A1581">
        <v>287636</v>
      </c>
      <c r="B1581">
        <v>292</v>
      </c>
      <c r="C1581" s="11" t="s">
        <v>129</v>
      </c>
      <c r="D1581" s="11" t="s">
        <v>130</v>
      </c>
      <c r="E1581" s="11" t="s">
        <v>25</v>
      </c>
      <c r="F1581" s="12">
        <v>46281</v>
      </c>
      <c r="G1581" s="11" t="s">
        <v>1740</v>
      </c>
      <c r="H1581">
        <v>1</v>
      </c>
      <c r="I1581" s="11" t="s">
        <v>3672</v>
      </c>
      <c r="M1581" s="11" t="s">
        <v>69</v>
      </c>
      <c r="N1581" s="11" t="s">
        <v>4568</v>
      </c>
      <c r="O1581" s="11" t="s">
        <v>4569</v>
      </c>
      <c r="P1581" s="11" t="s">
        <v>3672</v>
      </c>
      <c r="Q1581" s="11" t="s">
        <v>135</v>
      </c>
      <c r="U1581" s="11" t="s">
        <v>1745</v>
      </c>
      <c r="V1581" s="11" t="s">
        <v>137</v>
      </c>
      <c r="W1581" s="13">
        <v>46302.314618055556</v>
      </c>
    </row>
    <row r="1582" spans="1:23">
      <c r="A1582">
        <v>287637</v>
      </c>
      <c r="B1582">
        <v>293</v>
      </c>
      <c r="C1582" s="11" t="s">
        <v>129</v>
      </c>
      <c r="D1582" s="11" t="s">
        <v>130</v>
      </c>
      <c r="E1582" s="11" t="s">
        <v>25</v>
      </c>
      <c r="F1582" s="12">
        <v>46281</v>
      </c>
      <c r="G1582" s="11" t="s">
        <v>339</v>
      </c>
      <c r="H1582">
        <v>1</v>
      </c>
      <c r="I1582" s="11" t="s">
        <v>2949</v>
      </c>
      <c r="M1582" s="11" t="s">
        <v>92</v>
      </c>
      <c r="N1582" s="11" t="s">
        <v>4570</v>
      </c>
      <c r="O1582" s="11" t="s">
        <v>4571</v>
      </c>
      <c r="P1582" s="11" t="s">
        <v>2949</v>
      </c>
      <c r="Q1582" s="11" t="s">
        <v>135</v>
      </c>
      <c r="U1582" s="11" t="s">
        <v>343</v>
      </c>
      <c r="V1582" s="11" t="s">
        <v>137</v>
      </c>
      <c r="W1582" s="13">
        <v>46302.314618055556</v>
      </c>
    </row>
    <row r="1583" spans="1:23">
      <c r="A1583">
        <v>287638</v>
      </c>
      <c r="B1583">
        <v>294</v>
      </c>
      <c r="C1583" s="11" t="s">
        <v>129</v>
      </c>
      <c r="D1583" s="11" t="s">
        <v>130</v>
      </c>
      <c r="E1583" s="11" t="s">
        <v>25</v>
      </c>
      <c r="F1583" s="12">
        <v>46281</v>
      </c>
      <c r="G1583" s="11" t="s">
        <v>3055</v>
      </c>
      <c r="H1583">
        <v>1</v>
      </c>
      <c r="I1583" s="11" t="s">
        <v>3932</v>
      </c>
      <c r="M1583" s="11" t="s">
        <v>83</v>
      </c>
      <c r="N1583" s="11" t="s">
        <v>4572</v>
      </c>
      <c r="O1583" s="11" t="s">
        <v>4573</v>
      </c>
      <c r="P1583" s="11" t="s">
        <v>3932</v>
      </c>
      <c r="Q1583" s="11" t="s">
        <v>135</v>
      </c>
      <c r="U1583" s="11" t="s">
        <v>3059</v>
      </c>
      <c r="V1583" s="11" t="s">
        <v>137</v>
      </c>
      <c r="W1583" s="13">
        <v>46302.314618055556</v>
      </c>
    </row>
    <row r="1584" spans="1:23">
      <c r="A1584">
        <v>287639</v>
      </c>
      <c r="B1584">
        <v>295</v>
      </c>
      <c r="C1584" s="11" t="s">
        <v>129</v>
      </c>
      <c r="D1584" s="11" t="s">
        <v>130</v>
      </c>
      <c r="E1584" s="11" t="s">
        <v>25</v>
      </c>
      <c r="F1584" s="12">
        <v>46281</v>
      </c>
      <c r="G1584" s="11" t="s">
        <v>1740</v>
      </c>
      <c r="H1584">
        <v>1</v>
      </c>
      <c r="I1584" s="11" t="s">
        <v>218</v>
      </c>
      <c r="M1584" s="11" t="s">
        <v>69</v>
      </c>
      <c r="N1584" s="11" t="s">
        <v>4574</v>
      </c>
      <c r="O1584" s="11" t="s">
        <v>4575</v>
      </c>
      <c r="P1584" s="11" t="s">
        <v>218</v>
      </c>
      <c r="Q1584" s="11" t="s">
        <v>135</v>
      </c>
      <c r="U1584" s="11" t="s">
        <v>1745</v>
      </c>
      <c r="V1584" s="11" t="s">
        <v>137</v>
      </c>
      <c r="W1584" s="13">
        <v>46302.314618055556</v>
      </c>
    </row>
    <row r="1585" spans="1:23">
      <c r="A1585">
        <v>287640</v>
      </c>
      <c r="B1585">
        <v>296</v>
      </c>
      <c r="C1585" s="11" t="s">
        <v>129</v>
      </c>
      <c r="D1585" s="11" t="s">
        <v>130</v>
      </c>
      <c r="E1585" s="11" t="s">
        <v>25</v>
      </c>
      <c r="F1585" s="12">
        <v>46281</v>
      </c>
      <c r="G1585" s="11" t="s">
        <v>1740</v>
      </c>
      <c r="H1585">
        <v>1</v>
      </c>
      <c r="I1585" s="11" t="s">
        <v>4576</v>
      </c>
      <c r="M1585" s="11" t="s">
        <v>69</v>
      </c>
      <c r="N1585" s="11" t="s">
        <v>4577</v>
      </c>
      <c r="O1585" s="11" t="s">
        <v>4578</v>
      </c>
      <c r="P1585" s="11" t="s">
        <v>4576</v>
      </c>
      <c r="Q1585" s="11" t="s">
        <v>135</v>
      </c>
      <c r="U1585" s="11" t="s">
        <v>1745</v>
      </c>
      <c r="V1585" s="11" t="s">
        <v>137</v>
      </c>
      <c r="W1585" s="13">
        <v>46302.314618055556</v>
      </c>
    </row>
    <row r="1586" spans="1:23">
      <c r="A1586">
        <v>287641</v>
      </c>
      <c r="B1586">
        <v>297</v>
      </c>
      <c r="C1586" s="11" t="s">
        <v>129</v>
      </c>
      <c r="D1586" s="11" t="s">
        <v>130</v>
      </c>
      <c r="E1586" s="11" t="s">
        <v>25</v>
      </c>
      <c r="F1586" s="12">
        <v>46281</v>
      </c>
      <c r="G1586" s="11" t="s">
        <v>1740</v>
      </c>
      <c r="H1586">
        <v>1</v>
      </c>
      <c r="I1586" s="11" t="s">
        <v>2846</v>
      </c>
      <c r="M1586" s="11" t="s">
        <v>69</v>
      </c>
      <c r="N1586" s="11" t="s">
        <v>4579</v>
      </c>
      <c r="O1586" s="11" t="s">
        <v>1575</v>
      </c>
      <c r="P1586" s="11" t="s">
        <v>2846</v>
      </c>
      <c r="Q1586" s="11" t="s">
        <v>135</v>
      </c>
      <c r="U1586" s="11" t="s">
        <v>1745</v>
      </c>
      <c r="V1586" s="11" t="s">
        <v>137</v>
      </c>
      <c r="W1586" s="13">
        <v>46302.314618055556</v>
      </c>
    </row>
    <row r="1587" spans="1:23">
      <c r="A1587">
        <v>287642</v>
      </c>
      <c r="B1587">
        <v>298</v>
      </c>
      <c r="C1587" s="11" t="s">
        <v>129</v>
      </c>
      <c r="D1587" s="11" t="s">
        <v>130</v>
      </c>
      <c r="E1587" s="11" t="s">
        <v>25</v>
      </c>
      <c r="F1587" s="12">
        <v>46281</v>
      </c>
      <c r="G1587" s="11" t="s">
        <v>1740</v>
      </c>
      <c r="H1587">
        <v>1</v>
      </c>
      <c r="I1587" s="11" t="s">
        <v>4187</v>
      </c>
      <c r="M1587" s="11" t="s">
        <v>69</v>
      </c>
      <c r="N1587" s="11" t="s">
        <v>4580</v>
      </c>
      <c r="O1587" s="11" t="s">
        <v>4581</v>
      </c>
      <c r="P1587" s="11" t="s">
        <v>4187</v>
      </c>
      <c r="Q1587" s="11" t="s">
        <v>135</v>
      </c>
      <c r="U1587" s="11" t="s">
        <v>1745</v>
      </c>
      <c r="V1587" s="11" t="s">
        <v>137</v>
      </c>
      <c r="W1587" s="13">
        <v>46302.314618055556</v>
      </c>
    </row>
    <row r="1588" spans="1:23">
      <c r="A1588">
        <v>287643</v>
      </c>
      <c r="B1588">
        <v>299</v>
      </c>
      <c r="C1588" s="11" t="s">
        <v>129</v>
      </c>
      <c r="D1588" s="11" t="s">
        <v>130</v>
      </c>
      <c r="E1588" s="11" t="s">
        <v>25</v>
      </c>
      <c r="F1588" s="12">
        <v>46281</v>
      </c>
      <c r="G1588" s="11" t="s">
        <v>1740</v>
      </c>
      <c r="H1588">
        <v>1</v>
      </c>
      <c r="I1588" s="11" t="s">
        <v>3373</v>
      </c>
      <c r="M1588" s="11" t="s">
        <v>69</v>
      </c>
      <c r="N1588" s="11" t="s">
        <v>4582</v>
      </c>
      <c r="O1588" s="11" t="s">
        <v>2018</v>
      </c>
      <c r="P1588" s="11" t="s">
        <v>3373</v>
      </c>
      <c r="Q1588" s="11" t="s">
        <v>135</v>
      </c>
      <c r="U1588" s="11" t="s">
        <v>1745</v>
      </c>
      <c r="V1588" s="11" t="s">
        <v>137</v>
      </c>
      <c r="W1588" s="13">
        <v>46302.314618055556</v>
      </c>
    </row>
    <row r="1589" spans="1:23">
      <c r="A1589">
        <v>287644</v>
      </c>
      <c r="B1589">
        <v>300</v>
      </c>
      <c r="C1589" s="11" t="s">
        <v>129</v>
      </c>
      <c r="D1589" s="11" t="s">
        <v>130</v>
      </c>
      <c r="E1589" s="11" t="s">
        <v>25</v>
      </c>
      <c r="F1589" s="12">
        <v>46281</v>
      </c>
      <c r="G1589" s="11" t="s">
        <v>1740</v>
      </c>
      <c r="H1589">
        <v>1</v>
      </c>
      <c r="I1589" s="11" t="s">
        <v>4583</v>
      </c>
      <c r="M1589" s="11" t="s">
        <v>69</v>
      </c>
      <c r="N1589" s="11" t="s">
        <v>4584</v>
      </c>
      <c r="O1589" s="11" t="s">
        <v>4585</v>
      </c>
      <c r="P1589" s="11" t="s">
        <v>4583</v>
      </c>
      <c r="Q1589" s="11" t="s">
        <v>135</v>
      </c>
      <c r="U1589" s="11" t="s">
        <v>1745</v>
      </c>
      <c r="V1589" s="11" t="s">
        <v>137</v>
      </c>
      <c r="W1589" s="13">
        <v>46302.314618055556</v>
      </c>
    </row>
    <row r="1590" spans="1:23">
      <c r="A1590">
        <v>287645</v>
      </c>
      <c r="B1590">
        <v>301</v>
      </c>
      <c r="C1590" s="11" t="s">
        <v>129</v>
      </c>
      <c r="D1590" s="11" t="s">
        <v>130</v>
      </c>
      <c r="E1590" s="11" t="s">
        <v>25</v>
      </c>
      <c r="F1590" s="12">
        <v>46281</v>
      </c>
      <c r="G1590" s="11" t="s">
        <v>316</v>
      </c>
      <c r="H1590">
        <v>1</v>
      </c>
      <c r="I1590" s="11" t="s">
        <v>1188</v>
      </c>
      <c r="M1590" s="11" t="s">
        <v>87</v>
      </c>
      <c r="N1590" s="11" t="s">
        <v>4586</v>
      </c>
      <c r="O1590" s="11" t="s">
        <v>4587</v>
      </c>
      <c r="P1590" s="11" t="s">
        <v>1188</v>
      </c>
      <c r="Q1590" s="11" t="s">
        <v>135</v>
      </c>
      <c r="U1590" s="11" t="s">
        <v>320</v>
      </c>
      <c r="V1590" s="11" t="s">
        <v>137</v>
      </c>
      <c r="W1590" s="13">
        <v>46302.314618055556</v>
      </c>
    </row>
    <row r="1591" spans="1:23">
      <c r="A1591">
        <v>287646</v>
      </c>
      <c r="B1591">
        <v>302</v>
      </c>
      <c r="C1591" s="11" t="s">
        <v>129</v>
      </c>
      <c r="D1591" s="11" t="s">
        <v>130</v>
      </c>
      <c r="E1591" s="11" t="s">
        <v>25</v>
      </c>
      <c r="F1591" s="12">
        <v>46281</v>
      </c>
      <c r="G1591" s="11" t="s">
        <v>1740</v>
      </c>
      <c r="H1591">
        <v>1</v>
      </c>
      <c r="I1591" s="11" t="s">
        <v>1254</v>
      </c>
      <c r="M1591" s="11" t="s">
        <v>69</v>
      </c>
      <c r="N1591" s="11" t="s">
        <v>4588</v>
      </c>
      <c r="O1591" s="11" t="s">
        <v>4589</v>
      </c>
      <c r="P1591" s="11" t="s">
        <v>1254</v>
      </c>
      <c r="Q1591" s="11" t="s">
        <v>135</v>
      </c>
      <c r="U1591" s="11" t="s">
        <v>1745</v>
      </c>
      <c r="V1591" s="11" t="s">
        <v>137</v>
      </c>
      <c r="W1591" s="13">
        <v>46302.314618055556</v>
      </c>
    </row>
    <row r="1592" spans="1:23">
      <c r="A1592">
        <v>287647</v>
      </c>
      <c r="B1592">
        <v>303</v>
      </c>
      <c r="C1592" s="11" t="s">
        <v>129</v>
      </c>
      <c r="D1592" s="11" t="s">
        <v>130</v>
      </c>
      <c r="E1592" s="11" t="s">
        <v>25</v>
      </c>
      <c r="F1592" s="12">
        <v>46281</v>
      </c>
      <c r="G1592" s="11" t="s">
        <v>1740</v>
      </c>
      <c r="H1592">
        <v>1</v>
      </c>
      <c r="I1592" s="11" t="s">
        <v>4553</v>
      </c>
      <c r="M1592" s="11" t="s">
        <v>69</v>
      </c>
      <c r="N1592" s="11" t="s">
        <v>3515</v>
      </c>
      <c r="O1592" s="11" t="s">
        <v>4590</v>
      </c>
      <c r="P1592" s="11" t="s">
        <v>4553</v>
      </c>
      <c r="Q1592" s="11" t="s">
        <v>135</v>
      </c>
      <c r="U1592" s="11" t="s">
        <v>1745</v>
      </c>
      <c r="V1592" s="11" t="s">
        <v>137</v>
      </c>
      <c r="W1592" s="13">
        <v>46302.314618055556</v>
      </c>
    </row>
    <row r="1593" spans="1:23">
      <c r="A1593">
        <v>287648</v>
      </c>
      <c r="B1593">
        <v>304</v>
      </c>
      <c r="C1593" s="11" t="s">
        <v>129</v>
      </c>
      <c r="D1593" s="11" t="s">
        <v>130</v>
      </c>
      <c r="E1593" s="11" t="s">
        <v>25</v>
      </c>
      <c r="F1593" s="12">
        <v>46281</v>
      </c>
      <c r="G1593" s="11" t="s">
        <v>1740</v>
      </c>
      <c r="H1593">
        <v>1</v>
      </c>
      <c r="I1593" s="11" t="s">
        <v>4591</v>
      </c>
      <c r="M1593" s="11" t="s">
        <v>69</v>
      </c>
      <c r="N1593" s="11" t="s">
        <v>4592</v>
      </c>
      <c r="O1593" s="11" t="s">
        <v>4593</v>
      </c>
      <c r="P1593" s="11" t="s">
        <v>4591</v>
      </c>
      <c r="Q1593" s="11" t="s">
        <v>135</v>
      </c>
      <c r="U1593" s="11" t="s">
        <v>1745</v>
      </c>
      <c r="V1593" s="11" t="s">
        <v>137</v>
      </c>
      <c r="W1593" s="13">
        <v>46302.314618055556</v>
      </c>
    </row>
    <row r="1594" spans="1:23">
      <c r="A1594">
        <v>287649</v>
      </c>
      <c r="B1594">
        <v>305</v>
      </c>
      <c r="C1594" s="11" t="s">
        <v>129</v>
      </c>
      <c r="D1594" s="11" t="s">
        <v>130</v>
      </c>
      <c r="E1594" s="11" t="s">
        <v>25</v>
      </c>
      <c r="F1594" s="12">
        <v>46281</v>
      </c>
      <c r="G1594" s="11" t="s">
        <v>316</v>
      </c>
      <c r="H1594">
        <v>1</v>
      </c>
      <c r="I1594" s="11" t="s">
        <v>4594</v>
      </c>
      <c r="M1594" s="11" t="s">
        <v>87</v>
      </c>
      <c r="N1594" s="11" t="s">
        <v>4595</v>
      </c>
      <c r="O1594" s="11" t="s">
        <v>4596</v>
      </c>
      <c r="P1594" s="11" t="s">
        <v>4594</v>
      </c>
      <c r="Q1594" s="11" t="s">
        <v>135</v>
      </c>
      <c r="U1594" s="11" t="s">
        <v>320</v>
      </c>
      <c r="V1594" s="11" t="s">
        <v>137</v>
      </c>
      <c r="W1594" s="13">
        <v>46302.314618055556</v>
      </c>
    </row>
    <row r="1595" spans="1:23">
      <c r="A1595">
        <v>287650</v>
      </c>
      <c r="B1595">
        <v>306</v>
      </c>
      <c r="C1595" s="11" t="s">
        <v>129</v>
      </c>
      <c r="D1595" s="11" t="s">
        <v>130</v>
      </c>
      <c r="E1595" s="11" t="s">
        <v>25</v>
      </c>
      <c r="F1595" s="12">
        <v>46281</v>
      </c>
      <c r="G1595" s="11" t="s">
        <v>339</v>
      </c>
      <c r="H1595">
        <v>1</v>
      </c>
      <c r="I1595" s="11" t="s">
        <v>1528</v>
      </c>
      <c r="M1595" s="11" t="s">
        <v>92</v>
      </c>
      <c r="N1595" s="11" t="s">
        <v>4597</v>
      </c>
      <c r="O1595" s="11" t="s">
        <v>4598</v>
      </c>
      <c r="P1595" s="11" t="s">
        <v>1528</v>
      </c>
      <c r="Q1595" s="11" t="s">
        <v>135</v>
      </c>
      <c r="U1595" s="11" t="s">
        <v>343</v>
      </c>
      <c r="V1595" s="11" t="s">
        <v>137</v>
      </c>
      <c r="W1595" s="13">
        <v>46302.314618055556</v>
      </c>
    </row>
    <row r="1596" spans="1:23">
      <c r="A1596">
        <v>287651</v>
      </c>
      <c r="B1596">
        <v>307</v>
      </c>
      <c r="C1596" s="11" t="s">
        <v>129</v>
      </c>
      <c r="D1596" s="11" t="s">
        <v>130</v>
      </c>
      <c r="E1596" s="11" t="s">
        <v>25</v>
      </c>
      <c r="F1596" s="12">
        <v>46281</v>
      </c>
      <c r="G1596" s="11" t="s">
        <v>1740</v>
      </c>
      <c r="H1596">
        <v>1</v>
      </c>
      <c r="I1596" s="11" t="s">
        <v>4599</v>
      </c>
      <c r="M1596" s="11" t="s">
        <v>69</v>
      </c>
      <c r="N1596" s="11" t="s">
        <v>4600</v>
      </c>
      <c r="O1596" s="11" t="s">
        <v>4601</v>
      </c>
      <c r="P1596" s="11" t="s">
        <v>4599</v>
      </c>
      <c r="Q1596" s="11" t="s">
        <v>135</v>
      </c>
      <c r="U1596" s="11" t="s">
        <v>1745</v>
      </c>
      <c r="V1596" s="11" t="s">
        <v>137</v>
      </c>
      <c r="W1596" s="13">
        <v>46302.314618055556</v>
      </c>
    </row>
    <row r="1597" spans="1:23">
      <c r="A1597">
        <v>287652</v>
      </c>
      <c r="B1597">
        <v>308</v>
      </c>
      <c r="C1597" s="11" t="s">
        <v>129</v>
      </c>
      <c r="D1597" s="11" t="s">
        <v>130</v>
      </c>
      <c r="E1597" s="11" t="s">
        <v>25</v>
      </c>
      <c r="F1597" s="12">
        <v>46281</v>
      </c>
      <c r="G1597" s="11" t="s">
        <v>316</v>
      </c>
      <c r="H1597">
        <v>1</v>
      </c>
      <c r="I1597" s="11" t="s">
        <v>1622</v>
      </c>
      <c r="M1597" s="11" t="s">
        <v>87</v>
      </c>
      <c r="N1597" s="11" t="s">
        <v>4602</v>
      </c>
      <c r="O1597" s="11" t="s">
        <v>4603</v>
      </c>
      <c r="P1597" s="11" t="s">
        <v>1622</v>
      </c>
      <c r="Q1597" s="11" t="s">
        <v>135</v>
      </c>
      <c r="U1597" s="11" t="s">
        <v>320</v>
      </c>
      <c r="V1597" s="11" t="s">
        <v>137</v>
      </c>
      <c r="W1597" s="13">
        <v>46302.314618055556</v>
      </c>
    </row>
    <row r="1598" spans="1:23">
      <c r="A1598">
        <v>287653</v>
      </c>
      <c r="B1598">
        <v>309</v>
      </c>
      <c r="C1598" s="11" t="s">
        <v>129</v>
      </c>
      <c r="D1598" s="11" t="s">
        <v>130</v>
      </c>
      <c r="E1598" s="11" t="s">
        <v>25</v>
      </c>
      <c r="F1598" s="12">
        <v>46281</v>
      </c>
      <c r="G1598" s="11" t="s">
        <v>921</v>
      </c>
      <c r="H1598">
        <v>1</v>
      </c>
      <c r="I1598" s="11" t="s">
        <v>3799</v>
      </c>
      <c r="M1598" s="11" t="s">
        <v>95</v>
      </c>
      <c r="N1598" s="11" t="s">
        <v>4604</v>
      </c>
      <c r="O1598" s="11" t="s">
        <v>4605</v>
      </c>
      <c r="P1598" s="11" t="s">
        <v>3799</v>
      </c>
      <c r="Q1598" s="11" t="s">
        <v>135</v>
      </c>
      <c r="U1598" s="11" t="s">
        <v>925</v>
      </c>
      <c r="V1598" s="11" t="s">
        <v>137</v>
      </c>
      <c r="W1598" s="13">
        <v>46302.314618055556</v>
      </c>
    </row>
    <row r="1599" spans="1:23">
      <c r="A1599">
        <v>288098</v>
      </c>
      <c r="B1599">
        <v>310</v>
      </c>
      <c r="C1599" s="11" t="s">
        <v>129</v>
      </c>
      <c r="D1599" s="11" t="s">
        <v>130</v>
      </c>
      <c r="E1599" s="11" t="s">
        <v>25</v>
      </c>
      <c r="F1599" s="12">
        <v>46283</v>
      </c>
      <c r="G1599" s="11" t="s">
        <v>131</v>
      </c>
      <c r="H1599">
        <v>1</v>
      </c>
      <c r="I1599" s="11" t="s">
        <v>4606</v>
      </c>
      <c r="M1599" s="11" t="s">
        <v>87</v>
      </c>
      <c r="N1599" s="11" t="s">
        <v>4607</v>
      </c>
      <c r="O1599" s="11" t="s">
        <v>662</v>
      </c>
      <c r="P1599" s="11" t="s">
        <v>4606</v>
      </c>
      <c r="Q1599" s="11" t="s">
        <v>135</v>
      </c>
      <c r="U1599" s="11" t="s">
        <v>136</v>
      </c>
      <c r="V1599" s="11" t="s">
        <v>137</v>
      </c>
      <c r="W1599" s="13">
        <v>46302.314618055556</v>
      </c>
    </row>
    <row r="1600" spans="1:23">
      <c r="A1600">
        <v>288099</v>
      </c>
      <c r="B1600">
        <v>311</v>
      </c>
      <c r="C1600" s="11" t="s">
        <v>129</v>
      </c>
      <c r="D1600" s="11" t="s">
        <v>130</v>
      </c>
      <c r="E1600" s="11" t="s">
        <v>25</v>
      </c>
      <c r="F1600" s="12">
        <v>46283</v>
      </c>
      <c r="G1600" s="11" t="s">
        <v>1848</v>
      </c>
      <c r="H1600">
        <v>1</v>
      </c>
      <c r="I1600" s="11" t="s">
        <v>3185</v>
      </c>
      <c r="M1600" s="11" t="s">
        <v>56</v>
      </c>
      <c r="N1600" s="11" t="s">
        <v>4608</v>
      </c>
      <c r="O1600" s="11" t="s">
        <v>4609</v>
      </c>
      <c r="P1600" s="11" t="s">
        <v>3185</v>
      </c>
      <c r="Q1600" s="11" t="s">
        <v>135</v>
      </c>
      <c r="U1600" s="11" t="s">
        <v>1852</v>
      </c>
      <c r="V1600" s="11" t="s">
        <v>137</v>
      </c>
      <c r="W1600" s="13">
        <v>46302.314618055556</v>
      </c>
    </row>
    <row r="1601" spans="1:23">
      <c r="A1601">
        <v>288100</v>
      </c>
      <c r="B1601">
        <v>312</v>
      </c>
      <c r="C1601" s="11" t="s">
        <v>129</v>
      </c>
      <c r="D1601" s="11" t="s">
        <v>130</v>
      </c>
      <c r="E1601" s="11" t="s">
        <v>25</v>
      </c>
      <c r="F1601" s="12">
        <v>46283</v>
      </c>
      <c r="G1601" s="11" t="s">
        <v>131</v>
      </c>
      <c r="H1601">
        <v>1</v>
      </c>
      <c r="I1601" s="11" t="s">
        <v>4610</v>
      </c>
      <c r="M1601" s="11" t="s">
        <v>87</v>
      </c>
      <c r="N1601" s="11" t="s">
        <v>4611</v>
      </c>
      <c r="O1601" s="11" t="s">
        <v>4612</v>
      </c>
      <c r="P1601" s="11" t="s">
        <v>4610</v>
      </c>
      <c r="Q1601" s="11" t="s">
        <v>135</v>
      </c>
      <c r="U1601" s="11" t="s">
        <v>136</v>
      </c>
      <c r="V1601" s="11" t="s">
        <v>137</v>
      </c>
      <c r="W1601" s="13">
        <v>46302.314618055556</v>
      </c>
    </row>
    <row r="1602" spans="1:23">
      <c r="A1602">
        <v>288101</v>
      </c>
      <c r="B1602">
        <v>313</v>
      </c>
      <c r="C1602" s="11" t="s">
        <v>129</v>
      </c>
      <c r="D1602" s="11" t="s">
        <v>130</v>
      </c>
      <c r="E1602" s="11" t="s">
        <v>25</v>
      </c>
      <c r="F1602" s="12">
        <v>46283</v>
      </c>
      <c r="G1602" s="11" t="s">
        <v>222</v>
      </c>
      <c r="H1602">
        <v>1</v>
      </c>
      <c r="I1602" s="11" t="s">
        <v>2529</v>
      </c>
      <c r="M1602" s="11" t="s">
        <v>90</v>
      </c>
      <c r="N1602" s="11" t="s">
        <v>4613</v>
      </c>
      <c r="O1602" s="11" t="s">
        <v>4614</v>
      </c>
      <c r="P1602" s="11" t="s">
        <v>2529</v>
      </c>
      <c r="Q1602" s="11" t="s">
        <v>135</v>
      </c>
      <c r="U1602" s="11" t="s">
        <v>225</v>
      </c>
      <c r="V1602" s="11" t="s">
        <v>137</v>
      </c>
      <c r="W1602" s="13">
        <v>46302.314618055556</v>
      </c>
    </row>
    <row r="1603" spans="1:23">
      <c r="A1603">
        <v>288102</v>
      </c>
      <c r="B1603">
        <v>314</v>
      </c>
      <c r="C1603" s="11" t="s">
        <v>129</v>
      </c>
      <c r="D1603" s="11" t="s">
        <v>130</v>
      </c>
      <c r="E1603" s="11" t="s">
        <v>25</v>
      </c>
      <c r="F1603" s="12">
        <v>46283</v>
      </c>
      <c r="G1603" s="11" t="s">
        <v>607</v>
      </c>
      <c r="H1603">
        <v>1</v>
      </c>
      <c r="I1603" s="11" t="s">
        <v>4615</v>
      </c>
      <c r="M1603" s="11" t="s">
        <v>42</v>
      </c>
      <c r="N1603" s="11" t="s">
        <v>4616</v>
      </c>
      <c r="O1603" s="11" t="s">
        <v>4617</v>
      </c>
      <c r="P1603" s="11" t="s">
        <v>4615</v>
      </c>
      <c r="Q1603" s="11" t="s">
        <v>135</v>
      </c>
      <c r="U1603" s="11" t="s">
        <v>611</v>
      </c>
      <c r="V1603" s="11" t="s">
        <v>137</v>
      </c>
      <c r="W1603" s="13">
        <v>46302.314618055556</v>
      </c>
    </row>
    <row r="1604" spans="1:23">
      <c r="A1604">
        <v>288103</v>
      </c>
      <c r="B1604">
        <v>315</v>
      </c>
      <c r="C1604" s="11" t="s">
        <v>129</v>
      </c>
      <c r="D1604" s="11" t="s">
        <v>130</v>
      </c>
      <c r="E1604" s="11" t="s">
        <v>25</v>
      </c>
      <c r="F1604" s="12">
        <v>46283</v>
      </c>
      <c r="G1604" s="11" t="s">
        <v>1848</v>
      </c>
      <c r="H1604">
        <v>1</v>
      </c>
      <c r="I1604" s="11" t="s">
        <v>4618</v>
      </c>
      <c r="M1604" s="11" t="s">
        <v>56</v>
      </c>
      <c r="N1604" s="11" t="s">
        <v>4619</v>
      </c>
      <c r="O1604" s="11" t="s">
        <v>4620</v>
      </c>
      <c r="P1604" s="11" t="s">
        <v>4618</v>
      </c>
      <c r="Q1604" s="11" t="s">
        <v>135</v>
      </c>
      <c r="U1604" s="11" t="s">
        <v>1852</v>
      </c>
      <c r="V1604" s="11" t="s">
        <v>137</v>
      </c>
      <c r="W1604" s="13">
        <v>46302.314618055556</v>
      </c>
    </row>
    <row r="1605" spans="1:23">
      <c r="A1605">
        <v>288104</v>
      </c>
      <c r="B1605">
        <v>316</v>
      </c>
      <c r="C1605" s="11" t="s">
        <v>129</v>
      </c>
      <c r="D1605" s="11" t="s">
        <v>130</v>
      </c>
      <c r="E1605" s="11" t="s">
        <v>25</v>
      </c>
      <c r="F1605" s="12">
        <v>46283</v>
      </c>
      <c r="G1605" s="11" t="s">
        <v>174</v>
      </c>
      <c r="H1605">
        <v>1</v>
      </c>
      <c r="I1605" s="11" t="s">
        <v>4621</v>
      </c>
      <c r="M1605" s="11" t="s">
        <v>92</v>
      </c>
      <c r="N1605" s="11" t="s">
        <v>699</v>
      </c>
      <c r="O1605" s="11" t="s">
        <v>1001</v>
      </c>
      <c r="P1605" s="11" t="s">
        <v>4621</v>
      </c>
      <c r="Q1605" s="11" t="s">
        <v>135</v>
      </c>
      <c r="U1605" s="11" t="s">
        <v>178</v>
      </c>
      <c r="V1605" s="11" t="s">
        <v>137</v>
      </c>
      <c r="W1605" s="13">
        <v>46302.314618055556</v>
      </c>
    </row>
    <row r="1606" spans="1:23">
      <c r="A1606">
        <v>288105</v>
      </c>
      <c r="B1606">
        <v>317</v>
      </c>
      <c r="C1606" s="11" t="s">
        <v>129</v>
      </c>
      <c r="D1606" s="11" t="s">
        <v>130</v>
      </c>
      <c r="E1606" s="11" t="s">
        <v>25</v>
      </c>
      <c r="F1606" s="12">
        <v>46283</v>
      </c>
      <c r="G1606" s="11" t="s">
        <v>179</v>
      </c>
      <c r="H1606">
        <v>1</v>
      </c>
      <c r="I1606" s="11" t="s">
        <v>4622</v>
      </c>
      <c r="M1606" s="11" t="s">
        <v>83</v>
      </c>
      <c r="N1606" s="11" t="s">
        <v>4623</v>
      </c>
      <c r="O1606" s="11" t="s">
        <v>4624</v>
      </c>
      <c r="P1606" s="11" t="s">
        <v>4622</v>
      </c>
      <c r="Q1606" s="11" t="s">
        <v>135</v>
      </c>
      <c r="U1606" s="11" t="s">
        <v>183</v>
      </c>
      <c r="V1606" s="11" t="s">
        <v>137</v>
      </c>
      <c r="W1606" s="13">
        <v>46302.314618055556</v>
      </c>
    </row>
    <row r="1607" spans="1:23">
      <c r="A1607">
        <v>288106</v>
      </c>
      <c r="B1607">
        <v>318</v>
      </c>
      <c r="C1607" s="11" t="s">
        <v>129</v>
      </c>
      <c r="D1607" s="11" t="s">
        <v>130</v>
      </c>
      <c r="E1607" s="11" t="s">
        <v>25</v>
      </c>
      <c r="F1607" s="12">
        <v>46283</v>
      </c>
      <c r="G1607" s="11" t="s">
        <v>131</v>
      </c>
      <c r="H1607">
        <v>1</v>
      </c>
      <c r="I1607" s="11" t="s">
        <v>3929</v>
      </c>
      <c r="M1607" s="11" t="s">
        <v>87</v>
      </c>
      <c r="N1607" s="11" t="s">
        <v>4625</v>
      </c>
      <c r="O1607" s="11" t="s">
        <v>4626</v>
      </c>
      <c r="P1607" s="11" t="s">
        <v>3929</v>
      </c>
      <c r="Q1607" s="11" t="s">
        <v>135</v>
      </c>
      <c r="U1607" s="11" t="s">
        <v>136</v>
      </c>
      <c r="V1607" s="11" t="s">
        <v>137</v>
      </c>
      <c r="W1607" s="13">
        <v>46302.314618055556</v>
      </c>
    </row>
    <row r="1608" spans="1:23">
      <c r="A1608">
        <v>288107</v>
      </c>
      <c r="B1608">
        <v>319</v>
      </c>
      <c r="C1608" s="11" t="s">
        <v>129</v>
      </c>
      <c r="D1608" s="11" t="s">
        <v>130</v>
      </c>
      <c r="E1608" s="11" t="s">
        <v>25</v>
      </c>
      <c r="F1608" s="12">
        <v>46283</v>
      </c>
      <c r="G1608" s="11" t="s">
        <v>504</v>
      </c>
      <c r="H1608">
        <v>1</v>
      </c>
      <c r="I1608" s="11" t="s">
        <v>4627</v>
      </c>
      <c r="M1608" s="11" t="s">
        <v>53</v>
      </c>
      <c r="N1608" s="11" t="s">
        <v>4628</v>
      </c>
      <c r="O1608" s="11" t="s">
        <v>4629</v>
      </c>
      <c r="P1608" s="11" t="s">
        <v>4627</v>
      </c>
      <c r="Q1608" s="11" t="s">
        <v>135</v>
      </c>
      <c r="U1608" s="11" t="s">
        <v>508</v>
      </c>
      <c r="V1608" s="11" t="s">
        <v>137</v>
      </c>
      <c r="W1608" s="13">
        <v>46302.314618055556</v>
      </c>
    </row>
    <row r="1609" spans="1:23">
      <c r="A1609">
        <v>288108</v>
      </c>
      <c r="B1609">
        <v>320</v>
      </c>
      <c r="C1609" s="11" t="s">
        <v>129</v>
      </c>
      <c r="D1609" s="11" t="s">
        <v>130</v>
      </c>
      <c r="E1609" s="11" t="s">
        <v>25</v>
      </c>
      <c r="F1609" s="12">
        <v>46283</v>
      </c>
      <c r="G1609" s="11" t="s">
        <v>1484</v>
      </c>
      <c r="H1609">
        <v>1</v>
      </c>
      <c r="I1609" s="11" t="s">
        <v>3538</v>
      </c>
      <c r="M1609" s="11" t="s">
        <v>48</v>
      </c>
      <c r="N1609" s="11" t="s">
        <v>4630</v>
      </c>
      <c r="O1609" s="11" t="s">
        <v>4631</v>
      </c>
      <c r="P1609" s="11" t="s">
        <v>3538</v>
      </c>
      <c r="Q1609" s="11" t="s">
        <v>135</v>
      </c>
      <c r="U1609" s="11" t="s">
        <v>1488</v>
      </c>
      <c r="V1609" s="11" t="s">
        <v>137</v>
      </c>
      <c r="W1609" s="13">
        <v>46302.314618055556</v>
      </c>
    </row>
    <row r="1610" spans="1:23">
      <c r="A1610">
        <v>288109</v>
      </c>
      <c r="B1610">
        <v>321</v>
      </c>
      <c r="C1610" s="11" t="s">
        <v>129</v>
      </c>
      <c r="D1610" s="11" t="s">
        <v>130</v>
      </c>
      <c r="E1610" s="11" t="s">
        <v>25</v>
      </c>
      <c r="F1610" s="12">
        <v>46283</v>
      </c>
      <c r="G1610" s="11" t="s">
        <v>653</v>
      </c>
      <c r="H1610">
        <v>1</v>
      </c>
      <c r="I1610" s="11" t="s">
        <v>3277</v>
      </c>
      <c r="M1610" s="11" t="s">
        <v>49</v>
      </c>
      <c r="N1610" s="11" t="s">
        <v>4632</v>
      </c>
      <c r="O1610" s="11" t="s">
        <v>4633</v>
      </c>
      <c r="P1610" s="11" t="s">
        <v>3277</v>
      </c>
      <c r="Q1610" s="11" t="s">
        <v>135</v>
      </c>
      <c r="U1610" s="11" t="s">
        <v>657</v>
      </c>
      <c r="V1610" s="11" t="s">
        <v>137</v>
      </c>
      <c r="W1610" s="13">
        <v>46302.314618055556</v>
      </c>
    </row>
    <row r="1611" spans="1:23">
      <c r="A1611">
        <v>288110</v>
      </c>
      <c r="B1611">
        <v>322</v>
      </c>
      <c r="C1611" s="11" t="s">
        <v>129</v>
      </c>
      <c r="D1611" s="11" t="s">
        <v>130</v>
      </c>
      <c r="E1611" s="11" t="s">
        <v>25</v>
      </c>
      <c r="F1611" s="12">
        <v>46283</v>
      </c>
      <c r="G1611" s="11" t="s">
        <v>164</v>
      </c>
      <c r="H1611">
        <v>1</v>
      </c>
      <c r="I1611" s="11" t="s">
        <v>285</v>
      </c>
      <c r="M1611" s="11" t="s">
        <v>62</v>
      </c>
      <c r="N1611" s="11" t="s">
        <v>4634</v>
      </c>
      <c r="O1611" s="11" t="s">
        <v>4635</v>
      </c>
      <c r="P1611" s="11" t="s">
        <v>285</v>
      </c>
      <c r="Q1611" s="11" t="s">
        <v>135</v>
      </c>
      <c r="U1611" s="11" t="s">
        <v>168</v>
      </c>
      <c r="V1611" s="11" t="s">
        <v>137</v>
      </c>
      <c r="W1611" s="13">
        <v>46302.314618055556</v>
      </c>
    </row>
    <row r="1612" spans="1:23">
      <c r="A1612">
        <v>288111</v>
      </c>
      <c r="B1612">
        <v>323</v>
      </c>
      <c r="C1612" s="11" t="s">
        <v>129</v>
      </c>
      <c r="D1612" s="11" t="s">
        <v>130</v>
      </c>
      <c r="E1612" s="11" t="s">
        <v>25</v>
      </c>
      <c r="F1612" s="12">
        <v>46283</v>
      </c>
      <c r="G1612" s="11" t="s">
        <v>164</v>
      </c>
      <c r="H1612">
        <v>1</v>
      </c>
      <c r="I1612" s="11" t="s">
        <v>4636</v>
      </c>
      <c r="M1612" s="11" t="s">
        <v>62</v>
      </c>
      <c r="N1612" s="11" t="s">
        <v>4637</v>
      </c>
      <c r="O1612" s="11" t="s">
        <v>4638</v>
      </c>
      <c r="P1612" s="11" t="s">
        <v>4636</v>
      </c>
      <c r="Q1612" s="11" t="s">
        <v>135</v>
      </c>
      <c r="U1612" s="11" t="s">
        <v>168</v>
      </c>
      <c r="V1612" s="11" t="s">
        <v>137</v>
      </c>
      <c r="W1612" s="13">
        <v>46302.314618055556</v>
      </c>
    </row>
    <row r="1613" spans="1:23">
      <c r="A1613">
        <v>288112</v>
      </c>
      <c r="B1613">
        <v>324</v>
      </c>
      <c r="C1613" s="11" t="s">
        <v>129</v>
      </c>
      <c r="D1613" s="11" t="s">
        <v>130</v>
      </c>
      <c r="E1613" s="11" t="s">
        <v>25</v>
      </c>
      <c r="F1613" s="12">
        <v>46283</v>
      </c>
      <c r="G1613" s="11" t="s">
        <v>164</v>
      </c>
      <c r="H1613">
        <v>1</v>
      </c>
      <c r="I1613" s="11" t="s">
        <v>2529</v>
      </c>
      <c r="M1613" s="11" t="s">
        <v>62</v>
      </c>
      <c r="N1613" s="11" t="s">
        <v>4639</v>
      </c>
      <c r="O1613" s="11" t="s">
        <v>4640</v>
      </c>
      <c r="P1613" s="11" t="s">
        <v>2529</v>
      </c>
      <c r="Q1613" s="11" t="s">
        <v>4641</v>
      </c>
      <c r="U1613" s="11" t="s">
        <v>168</v>
      </c>
      <c r="V1613" s="11" t="s">
        <v>137</v>
      </c>
      <c r="W1613" s="13">
        <v>46302.314618055556</v>
      </c>
    </row>
    <row r="1614" spans="1:23">
      <c r="A1614">
        <v>288113</v>
      </c>
      <c r="B1614">
        <v>326</v>
      </c>
      <c r="C1614" s="11" t="s">
        <v>129</v>
      </c>
      <c r="D1614" s="11" t="s">
        <v>130</v>
      </c>
      <c r="E1614" s="11" t="s">
        <v>25</v>
      </c>
      <c r="F1614" s="12">
        <v>46283</v>
      </c>
      <c r="G1614" s="11" t="s">
        <v>131</v>
      </c>
      <c r="H1614">
        <v>1</v>
      </c>
      <c r="I1614" s="11" t="s">
        <v>4642</v>
      </c>
      <c r="M1614" s="11" t="s">
        <v>87</v>
      </c>
      <c r="N1614" s="11" t="s">
        <v>4643</v>
      </c>
      <c r="O1614" s="11" t="s">
        <v>4644</v>
      </c>
      <c r="P1614" s="11" t="s">
        <v>4642</v>
      </c>
      <c r="Q1614" s="11" t="s">
        <v>135</v>
      </c>
      <c r="U1614" s="11" t="s">
        <v>136</v>
      </c>
      <c r="V1614" s="11" t="s">
        <v>137</v>
      </c>
      <c r="W1614" s="13">
        <v>46302.314618055556</v>
      </c>
    </row>
    <row r="1615" spans="1:23">
      <c r="A1615">
        <v>288114</v>
      </c>
      <c r="B1615">
        <v>327</v>
      </c>
      <c r="C1615" s="11" t="s">
        <v>129</v>
      </c>
      <c r="D1615" s="11" t="s">
        <v>130</v>
      </c>
      <c r="E1615" s="11" t="s">
        <v>25</v>
      </c>
      <c r="F1615" s="12">
        <v>46283</v>
      </c>
      <c r="G1615" s="11" t="s">
        <v>164</v>
      </c>
      <c r="H1615">
        <v>1</v>
      </c>
      <c r="I1615" s="11" t="s">
        <v>4645</v>
      </c>
      <c r="M1615" s="11" t="s">
        <v>62</v>
      </c>
      <c r="N1615" s="11" t="s">
        <v>4646</v>
      </c>
      <c r="O1615" s="11" t="s">
        <v>4647</v>
      </c>
      <c r="P1615" s="11" t="s">
        <v>4645</v>
      </c>
      <c r="Q1615" s="11" t="s">
        <v>135</v>
      </c>
      <c r="U1615" s="11" t="s">
        <v>168</v>
      </c>
      <c r="V1615" s="11" t="s">
        <v>137</v>
      </c>
      <c r="W1615" s="13">
        <v>46302.314618055556</v>
      </c>
    </row>
    <row r="1616" spans="1:23">
      <c r="A1616">
        <v>288115</v>
      </c>
      <c r="B1616">
        <v>328</v>
      </c>
      <c r="C1616" s="11" t="s">
        <v>129</v>
      </c>
      <c r="D1616" s="11" t="s">
        <v>130</v>
      </c>
      <c r="E1616" s="11" t="s">
        <v>25</v>
      </c>
      <c r="F1616" s="12">
        <v>46283</v>
      </c>
      <c r="G1616" s="11" t="s">
        <v>195</v>
      </c>
      <c r="H1616">
        <v>1</v>
      </c>
      <c r="I1616" s="11" t="s">
        <v>4648</v>
      </c>
      <c r="M1616" s="11" t="s">
        <v>68</v>
      </c>
      <c r="N1616" s="11" t="s">
        <v>4649</v>
      </c>
      <c r="O1616" s="11" t="s">
        <v>2281</v>
      </c>
      <c r="P1616" s="11" t="s">
        <v>4648</v>
      </c>
      <c r="Q1616" s="11" t="s">
        <v>135</v>
      </c>
      <c r="U1616" s="11" t="s">
        <v>199</v>
      </c>
      <c r="V1616" s="11" t="s">
        <v>137</v>
      </c>
      <c r="W1616" s="13">
        <v>46302.314618055556</v>
      </c>
    </row>
    <row r="1617" spans="1:23">
      <c r="A1617">
        <v>288116</v>
      </c>
      <c r="B1617">
        <v>329</v>
      </c>
      <c r="C1617" s="11" t="s">
        <v>129</v>
      </c>
      <c r="D1617" s="11" t="s">
        <v>130</v>
      </c>
      <c r="E1617" s="11" t="s">
        <v>25</v>
      </c>
      <c r="F1617" s="12">
        <v>46283</v>
      </c>
      <c r="G1617" s="11" t="s">
        <v>131</v>
      </c>
      <c r="H1617">
        <v>1</v>
      </c>
      <c r="I1617" s="11" t="s">
        <v>4650</v>
      </c>
      <c r="M1617" s="11" t="s">
        <v>87</v>
      </c>
      <c r="N1617" s="11" t="s">
        <v>4495</v>
      </c>
      <c r="O1617" s="11" t="s">
        <v>4651</v>
      </c>
      <c r="P1617" s="11" t="s">
        <v>4650</v>
      </c>
      <c r="Q1617" s="11" t="s">
        <v>135</v>
      </c>
      <c r="U1617" s="11" t="s">
        <v>136</v>
      </c>
      <c r="V1617" s="11" t="s">
        <v>137</v>
      </c>
      <c r="W1617" s="13">
        <v>46302.314618055556</v>
      </c>
    </row>
    <row r="1618" spans="1:23">
      <c r="A1618">
        <v>288117</v>
      </c>
      <c r="B1618">
        <v>325</v>
      </c>
      <c r="C1618" s="11" t="s">
        <v>129</v>
      </c>
      <c r="D1618" s="11" t="s">
        <v>130</v>
      </c>
      <c r="E1618" s="11" t="s">
        <v>25</v>
      </c>
      <c r="F1618" s="12">
        <v>46283</v>
      </c>
      <c r="G1618" s="11" t="s">
        <v>222</v>
      </c>
      <c r="H1618">
        <v>1</v>
      </c>
      <c r="I1618" s="11" t="s">
        <v>4641</v>
      </c>
      <c r="M1618" s="11" t="s">
        <v>90</v>
      </c>
      <c r="N1618" s="11" t="s">
        <v>4652</v>
      </c>
      <c r="O1618" s="11" t="s">
        <v>4653</v>
      </c>
      <c r="P1618" s="11" t="s">
        <v>4641</v>
      </c>
      <c r="Q1618" s="11" t="s">
        <v>135</v>
      </c>
      <c r="R1618">
        <v>324</v>
      </c>
      <c r="U1618" s="11" t="s">
        <v>225</v>
      </c>
      <c r="V1618" s="11" t="s">
        <v>137</v>
      </c>
      <c r="W1618" s="13">
        <v>46302.314618055556</v>
      </c>
    </row>
    <row r="1619" spans="1:23">
      <c r="A1619">
        <v>288700</v>
      </c>
      <c r="B1619">
        <v>330</v>
      </c>
      <c r="C1619" s="11" t="s">
        <v>129</v>
      </c>
      <c r="D1619" s="11" t="s">
        <v>130</v>
      </c>
      <c r="E1619" s="11" t="s">
        <v>25</v>
      </c>
      <c r="F1619" s="12">
        <v>46290</v>
      </c>
      <c r="G1619" s="11" t="s">
        <v>316</v>
      </c>
      <c r="H1619">
        <v>1</v>
      </c>
      <c r="I1619" s="11" t="s">
        <v>4654</v>
      </c>
      <c r="M1619" s="11" t="s">
        <v>87</v>
      </c>
      <c r="N1619" s="11" t="s">
        <v>4655</v>
      </c>
      <c r="O1619" s="11" t="s">
        <v>4656</v>
      </c>
      <c r="P1619" s="11" t="s">
        <v>4654</v>
      </c>
      <c r="Q1619" s="11" t="s">
        <v>135</v>
      </c>
      <c r="U1619" s="11" t="s">
        <v>320</v>
      </c>
      <c r="V1619" s="11" t="s">
        <v>137</v>
      </c>
      <c r="W1619" s="13">
        <v>46302.314618055556</v>
      </c>
    </row>
    <row r="1620" spans="1:23">
      <c r="A1620">
        <v>288701</v>
      </c>
      <c r="B1620">
        <v>331</v>
      </c>
      <c r="C1620" s="11" t="s">
        <v>129</v>
      </c>
      <c r="D1620" s="11" t="s">
        <v>130</v>
      </c>
      <c r="E1620" s="11" t="s">
        <v>25</v>
      </c>
      <c r="F1620" s="12">
        <v>46290</v>
      </c>
      <c r="G1620" s="11" t="s">
        <v>401</v>
      </c>
      <c r="H1620">
        <v>1</v>
      </c>
      <c r="I1620" s="11" t="s">
        <v>2851</v>
      </c>
      <c r="M1620" s="11" t="s">
        <v>90</v>
      </c>
      <c r="N1620" s="11" t="s">
        <v>3954</v>
      </c>
      <c r="O1620" s="11" t="s">
        <v>2614</v>
      </c>
      <c r="P1620" s="11" t="s">
        <v>2851</v>
      </c>
      <c r="Q1620" s="11" t="s">
        <v>135</v>
      </c>
      <c r="U1620" s="11" t="s">
        <v>404</v>
      </c>
      <c r="V1620" s="11" t="s">
        <v>137</v>
      </c>
      <c r="W1620" s="13">
        <v>46302.314618055556</v>
      </c>
    </row>
    <row r="1621" spans="1:23">
      <c r="A1621">
        <v>288702</v>
      </c>
      <c r="B1621">
        <v>332</v>
      </c>
      <c r="C1621" s="11" t="s">
        <v>129</v>
      </c>
      <c r="D1621" s="11" t="s">
        <v>130</v>
      </c>
      <c r="E1621" s="11" t="s">
        <v>25</v>
      </c>
      <c r="F1621" s="12">
        <v>46290</v>
      </c>
      <c r="G1621" s="11" t="s">
        <v>334</v>
      </c>
      <c r="H1621">
        <v>1</v>
      </c>
      <c r="I1621" s="11" t="s">
        <v>1059</v>
      </c>
      <c r="M1621" s="11" t="s">
        <v>64</v>
      </c>
      <c r="N1621" s="11" t="s">
        <v>4657</v>
      </c>
      <c r="O1621" s="11" t="s">
        <v>4658</v>
      </c>
      <c r="P1621" s="11" t="s">
        <v>1059</v>
      </c>
      <c r="Q1621" s="11" t="s">
        <v>135</v>
      </c>
      <c r="U1621" s="11" t="s">
        <v>338</v>
      </c>
      <c r="V1621" s="11" t="s">
        <v>137</v>
      </c>
      <c r="W1621" s="13">
        <v>46302.314618055556</v>
      </c>
    </row>
    <row r="1622" spans="1:23">
      <c r="A1622">
        <v>288703</v>
      </c>
      <c r="B1622">
        <v>333</v>
      </c>
      <c r="C1622" s="11" t="s">
        <v>129</v>
      </c>
      <c r="D1622" s="11" t="s">
        <v>130</v>
      </c>
      <c r="E1622" s="11" t="s">
        <v>25</v>
      </c>
      <c r="F1622" s="12">
        <v>46290</v>
      </c>
      <c r="G1622" s="11" t="s">
        <v>334</v>
      </c>
      <c r="H1622">
        <v>1</v>
      </c>
      <c r="I1622" s="11" t="s">
        <v>1878</v>
      </c>
      <c r="M1622" s="11" t="s">
        <v>64</v>
      </c>
      <c r="N1622" s="11" t="s">
        <v>4659</v>
      </c>
      <c r="O1622" s="11" t="s">
        <v>4660</v>
      </c>
      <c r="P1622" s="11" t="s">
        <v>1878</v>
      </c>
      <c r="Q1622" s="11" t="s">
        <v>135</v>
      </c>
      <c r="U1622" s="11" t="s">
        <v>338</v>
      </c>
      <c r="V1622" s="11" t="s">
        <v>137</v>
      </c>
      <c r="W1622" s="13">
        <v>46302.314618055556</v>
      </c>
    </row>
    <row r="1623" spans="1:23">
      <c r="A1623">
        <v>288704</v>
      </c>
      <c r="B1623">
        <v>334</v>
      </c>
      <c r="C1623" s="11" t="s">
        <v>129</v>
      </c>
      <c r="D1623" s="11" t="s">
        <v>130</v>
      </c>
      <c r="E1623" s="11" t="s">
        <v>25</v>
      </c>
      <c r="F1623" s="12">
        <v>46290</v>
      </c>
      <c r="G1623" s="11" t="s">
        <v>930</v>
      </c>
      <c r="H1623">
        <v>1</v>
      </c>
      <c r="I1623" s="11" t="s">
        <v>4661</v>
      </c>
      <c r="M1623" s="11" t="s">
        <v>50</v>
      </c>
      <c r="N1623" s="11" t="s">
        <v>4662</v>
      </c>
      <c r="O1623" s="11" t="s">
        <v>4663</v>
      </c>
      <c r="P1623" s="11" t="s">
        <v>4661</v>
      </c>
      <c r="Q1623" s="11" t="s">
        <v>4664</v>
      </c>
      <c r="U1623" s="11" t="s">
        <v>934</v>
      </c>
      <c r="V1623" s="11" t="s">
        <v>137</v>
      </c>
      <c r="W1623" s="13">
        <v>46302.314618055556</v>
      </c>
    </row>
    <row r="1624" spans="1:23">
      <c r="A1624">
        <v>288705</v>
      </c>
      <c r="B1624">
        <v>336</v>
      </c>
      <c r="C1624" s="11" t="s">
        <v>129</v>
      </c>
      <c r="D1624" s="11" t="s">
        <v>130</v>
      </c>
      <c r="E1624" s="11" t="s">
        <v>25</v>
      </c>
      <c r="F1624" s="12">
        <v>46290</v>
      </c>
      <c r="G1624" s="11" t="s">
        <v>321</v>
      </c>
      <c r="H1624">
        <v>2</v>
      </c>
      <c r="I1624" s="11" t="s">
        <v>1908</v>
      </c>
      <c r="M1624" s="11" t="s">
        <v>67</v>
      </c>
      <c r="N1624" s="11" t="s">
        <v>4665</v>
      </c>
      <c r="O1624" s="11" t="s">
        <v>4666</v>
      </c>
      <c r="P1624" s="11" t="s">
        <v>943</v>
      </c>
      <c r="Q1624" s="11" t="s">
        <v>135</v>
      </c>
      <c r="U1624" s="11" t="s">
        <v>327</v>
      </c>
      <c r="V1624" s="11" t="s">
        <v>137</v>
      </c>
      <c r="W1624" s="13">
        <v>46302.314618055556</v>
      </c>
    </row>
    <row r="1625" spans="1:23">
      <c r="A1625">
        <v>288706</v>
      </c>
      <c r="B1625">
        <v>337</v>
      </c>
      <c r="C1625" s="11" t="s">
        <v>129</v>
      </c>
      <c r="D1625" s="11" t="s">
        <v>130</v>
      </c>
      <c r="E1625" s="11" t="s">
        <v>25</v>
      </c>
      <c r="F1625" s="12">
        <v>46290</v>
      </c>
      <c r="G1625" s="11" t="s">
        <v>316</v>
      </c>
      <c r="H1625">
        <v>1</v>
      </c>
      <c r="I1625" s="11" t="s">
        <v>2382</v>
      </c>
      <c r="M1625" s="11" t="s">
        <v>87</v>
      </c>
      <c r="N1625" s="11" t="s">
        <v>4667</v>
      </c>
      <c r="O1625" s="11" t="s">
        <v>4668</v>
      </c>
      <c r="P1625" s="11" t="s">
        <v>2382</v>
      </c>
      <c r="Q1625" s="11" t="s">
        <v>135</v>
      </c>
      <c r="U1625" s="11" t="s">
        <v>320</v>
      </c>
      <c r="V1625" s="11" t="s">
        <v>137</v>
      </c>
      <c r="W1625" s="13">
        <v>46302.314618055556</v>
      </c>
    </row>
    <row r="1626" spans="1:23">
      <c r="A1626">
        <v>288707</v>
      </c>
      <c r="B1626">
        <v>338</v>
      </c>
      <c r="C1626" s="11" t="s">
        <v>129</v>
      </c>
      <c r="D1626" s="11" t="s">
        <v>130</v>
      </c>
      <c r="E1626" s="11" t="s">
        <v>25</v>
      </c>
      <c r="F1626" s="12">
        <v>46290</v>
      </c>
      <c r="G1626" s="11" t="s">
        <v>1823</v>
      </c>
      <c r="H1626">
        <v>1</v>
      </c>
      <c r="I1626" s="11" t="s">
        <v>4267</v>
      </c>
      <c r="M1626" s="11" t="s">
        <v>61</v>
      </c>
      <c r="N1626" s="11" t="s">
        <v>2875</v>
      </c>
      <c r="O1626" s="11" t="s">
        <v>834</v>
      </c>
      <c r="P1626" s="11" t="s">
        <v>4267</v>
      </c>
      <c r="Q1626" s="11" t="s">
        <v>135</v>
      </c>
      <c r="U1626" s="11" t="s">
        <v>1827</v>
      </c>
      <c r="V1626" s="11" t="s">
        <v>137</v>
      </c>
      <c r="W1626" s="13">
        <v>46302.314618055556</v>
      </c>
    </row>
    <row r="1627" spans="1:23">
      <c r="A1627">
        <v>288708</v>
      </c>
      <c r="B1627">
        <v>339</v>
      </c>
      <c r="C1627" s="11" t="s">
        <v>129</v>
      </c>
      <c r="D1627" s="11" t="s">
        <v>130</v>
      </c>
      <c r="E1627" s="11" t="s">
        <v>25</v>
      </c>
      <c r="F1627" s="12">
        <v>46290</v>
      </c>
      <c r="G1627" s="11" t="s">
        <v>174</v>
      </c>
      <c r="H1627">
        <v>1</v>
      </c>
      <c r="I1627" s="11" t="s">
        <v>4669</v>
      </c>
      <c r="M1627" s="11" t="s">
        <v>92</v>
      </c>
      <c r="N1627" s="11" t="s">
        <v>4670</v>
      </c>
      <c r="O1627" s="11" t="s">
        <v>4671</v>
      </c>
      <c r="P1627" s="11" t="s">
        <v>4669</v>
      </c>
      <c r="Q1627" s="11" t="s">
        <v>135</v>
      </c>
      <c r="U1627" s="11" t="s">
        <v>178</v>
      </c>
      <c r="V1627" s="11" t="s">
        <v>137</v>
      </c>
      <c r="W1627" s="13">
        <v>46302.314618055556</v>
      </c>
    </row>
    <row r="1628" spans="1:23">
      <c r="A1628">
        <v>288709</v>
      </c>
      <c r="B1628">
        <v>340</v>
      </c>
      <c r="C1628" s="11" t="s">
        <v>129</v>
      </c>
      <c r="D1628" s="11" t="s">
        <v>130</v>
      </c>
      <c r="E1628" s="11" t="s">
        <v>25</v>
      </c>
      <c r="F1628" s="12">
        <v>46290</v>
      </c>
      <c r="G1628" s="11" t="s">
        <v>149</v>
      </c>
      <c r="H1628">
        <v>1</v>
      </c>
      <c r="I1628" s="11" t="s">
        <v>4672</v>
      </c>
      <c r="M1628" s="11" t="s">
        <v>77</v>
      </c>
      <c r="N1628" s="11" t="s">
        <v>4673</v>
      </c>
      <c r="O1628" s="11" t="s">
        <v>4674</v>
      </c>
      <c r="P1628" s="11" t="s">
        <v>4672</v>
      </c>
      <c r="Q1628" s="11" t="s">
        <v>135</v>
      </c>
      <c r="U1628" s="11" t="s">
        <v>153</v>
      </c>
      <c r="V1628" s="11" t="s">
        <v>137</v>
      </c>
      <c r="W1628" s="13">
        <v>46302.314618055556</v>
      </c>
    </row>
    <row r="1629" spans="1:23">
      <c r="A1629">
        <v>288710</v>
      </c>
      <c r="B1629">
        <v>341</v>
      </c>
      <c r="C1629" s="11" t="s">
        <v>129</v>
      </c>
      <c r="D1629" s="11" t="s">
        <v>130</v>
      </c>
      <c r="E1629" s="11" t="s">
        <v>25</v>
      </c>
      <c r="F1629" s="12">
        <v>46290</v>
      </c>
      <c r="G1629" s="11" t="s">
        <v>154</v>
      </c>
      <c r="H1629">
        <v>1</v>
      </c>
      <c r="I1629" s="11" t="s">
        <v>3015</v>
      </c>
      <c r="M1629" s="11" t="s">
        <v>79</v>
      </c>
      <c r="N1629" s="11" t="s">
        <v>3450</v>
      </c>
      <c r="O1629" s="11" t="s">
        <v>4675</v>
      </c>
      <c r="P1629" s="11" t="s">
        <v>3015</v>
      </c>
      <c r="Q1629" s="11" t="s">
        <v>135</v>
      </c>
      <c r="U1629" s="11" t="s">
        <v>158</v>
      </c>
      <c r="V1629" s="11" t="s">
        <v>137</v>
      </c>
      <c r="W1629" s="13">
        <v>46302.314618055556</v>
      </c>
    </row>
    <row r="1630" spans="1:23">
      <c r="A1630">
        <v>288711</v>
      </c>
      <c r="B1630">
        <v>342</v>
      </c>
      <c r="C1630" s="11" t="s">
        <v>129</v>
      </c>
      <c r="D1630" s="11" t="s">
        <v>130</v>
      </c>
      <c r="E1630" s="11" t="s">
        <v>25</v>
      </c>
      <c r="F1630" s="12">
        <v>46290</v>
      </c>
      <c r="G1630" s="11" t="s">
        <v>131</v>
      </c>
      <c r="H1630">
        <v>1</v>
      </c>
      <c r="I1630" s="11" t="s">
        <v>3078</v>
      </c>
      <c r="M1630" s="11" t="s">
        <v>87</v>
      </c>
      <c r="N1630" s="11" t="s">
        <v>4676</v>
      </c>
      <c r="O1630" s="11" t="s">
        <v>4677</v>
      </c>
      <c r="P1630" s="11" t="s">
        <v>3078</v>
      </c>
      <c r="Q1630" s="11" t="s">
        <v>135</v>
      </c>
      <c r="U1630" s="11" t="s">
        <v>136</v>
      </c>
      <c r="V1630" s="11" t="s">
        <v>137</v>
      </c>
      <c r="W1630" s="13">
        <v>46302.314618055556</v>
      </c>
    </row>
    <row r="1631" spans="1:23">
      <c r="A1631">
        <v>288712</v>
      </c>
      <c r="B1631">
        <v>343</v>
      </c>
      <c r="C1631" s="11" t="s">
        <v>129</v>
      </c>
      <c r="D1631" s="11" t="s">
        <v>130</v>
      </c>
      <c r="E1631" s="11" t="s">
        <v>25</v>
      </c>
      <c r="F1631" s="12">
        <v>46290</v>
      </c>
      <c r="G1631" s="11" t="s">
        <v>321</v>
      </c>
      <c r="H1631">
        <v>8</v>
      </c>
      <c r="I1631" s="11" t="s">
        <v>4678</v>
      </c>
      <c r="M1631" s="11" t="s">
        <v>67</v>
      </c>
      <c r="N1631" s="11" t="s">
        <v>4679</v>
      </c>
      <c r="O1631" s="11" t="s">
        <v>4680</v>
      </c>
      <c r="P1631" s="11" t="s">
        <v>1678</v>
      </c>
      <c r="Q1631" s="11" t="s">
        <v>135</v>
      </c>
      <c r="U1631" s="11" t="s">
        <v>327</v>
      </c>
      <c r="V1631" s="11" t="s">
        <v>137</v>
      </c>
      <c r="W1631" s="13">
        <v>46302.314618055556</v>
      </c>
    </row>
    <row r="1632" spans="1:23">
      <c r="A1632">
        <v>288713</v>
      </c>
      <c r="B1632">
        <v>344</v>
      </c>
      <c r="C1632" s="11" t="s">
        <v>129</v>
      </c>
      <c r="D1632" s="11" t="s">
        <v>130</v>
      </c>
      <c r="E1632" s="11" t="s">
        <v>25</v>
      </c>
      <c r="F1632" s="12">
        <v>46290</v>
      </c>
      <c r="G1632" s="11" t="s">
        <v>316</v>
      </c>
      <c r="H1632">
        <v>1</v>
      </c>
      <c r="I1632" s="11" t="s">
        <v>4681</v>
      </c>
      <c r="M1632" s="11" t="s">
        <v>87</v>
      </c>
      <c r="N1632" s="11" t="s">
        <v>2835</v>
      </c>
      <c r="O1632" s="11" t="s">
        <v>4682</v>
      </c>
      <c r="P1632" s="11" t="s">
        <v>4681</v>
      </c>
      <c r="Q1632" s="11" t="s">
        <v>135</v>
      </c>
      <c r="U1632" s="11" t="s">
        <v>320</v>
      </c>
      <c r="V1632" s="11" t="s">
        <v>137</v>
      </c>
      <c r="W1632" s="13">
        <v>46302.314618055556</v>
      </c>
    </row>
    <row r="1633" spans="1:23">
      <c r="A1633">
        <v>288714</v>
      </c>
      <c r="B1633">
        <v>345</v>
      </c>
      <c r="C1633" s="11" t="s">
        <v>129</v>
      </c>
      <c r="D1633" s="11" t="s">
        <v>130</v>
      </c>
      <c r="E1633" s="11" t="s">
        <v>25</v>
      </c>
      <c r="F1633" s="12">
        <v>46290</v>
      </c>
      <c r="G1633" s="11" t="s">
        <v>321</v>
      </c>
      <c r="H1633">
        <v>6</v>
      </c>
      <c r="I1633" s="11" t="s">
        <v>4683</v>
      </c>
      <c r="M1633" s="11" t="s">
        <v>67</v>
      </c>
      <c r="N1633" s="11" t="s">
        <v>4684</v>
      </c>
      <c r="O1633" s="11" t="s">
        <v>4685</v>
      </c>
      <c r="P1633" s="11" t="s">
        <v>218</v>
      </c>
      <c r="Q1633" s="11" t="s">
        <v>135</v>
      </c>
      <c r="U1633" s="11" t="s">
        <v>327</v>
      </c>
      <c r="V1633" s="11" t="s">
        <v>137</v>
      </c>
      <c r="W1633" s="13">
        <v>46302.314618055556</v>
      </c>
    </row>
    <row r="1634" spans="1:23">
      <c r="A1634">
        <v>288715</v>
      </c>
      <c r="B1634">
        <v>346</v>
      </c>
      <c r="C1634" s="11" t="s">
        <v>129</v>
      </c>
      <c r="D1634" s="11" t="s">
        <v>130</v>
      </c>
      <c r="E1634" s="11" t="s">
        <v>25</v>
      </c>
      <c r="F1634" s="12">
        <v>46290</v>
      </c>
      <c r="G1634" s="11" t="s">
        <v>316</v>
      </c>
      <c r="H1634">
        <v>1</v>
      </c>
      <c r="I1634" s="11" t="s">
        <v>2670</v>
      </c>
      <c r="M1634" s="11" t="s">
        <v>87</v>
      </c>
      <c r="N1634" s="11" t="s">
        <v>4686</v>
      </c>
      <c r="O1634" s="11" t="s">
        <v>4687</v>
      </c>
      <c r="P1634" s="11" t="s">
        <v>2670</v>
      </c>
      <c r="Q1634" s="11" t="s">
        <v>135</v>
      </c>
      <c r="U1634" s="11" t="s">
        <v>320</v>
      </c>
      <c r="V1634" s="11" t="s">
        <v>137</v>
      </c>
      <c r="W1634" s="13">
        <v>46302.314618055556</v>
      </c>
    </row>
    <row r="1635" spans="1:23">
      <c r="A1635">
        <v>288716</v>
      </c>
      <c r="B1635">
        <v>347</v>
      </c>
      <c r="C1635" s="11" t="s">
        <v>129</v>
      </c>
      <c r="D1635" s="11" t="s">
        <v>130</v>
      </c>
      <c r="E1635" s="11" t="s">
        <v>25</v>
      </c>
      <c r="F1635" s="12">
        <v>46290</v>
      </c>
      <c r="G1635" s="11" t="s">
        <v>921</v>
      </c>
      <c r="H1635">
        <v>1</v>
      </c>
      <c r="I1635" s="11" t="s">
        <v>4688</v>
      </c>
      <c r="M1635" s="11" t="s">
        <v>95</v>
      </c>
      <c r="N1635" s="11" t="s">
        <v>4689</v>
      </c>
      <c r="O1635" s="11" t="s">
        <v>4690</v>
      </c>
      <c r="P1635" s="11" t="s">
        <v>4688</v>
      </c>
      <c r="Q1635" s="11" t="s">
        <v>135</v>
      </c>
      <c r="U1635" s="11" t="s">
        <v>925</v>
      </c>
      <c r="V1635" s="11" t="s">
        <v>137</v>
      </c>
      <c r="W1635" s="13">
        <v>46302.314618055556</v>
      </c>
    </row>
    <row r="1636" spans="1:23">
      <c r="A1636">
        <v>288717</v>
      </c>
      <c r="B1636">
        <v>348</v>
      </c>
      <c r="C1636" s="11" t="s">
        <v>129</v>
      </c>
      <c r="D1636" s="11" t="s">
        <v>130</v>
      </c>
      <c r="E1636" s="11" t="s">
        <v>25</v>
      </c>
      <c r="F1636" s="12">
        <v>46290</v>
      </c>
      <c r="G1636" s="11" t="s">
        <v>316</v>
      </c>
      <c r="H1636">
        <v>1</v>
      </c>
      <c r="I1636" s="11" t="s">
        <v>4034</v>
      </c>
      <c r="M1636" s="11" t="s">
        <v>87</v>
      </c>
      <c r="N1636" s="11" t="s">
        <v>4691</v>
      </c>
      <c r="O1636" s="11" t="s">
        <v>4692</v>
      </c>
      <c r="P1636" s="11" t="s">
        <v>4034</v>
      </c>
      <c r="Q1636" s="11" t="s">
        <v>135</v>
      </c>
      <c r="U1636" s="11" t="s">
        <v>320</v>
      </c>
      <c r="V1636" s="11" t="s">
        <v>137</v>
      </c>
      <c r="W1636" s="13">
        <v>46302.314618055556</v>
      </c>
    </row>
    <row r="1637" spans="1:23">
      <c r="A1637">
        <v>288718</v>
      </c>
      <c r="B1637">
        <v>335</v>
      </c>
      <c r="C1637" s="11" t="s">
        <v>129</v>
      </c>
      <c r="D1637" s="11" t="s">
        <v>130</v>
      </c>
      <c r="E1637" s="11" t="s">
        <v>25</v>
      </c>
      <c r="F1637" s="12">
        <v>46290</v>
      </c>
      <c r="G1637" s="11" t="s">
        <v>401</v>
      </c>
      <c r="H1637">
        <v>1</v>
      </c>
      <c r="I1637" s="11" t="s">
        <v>4664</v>
      </c>
      <c r="M1637" s="11" t="s">
        <v>90</v>
      </c>
      <c r="N1637" s="11" t="s">
        <v>3727</v>
      </c>
      <c r="O1637" s="11" t="s">
        <v>4693</v>
      </c>
      <c r="P1637" s="11" t="s">
        <v>4664</v>
      </c>
      <c r="Q1637" s="11" t="s">
        <v>135</v>
      </c>
      <c r="R1637">
        <v>334</v>
      </c>
      <c r="U1637" s="11" t="s">
        <v>404</v>
      </c>
      <c r="V1637" s="11" t="s">
        <v>137</v>
      </c>
      <c r="W1637" s="13">
        <v>46302.314618055556</v>
      </c>
    </row>
    <row r="1638" spans="1:23">
      <c r="A1638">
        <v>288925</v>
      </c>
      <c r="B1638">
        <v>349</v>
      </c>
      <c r="C1638" s="11" t="s">
        <v>129</v>
      </c>
      <c r="D1638" s="11" t="s">
        <v>130</v>
      </c>
      <c r="E1638" s="11" t="s">
        <v>25</v>
      </c>
      <c r="F1638" s="12">
        <v>46293</v>
      </c>
      <c r="G1638" s="11" t="s">
        <v>226</v>
      </c>
      <c r="H1638">
        <v>1</v>
      </c>
      <c r="I1638" s="11" t="s">
        <v>991</v>
      </c>
      <c r="M1638" s="11" t="s">
        <v>87</v>
      </c>
      <c r="N1638" s="11" t="s">
        <v>4694</v>
      </c>
      <c r="O1638" s="11" t="s">
        <v>4695</v>
      </c>
      <c r="P1638" s="11" t="s">
        <v>991</v>
      </c>
      <c r="Q1638" s="11" t="s">
        <v>135</v>
      </c>
      <c r="U1638" s="11" t="s">
        <v>231</v>
      </c>
      <c r="V1638" s="11" t="s">
        <v>137</v>
      </c>
      <c r="W1638" s="13">
        <v>46302.314618055556</v>
      </c>
    </row>
    <row r="1639" spans="1:23">
      <c r="A1639">
        <v>288926</v>
      </c>
      <c r="B1639">
        <v>350</v>
      </c>
      <c r="C1639" s="11" t="s">
        <v>129</v>
      </c>
      <c r="D1639" s="11" t="s">
        <v>130</v>
      </c>
      <c r="E1639" s="11" t="s">
        <v>25</v>
      </c>
      <c r="F1639" s="12">
        <v>46293</v>
      </c>
      <c r="G1639" s="11" t="s">
        <v>242</v>
      </c>
      <c r="H1639">
        <v>1</v>
      </c>
      <c r="I1639" s="11" t="s">
        <v>4696</v>
      </c>
      <c r="M1639" s="11" t="s">
        <v>76</v>
      </c>
      <c r="N1639" s="11" t="s">
        <v>4697</v>
      </c>
      <c r="O1639" s="11" t="s">
        <v>4698</v>
      </c>
      <c r="P1639" s="11" t="s">
        <v>4696</v>
      </c>
      <c r="Q1639" s="11" t="s">
        <v>4627</v>
      </c>
      <c r="U1639" s="11" t="s">
        <v>245</v>
      </c>
      <c r="V1639" s="11" t="s">
        <v>137</v>
      </c>
      <c r="W1639" s="13">
        <v>46302.314618055556</v>
      </c>
    </row>
    <row r="1640" spans="1:23">
      <c r="A1640">
        <v>288927</v>
      </c>
      <c r="B1640">
        <v>352</v>
      </c>
      <c r="C1640" s="11" t="s">
        <v>129</v>
      </c>
      <c r="D1640" s="11" t="s">
        <v>130</v>
      </c>
      <c r="E1640" s="11" t="s">
        <v>25</v>
      </c>
      <c r="F1640" s="12">
        <v>46293</v>
      </c>
      <c r="G1640" s="11" t="s">
        <v>439</v>
      </c>
      <c r="H1640">
        <v>1</v>
      </c>
      <c r="I1640" s="11" t="s">
        <v>4699</v>
      </c>
      <c r="M1640" s="11" t="s">
        <v>73</v>
      </c>
      <c r="N1640" s="11" t="s">
        <v>4700</v>
      </c>
      <c r="O1640" s="11" t="s">
        <v>4701</v>
      </c>
      <c r="P1640" s="11" t="s">
        <v>4699</v>
      </c>
      <c r="Q1640" s="11" t="s">
        <v>135</v>
      </c>
      <c r="U1640" s="11" t="s">
        <v>443</v>
      </c>
      <c r="V1640" s="11" t="s">
        <v>137</v>
      </c>
      <c r="W1640" s="13">
        <v>46302.314618055556</v>
      </c>
    </row>
    <row r="1641" spans="1:23">
      <c r="A1641">
        <v>288928</v>
      </c>
      <c r="B1641">
        <v>353</v>
      </c>
      <c r="C1641" s="11" t="s">
        <v>129</v>
      </c>
      <c r="D1641" s="11" t="s">
        <v>130</v>
      </c>
      <c r="E1641" s="11" t="s">
        <v>25</v>
      </c>
      <c r="F1641" s="12">
        <v>46293</v>
      </c>
      <c r="G1641" s="11" t="s">
        <v>416</v>
      </c>
      <c r="H1641">
        <v>1</v>
      </c>
      <c r="I1641" s="11" t="s">
        <v>4702</v>
      </c>
      <c r="M1641" s="11" t="s">
        <v>75</v>
      </c>
      <c r="N1641" s="11" t="s">
        <v>4703</v>
      </c>
      <c r="O1641" s="11" t="s">
        <v>4704</v>
      </c>
      <c r="P1641" s="11" t="s">
        <v>4702</v>
      </c>
      <c r="Q1641" s="11" t="s">
        <v>135</v>
      </c>
      <c r="U1641" s="11" t="s">
        <v>420</v>
      </c>
      <c r="V1641" s="11" t="s">
        <v>137</v>
      </c>
      <c r="W1641" s="13">
        <v>46302.314618055556</v>
      </c>
    </row>
    <row r="1642" spans="1:23">
      <c r="A1642">
        <v>288929</v>
      </c>
      <c r="B1642">
        <v>354</v>
      </c>
      <c r="C1642" s="11" t="s">
        <v>129</v>
      </c>
      <c r="D1642" s="11" t="s">
        <v>130</v>
      </c>
      <c r="E1642" s="11" t="s">
        <v>25</v>
      </c>
      <c r="F1642" s="12">
        <v>46293</v>
      </c>
      <c r="G1642" s="11" t="s">
        <v>274</v>
      </c>
      <c r="H1642">
        <v>1</v>
      </c>
      <c r="I1642" s="11" t="s">
        <v>654</v>
      </c>
      <c r="M1642" s="11" t="s">
        <v>77</v>
      </c>
      <c r="N1642" s="11" t="s">
        <v>4705</v>
      </c>
      <c r="O1642" s="11" t="s">
        <v>4706</v>
      </c>
      <c r="P1642" s="11" t="s">
        <v>654</v>
      </c>
      <c r="Q1642" s="11" t="s">
        <v>135</v>
      </c>
      <c r="U1642" s="11" t="s">
        <v>278</v>
      </c>
      <c r="V1642" s="11" t="s">
        <v>137</v>
      </c>
      <c r="W1642" s="13">
        <v>46302.314618055556</v>
      </c>
    </row>
    <row r="1643" spans="1:23">
      <c r="A1643">
        <v>288930</v>
      </c>
      <c r="B1643">
        <v>355</v>
      </c>
      <c r="C1643" s="11" t="s">
        <v>129</v>
      </c>
      <c r="D1643" s="11" t="s">
        <v>130</v>
      </c>
      <c r="E1643" s="11" t="s">
        <v>25</v>
      </c>
      <c r="F1643" s="12">
        <v>46293</v>
      </c>
      <c r="G1643" s="11" t="s">
        <v>439</v>
      </c>
      <c r="H1643">
        <v>1</v>
      </c>
      <c r="I1643" s="11" t="s">
        <v>1514</v>
      </c>
      <c r="M1643" s="11" t="s">
        <v>73</v>
      </c>
      <c r="N1643" s="11" t="s">
        <v>4707</v>
      </c>
      <c r="O1643" s="11" t="s">
        <v>4708</v>
      </c>
      <c r="P1643" s="11" t="s">
        <v>1514</v>
      </c>
      <c r="Q1643" s="11" t="s">
        <v>135</v>
      </c>
      <c r="U1643" s="11" t="s">
        <v>443</v>
      </c>
      <c r="V1643" s="11" t="s">
        <v>137</v>
      </c>
      <c r="W1643" s="13">
        <v>46302.314618055556</v>
      </c>
    </row>
    <row r="1644" spans="1:23">
      <c r="A1644">
        <v>288931</v>
      </c>
      <c r="B1644">
        <v>356</v>
      </c>
      <c r="C1644" s="11" t="s">
        <v>129</v>
      </c>
      <c r="D1644" s="11" t="s">
        <v>130</v>
      </c>
      <c r="E1644" s="11" t="s">
        <v>25</v>
      </c>
      <c r="F1644" s="12">
        <v>46293</v>
      </c>
      <c r="G1644" s="11" t="s">
        <v>439</v>
      </c>
      <c r="H1644">
        <v>1</v>
      </c>
      <c r="I1644" s="11" t="s">
        <v>4709</v>
      </c>
      <c r="M1644" s="11" t="s">
        <v>73</v>
      </c>
      <c r="N1644" s="11" t="s">
        <v>4710</v>
      </c>
      <c r="O1644" s="11" t="s">
        <v>4711</v>
      </c>
      <c r="P1644" s="11" t="s">
        <v>4709</v>
      </c>
      <c r="Q1644" s="11" t="s">
        <v>135</v>
      </c>
      <c r="U1644" s="11" t="s">
        <v>443</v>
      </c>
      <c r="V1644" s="11" t="s">
        <v>137</v>
      </c>
      <c r="W1644" s="13">
        <v>46302.314618055556</v>
      </c>
    </row>
    <row r="1645" spans="1:23">
      <c r="A1645">
        <v>288932</v>
      </c>
      <c r="B1645">
        <v>357</v>
      </c>
      <c r="C1645" s="11" t="s">
        <v>129</v>
      </c>
      <c r="D1645" s="11" t="s">
        <v>130</v>
      </c>
      <c r="E1645" s="11" t="s">
        <v>25</v>
      </c>
      <c r="F1645" s="12">
        <v>46293</v>
      </c>
      <c r="G1645" s="11" t="s">
        <v>263</v>
      </c>
      <c r="H1645">
        <v>1</v>
      </c>
      <c r="I1645" s="11" t="s">
        <v>4712</v>
      </c>
      <c r="M1645" s="11" t="s">
        <v>92</v>
      </c>
      <c r="N1645" s="11" t="s">
        <v>4713</v>
      </c>
      <c r="O1645" s="11" t="s">
        <v>4714</v>
      </c>
      <c r="P1645" s="11" t="s">
        <v>4712</v>
      </c>
      <c r="Q1645" s="11" t="s">
        <v>135</v>
      </c>
      <c r="U1645" s="11" t="s">
        <v>267</v>
      </c>
      <c r="V1645" s="11" t="s">
        <v>137</v>
      </c>
      <c r="W1645" s="13">
        <v>46302.314618055556</v>
      </c>
    </row>
    <row r="1646" spans="1:23">
      <c r="A1646">
        <v>288933</v>
      </c>
      <c r="B1646">
        <v>358</v>
      </c>
      <c r="C1646" s="11" t="s">
        <v>129</v>
      </c>
      <c r="D1646" s="11" t="s">
        <v>130</v>
      </c>
      <c r="E1646" s="11" t="s">
        <v>25</v>
      </c>
      <c r="F1646" s="12">
        <v>46293</v>
      </c>
      <c r="G1646" s="11" t="s">
        <v>274</v>
      </c>
      <c r="H1646">
        <v>1</v>
      </c>
      <c r="I1646" s="11" t="s">
        <v>4715</v>
      </c>
      <c r="M1646" s="11" t="s">
        <v>77</v>
      </c>
      <c r="N1646" s="11" t="s">
        <v>4716</v>
      </c>
      <c r="O1646" s="11" t="s">
        <v>4717</v>
      </c>
      <c r="P1646" s="11" t="s">
        <v>4715</v>
      </c>
      <c r="Q1646" s="11" t="s">
        <v>135</v>
      </c>
      <c r="U1646" s="11" t="s">
        <v>278</v>
      </c>
      <c r="V1646" s="11" t="s">
        <v>137</v>
      </c>
      <c r="W1646" s="13">
        <v>46302.314618055556</v>
      </c>
    </row>
    <row r="1647" spans="1:23">
      <c r="A1647">
        <v>288934</v>
      </c>
      <c r="B1647">
        <v>359</v>
      </c>
      <c r="C1647" s="11" t="s">
        <v>129</v>
      </c>
      <c r="D1647" s="11" t="s">
        <v>130</v>
      </c>
      <c r="E1647" s="11" t="s">
        <v>25</v>
      </c>
      <c r="F1647" s="12">
        <v>46293</v>
      </c>
      <c r="G1647" s="11" t="s">
        <v>279</v>
      </c>
      <c r="H1647">
        <v>1</v>
      </c>
      <c r="I1647" s="11" t="s">
        <v>4015</v>
      </c>
      <c r="M1647" s="11" t="s">
        <v>79</v>
      </c>
      <c r="N1647" s="11" t="s">
        <v>4718</v>
      </c>
      <c r="O1647" s="11" t="s">
        <v>4719</v>
      </c>
      <c r="P1647" s="11" t="s">
        <v>4015</v>
      </c>
      <c r="Q1647" s="11" t="s">
        <v>135</v>
      </c>
      <c r="U1647" s="11" t="s">
        <v>283</v>
      </c>
      <c r="V1647" s="11" t="s">
        <v>137</v>
      </c>
      <c r="W1647" s="13">
        <v>46302.314618055556</v>
      </c>
    </row>
    <row r="1648" spans="1:23">
      <c r="A1648">
        <v>288935</v>
      </c>
      <c r="B1648">
        <v>360</v>
      </c>
      <c r="C1648" s="11" t="s">
        <v>129</v>
      </c>
      <c r="D1648" s="11" t="s">
        <v>130</v>
      </c>
      <c r="E1648" s="11" t="s">
        <v>25</v>
      </c>
      <c r="F1648" s="12">
        <v>46293</v>
      </c>
      <c r="G1648" s="11" t="s">
        <v>284</v>
      </c>
      <c r="H1648">
        <v>1</v>
      </c>
      <c r="I1648" s="11" t="s">
        <v>4720</v>
      </c>
      <c r="M1648" s="11" t="s">
        <v>80</v>
      </c>
      <c r="N1648" s="11" t="s">
        <v>4721</v>
      </c>
      <c r="O1648" s="11" t="s">
        <v>4722</v>
      </c>
      <c r="P1648" s="11" t="s">
        <v>4720</v>
      </c>
      <c r="Q1648" s="11" t="s">
        <v>135</v>
      </c>
      <c r="U1648" s="11" t="s">
        <v>288</v>
      </c>
      <c r="V1648" s="11" t="s">
        <v>137</v>
      </c>
      <c r="W1648" s="13">
        <v>46302.314618055556</v>
      </c>
    </row>
    <row r="1649" spans="1:23">
      <c r="A1649">
        <v>288936</v>
      </c>
      <c r="B1649">
        <v>361</v>
      </c>
      <c r="C1649" s="11" t="s">
        <v>129</v>
      </c>
      <c r="D1649" s="11" t="s">
        <v>130</v>
      </c>
      <c r="E1649" s="11" t="s">
        <v>25</v>
      </c>
      <c r="F1649" s="12">
        <v>46293</v>
      </c>
      <c r="G1649" s="11" t="s">
        <v>1052</v>
      </c>
      <c r="H1649">
        <v>1</v>
      </c>
      <c r="I1649" s="11" t="s">
        <v>4723</v>
      </c>
      <c r="M1649" s="11" t="s">
        <v>84</v>
      </c>
      <c r="N1649" s="11" t="s">
        <v>4724</v>
      </c>
      <c r="O1649" s="11" t="s">
        <v>4725</v>
      </c>
      <c r="P1649" s="11" t="s">
        <v>4723</v>
      </c>
      <c r="Q1649" s="11" t="s">
        <v>4726</v>
      </c>
      <c r="U1649" s="11" t="s">
        <v>1056</v>
      </c>
      <c r="V1649" s="11" t="s">
        <v>137</v>
      </c>
      <c r="W1649" s="13">
        <v>46302.314618055556</v>
      </c>
    </row>
    <row r="1650" spans="1:23">
      <c r="A1650">
        <v>288937</v>
      </c>
      <c r="B1650">
        <v>363</v>
      </c>
      <c r="C1650" s="11" t="s">
        <v>129</v>
      </c>
      <c r="D1650" s="11" t="s">
        <v>130</v>
      </c>
      <c r="E1650" s="11" t="s">
        <v>25</v>
      </c>
      <c r="F1650" s="12">
        <v>46293</v>
      </c>
      <c r="G1650" s="11" t="s">
        <v>4304</v>
      </c>
      <c r="H1650">
        <v>1</v>
      </c>
      <c r="I1650" s="11" t="s">
        <v>4727</v>
      </c>
      <c r="M1650" s="11" t="s">
        <v>82</v>
      </c>
      <c r="N1650" s="11" t="s">
        <v>4728</v>
      </c>
      <c r="O1650" s="11" t="s">
        <v>4729</v>
      </c>
      <c r="P1650" s="11" t="s">
        <v>4727</v>
      </c>
      <c r="Q1650" s="11" t="s">
        <v>135</v>
      </c>
      <c r="U1650" s="11" t="s">
        <v>4307</v>
      </c>
      <c r="V1650" s="11" t="s">
        <v>137</v>
      </c>
      <c r="W1650" s="13">
        <v>46302.314618055556</v>
      </c>
    </row>
    <row r="1651" spans="1:23">
      <c r="A1651">
        <v>288938</v>
      </c>
      <c r="B1651">
        <v>364</v>
      </c>
      <c r="C1651" s="11" t="s">
        <v>129</v>
      </c>
      <c r="D1651" s="11" t="s">
        <v>130</v>
      </c>
      <c r="E1651" s="11" t="s">
        <v>25</v>
      </c>
      <c r="F1651" s="12">
        <v>46293</v>
      </c>
      <c r="G1651" s="11" t="s">
        <v>439</v>
      </c>
      <c r="H1651">
        <v>1</v>
      </c>
      <c r="I1651" s="11" t="s">
        <v>4730</v>
      </c>
      <c r="M1651" s="11" t="s">
        <v>73</v>
      </c>
      <c r="N1651" s="11" t="s">
        <v>4731</v>
      </c>
      <c r="O1651" s="11" t="s">
        <v>4732</v>
      </c>
      <c r="P1651" s="11" t="s">
        <v>4730</v>
      </c>
      <c r="Q1651" s="11" t="s">
        <v>135</v>
      </c>
      <c r="U1651" s="11" t="s">
        <v>443</v>
      </c>
      <c r="V1651" s="11" t="s">
        <v>137</v>
      </c>
      <c r="W1651" s="13">
        <v>46302.314618055556</v>
      </c>
    </row>
    <row r="1652" spans="1:23">
      <c r="A1652">
        <v>288939</v>
      </c>
      <c r="B1652">
        <v>365</v>
      </c>
      <c r="C1652" s="11" t="s">
        <v>129</v>
      </c>
      <c r="D1652" s="11" t="s">
        <v>130</v>
      </c>
      <c r="E1652" s="11" t="s">
        <v>25</v>
      </c>
      <c r="F1652" s="12">
        <v>46293</v>
      </c>
      <c r="G1652" s="11" t="s">
        <v>237</v>
      </c>
      <c r="H1652">
        <v>1</v>
      </c>
      <c r="I1652" s="11" t="s">
        <v>1059</v>
      </c>
      <c r="M1652" s="11" t="s">
        <v>71</v>
      </c>
      <c r="N1652" s="11" t="s">
        <v>4733</v>
      </c>
      <c r="O1652" s="11" t="s">
        <v>4593</v>
      </c>
      <c r="P1652" s="11" t="s">
        <v>1059</v>
      </c>
      <c r="Q1652" s="11" t="s">
        <v>135</v>
      </c>
      <c r="U1652" s="11" t="s">
        <v>241</v>
      </c>
      <c r="V1652" s="11" t="s">
        <v>137</v>
      </c>
      <c r="W1652" s="13">
        <v>46302.314618055556</v>
      </c>
    </row>
    <row r="1653" spans="1:23">
      <c r="A1653">
        <v>288940</v>
      </c>
      <c r="B1653">
        <v>366</v>
      </c>
      <c r="C1653" s="11" t="s">
        <v>129</v>
      </c>
      <c r="D1653" s="11" t="s">
        <v>130</v>
      </c>
      <c r="E1653" s="11" t="s">
        <v>25</v>
      </c>
      <c r="F1653" s="12">
        <v>46293</v>
      </c>
      <c r="G1653" s="11" t="s">
        <v>226</v>
      </c>
      <c r="H1653">
        <v>1</v>
      </c>
      <c r="I1653" s="11" t="s">
        <v>4734</v>
      </c>
      <c r="M1653" s="11" t="s">
        <v>87</v>
      </c>
      <c r="N1653" s="11" t="s">
        <v>4735</v>
      </c>
      <c r="O1653" s="11" t="s">
        <v>4736</v>
      </c>
      <c r="P1653" s="11" t="s">
        <v>4734</v>
      </c>
      <c r="Q1653" s="11" t="s">
        <v>135</v>
      </c>
      <c r="U1653" s="11" t="s">
        <v>231</v>
      </c>
      <c r="V1653" s="11" t="s">
        <v>137</v>
      </c>
      <c r="W1653" s="13">
        <v>46302.314618055556</v>
      </c>
    </row>
    <row r="1654" spans="1:23">
      <c r="A1654">
        <v>288941</v>
      </c>
      <c r="B1654">
        <v>367</v>
      </c>
      <c r="C1654" s="11" t="s">
        <v>129</v>
      </c>
      <c r="D1654" s="11" t="s">
        <v>130</v>
      </c>
      <c r="E1654" s="11" t="s">
        <v>25</v>
      </c>
      <c r="F1654" s="12">
        <v>46293</v>
      </c>
      <c r="G1654" s="11" t="s">
        <v>312</v>
      </c>
      <c r="H1654">
        <v>1</v>
      </c>
      <c r="I1654" s="11" t="s">
        <v>4737</v>
      </c>
      <c r="M1654" s="11" t="s">
        <v>86</v>
      </c>
      <c r="N1654" s="11" t="s">
        <v>4738</v>
      </c>
      <c r="O1654" s="11" t="s">
        <v>2155</v>
      </c>
      <c r="P1654" s="11" t="s">
        <v>4737</v>
      </c>
      <c r="Q1654" s="11" t="s">
        <v>135</v>
      </c>
      <c r="U1654" s="11" t="s">
        <v>315</v>
      </c>
      <c r="V1654" s="11" t="s">
        <v>137</v>
      </c>
      <c r="W1654" s="13">
        <v>46302.314618055556</v>
      </c>
    </row>
    <row r="1655" spans="1:23">
      <c r="A1655">
        <v>288942</v>
      </c>
      <c r="B1655">
        <v>351</v>
      </c>
      <c r="C1655" s="11" t="s">
        <v>129</v>
      </c>
      <c r="D1655" s="11" t="s">
        <v>130</v>
      </c>
      <c r="E1655" s="11" t="s">
        <v>25</v>
      </c>
      <c r="F1655" s="12">
        <v>46293</v>
      </c>
      <c r="G1655" s="11" t="s">
        <v>308</v>
      </c>
      <c r="H1655">
        <v>1</v>
      </c>
      <c r="I1655" s="11" t="s">
        <v>4627</v>
      </c>
      <c r="M1655" s="11" t="s">
        <v>90</v>
      </c>
      <c r="N1655" s="11" t="s">
        <v>1079</v>
      </c>
      <c r="O1655" s="11" t="s">
        <v>4739</v>
      </c>
      <c r="P1655" s="11" t="s">
        <v>4627</v>
      </c>
      <c r="Q1655" s="11" t="s">
        <v>135</v>
      </c>
      <c r="R1655">
        <v>350</v>
      </c>
      <c r="U1655" s="11" t="s">
        <v>311</v>
      </c>
      <c r="V1655" s="11" t="s">
        <v>137</v>
      </c>
      <c r="W1655" s="13">
        <v>46302.314618055556</v>
      </c>
    </row>
    <row r="1656" spans="1:23">
      <c r="A1656">
        <v>288943</v>
      </c>
      <c r="B1656">
        <v>362</v>
      </c>
      <c r="C1656" s="11" t="s">
        <v>129</v>
      </c>
      <c r="D1656" s="11" t="s">
        <v>130</v>
      </c>
      <c r="E1656" s="11" t="s">
        <v>25</v>
      </c>
      <c r="F1656" s="12">
        <v>46293</v>
      </c>
      <c r="G1656" s="11" t="s">
        <v>4740</v>
      </c>
      <c r="H1656">
        <v>1</v>
      </c>
      <c r="I1656" s="11" t="s">
        <v>4726</v>
      </c>
      <c r="M1656" s="11" t="s">
        <v>94</v>
      </c>
      <c r="N1656" s="11" t="s">
        <v>371</v>
      </c>
      <c r="O1656" s="11" t="s">
        <v>377</v>
      </c>
      <c r="P1656" s="11" t="s">
        <v>4726</v>
      </c>
      <c r="Q1656" s="11" t="s">
        <v>135</v>
      </c>
      <c r="R1656">
        <v>361</v>
      </c>
      <c r="U1656" s="11" t="s">
        <v>4741</v>
      </c>
      <c r="V1656" s="11" t="s">
        <v>137</v>
      </c>
      <c r="W1656" s="13">
        <v>46302.314618055556</v>
      </c>
    </row>
    <row r="1657" spans="1:23">
      <c r="A1657">
        <v>289206</v>
      </c>
      <c r="B1657">
        <v>368</v>
      </c>
      <c r="C1657" s="11" t="s">
        <v>129</v>
      </c>
      <c r="D1657" s="11" t="s">
        <v>130</v>
      </c>
      <c r="E1657" s="11" t="s">
        <v>25</v>
      </c>
      <c r="F1657" s="12">
        <v>46294</v>
      </c>
      <c r="G1657" s="11" t="s">
        <v>316</v>
      </c>
      <c r="H1657">
        <v>1</v>
      </c>
      <c r="I1657" s="11" t="s">
        <v>870</v>
      </c>
      <c r="M1657" s="11" t="s">
        <v>87</v>
      </c>
      <c r="N1657" s="11" t="s">
        <v>4742</v>
      </c>
      <c r="O1657" s="11" t="s">
        <v>4743</v>
      </c>
      <c r="P1657" s="11" t="s">
        <v>870</v>
      </c>
      <c r="Q1657" s="11" t="s">
        <v>135</v>
      </c>
      <c r="U1657" s="11" t="s">
        <v>320</v>
      </c>
      <c r="V1657" s="11" t="s">
        <v>137</v>
      </c>
      <c r="W1657" s="13">
        <v>46302.314618055556</v>
      </c>
    </row>
    <row r="1658" spans="1:23">
      <c r="A1658">
        <v>289207</v>
      </c>
      <c r="B1658">
        <v>369</v>
      </c>
      <c r="C1658" s="11" t="s">
        <v>129</v>
      </c>
      <c r="D1658" s="11" t="s">
        <v>130</v>
      </c>
      <c r="E1658" s="11" t="s">
        <v>25</v>
      </c>
      <c r="F1658" s="12">
        <v>46294</v>
      </c>
      <c r="G1658" s="11" t="s">
        <v>1740</v>
      </c>
      <c r="H1658">
        <v>2</v>
      </c>
      <c r="I1658" s="11" t="s">
        <v>2620</v>
      </c>
      <c r="M1658" s="11" t="s">
        <v>69</v>
      </c>
      <c r="N1658" s="11" t="s">
        <v>4322</v>
      </c>
      <c r="O1658" s="11" t="s">
        <v>4744</v>
      </c>
      <c r="P1658" s="11" t="s">
        <v>4745</v>
      </c>
      <c r="Q1658" s="11" t="s">
        <v>135</v>
      </c>
      <c r="U1658" s="11" t="s">
        <v>1745</v>
      </c>
      <c r="V1658" s="11" t="s">
        <v>137</v>
      </c>
      <c r="W1658" s="13">
        <v>46302.314618055556</v>
      </c>
    </row>
    <row r="1659" spans="1:23">
      <c r="A1659">
        <v>289208</v>
      </c>
      <c r="B1659">
        <v>370</v>
      </c>
      <c r="C1659" s="11" t="s">
        <v>129</v>
      </c>
      <c r="D1659" s="11" t="s">
        <v>130</v>
      </c>
      <c r="E1659" s="11" t="s">
        <v>25</v>
      </c>
      <c r="F1659" s="12">
        <v>46294</v>
      </c>
      <c r="G1659" s="11" t="s">
        <v>316</v>
      </c>
      <c r="H1659">
        <v>1</v>
      </c>
      <c r="I1659" s="11" t="s">
        <v>4746</v>
      </c>
      <c r="M1659" s="11" t="s">
        <v>87</v>
      </c>
      <c r="N1659" s="11" t="s">
        <v>4747</v>
      </c>
      <c r="O1659" s="11" t="s">
        <v>4748</v>
      </c>
      <c r="P1659" s="11" t="s">
        <v>4746</v>
      </c>
      <c r="Q1659" s="11" t="s">
        <v>135</v>
      </c>
      <c r="U1659" s="11" t="s">
        <v>320</v>
      </c>
      <c r="V1659" s="11" t="s">
        <v>137</v>
      </c>
      <c r="W1659" s="13">
        <v>46302.314618055556</v>
      </c>
    </row>
    <row r="1660" spans="1:23">
      <c r="A1660">
        <v>289209</v>
      </c>
      <c r="B1660">
        <v>371</v>
      </c>
      <c r="C1660" s="11" t="s">
        <v>129</v>
      </c>
      <c r="D1660" s="11" t="s">
        <v>130</v>
      </c>
      <c r="E1660" s="11" t="s">
        <v>25</v>
      </c>
      <c r="F1660" s="12">
        <v>46294</v>
      </c>
      <c r="G1660" s="11" t="s">
        <v>334</v>
      </c>
      <c r="H1660">
        <v>1</v>
      </c>
      <c r="I1660" s="11" t="s">
        <v>4749</v>
      </c>
      <c r="M1660" s="11" t="s">
        <v>64</v>
      </c>
      <c r="N1660" s="11" t="s">
        <v>4750</v>
      </c>
      <c r="O1660" s="11" t="s">
        <v>4751</v>
      </c>
      <c r="P1660" s="11" t="s">
        <v>4749</v>
      </c>
      <c r="Q1660" s="11" t="s">
        <v>2927</v>
      </c>
      <c r="U1660" s="11" t="s">
        <v>338</v>
      </c>
      <c r="V1660" s="11" t="s">
        <v>137</v>
      </c>
      <c r="W1660" s="13">
        <v>46302.314618055556</v>
      </c>
    </row>
    <row r="1661" spans="1:23">
      <c r="A1661">
        <v>289210</v>
      </c>
      <c r="B1661">
        <v>373</v>
      </c>
      <c r="C1661" s="11" t="s">
        <v>129</v>
      </c>
      <c r="D1661" s="11" t="s">
        <v>130</v>
      </c>
      <c r="E1661" s="11" t="s">
        <v>25</v>
      </c>
      <c r="F1661" s="12">
        <v>46294</v>
      </c>
      <c r="G1661" s="11" t="s">
        <v>321</v>
      </c>
      <c r="H1661">
        <v>1</v>
      </c>
      <c r="I1661" s="11" t="s">
        <v>285</v>
      </c>
      <c r="M1661" s="11" t="s">
        <v>67</v>
      </c>
      <c r="N1661" s="11" t="s">
        <v>4752</v>
      </c>
      <c r="O1661" s="11" t="s">
        <v>3869</v>
      </c>
      <c r="P1661" s="11" t="s">
        <v>285</v>
      </c>
      <c r="Q1661" s="11" t="s">
        <v>135</v>
      </c>
      <c r="U1661" s="11" t="s">
        <v>327</v>
      </c>
      <c r="V1661" s="11" t="s">
        <v>137</v>
      </c>
      <c r="W1661" s="13">
        <v>46302.314618055556</v>
      </c>
    </row>
    <row r="1662" spans="1:23">
      <c r="A1662">
        <v>289211</v>
      </c>
      <c r="B1662">
        <v>374</v>
      </c>
      <c r="C1662" s="11" t="s">
        <v>129</v>
      </c>
      <c r="D1662" s="11" t="s">
        <v>130</v>
      </c>
      <c r="E1662" s="11" t="s">
        <v>25</v>
      </c>
      <c r="F1662" s="12">
        <v>46294</v>
      </c>
      <c r="G1662" s="11" t="s">
        <v>328</v>
      </c>
      <c r="H1662">
        <v>1</v>
      </c>
      <c r="I1662" s="11" t="s">
        <v>3241</v>
      </c>
      <c r="M1662" s="11" t="s">
        <v>66</v>
      </c>
      <c r="N1662" s="11" t="s">
        <v>4753</v>
      </c>
      <c r="O1662" s="11" t="s">
        <v>4754</v>
      </c>
      <c r="P1662" s="11" t="s">
        <v>3241</v>
      </c>
      <c r="Q1662" s="11" t="s">
        <v>135</v>
      </c>
      <c r="U1662" s="11" t="s">
        <v>333</v>
      </c>
      <c r="V1662" s="11" t="s">
        <v>137</v>
      </c>
      <c r="W1662" s="13">
        <v>46302.314618055556</v>
      </c>
    </row>
    <row r="1663" spans="1:23">
      <c r="A1663">
        <v>289212</v>
      </c>
      <c r="B1663">
        <v>375</v>
      </c>
      <c r="C1663" s="11" t="s">
        <v>129</v>
      </c>
      <c r="D1663" s="11" t="s">
        <v>130</v>
      </c>
      <c r="E1663" s="11" t="s">
        <v>25</v>
      </c>
      <c r="F1663" s="12">
        <v>46294</v>
      </c>
      <c r="G1663" s="11" t="s">
        <v>316</v>
      </c>
      <c r="H1663">
        <v>1</v>
      </c>
      <c r="I1663" s="11" t="s">
        <v>3325</v>
      </c>
      <c r="M1663" s="11" t="s">
        <v>87</v>
      </c>
      <c r="N1663" s="11" t="s">
        <v>4755</v>
      </c>
      <c r="O1663" s="11" t="s">
        <v>4756</v>
      </c>
      <c r="P1663" s="11" t="s">
        <v>3325</v>
      </c>
      <c r="Q1663" s="11" t="s">
        <v>135</v>
      </c>
      <c r="U1663" s="11" t="s">
        <v>320</v>
      </c>
      <c r="V1663" s="11" t="s">
        <v>137</v>
      </c>
      <c r="W1663" s="13">
        <v>46302.314618055556</v>
      </c>
    </row>
    <row r="1664" spans="1:23">
      <c r="A1664">
        <v>289213</v>
      </c>
      <c r="B1664">
        <v>376</v>
      </c>
      <c r="C1664" s="11" t="s">
        <v>129</v>
      </c>
      <c r="D1664" s="11" t="s">
        <v>130</v>
      </c>
      <c r="E1664" s="11" t="s">
        <v>25</v>
      </c>
      <c r="F1664" s="12">
        <v>46294</v>
      </c>
      <c r="G1664" s="11" t="s">
        <v>930</v>
      </c>
      <c r="H1664">
        <v>1</v>
      </c>
      <c r="I1664" s="11" t="s">
        <v>4757</v>
      </c>
      <c r="M1664" s="11" t="s">
        <v>50</v>
      </c>
      <c r="N1664" s="11" t="s">
        <v>4758</v>
      </c>
      <c r="O1664" s="11" t="s">
        <v>4759</v>
      </c>
      <c r="P1664" s="11" t="s">
        <v>4757</v>
      </c>
      <c r="Q1664" s="11" t="s">
        <v>135</v>
      </c>
      <c r="U1664" s="11" t="s">
        <v>934</v>
      </c>
      <c r="V1664" s="11" t="s">
        <v>137</v>
      </c>
      <c r="W1664" s="13">
        <v>46302.314618055556</v>
      </c>
    </row>
    <row r="1665" spans="1:23">
      <c r="A1665">
        <v>289214</v>
      </c>
      <c r="B1665">
        <v>377</v>
      </c>
      <c r="C1665" s="11" t="s">
        <v>129</v>
      </c>
      <c r="D1665" s="11" t="s">
        <v>130</v>
      </c>
      <c r="E1665" s="11" t="s">
        <v>25</v>
      </c>
      <c r="F1665" s="12">
        <v>46294</v>
      </c>
      <c r="G1665" s="11" t="s">
        <v>316</v>
      </c>
      <c r="H1665">
        <v>1</v>
      </c>
      <c r="I1665" s="11" t="s">
        <v>652</v>
      </c>
      <c r="M1665" s="11" t="s">
        <v>87</v>
      </c>
      <c r="N1665" s="11" t="s">
        <v>4760</v>
      </c>
      <c r="O1665" s="11" t="s">
        <v>4761</v>
      </c>
      <c r="P1665" s="11" t="s">
        <v>652</v>
      </c>
      <c r="Q1665" s="11" t="s">
        <v>135</v>
      </c>
      <c r="U1665" s="11" t="s">
        <v>320</v>
      </c>
      <c r="V1665" s="11" t="s">
        <v>137</v>
      </c>
      <c r="W1665" s="13">
        <v>46302.314618055556</v>
      </c>
    </row>
    <row r="1666" spans="1:23">
      <c r="A1666">
        <v>289215</v>
      </c>
      <c r="B1666">
        <v>378</v>
      </c>
      <c r="C1666" s="11" t="s">
        <v>129</v>
      </c>
      <c r="D1666" s="11" t="s">
        <v>130</v>
      </c>
      <c r="E1666" s="11" t="s">
        <v>25</v>
      </c>
      <c r="F1666" s="12">
        <v>46294</v>
      </c>
      <c r="G1666" s="11" t="s">
        <v>339</v>
      </c>
      <c r="H1666">
        <v>1</v>
      </c>
      <c r="I1666" s="11" t="s">
        <v>4762</v>
      </c>
      <c r="M1666" s="11" t="s">
        <v>92</v>
      </c>
      <c r="N1666" s="11" t="s">
        <v>4763</v>
      </c>
      <c r="O1666" s="11" t="s">
        <v>4764</v>
      </c>
      <c r="P1666" s="11" t="s">
        <v>4762</v>
      </c>
      <c r="Q1666" s="11" t="s">
        <v>135</v>
      </c>
      <c r="U1666" s="11" t="s">
        <v>343</v>
      </c>
      <c r="V1666" s="11" t="s">
        <v>137</v>
      </c>
      <c r="W1666" s="13">
        <v>46302.314618055556</v>
      </c>
    </row>
    <row r="1667" spans="1:23">
      <c r="A1667">
        <v>289216</v>
      </c>
      <c r="B1667">
        <v>379</v>
      </c>
      <c r="C1667" s="11" t="s">
        <v>129</v>
      </c>
      <c r="D1667" s="11" t="s">
        <v>130</v>
      </c>
      <c r="E1667" s="11" t="s">
        <v>25</v>
      </c>
      <c r="F1667" s="12">
        <v>46294</v>
      </c>
      <c r="G1667" s="11" t="s">
        <v>355</v>
      </c>
      <c r="H1667">
        <v>1</v>
      </c>
      <c r="I1667" s="11" t="s">
        <v>4765</v>
      </c>
      <c r="M1667" s="11" t="s">
        <v>77</v>
      </c>
      <c r="N1667" s="11" t="s">
        <v>4766</v>
      </c>
      <c r="O1667" s="11" t="s">
        <v>4767</v>
      </c>
      <c r="P1667" s="11" t="s">
        <v>4765</v>
      </c>
      <c r="Q1667" s="11" t="s">
        <v>135</v>
      </c>
      <c r="U1667" s="11" t="s">
        <v>359</v>
      </c>
      <c r="V1667" s="11" t="s">
        <v>137</v>
      </c>
      <c r="W1667" s="13">
        <v>46302.314618055556</v>
      </c>
    </row>
    <row r="1668" spans="1:23">
      <c r="A1668">
        <v>289217</v>
      </c>
      <c r="B1668">
        <v>380</v>
      </c>
      <c r="C1668" s="11" t="s">
        <v>129</v>
      </c>
      <c r="D1668" s="11" t="s">
        <v>130</v>
      </c>
      <c r="E1668" s="11" t="s">
        <v>25</v>
      </c>
      <c r="F1668" s="12">
        <v>46294</v>
      </c>
      <c r="G1668" s="11" t="s">
        <v>360</v>
      </c>
      <c r="H1668">
        <v>1</v>
      </c>
      <c r="I1668" s="11" t="s">
        <v>4768</v>
      </c>
      <c r="M1668" s="11" t="s">
        <v>79</v>
      </c>
      <c r="N1668" s="11" t="s">
        <v>4769</v>
      </c>
      <c r="O1668" s="11" t="s">
        <v>4770</v>
      </c>
      <c r="P1668" s="11" t="s">
        <v>4768</v>
      </c>
      <c r="Q1668" s="11" t="s">
        <v>135</v>
      </c>
      <c r="U1668" s="11" t="s">
        <v>364</v>
      </c>
      <c r="V1668" s="11" t="s">
        <v>137</v>
      </c>
      <c r="W1668" s="13">
        <v>46302.314618055556</v>
      </c>
    </row>
    <row r="1669" spans="1:23">
      <c r="A1669">
        <v>289218</v>
      </c>
      <c r="B1669">
        <v>381</v>
      </c>
      <c r="C1669" s="11" t="s">
        <v>129</v>
      </c>
      <c r="D1669" s="11" t="s">
        <v>130</v>
      </c>
      <c r="E1669" s="11" t="s">
        <v>25</v>
      </c>
      <c r="F1669" s="12">
        <v>46294</v>
      </c>
      <c r="G1669" s="11" t="s">
        <v>1777</v>
      </c>
      <c r="H1669">
        <v>1</v>
      </c>
      <c r="I1669" s="11" t="s">
        <v>937</v>
      </c>
      <c r="M1669" s="11" t="s">
        <v>80</v>
      </c>
      <c r="N1669" s="11" t="s">
        <v>4771</v>
      </c>
      <c r="O1669" s="11" t="s">
        <v>4772</v>
      </c>
      <c r="P1669" s="11" t="s">
        <v>937</v>
      </c>
      <c r="Q1669" s="11" t="s">
        <v>135</v>
      </c>
      <c r="U1669" s="11" t="s">
        <v>1781</v>
      </c>
      <c r="V1669" s="11" t="s">
        <v>137</v>
      </c>
      <c r="W1669" s="13">
        <v>46302.314618055556</v>
      </c>
    </row>
    <row r="1670" spans="1:23">
      <c r="A1670">
        <v>289219</v>
      </c>
      <c r="B1670">
        <v>382</v>
      </c>
      <c r="C1670" s="11" t="s">
        <v>129</v>
      </c>
      <c r="D1670" s="11" t="s">
        <v>130</v>
      </c>
      <c r="E1670" s="11" t="s">
        <v>25</v>
      </c>
      <c r="F1670" s="12">
        <v>46294</v>
      </c>
      <c r="G1670" s="11" t="s">
        <v>328</v>
      </c>
      <c r="H1670">
        <v>1</v>
      </c>
      <c r="I1670" s="11" t="s">
        <v>4773</v>
      </c>
      <c r="M1670" s="11" t="s">
        <v>66</v>
      </c>
      <c r="N1670" s="11" t="s">
        <v>4774</v>
      </c>
      <c r="O1670" s="11" t="s">
        <v>4775</v>
      </c>
      <c r="P1670" s="11" t="s">
        <v>4773</v>
      </c>
      <c r="Q1670" s="11" t="s">
        <v>135</v>
      </c>
      <c r="U1670" s="11" t="s">
        <v>333</v>
      </c>
      <c r="V1670" s="11" t="s">
        <v>137</v>
      </c>
      <c r="W1670" s="13">
        <v>46302.314618055556</v>
      </c>
    </row>
    <row r="1671" spans="1:23">
      <c r="A1671">
        <v>289220</v>
      </c>
      <c r="B1671">
        <v>372</v>
      </c>
      <c r="C1671" s="11" t="s">
        <v>129</v>
      </c>
      <c r="D1671" s="11" t="s">
        <v>130</v>
      </c>
      <c r="E1671" s="11" t="s">
        <v>25</v>
      </c>
      <c r="F1671" s="12">
        <v>46294</v>
      </c>
      <c r="G1671" s="11" t="s">
        <v>401</v>
      </c>
      <c r="H1671">
        <v>1</v>
      </c>
      <c r="I1671" s="11" t="s">
        <v>2927</v>
      </c>
      <c r="M1671" s="11" t="s">
        <v>90</v>
      </c>
      <c r="N1671" s="11" t="s">
        <v>402</v>
      </c>
      <c r="O1671" s="11" t="s">
        <v>4776</v>
      </c>
      <c r="P1671" s="11" t="s">
        <v>2927</v>
      </c>
      <c r="Q1671" s="11" t="s">
        <v>135</v>
      </c>
      <c r="R1671">
        <v>371</v>
      </c>
      <c r="U1671" s="11" t="s">
        <v>404</v>
      </c>
      <c r="V1671" s="11" t="s">
        <v>137</v>
      </c>
      <c r="W1671" s="13">
        <v>46302.314618055556</v>
      </c>
    </row>
    <row r="1672" spans="1:23">
      <c r="A1672">
        <v>289438</v>
      </c>
      <c r="B1672">
        <v>383</v>
      </c>
      <c r="C1672" s="11" t="s">
        <v>129</v>
      </c>
      <c r="D1672" s="11" t="s">
        <v>130</v>
      </c>
      <c r="E1672" s="11" t="s">
        <v>25</v>
      </c>
      <c r="F1672" s="12">
        <v>46295</v>
      </c>
      <c r="G1672" s="11" t="s">
        <v>131</v>
      </c>
      <c r="H1672">
        <v>1</v>
      </c>
      <c r="I1672" s="11" t="s">
        <v>4777</v>
      </c>
      <c r="M1672" s="11" t="s">
        <v>87</v>
      </c>
      <c r="N1672" s="11" t="s">
        <v>4778</v>
      </c>
      <c r="O1672" s="11" t="s">
        <v>4779</v>
      </c>
      <c r="P1672" s="11" t="s">
        <v>4777</v>
      </c>
      <c r="Q1672" s="11" t="s">
        <v>135</v>
      </c>
      <c r="U1672" s="11" t="s">
        <v>136</v>
      </c>
      <c r="V1672" s="11" t="s">
        <v>137</v>
      </c>
      <c r="W1672" s="13">
        <v>46302.314618055556</v>
      </c>
    </row>
    <row r="1673" spans="1:23">
      <c r="A1673">
        <v>289439</v>
      </c>
      <c r="B1673">
        <v>384</v>
      </c>
      <c r="C1673" s="11" t="s">
        <v>129</v>
      </c>
      <c r="D1673" s="11" t="s">
        <v>130</v>
      </c>
      <c r="E1673" s="11" t="s">
        <v>25</v>
      </c>
      <c r="F1673" s="12">
        <v>46295</v>
      </c>
      <c r="G1673" s="11" t="s">
        <v>607</v>
      </c>
      <c r="H1673">
        <v>1</v>
      </c>
      <c r="I1673" s="11" t="s">
        <v>4780</v>
      </c>
      <c r="M1673" s="11" t="s">
        <v>42</v>
      </c>
      <c r="N1673" s="11" t="s">
        <v>4781</v>
      </c>
      <c r="O1673" s="11" t="s">
        <v>4782</v>
      </c>
      <c r="P1673" s="11" t="s">
        <v>4780</v>
      </c>
      <c r="Q1673" s="11" t="s">
        <v>135</v>
      </c>
      <c r="U1673" s="11" t="s">
        <v>611</v>
      </c>
      <c r="V1673" s="11" t="s">
        <v>137</v>
      </c>
      <c r="W1673" s="13">
        <v>46302.314618055556</v>
      </c>
    </row>
    <row r="1674" spans="1:23">
      <c r="A1674">
        <v>289440</v>
      </c>
      <c r="B1674">
        <v>385</v>
      </c>
      <c r="C1674" s="11" t="s">
        <v>129</v>
      </c>
      <c r="D1674" s="11" t="s">
        <v>130</v>
      </c>
      <c r="E1674" s="11" t="s">
        <v>25</v>
      </c>
      <c r="F1674" s="12">
        <v>46295</v>
      </c>
      <c r="G1674" s="11" t="s">
        <v>344</v>
      </c>
      <c r="H1674">
        <v>1</v>
      </c>
      <c r="I1674" s="11" t="s">
        <v>4783</v>
      </c>
      <c r="M1674" s="11" t="s">
        <v>65</v>
      </c>
      <c r="N1674" s="11" t="s">
        <v>4784</v>
      </c>
      <c r="O1674" s="11" t="s">
        <v>1534</v>
      </c>
      <c r="P1674" s="11" t="s">
        <v>4783</v>
      </c>
      <c r="Q1674" s="11" t="s">
        <v>135</v>
      </c>
      <c r="U1674" s="11" t="s">
        <v>348</v>
      </c>
      <c r="V1674" s="11" t="s">
        <v>137</v>
      </c>
      <c r="W1674" s="13">
        <v>46302.314618055556</v>
      </c>
    </row>
    <row r="1675" spans="1:23">
      <c r="A1675">
        <v>289441</v>
      </c>
      <c r="B1675">
        <v>386</v>
      </c>
      <c r="C1675" s="11" t="s">
        <v>129</v>
      </c>
      <c r="D1675" s="11" t="s">
        <v>130</v>
      </c>
      <c r="E1675" s="11" t="s">
        <v>25</v>
      </c>
      <c r="F1675" s="12">
        <v>46295</v>
      </c>
      <c r="G1675" s="11" t="s">
        <v>1848</v>
      </c>
      <c r="H1675">
        <v>1</v>
      </c>
      <c r="I1675" s="11" t="s">
        <v>4785</v>
      </c>
      <c r="M1675" s="11" t="s">
        <v>56</v>
      </c>
      <c r="N1675" s="11" t="s">
        <v>239</v>
      </c>
      <c r="O1675" s="11" t="s">
        <v>4786</v>
      </c>
      <c r="P1675" s="11" t="s">
        <v>4785</v>
      </c>
      <c r="Q1675" s="11" t="s">
        <v>135</v>
      </c>
      <c r="U1675" s="11" t="s">
        <v>1852</v>
      </c>
      <c r="V1675" s="11" t="s">
        <v>137</v>
      </c>
      <c r="W1675" s="13">
        <v>46302.314618055556</v>
      </c>
    </row>
    <row r="1676" spans="1:23">
      <c r="A1676">
        <v>289442</v>
      </c>
      <c r="B1676">
        <v>387</v>
      </c>
      <c r="C1676" s="11" t="s">
        <v>129</v>
      </c>
      <c r="D1676" s="11" t="s">
        <v>130</v>
      </c>
      <c r="E1676" s="11" t="s">
        <v>25</v>
      </c>
      <c r="F1676" s="12">
        <v>46295</v>
      </c>
      <c r="G1676" s="11" t="s">
        <v>512</v>
      </c>
      <c r="H1676">
        <v>1</v>
      </c>
      <c r="I1676" s="11" t="s">
        <v>4787</v>
      </c>
      <c r="M1676" s="11" t="s">
        <v>44</v>
      </c>
      <c r="N1676" s="11" t="s">
        <v>4788</v>
      </c>
      <c r="O1676" s="11" t="s">
        <v>4789</v>
      </c>
      <c r="P1676" s="11" t="s">
        <v>4787</v>
      </c>
      <c r="Q1676" s="11" t="s">
        <v>135</v>
      </c>
      <c r="U1676" s="11" t="s">
        <v>516</v>
      </c>
      <c r="V1676" s="11" t="s">
        <v>137</v>
      </c>
      <c r="W1676" s="13">
        <v>46302.314618055556</v>
      </c>
    </row>
    <row r="1677" spans="1:23">
      <c r="A1677">
        <v>289443</v>
      </c>
      <c r="B1677">
        <v>388</v>
      </c>
      <c r="C1677" s="11" t="s">
        <v>129</v>
      </c>
      <c r="D1677" s="11" t="s">
        <v>130</v>
      </c>
      <c r="E1677" s="11" t="s">
        <v>25</v>
      </c>
      <c r="F1677" s="12">
        <v>46295</v>
      </c>
      <c r="G1677" s="11" t="s">
        <v>504</v>
      </c>
      <c r="H1677">
        <v>1</v>
      </c>
      <c r="I1677" s="11" t="s">
        <v>1417</v>
      </c>
      <c r="M1677" s="11" t="s">
        <v>53</v>
      </c>
      <c r="N1677" s="11" t="s">
        <v>4790</v>
      </c>
      <c r="O1677" s="11" t="s">
        <v>4791</v>
      </c>
      <c r="P1677" s="11" t="s">
        <v>1417</v>
      </c>
      <c r="Q1677" s="11" t="s">
        <v>135</v>
      </c>
      <c r="U1677" s="11" t="s">
        <v>508</v>
      </c>
      <c r="V1677" s="11" t="s">
        <v>137</v>
      </c>
      <c r="W1677" s="13">
        <v>46302.314618055556</v>
      </c>
    </row>
    <row r="1678" spans="1:23">
      <c r="A1678">
        <v>289444</v>
      </c>
      <c r="B1678">
        <v>389</v>
      </c>
      <c r="C1678" s="11" t="s">
        <v>129</v>
      </c>
      <c r="D1678" s="11" t="s">
        <v>130</v>
      </c>
      <c r="E1678" s="11" t="s">
        <v>25</v>
      </c>
      <c r="F1678" s="12">
        <v>46295</v>
      </c>
      <c r="G1678" s="11" t="s">
        <v>149</v>
      </c>
      <c r="H1678">
        <v>1</v>
      </c>
      <c r="I1678" s="11" t="s">
        <v>3532</v>
      </c>
      <c r="M1678" s="11" t="s">
        <v>77</v>
      </c>
      <c r="N1678" s="11" t="s">
        <v>4792</v>
      </c>
      <c r="O1678" s="11" t="s">
        <v>4793</v>
      </c>
      <c r="P1678" s="11" t="s">
        <v>3532</v>
      </c>
      <c r="Q1678" s="11" t="s">
        <v>135</v>
      </c>
      <c r="U1678" s="11" t="s">
        <v>153</v>
      </c>
      <c r="V1678" s="11" t="s">
        <v>137</v>
      </c>
      <c r="W1678" s="13">
        <v>46302.314618055556</v>
      </c>
    </row>
    <row r="1679" spans="1:23">
      <c r="A1679">
        <v>289445</v>
      </c>
      <c r="B1679">
        <v>390</v>
      </c>
      <c r="C1679" s="11" t="s">
        <v>129</v>
      </c>
      <c r="D1679" s="11" t="s">
        <v>130</v>
      </c>
      <c r="E1679" s="11" t="s">
        <v>25</v>
      </c>
      <c r="F1679" s="12">
        <v>46295</v>
      </c>
      <c r="G1679" s="11" t="s">
        <v>607</v>
      </c>
      <c r="H1679">
        <v>1</v>
      </c>
      <c r="I1679" s="11" t="s">
        <v>3395</v>
      </c>
      <c r="M1679" s="11" t="s">
        <v>42</v>
      </c>
      <c r="N1679" s="11" t="s">
        <v>4794</v>
      </c>
      <c r="O1679" s="11" t="s">
        <v>2175</v>
      </c>
      <c r="P1679" s="11" t="s">
        <v>3395</v>
      </c>
      <c r="Q1679" s="11" t="s">
        <v>135</v>
      </c>
      <c r="U1679" s="11" t="s">
        <v>611</v>
      </c>
      <c r="V1679" s="11" t="s">
        <v>137</v>
      </c>
      <c r="W1679" s="13">
        <v>46302.314618055556</v>
      </c>
    </row>
    <row r="1680" spans="1:23">
      <c r="A1680">
        <v>289446</v>
      </c>
      <c r="B1680">
        <v>391</v>
      </c>
      <c r="C1680" s="11" t="s">
        <v>129</v>
      </c>
      <c r="D1680" s="11" t="s">
        <v>130</v>
      </c>
      <c r="E1680" s="11" t="s">
        <v>25</v>
      </c>
      <c r="F1680" s="12">
        <v>46295</v>
      </c>
      <c r="G1680" s="11" t="s">
        <v>607</v>
      </c>
      <c r="H1680">
        <v>1</v>
      </c>
      <c r="I1680" s="11" t="s">
        <v>218</v>
      </c>
      <c r="M1680" s="11" t="s">
        <v>42</v>
      </c>
      <c r="N1680" s="11" t="s">
        <v>4150</v>
      </c>
      <c r="O1680" s="11" t="s">
        <v>4795</v>
      </c>
      <c r="P1680" s="11" t="s">
        <v>218</v>
      </c>
      <c r="Q1680" s="11" t="s">
        <v>135</v>
      </c>
      <c r="U1680" s="11" t="s">
        <v>611</v>
      </c>
      <c r="V1680" s="11" t="s">
        <v>137</v>
      </c>
      <c r="W1680" s="13">
        <v>46302.314618055556</v>
      </c>
    </row>
    <row r="1681" spans="1:23">
      <c r="A1681">
        <v>289447</v>
      </c>
      <c r="B1681">
        <v>392</v>
      </c>
      <c r="C1681" s="11" t="s">
        <v>129</v>
      </c>
      <c r="D1681" s="11" t="s">
        <v>130</v>
      </c>
      <c r="E1681" s="11" t="s">
        <v>25</v>
      </c>
      <c r="F1681" s="12">
        <v>46295</v>
      </c>
      <c r="G1681" s="11" t="s">
        <v>607</v>
      </c>
      <c r="H1681">
        <v>1</v>
      </c>
      <c r="I1681" s="11" t="s">
        <v>2968</v>
      </c>
      <c r="M1681" s="11" t="s">
        <v>42</v>
      </c>
      <c r="N1681" s="11" t="s">
        <v>4796</v>
      </c>
      <c r="O1681" s="11" t="s">
        <v>4797</v>
      </c>
      <c r="P1681" s="11" t="s">
        <v>2968</v>
      </c>
      <c r="Q1681" s="11" t="s">
        <v>135</v>
      </c>
      <c r="U1681" s="11" t="s">
        <v>611</v>
      </c>
      <c r="V1681" s="11" t="s">
        <v>137</v>
      </c>
      <c r="W1681" s="13">
        <v>46302.314618055556</v>
      </c>
    </row>
    <row r="1682" spans="1:23">
      <c r="A1682">
        <v>289448</v>
      </c>
      <c r="B1682">
        <v>393</v>
      </c>
      <c r="C1682" s="11" t="s">
        <v>129</v>
      </c>
      <c r="D1682" s="11" t="s">
        <v>130</v>
      </c>
      <c r="E1682" s="11" t="s">
        <v>25</v>
      </c>
      <c r="F1682" s="12">
        <v>46295</v>
      </c>
      <c r="G1682" s="11" t="s">
        <v>131</v>
      </c>
      <c r="H1682">
        <v>1</v>
      </c>
      <c r="I1682" s="11" t="s">
        <v>4798</v>
      </c>
      <c r="M1682" s="11" t="s">
        <v>87</v>
      </c>
      <c r="N1682" s="11" t="s">
        <v>4799</v>
      </c>
      <c r="O1682" s="11" t="s">
        <v>4800</v>
      </c>
      <c r="P1682" s="11" t="s">
        <v>4798</v>
      </c>
      <c r="Q1682" s="11" t="s">
        <v>135</v>
      </c>
      <c r="U1682" s="11" t="s">
        <v>136</v>
      </c>
      <c r="V1682" s="11" t="s">
        <v>137</v>
      </c>
      <c r="W1682" s="13">
        <v>46302.314618055556</v>
      </c>
    </row>
    <row r="1683" spans="1:23">
      <c r="A1683">
        <v>289449</v>
      </c>
      <c r="B1683">
        <v>394</v>
      </c>
      <c r="C1683" s="11" t="s">
        <v>129</v>
      </c>
      <c r="D1683" s="11" t="s">
        <v>130</v>
      </c>
      <c r="E1683" s="11" t="s">
        <v>25</v>
      </c>
      <c r="F1683" s="12">
        <v>46295</v>
      </c>
      <c r="G1683" s="11" t="s">
        <v>174</v>
      </c>
      <c r="H1683">
        <v>1</v>
      </c>
      <c r="I1683" s="11" t="s">
        <v>4801</v>
      </c>
      <c r="M1683" s="11" t="s">
        <v>92</v>
      </c>
      <c r="N1683" s="11" t="s">
        <v>4802</v>
      </c>
      <c r="O1683" s="11" t="s">
        <v>4803</v>
      </c>
      <c r="P1683" s="11" t="s">
        <v>4801</v>
      </c>
      <c r="Q1683" s="11" t="s">
        <v>135</v>
      </c>
      <c r="U1683" s="11" t="s">
        <v>178</v>
      </c>
      <c r="V1683" s="11" t="s">
        <v>137</v>
      </c>
      <c r="W1683" s="13">
        <v>46302.314618055556</v>
      </c>
    </row>
    <row r="1684" spans="1:23">
      <c r="A1684">
        <v>289450</v>
      </c>
      <c r="B1684">
        <v>395</v>
      </c>
      <c r="C1684" s="11" t="s">
        <v>129</v>
      </c>
      <c r="D1684" s="11" t="s">
        <v>130</v>
      </c>
      <c r="E1684" s="11" t="s">
        <v>25</v>
      </c>
      <c r="F1684" s="12">
        <v>46295</v>
      </c>
      <c r="G1684" s="11" t="s">
        <v>149</v>
      </c>
      <c r="H1684">
        <v>1</v>
      </c>
      <c r="I1684" s="11" t="s">
        <v>4804</v>
      </c>
      <c r="M1684" s="11" t="s">
        <v>77</v>
      </c>
      <c r="N1684" s="11" t="s">
        <v>4805</v>
      </c>
      <c r="O1684" s="11" t="s">
        <v>4806</v>
      </c>
      <c r="P1684" s="11" t="s">
        <v>4804</v>
      </c>
      <c r="Q1684" s="11" t="s">
        <v>135</v>
      </c>
      <c r="U1684" s="11" t="s">
        <v>153</v>
      </c>
      <c r="V1684" s="11" t="s">
        <v>137</v>
      </c>
      <c r="W1684" s="13">
        <v>46302.314618055556</v>
      </c>
    </row>
    <row r="1685" spans="1:23">
      <c r="A1685">
        <v>289451</v>
      </c>
      <c r="B1685">
        <v>396</v>
      </c>
      <c r="C1685" s="11" t="s">
        <v>129</v>
      </c>
      <c r="D1685" s="11" t="s">
        <v>130</v>
      </c>
      <c r="E1685" s="11" t="s">
        <v>25</v>
      </c>
      <c r="F1685" s="12">
        <v>46295</v>
      </c>
      <c r="G1685" s="11" t="s">
        <v>4807</v>
      </c>
      <c r="H1685">
        <v>1</v>
      </c>
      <c r="I1685" s="11" t="s">
        <v>4808</v>
      </c>
      <c r="M1685" s="11" t="s">
        <v>81</v>
      </c>
      <c r="N1685" s="11" t="s">
        <v>4809</v>
      </c>
      <c r="O1685" s="11" t="s">
        <v>4810</v>
      </c>
      <c r="P1685" s="11" t="s">
        <v>4808</v>
      </c>
      <c r="Q1685" s="11" t="s">
        <v>135</v>
      </c>
      <c r="U1685" s="11" t="s">
        <v>4811</v>
      </c>
      <c r="V1685" s="11" t="s">
        <v>137</v>
      </c>
      <c r="W1685" s="13">
        <v>46302.314618055556</v>
      </c>
    </row>
    <row r="1686" spans="1:23">
      <c r="A1686">
        <v>289452</v>
      </c>
      <c r="B1686">
        <v>397</v>
      </c>
      <c r="C1686" s="11" t="s">
        <v>129</v>
      </c>
      <c r="D1686" s="11" t="s">
        <v>130</v>
      </c>
      <c r="E1686" s="11" t="s">
        <v>25</v>
      </c>
      <c r="F1686" s="12">
        <v>46295</v>
      </c>
      <c r="G1686" s="11" t="s">
        <v>523</v>
      </c>
      <c r="H1686">
        <v>1</v>
      </c>
      <c r="I1686" s="11" t="s">
        <v>4812</v>
      </c>
      <c r="M1686" s="11" t="s">
        <v>80</v>
      </c>
      <c r="N1686" s="11" t="s">
        <v>4813</v>
      </c>
      <c r="O1686" s="11" t="s">
        <v>4814</v>
      </c>
      <c r="P1686" s="11" t="s">
        <v>4812</v>
      </c>
      <c r="Q1686" s="11" t="s">
        <v>135</v>
      </c>
      <c r="U1686" s="11" t="s">
        <v>527</v>
      </c>
      <c r="V1686" s="11" t="s">
        <v>137</v>
      </c>
      <c r="W1686" s="13">
        <v>46302.314618055556</v>
      </c>
    </row>
    <row r="1687" spans="1:23">
      <c r="A1687">
        <v>289453</v>
      </c>
      <c r="B1687">
        <v>398</v>
      </c>
      <c r="C1687" s="11" t="s">
        <v>129</v>
      </c>
      <c r="D1687" s="11" t="s">
        <v>130</v>
      </c>
      <c r="E1687" s="11" t="s">
        <v>25</v>
      </c>
      <c r="F1687" s="12">
        <v>46295</v>
      </c>
      <c r="G1687" s="11" t="s">
        <v>528</v>
      </c>
      <c r="H1687">
        <v>1</v>
      </c>
      <c r="I1687" s="11" t="s">
        <v>4815</v>
      </c>
      <c r="M1687" s="11" t="s">
        <v>82</v>
      </c>
      <c r="N1687" s="11" t="s">
        <v>4816</v>
      </c>
      <c r="O1687" s="11" t="s">
        <v>4817</v>
      </c>
      <c r="P1687" s="11" t="s">
        <v>4815</v>
      </c>
      <c r="Q1687" s="11" t="s">
        <v>135</v>
      </c>
      <c r="U1687" s="11" t="s">
        <v>532</v>
      </c>
      <c r="V1687" s="11" t="s">
        <v>137</v>
      </c>
      <c r="W1687" s="13">
        <v>46302.314618055556</v>
      </c>
    </row>
    <row r="1688" spans="1:23">
      <c r="A1688">
        <v>289454</v>
      </c>
      <c r="B1688">
        <v>399</v>
      </c>
      <c r="C1688" s="11" t="s">
        <v>129</v>
      </c>
      <c r="D1688" s="11" t="s">
        <v>130</v>
      </c>
      <c r="E1688" s="11" t="s">
        <v>25</v>
      </c>
      <c r="F1688" s="12">
        <v>46295</v>
      </c>
      <c r="G1688" s="11" t="s">
        <v>179</v>
      </c>
      <c r="H1688">
        <v>1</v>
      </c>
      <c r="I1688" s="11" t="s">
        <v>4818</v>
      </c>
      <c r="M1688" s="11" t="s">
        <v>83</v>
      </c>
      <c r="N1688" s="11" t="s">
        <v>4819</v>
      </c>
      <c r="O1688" s="11" t="s">
        <v>4820</v>
      </c>
      <c r="P1688" s="11" t="s">
        <v>4818</v>
      </c>
      <c r="Q1688" s="11" t="s">
        <v>135</v>
      </c>
      <c r="U1688" s="11" t="s">
        <v>183</v>
      </c>
      <c r="V1688" s="11" t="s">
        <v>137</v>
      </c>
      <c r="W1688" s="13">
        <v>46302.314618055556</v>
      </c>
    </row>
    <row r="1689" spans="1:23">
      <c r="A1689">
        <v>289455</v>
      </c>
      <c r="B1689">
        <v>400</v>
      </c>
      <c r="C1689" s="11" t="s">
        <v>129</v>
      </c>
      <c r="D1689" s="11" t="s">
        <v>130</v>
      </c>
      <c r="E1689" s="11" t="s">
        <v>25</v>
      </c>
      <c r="F1689" s="12">
        <v>46295</v>
      </c>
      <c r="G1689" s="11" t="s">
        <v>174</v>
      </c>
      <c r="H1689">
        <v>1</v>
      </c>
      <c r="I1689" s="11" t="s">
        <v>3095</v>
      </c>
      <c r="M1689" s="11" t="s">
        <v>92</v>
      </c>
      <c r="N1689" s="11" t="s">
        <v>4821</v>
      </c>
      <c r="O1689" s="11" t="s">
        <v>4822</v>
      </c>
      <c r="P1689" s="11" t="s">
        <v>3095</v>
      </c>
      <c r="Q1689" s="11" t="s">
        <v>135</v>
      </c>
      <c r="U1689" s="11" t="s">
        <v>178</v>
      </c>
      <c r="V1689" s="11" t="s">
        <v>137</v>
      </c>
      <c r="W1689" s="13">
        <v>46302.314618055556</v>
      </c>
    </row>
    <row r="1690" spans="1:23">
      <c r="A1690">
        <v>289456</v>
      </c>
      <c r="B1690">
        <v>401</v>
      </c>
      <c r="C1690" s="11" t="s">
        <v>129</v>
      </c>
      <c r="D1690" s="11" t="s">
        <v>130</v>
      </c>
      <c r="E1690" s="11" t="s">
        <v>25</v>
      </c>
      <c r="F1690" s="12">
        <v>46295</v>
      </c>
      <c r="G1690" s="11" t="s">
        <v>321</v>
      </c>
      <c r="H1690">
        <v>1</v>
      </c>
      <c r="I1690" s="11" t="s">
        <v>4823</v>
      </c>
      <c r="M1690" s="11" t="s">
        <v>67</v>
      </c>
      <c r="N1690" s="11" t="s">
        <v>4824</v>
      </c>
      <c r="O1690" s="11" t="s">
        <v>3129</v>
      </c>
      <c r="P1690" s="11" t="s">
        <v>4823</v>
      </c>
      <c r="Q1690" s="11" t="s">
        <v>135</v>
      </c>
      <c r="U1690" s="11" t="s">
        <v>327</v>
      </c>
      <c r="V1690" s="11" t="s">
        <v>137</v>
      </c>
      <c r="W1690" s="13">
        <v>46302.314618055556</v>
      </c>
    </row>
    <row r="1691" spans="1:23">
      <c r="A1691">
        <v>289457</v>
      </c>
      <c r="B1691">
        <v>402</v>
      </c>
      <c r="C1691" s="11" t="s">
        <v>129</v>
      </c>
      <c r="D1691" s="11" t="s">
        <v>130</v>
      </c>
      <c r="E1691" s="11" t="s">
        <v>25</v>
      </c>
      <c r="F1691" s="12">
        <v>46295</v>
      </c>
      <c r="G1691" s="11" t="s">
        <v>4825</v>
      </c>
      <c r="H1691">
        <v>1</v>
      </c>
      <c r="I1691" s="11" t="s">
        <v>4826</v>
      </c>
      <c r="M1691" s="11" t="s">
        <v>45</v>
      </c>
      <c r="N1691" s="11" t="s">
        <v>4827</v>
      </c>
      <c r="O1691" s="11" t="s">
        <v>2487</v>
      </c>
      <c r="P1691" s="11" t="s">
        <v>4826</v>
      </c>
      <c r="Q1691" s="11" t="s">
        <v>135</v>
      </c>
      <c r="U1691" s="11" t="s">
        <v>4828</v>
      </c>
      <c r="V1691" s="11" t="s">
        <v>137</v>
      </c>
      <c r="W1691" s="13">
        <v>46302.314618055556</v>
      </c>
    </row>
    <row r="1692" spans="1:23">
      <c r="A1692">
        <v>289458</v>
      </c>
      <c r="B1692">
        <v>403</v>
      </c>
      <c r="C1692" s="11" t="s">
        <v>129</v>
      </c>
      <c r="D1692" s="11" t="s">
        <v>130</v>
      </c>
      <c r="E1692" s="11" t="s">
        <v>25</v>
      </c>
      <c r="F1692" s="12">
        <v>46295</v>
      </c>
      <c r="G1692" s="11" t="s">
        <v>512</v>
      </c>
      <c r="H1692">
        <v>1</v>
      </c>
      <c r="I1692" s="11" t="s">
        <v>558</v>
      </c>
      <c r="M1692" s="11" t="s">
        <v>44</v>
      </c>
      <c r="N1692" s="11" t="s">
        <v>4829</v>
      </c>
      <c r="O1692" s="11" t="s">
        <v>4830</v>
      </c>
      <c r="P1692" s="11" t="s">
        <v>558</v>
      </c>
      <c r="Q1692" s="11" t="s">
        <v>135</v>
      </c>
      <c r="U1692" s="11" t="s">
        <v>516</v>
      </c>
      <c r="V1692" s="11" t="s">
        <v>137</v>
      </c>
      <c r="W1692" s="13">
        <v>46302.314618055556</v>
      </c>
    </row>
    <row r="1693" spans="1:23">
      <c r="A1693">
        <v>289459</v>
      </c>
      <c r="B1693">
        <v>404</v>
      </c>
      <c r="C1693" s="11" t="s">
        <v>129</v>
      </c>
      <c r="D1693" s="11" t="s">
        <v>130</v>
      </c>
      <c r="E1693" s="11" t="s">
        <v>25</v>
      </c>
      <c r="F1693" s="12">
        <v>46295</v>
      </c>
      <c r="G1693" s="11" t="s">
        <v>217</v>
      </c>
      <c r="H1693">
        <v>1</v>
      </c>
      <c r="I1693" s="11" t="s">
        <v>4441</v>
      </c>
      <c r="M1693" s="11" t="s">
        <v>86</v>
      </c>
      <c r="N1693" s="11" t="s">
        <v>4831</v>
      </c>
      <c r="O1693" s="11" t="s">
        <v>4832</v>
      </c>
      <c r="P1693" s="11" t="s">
        <v>4441</v>
      </c>
      <c r="Q1693" s="11" t="s">
        <v>4833</v>
      </c>
      <c r="U1693" s="11" t="s">
        <v>221</v>
      </c>
      <c r="V1693" s="11" t="s">
        <v>137</v>
      </c>
      <c r="W1693" s="13">
        <v>46302.314618055556</v>
      </c>
    </row>
    <row r="1694" spans="1:23">
      <c r="A1694">
        <v>289460</v>
      </c>
      <c r="B1694">
        <v>405</v>
      </c>
      <c r="C1694" s="11" t="s">
        <v>129</v>
      </c>
      <c r="D1694" s="11" t="s">
        <v>130</v>
      </c>
      <c r="E1694" s="11" t="s">
        <v>25</v>
      </c>
      <c r="F1694" s="12">
        <v>46295</v>
      </c>
      <c r="G1694" s="11" t="s">
        <v>512</v>
      </c>
      <c r="H1694">
        <v>1</v>
      </c>
      <c r="I1694" s="11" t="s">
        <v>4833</v>
      </c>
      <c r="M1694" s="11" t="s">
        <v>44</v>
      </c>
      <c r="N1694" s="11" t="s">
        <v>4834</v>
      </c>
      <c r="O1694" s="11" t="s">
        <v>4835</v>
      </c>
      <c r="P1694" s="11" t="s">
        <v>4833</v>
      </c>
      <c r="Q1694" s="11" t="s">
        <v>135</v>
      </c>
      <c r="R1694">
        <v>404</v>
      </c>
      <c r="U1694" s="11" t="s">
        <v>516</v>
      </c>
      <c r="V1694" s="11" t="s">
        <v>137</v>
      </c>
      <c r="W1694" s="13">
        <v>46302.314618055556</v>
      </c>
    </row>
    <row r="1695" spans="1:23">
      <c r="A1695">
        <v>289863</v>
      </c>
      <c r="B1695">
        <v>406</v>
      </c>
      <c r="C1695" s="11" t="s">
        <v>129</v>
      </c>
      <c r="D1695" s="11" t="s">
        <v>130</v>
      </c>
      <c r="E1695" s="11" t="s">
        <v>25</v>
      </c>
      <c r="F1695" s="12">
        <v>46297</v>
      </c>
      <c r="G1695" s="11" t="s">
        <v>131</v>
      </c>
      <c r="H1695">
        <v>1</v>
      </c>
      <c r="I1695" s="11" t="s">
        <v>4836</v>
      </c>
      <c r="M1695" s="11" t="s">
        <v>87</v>
      </c>
      <c r="N1695" s="11" t="s">
        <v>4837</v>
      </c>
      <c r="O1695" s="11" t="s">
        <v>4086</v>
      </c>
      <c r="P1695" s="11" t="s">
        <v>4836</v>
      </c>
      <c r="Q1695" s="11" t="s">
        <v>135</v>
      </c>
      <c r="U1695" s="11" t="s">
        <v>136</v>
      </c>
      <c r="V1695" s="11" t="s">
        <v>137</v>
      </c>
      <c r="W1695" s="13">
        <v>46302.314618055556</v>
      </c>
    </row>
    <row r="1696" spans="1:23">
      <c r="A1696">
        <v>289864</v>
      </c>
      <c r="B1696">
        <v>407</v>
      </c>
      <c r="C1696" s="11" t="s">
        <v>129</v>
      </c>
      <c r="D1696" s="11" t="s">
        <v>130</v>
      </c>
      <c r="E1696" s="11" t="s">
        <v>25</v>
      </c>
      <c r="F1696" s="12">
        <v>46297</v>
      </c>
      <c r="G1696" s="11" t="s">
        <v>159</v>
      </c>
      <c r="H1696">
        <v>1</v>
      </c>
      <c r="I1696" s="11" t="s">
        <v>3993</v>
      </c>
      <c r="M1696" s="11" t="s">
        <v>95</v>
      </c>
      <c r="N1696" s="11" t="s">
        <v>4838</v>
      </c>
      <c r="O1696" s="11" t="s">
        <v>4839</v>
      </c>
      <c r="P1696" s="11" t="s">
        <v>3993</v>
      </c>
      <c r="Q1696" s="11" t="s">
        <v>135</v>
      </c>
      <c r="U1696" s="11" t="s">
        <v>163</v>
      </c>
      <c r="V1696" s="11" t="s">
        <v>137</v>
      </c>
      <c r="W1696" s="13">
        <v>46302.314618055556</v>
      </c>
    </row>
    <row r="1697" spans="1:23">
      <c r="A1697">
        <v>289865</v>
      </c>
      <c r="B1697">
        <v>408</v>
      </c>
      <c r="C1697" s="11" t="s">
        <v>129</v>
      </c>
      <c r="D1697" s="11" t="s">
        <v>130</v>
      </c>
      <c r="E1697" s="11" t="s">
        <v>25</v>
      </c>
      <c r="F1697" s="12">
        <v>46297</v>
      </c>
      <c r="G1697" s="11" t="s">
        <v>512</v>
      </c>
      <c r="H1697">
        <v>1</v>
      </c>
      <c r="I1697" s="11" t="s">
        <v>4840</v>
      </c>
      <c r="M1697" s="11" t="s">
        <v>44</v>
      </c>
      <c r="N1697" s="11" t="s">
        <v>4841</v>
      </c>
      <c r="O1697" s="11" t="s">
        <v>4842</v>
      </c>
      <c r="P1697" s="11" t="s">
        <v>4840</v>
      </c>
      <c r="Q1697" s="11" t="s">
        <v>4843</v>
      </c>
      <c r="U1697" s="11" t="s">
        <v>516</v>
      </c>
      <c r="V1697" s="11" t="s">
        <v>137</v>
      </c>
      <c r="W1697" s="13">
        <v>46302.314618055556</v>
      </c>
    </row>
    <row r="1698" spans="1:23">
      <c r="A1698">
        <v>289866</v>
      </c>
      <c r="B1698">
        <v>410</v>
      </c>
      <c r="C1698" s="11" t="s">
        <v>129</v>
      </c>
      <c r="D1698" s="11" t="s">
        <v>130</v>
      </c>
      <c r="E1698" s="11" t="s">
        <v>25</v>
      </c>
      <c r="F1698" s="12">
        <v>46297</v>
      </c>
      <c r="G1698" s="11" t="s">
        <v>1740</v>
      </c>
      <c r="H1698">
        <v>3</v>
      </c>
      <c r="I1698" s="11" t="s">
        <v>4844</v>
      </c>
      <c r="M1698" s="11" t="s">
        <v>69</v>
      </c>
      <c r="N1698" s="11" t="s">
        <v>4845</v>
      </c>
      <c r="O1698" s="11" t="s">
        <v>4846</v>
      </c>
      <c r="P1698" s="11" t="s">
        <v>4847</v>
      </c>
      <c r="Q1698" s="11" t="s">
        <v>135</v>
      </c>
      <c r="U1698" s="11" t="s">
        <v>1745</v>
      </c>
      <c r="V1698" s="11" t="s">
        <v>137</v>
      </c>
      <c r="W1698" s="13">
        <v>46302.314618055556</v>
      </c>
    </row>
    <row r="1699" spans="1:23">
      <c r="A1699">
        <v>289867</v>
      </c>
      <c r="B1699">
        <v>411</v>
      </c>
      <c r="C1699" s="11" t="s">
        <v>129</v>
      </c>
      <c r="D1699" s="11" t="s">
        <v>130</v>
      </c>
      <c r="E1699" s="11" t="s">
        <v>25</v>
      </c>
      <c r="F1699" s="12">
        <v>46297</v>
      </c>
      <c r="G1699" s="11" t="s">
        <v>316</v>
      </c>
      <c r="H1699">
        <v>1</v>
      </c>
      <c r="I1699" s="11" t="s">
        <v>4848</v>
      </c>
      <c r="M1699" s="11" t="s">
        <v>87</v>
      </c>
      <c r="N1699" s="11" t="s">
        <v>4849</v>
      </c>
      <c r="O1699" s="11" t="s">
        <v>4850</v>
      </c>
      <c r="P1699" s="11" t="s">
        <v>4848</v>
      </c>
      <c r="Q1699" s="11" t="s">
        <v>135</v>
      </c>
      <c r="U1699" s="11" t="s">
        <v>320</v>
      </c>
      <c r="V1699" s="11" t="s">
        <v>137</v>
      </c>
      <c r="W1699" s="13">
        <v>46302.314618055556</v>
      </c>
    </row>
    <row r="1700" spans="1:23">
      <c r="A1700">
        <v>289868</v>
      </c>
      <c r="B1700">
        <v>412</v>
      </c>
      <c r="C1700" s="11" t="s">
        <v>129</v>
      </c>
      <c r="D1700" s="11" t="s">
        <v>130</v>
      </c>
      <c r="E1700" s="11" t="s">
        <v>25</v>
      </c>
      <c r="F1700" s="12">
        <v>46297</v>
      </c>
      <c r="G1700" s="11" t="s">
        <v>321</v>
      </c>
      <c r="H1700">
        <v>2</v>
      </c>
      <c r="I1700" s="11" t="s">
        <v>3067</v>
      </c>
      <c r="M1700" s="11" t="s">
        <v>67</v>
      </c>
      <c r="N1700" s="11" t="s">
        <v>4851</v>
      </c>
      <c r="O1700" s="11" t="s">
        <v>4852</v>
      </c>
      <c r="P1700" s="11" t="s">
        <v>3018</v>
      </c>
      <c r="Q1700" s="11" t="s">
        <v>135</v>
      </c>
      <c r="U1700" s="11" t="s">
        <v>327</v>
      </c>
      <c r="V1700" s="11" t="s">
        <v>137</v>
      </c>
      <c r="W1700" s="13">
        <v>46302.314618055556</v>
      </c>
    </row>
    <row r="1701" spans="1:23">
      <c r="A1701">
        <v>289869</v>
      </c>
      <c r="B1701">
        <v>413</v>
      </c>
      <c r="C1701" s="11" t="s">
        <v>129</v>
      </c>
      <c r="D1701" s="11" t="s">
        <v>130</v>
      </c>
      <c r="E1701" s="11" t="s">
        <v>25</v>
      </c>
      <c r="F1701" s="12">
        <v>46297</v>
      </c>
      <c r="G1701" s="11" t="s">
        <v>321</v>
      </c>
      <c r="H1701">
        <v>1</v>
      </c>
      <c r="I1701" s="11" t="s">
        <v>3908</v>
      </c>
      <c r="M1701" s="11" t="s">
        <v>67</v>
      </c>
      <c r="N1701" s="11" t="s">
        <v>4853</v>
      </c>
      <c r="O1701" s="11" t="s">
        <v>4854</v>
      </c>
      <c r="P1701" s="11" t="s">
        <v>3908</v>
      </c>
      <c r="Q1701" s="11" t="s">
        <v>135</v>
      </c>
      <c r="U1701" s="11" t="s">
        <v>327</v>
      </c>
      <c r="V1701" s="11" t="s">
        <v>137</v>
      </c>
      <c r="W1701" s="13">
        <v>46302.314618055556</v>
      </c>
    </row>
    <row r="1702" spans="1:23">
      <c r="A1702">
        <v>289870</v>
      </c>
      <c r="B1702">
        <v>414</v>
      </c>
      <c r="C1702" s="11" t="s">
        <v>129</v>
      </c>
      <c r="D1702" s="11" t="s">
        <v>130</v>
      </c>
      <c r="E1702" s="11" t="s">
        <v>25</v>
      </c>
      <c r="F1702" s="12">
        <v>46297</v>
      </c>
      <c r="G1702" s="11" t="s">
        <v>339</v>
      </c>
      <c r="H1702">
        <v>1</v>
      </c>
      <c r="I1702" s="11" t="s">
        <v>4855</v>
      </c>
      <c r="M1702" s="11" t="s">
        <v>92</v>
      </c>
      <c r="N1702" s="11" t="s">
        <v>4856</v>
      </c>
      <c r="O1702" s="11" t="s">
        <v>4857</v>
      </c>
      <c r="P1702" s="11" t="s">
        <v>4855</v>
      </c>
      <c r="Q1702" s="11" t="s">
        <v>135</v>
      </c>
      <c r="U1702" s="11" t="s">
        <v>343</v>
      </c>
      <c r="V1702" s="11" t="s">
        <v>137</v>
      </c>
      <c r="W1702" s="13">
        <v>46302.314618055556</v>
      </c>
    </row>
    <row r="1703" spans="1:23">
      <c r="A1703">
        <v>289871</v>
      </c>
      <c r="B1703">
        <v>415</v>
      </c>
      <c r="C1703" s="11" t="s">
        <v>129</v>
      </c>
      <c r="D1703" s="11" t="s">
        <v>130</v>
      </c>
      <c r="E1703" s="11" t="s">
        <v>25</v>
      </c>
      <c r="F1703" s="12">
        <v>46297</v>
      </c>
      <c r="G1703" s="11" t="s">
        <v>355</v>
      </c>
      <c r="H1703">
        <v>1</v>
      </c>
      <c r="I1703" s="11" t="s">
        <v>4858</v>
      </c>
      <c r="M1703" s="11" t="s">
        <v>77</v>
      </c>
      <c r="N1703" s="11" t="s">
        <v>4859</v>
      </c>
      <c r="O1703" s="11" t="s">
        <v>4860</v>
      </c>
      <c r="P1703" s="11" t="s">
        <v>4858</v>
      </c>
      <c r="Q1703" s="11" t="s">
        <v>135</v>
      </c>
      <c r="U1703" s="11" t="s">
        <v>359</v>
      </c>
      <c r="V1703" s="11" t="s">
        <v>137</v>
      </c>
      <c r="W1703" s="13">
        <v>46302.314618055556</v>
      </c>
    </row>
    <row r="1704" spans="1:23">
      <c r="A1704">
        <v>289872</v>
      </c>
      <c r="B1704">
        <v>416</v>
      </c>
      <c r="C1704" s="11" t="s">
        <v>129</v>
      </c>
      <c r="D1704" s="11" t="s">
        <v>130</v>
      </c>
      <c r="E1704" s="11" t="s">
        <v>25</v>
      </c>
      <c r="F1704" s="12">
        <v>46297</v>
      </c>
      <c r="G1704" s="11" t="s">
        <v>360</v>
      </c>
      <c r="H1704">
        <v>1</v>
      </c>
      <c r="I1704" s="11" t="s">
        <v>4861</v>
      </c>
      <c r="M1704" s="11" t="s">
        <v>79</v>
      </c>
      <c r="N1704" s="11" t="s">
        <v>4862</v>
      </c>
      <c r="O1704" s="11" t="s">
        <v>4863</v>
      </c>
      <c r="P1704" s="11" t="s">
        <v>4861</v>
      </c>
      <c r="Q1704" s="11" t="s">
        <v>135</v>
      </c>
      <c r="U1704" s="11" t="s">
        <v>364</v>
      </c>
      <c r="V1704" s="11" t="s">
        <v>137</v>
      </c>
      <c r="W1704" s="13">
        <v>46302.314618055556</v>
      </c>
    </row>
    <row r="1705" spans="1:23">
      <c r="A1705">
        <v>289873</v>
      </c>
      <c r="B1705">
        <v>417</v>
      </c>
      <c r="C1705" s="11" t="s">
        <v>129</v>
      </c>
      <c r="D1705" s="11" t="s">
        <v>130</v>
      </c>
      <c r="E1705" s="11" t="s">
        <v>25</v>
      </c>
      <c r="F1705" s="12">
        <v>46297</v>
      </c>
      <c r="G1705" s="11" t="s">
        <v>3055</v>
      </c>
      <c r="H1705">
        <v>1</v>
      </c>
      <c r="I1705" s="11" t="s">
        <v>4864</v>
      </c>
      <c r="M1705" s="11" t="s">
        <v>83</v>
      </c>
      <c r="N1705" s="11" t="s">
        <v>4865</v>
      </c>
      <c r="O1705" s="11" t="s">
        <v>4866</v>
      </c>
      <c r="P1705" s="11" t="s">
        <v>4864</v>
      </c>
      <c r="Q1705" s="11" t="s">
        <v>4867</v>
      </c>
      <c r="U1705" s="11" t="s">
        <v>3059</v>
      </c>
      <c r="V1705" s="11" t="s">
        <v>137</v>
      </c>
      <c r="W1705" s="13">
        <v>46302.314618055556</v>
      </c>
    </row>
    <row r="1706" spans="1:23">
      <c r="A1706">
        <v>289874</v>
      </c>
      <c r="B1706">
        <v>419</v>
      </c>
      <c r="C1706" s="11" t="s">
        <v>129</v>
      </c>
      <c r="D1706" s="11" t="s">
        <v>130</v>
      </c>
      <c r="E1706" s="11" t="s">
        <v>25</v>
      </c>
      <c r="F1706" s="12">
        <v>46297</v>
      </c>
      <c r="G1706" s="11" t="s">
        <v>344</v>
      </c>
      <c r="H1706">
        <v>1</v>
      </c>
      <c r="I1706" s="11" t="s">
        <v>4868</v>
      </c>
      <c r="M1706" s="11" t="s">
        <v>65</v>
      </c>
      <c r="N1706" s="11" t="s">
        <v>4869</v>
      </c>
      <c r="O1706" s="11" t="s">
        <v>4870</v>
      </c>
      <c r="P1706" s="11" t="s">
        <v>4868</v>
      </c>
      <c r="Q1706" s="11" t="s">
        <v>2057</v>
      </c>
      <c r="U1706" s="11" t="s">
        <v>348</v>
      </c>
      <c r="V1706" s="11" t="s">
        <v>137</v>
      </c>
      <c r="W1706" s="13">
        <v>46302.314618055556</v>
      </c>
    </row>
    <row r="1707" spans="1:23">
      <c r="A1707">
        <v>289875</v>
      </c>
      <c r="B1707">
        <v>421</v>
      </c>
      <c r="C1707" s="11" t="s">
        <v>129</v>
      </c>
      <c r="D1707" s="11" t="s">
        <v>130</v>
      </c>
      <c r="E1707" s="11" t="s">
        <v>25</v>
      </c>
      <c r="F1707" s="12">
        <v>46297</v>
      </c>
      <c r="G1707" s="11" t="s">
        <v>316</v>
      </c>
      <c r="H1707">
        <v>1</v>
      </c>
      <c r="I1707" s="11" t="s">
        <v>1996</v>
      </c>
      <c r="M1707" s="11" t="s">
        <v>87</v>
      </c>
      <c r="N1707" s="11" t="s">
        <v>4871</v>
      </c>
      <c r="O1707" s="11" t="s">
        <v>4872</v>
      </c>
      <c r="P1707" s="11" t="s">
        <v>1996</v>
      </c>
      <c r="Q1707" s="11" t="s">
        <v>135</v>
      </c>
      <c r="U1707" s="11" t="s">
        <v>320</v>
      </c>
      <c r="V1707" s="11" t="s">
        <v>137</v>
      </c>
      <c r="W1707" s="13">
        <v>46302.314618055556</v>
      </c>
    </row>
    <row r="1708" spans="1:23">
      <c r="A1708">
        <v>289876</v>
      </c>
      <c r="B1708">
        <v>422</v>
      </c>
      <c r="C1708" s="11" t="s">
        <v>129</v>
      </c>
      <c r="D1708" s="11" t="s">
        <v>130</v>
      </c>
      <c r="E1708" s="11" t="s">
        <v>25</v>
      </c>
      <c r="F1708" s="12">
        <v>46297</v>
      </c>
      <c r="G1708" s="11" t="s">
        <v>393</v>
      </c>
      <c r="H1708">
        <v>1</v>
      </c>
      <c r="I1708" s="11" t="s">
        <v>2057</v>
      </c>
      <c r="M1708" s="11" t="s">
        <v>86</v>
      </c>
      <c r="N1708" s="11" t="s">
        <v>4873</v>
      </c>
      <c r="O1708" s="11" t="s">
        <v>4874</v>
      </c>
      <c r="P1708" s="11" t="s">
        <v>2057</v>
      </c>
      <c r="Q1708" s="11" t="s">
        <v>135</v>
      </c>
      <c r="U1708" s="11" t="s">
        <v>397</v>
      </c>
      <c r="V1708" s="11" t="s">
        <v>137</v>
      </c>
      <c r="W1708" s="13">
        <v>46302.314618055556</v>
      </c>
    </row>
    <row r="1709" spans="1:23">
      <c r="A1709">
        <v>289877</v>
      </c>
      <c r="B1709">
        <v>409</v>
      </c>
      <c r="C1709" s="11" t="s">
        <v>129</v>
      </c>
      <c r="D1709" s="11" t="s">
        <v>130</v>
      </c>
      <c r="E1709" s="11" t="s">
        <v>25</v>
      </c>
      <c r="F1709" s="12">
        <v>46297</v>
      </c>
      <c r="G1709" s="11" t="s">
        <v>222</v>
      </c>
      <c r="H1709">
        <v>1</v>
      </c>
      <c r="I1709" s="11" t="s">
        <v>4843</v>
      </c>
      <c r="M1709" s="11" t="s">
        <v>90</v>
      </c>
      <c r="N1709" s="11" t="s">
        <v>4875</v>
      </c>
      <c r="O1709" s="11" t="s">
        <v>4876</v>
      </c>
      <c r="P1709" s="11" t="s">
        <v>4843</v>
      </c>
      <c r="Q1709" s="11" t="s">
        <v>135</v>
      </c>
      <c r="R1709">
        <v>408</v>
      </c>
      <c r="U1709" s="11" t="s">
        <v>225</v>
      </c>
      <c r="V1709" s="11" t="s">
        <v>137</v>
      </c>
      <c r="W1709" s="13">
        <v>46302.314618055556</v>
      </c>
    </row>
    <row r="1710" spans="1:23">
      <c r="A1710">
        <v>289878</v>
      </c>
      <c r="B1710">
        <v>418</v>
      </c>
      <c r="C1710" s="11" t="s">
        <v>129</v>
      </c>
      <c r="D1710" s="11" t="s">
        <v>130</v>
      </c>
      <c r="E1710" s="11" t="s">
        <v>25</v>
      </c>
      <c r="F1710" s="12">
        <v>46297</v>
      </c>
      <c r="G1710" s="11" t="s">
        <v>401</v>
      </c>
      <c r="H1710">
        <v>1</v>
      </c>
      <c r="I1710" s="11" t="s">
        <v>4867</v>
      </c>
      <c r="M1710" s="11" t="s">
        <v>90</v>
      </c>
      <c r="N1710" s="11" t="s">
        <v>4877</v>
      </c>
      <c r="O1710" s="11" t="s">
        <v>4878</v>
      </c>
      <c r="P1710" s="11" t="s">
        <v>4867</v>
      </c>
      <c r="Q1710" s="11" t="s">
        <v>135</v>
      </c>
      <c r="R1710">
        <v>417</v>
      </c>
      <c r="U1710" s="11" t="s">
        <v>404</v>
      </c>
      <c r="V1710" s="11" t="s">
        <v>137</v>
      </c>
      <c r="W1710" s="13">
        <v>46302.314618055556</v>
      </c>
    </row>
    <row r="1711" spans="1:23">
      <c r="A1711">
        <v>289879</v>
      </c>
      <c r="B1711">
        <v>420</v>
      </c>
      <c r="C1711" s="11" t="s">
        <v>129</v>
      </c>
      <c r="D1711" s="11" t="s">
        <v>130</v>
      </c>
      <c r="E1711" s="11" t="s">
        <v>25</v>
      </c>
      <c r="F1711" s="12">
        <v>46297</v>
      </c>
      <c r="G1711" s="11" t="s">
        <v>316</v>
      </c>
      <c r="H1711">
        <v>1</v>
      </c>
      <c r="I1711" s="11" t="s">
        <v>2057</v>
      </c>
      <c r="M1711" s="11" t="s">
        <v>87</v>
      </c>
      <c r="N1711" s="11" t="s">
        <v>4879</v>
      </c>
      <c r="O1711" s="11" t="s">
        <v>4880</v>
      </c>
      <c r="P1711" s="11" t="s">
        <v>2057</v>
      </c>
      <c r="Q1711" s="11" t="s">
        <v>135</v>
      </c>
      <c r="R1711">
        <v>419</v>
      </c>
      <c r="U1711" s="11" t="s">
        <v>320</v>
      </c>
      <c r="V1711" s="11" t="s">
        <v>137</v>
      </c>
      <c r="W1711" s="13">
        <v>46302.314618055556</v>
      </c>
    </row>
    <row r="1712" spans="1:23">
      <c r="A1712">
        <v>290143</v>
      </c>
      <c r="B1712">
        <v>423</v>
      </c>
      <c r="C1712" s="11" t="s">
        <v>129</v>
      </c>
      <c r="D1712" s="11" t="s">
        <v>130</v>
      </c>
      <c r="E1712" s="11" t="s">
        <v>25</v>
      </c>
      <c r="F1712" s="12">
        <v>46300</v>
      </c>
      <c r="G1712" s="11" t="s">
        <v>226</v>
      </c>
      <c r="H1712">
        <v>1</v>
      </c>
      <c r="I1712" s="11" t="s">
        <v>4881</v>
      </c>
      <c r="M1712" s="11" t="s">
        <v>87</v>
      </c>
      <c r="N1712" s="11" t="s">
        <v>4882</v>
      </c>
      <c r="O1712" s="11" t="s">
        <v>2330</v>
      </c>
      <c r="P1712" s="11" t="s">
        <v>4881</v>
      </c>
      <c r="Q1712" s="11" t="s">
        <v>135</v>
      </c>
      <c r="U1712" s="11" t="s">
        <v>231</v>
      </c>
      <c r="V1712" s="11" t="s">
        <v>137</v>
      </c>
      <c r="W1712" s="13">
        <v>46302.314618055556</v>
      </c>
    </row>
    <row r="1713" spans="1:23">
      <c r="A1713">
        <v>290144</v>
      </c>
      <c r="B1713">
        <v>424</v>
      </c>
      <c r="C1713" s="11" t="s">
        <v>129</v>
      </c>
      <c r="D1713" s="11" t="s">
        <v>130</v>
      </c>
      <c r="E1713" s="11" t="s">
        <v>25</v>
      </c>
      <c r="F1713" s="12">
        <v>46300</v>
      </c>
      <c r="G1713" s="11" t="s">
        <v>672</v>
      </c>
      <c r="H1713">
        <v>1</v>
      </c>
      <c r="I1713" s="11" t="s">
        <v>2865</v>
      </c>
      <c r="M1713" s="11" t="s">
        <v>72</v>
      </c>
      <c r="N1713" s="11" t="s">
        <v>4883</v>
      </c>
      <c r="O1713" s="11" t="s">
        <v>4884</v>
      </c>
      <c r="P1713" s="11" t="s">
        <v>2865</v>
      </c>
      <c r="Q1713" s="11" t="s">
        <v>4885</v>
      </c>
      <c r="U1713" s="11" t="s">
        <v>677</v>
      </c>
      <c r="V1713" s="11" t="s">
        <v>137</v>
      </c>
      <c r="W1713" s="13">
        <v>46302.314618055556</v>
      </c>
    </row>
    <row r="1714" spans="1:23">
      <c r="A1714">
        <v>290145</v>
      </c>
      <c r="B1714">
        <v>426</v>
      </c>
      <c r="C1714" s="11" t="s">
        <v>129</v>
      </c>
      <c r="D1714" s="11" t="s">
        <v>130</v>
      </c>
      <c r="E1714" s="11" t="s">
        <v>25</v>
      </c>
      <c r="F1714" s="12">
        <v>46300</v>
      </c>
      <c r="G1714" s="11" t="s">
        <v>416</v>
      </c>
      <c r="H1714">
        <v>2</v>
      </c>
      <c r="I1714" s="11" t="s">
        <v>4886</v>
      </c>
      <c r="M1714" s="11" t="s">
        <v>75</v>
      </c>
      <c r="N1714" s="11" t="s">
        <v>4887</v>
      </c>
      <c r="O1714" s="11" t="s">
        <v>4888</v>
      </c>
      <c r="P1714" s="11" t="s">
        <v>4889</v>
      </c>
      <c r="Q1714" s="11" t="s">
        <v>135</v>
      </c>
      <c r="U1714" s="11" t="s">
        <v>420</v>
      </c>
      <c r="V1714" s="11" t="s">
        <v>137</v>
      </c>
      <c r="W1714" s="13">
        <v>46302.314618055556</v>
      </c>
    </row>
    <row r="1715" spans="1:23">
      <c r="A1715">
        <v>290146</v>
      </c>
      <c r="B1715">
        <v>427</v>
      </c>
      <c r="C1715" s="11" t="s">
        <v>129</v>
      </c>
      <c r="D1715" s="11" t="s">
        <v>130</v>
      </c>
      <c r="E1715" s="11" t="s">
        <v>25</v>
      </c>
      <c r="F1715" s="12">
        <v>46300</v>
      </c>
      <c r="G1715" s="11" t="s">
        <v>226</v>
      </c>
      <c r="H1715">
        <v>1</v>
      </c>
      <c r="I1715" s="11" t="s">
        <v>4890</v>
      </c>
      <c r="M1715" s="11" t="s">
        <v>87</v>
      </c>
      <c r="N1715" s="11" t="s">
        <v>2442</v>
      </c>
      <c r="O1715" s="11" t="s">
        <v>4891</v>
      </c>
      <c r="P1715" s="11" t="s">
        <v>4890</v>
      </c>
      <c r="Q1715" s="11" t="s">
        <v>135</v>
      </c>
      <c r="U1715" s="11" t="s">
        <v>231</v>
      </c>
      <c r="V1715" s="11" t="s">
        <v>137</v>
      </c>
      <c r="W1715" s="13">
        <v>46302.314618055556</v>
      </c>
    </row>
    <row r="1716" spans="1:23">
      <c r="A1716">
        <v>290147</v>
      </c>
      <c r="B1716">
        <v>428</v>
      </c>
      <c r="C1716" s="11" t="s">
        <v>129</v>
      </c>
      <c r="D1716" s="11" t="s">
        <v>130</v>
      </c>
      <c r="E1716" s="11" t="s">
        <v>25</v>
      </c>
      <c r="F1716" s="12">
        <v>46300</v>
      </c>
      <c r="G1716" s="11" t="s">
        <v>416</v>
      </c>
      <c r="H1716">
        <v>1</v>
      </c>
      <c r="I1716" s="11" t="s">
        <v>4847</v>
      </c>
      <c r="M1716" s="11" t="s">
        <v>75</v>
      </c>
      <c r="N1716" s="11" t="s">
        <v>4892</v>
      </c>
      <c r="O1716" s="11" t="s">
        <v>4893</v>
      </c>
      <c r="P1716" s="11" t="s">
        <v>4847</v>
      </c>
      <c r="Q1716" s="11" t="s">
        <v>135</v>
      </c>
      <c r="U1716" s="11" t="s">
        <v>420</v>
      </c>
      <c r="V1716" s="11" t="s">
        <v>137</v>
      </c>
      <c r="W1716" s="13">
        <v>46302.314618055556</v>
      </c>
    </row>
    <row r="1717" spans="1:23">
      <c r="A1717">
        <v>290148</v>
      </c>
      <c r="B1717">
        <v>429</v>
      </c>
      <c r="C1717" s="11" t="s">
        <v>129</v>
      </c>
      <c r="D1717" s="11" t="s">
        <v>130</v>
      </c>
      <c r="E1717" s="11" t="s">
        <v>25</v>
      </c>
      <c r="F1717" s="12">
        <v>46300</v>
      </c>
      <c r="G1717" s="11" t="s">
        <v>416</v>
      </c>
      <c r="H1717">
        <v>1</v>
      </c>
      <c r="I1717" s="11" t="s">
        <v>4894</v>
      </c>
      <c r="M1717" s="11" t="s">
        <v>75</v>
      </c>
      <c r="N1717" s="11" t="s">
        <v>4895</v>
      </c>
      <c r="O1717" s="11" t="s">
        <v>4896</v>
      </c>
      <c r="P1717" s="11" t="s">
        <v>4894</v>
      </c>
      <c r="Q1717" s="11" t="s">
        <v>4897</v>
      </c>
      <c r="U1717" s="11" t="s">
        <v>420</v>
      </c>
      <c r="V1717" s="11" t="s">
        <v>137</v>
      </c>
      <c r="W1717" s="13">
        <v>46302.314618055556</v>
      </c>
    </row>
    <row r="1718" spans="1:23">
      <c r="A1718">
        <v>290149</v>
      </c>
      <c r="B1718">
        <v>431</v>
      </c>
      <c r="C1718" s="11" t="s">
        <v>129</v>
      </c>
      <c r="D1718" s="11" t="s">
        <v>130</v>
      </c>
      <c r="E1718" s="11" t="s">
        <v>25</v>
      </c>
      <c r="F1718" s="12">
        <v>46300</v>
      </c>
      <c r="G1718" s="11" t="s">
        <v>416</v>
      </c>
      <c r="H1718">
        <v>1</v>
      </c>
      <c r="I1718" s="11" t="s">
        <v>2417</v>
      </c>
      <c r="M1718" s="11" t="s">
        <v>75</v>
      </c>
      <c r="N1718" s="11" t="s">
        <v>4898</v>
      </c>
      <c r="O1718" s="11" t="s">
        <v>4899</v>
      </c>
      <c r="P1718" s="11" t="s">
        <v>2417</v>
      </c>
      <c r="Q1718" s="11" t="s">
        <v>135</v>
      </c>
      <c r="U1718" s="11" t="s">
        <v>420</v>
      </c>
      <c r="V1718" s="11" t="s">
        <v>137</v>
      </c>
      <c r="W1718" s="13">
        <v>46302.314618055556</v>
      </c>
    </row>
    <row r="1719" spans="1:23">
      <c r="A1719">
        <v>290150</v>
      </c>
      <c r="B1719">
        <v>432</v>
      </c>
      <c r="C1719" s="11" t="s">
        <v>129</v>
      </c>
      <c r="D1719" s="11" t="s">
        <v>130</v>
      </c>
      <c r="E1719" s="11" t="s">
        <v>25</v>
      </c>
      <c r="F1719" s="12">
        <v>46300</v>
      </c>
      <c r="G1719" s="11" t="s">
        <v>416</v>
      </c>
      <c r="H1719">
        <v>1</v>
      </c>
      <c r="I1719" s="11" t="s">
        <v>4357</v>
      </c>
      <c r="M1719" s="11" t="s">
        <v>75</v>
      </c>
      <c r="N1719" s="11" t="s">
        <v>4900</v>
      </c>
      <c r="O1719" s="11" t="s">
        <v>4901</v>
      </c>
      <c r="P1719" s="11" t="s">
        <v>4357</v>
      </c>
      <c r="Q1719" s="11" t="s">
        <v>135</v>
      </c>
      <c r="U1719" s="11" t="s">
        <v>420</v>
      </c>
      <c r="V1719" s="11" t="s">
        <v>137</v>
      </c>
      <c r="W1719" s="13">
        <v>46302.314618055556</v>
      </c>
    </row>
    <row r="1720" spans="1:23">
      <c r="A1720">
        <v>290151</v>
      </c>
      <c r="B1720">
        <v>433</v>
      </c>
      <c r="C1720" s="11" t="s">
        <v>129</v>
      </c>
      <c r="D1720" s="11" t="s">
        <v>130</v>
      </c>
      <c r="E1720" s="11" t="s">
        <v>25</v>
      </c>
      <c r="F1720" s="12">
        <v>46300</v>
      </c>
      <c r="G1720" s="11" t="s">
        <v>416</v>
      </c>
      <c r="H1720">
        <v>1</v>
      </c>
      <c r="I1720" s="11" t="s">
        <v>4107</v>
      </c>
      <c r="M1720" s="11" t="s">
        <v>75</v>
      </c>
      <c r="N1720" s="11" t="s">
        <v>4902</v>
      </c>
      <c r="O1720" s="11" t="s">
        <v>1696</v>
      </c>
      <c r="P1720" s="11" t="s">
        <v>4107</v>
      </c>
      <c r="Q1720" s="11" t="s">
        <v>135</v>
      </c>
      <c r="U1720" s="11" t="s">
        <v>420</v>
      </c>
      <c r="V1720" s="11" t="s">
        <v>137</v>
      </c>
      <c r="W1720" s="13">
        <v>46302.314618055556</v>
      </c>
    </row>
    <row r="1721" spans="1:23">
      <c r="A1721">
        <v>290152</v>
      </c>
      <c r="B1721">
        <v>434</v>
      </c>
      <c r="C1721" s="11" t="s">
        <v>129</v>
      </c>
      <c r="D1721" s="11" t="s">
        <v>130</v>
      </c>
      <c r="E1721" s="11" t="s">
        <v>25</v>
      </c>
      <c r="F1721" s="12">
        <v>46300</v>
      </c>
      <c r="G1721" s="11" t="s">
        <v>263</v>
      </c>
      <c r="H1721">
        <v>1</v>
      </c>
      <c r="I1721" s="11" t="s">
        <v>4903</v>
      </c>
      <c r="M1721" s="11" t="s">
        <v>92</v>
      </c>
      <c r="N1721" s="11" t="s">
        <v>4904</v>
      </c>
      <c r="O1721" s="11" t="s">
        <v>4434</v>
      </c>
      <c r="P1721" s="11" t="s">
        <v>4903</v>
      </c>
      <c r="Q1721" s="11" t="s">
        <v>135</v>
      </c>
      <c r="U1721" s="11" t="s">
        <v>267</v>
      </c>
      <c r="V1721" s="11" t="s">
        <v>137</v>
      </c>
      <c r="W1721" s="13">
        <v>46302.314618055556</v>
      </c>
    </row>
    <row r="1722" spans="1:23">
      <c r="A1722">
        <v>290153</v>
      </c>
      <c r="B1722">
        <v>435</v>
      </c>
      <c r="C1722" s="11" t="s">
        <v>129</v>
      </c>
      <c r="D1722" s="11" t="s">
        <v>130</v>
      </c>
      <c r="E1722" s="11" t="s">
        <v>25</v>
      </c>
      <c r="F1722" s="12">
        <v>46300</v>
      </c>
      <c r="G1722" s="11" t="s">
        <v>274</v>
      </c>
      <c r="H1722">
        <v>1</v>
      </c>
      <c r="I1722" s="11" t="s">
        <v>2060</v>
      </c>
      <c r="M1722" s="11" t="s">
        <v>77</v>
      </c>
      <c r="N1722" s="11" t="s">
        <v>4905</v>
      </c>
      <c r="O1722" s="11" t="s">
        <v>4906</v>
      </c>
      <c r="P1722" s="11" t="s">
        <v>2060</v>
      </c>
      <c r="Q1722" s="11" t="s">
        <v>135</v>
      </c>
      <c r="U1722" s="11" t="s">
        <v>278</v>
      </c>
      <c r="V1722" s="11" t="s">
        <v>137</v>
      </c>
      <c r="W1722" s="13">
        <v>46302.314618055556</v>
      </c>
    </row>
    <row r="1723" spans="1:23">
      <c r="A1723">
        <v>290154</v>
      </c>
      <c r="B1723">
        <v>436</v>
      </c>
      <c r="C1723" s="11" t="s">
        <v>129</v>
      </c>
      <c r="D1723" s="11" t="s">
        <v>130</v>
      </c>
      <c r="E1723" s="11" t="s">
        <v>25</v>
      </c>
      <c r="F1723" s="12">
        <v>46300</v>
      </c>
      <c r="G1723" s="11" t="s">
        <v>284</v>
      </c>
      <c r="H1723">
        <v>1</v>
      </c>
      <c r="I1723" s="11" t="s">
        <v>4907</v>
      </c>
      <c r="M1723" s="11" t="s">
        <v>80</v>
      </c>
      <c r="N1723" s="11" t="s">
        <v>4908</v>
      </c>
      <c r="O1723" s="11" t="s">
        <v>1167</v>
      </c>
      <c r="P1723" s="11" t="s">
        <v>4907</v>
      </c>
      <c r="Q1723" s="11" t="s">
        <v>135</v>
      </c>
      <c r="U1723" s="11" t="s">
        <v>288</v>
      </c>
      <c r="V1723" s="11" t="s">
        <v>137</v>
      </c>
      <c r="W1723" s="13">
        <v>46302.314618055556</v>
      </c>
    </row>
    <row r="1724" spans="1:23">
      <c r="A1724">
        <v>290155</v>
      </c>
      <c r="B1724">
        <v>437</v>
      </c>
      <c r="C1724" s="11" t="s">
        <v>129</v>
      </c>
      <c r="D1724" s="11" t="s">
        <v>130</v>
      </c>
      <c r="E1724" s="11" t="s">
        <v>25</v>
      </c>
      <c r="F1724" s="12">
        <v>46300</v>
      </c>
      <c r="G1724" s="11" t="s">
        <v>1052</v>
      </c>
      <c r="H1724">
        <v>1</v>
      </c>
      <c r="I1724" s="11" t="s">
        <v>4909</v>
      </c>
      <c r="M1724" s="11" t="s">
        <v>84</v>
      </c>
      <c r="N1724" s="11" t="s">
        <v>4910</v>
      </c>
      <c r="O1724" s="11" t="s">
        <v>4911</v>
      </c>
      <c r="P1724" s="11" t="s">
        <v>4909</v>
      </c>
      <c r="Q1724" s="11" t="s">
        <v>135</v>
      </c>
      <c r="U1724" s="11" t="s">
        <v>1056</v>
      </c>
      <c r="V1724" s="11" t="s">
        <v>137</v>
      </c>
      <c r="W1724" s="13">
        <v>46302.314618055556</v>
      </c>
    </row>
    <row r="1725" spans="1:23">
      <c r="A1725">
        <v>290156</v>
      </c>
      <c r="B1725">
        <v>438</v>
      </c>
      <c r="C1725" s="11" t="s">
        <v>129</v>
      </c>
      <c r="D1725" s="11" t="s">
        <v>130</v>
      </c>
      <c r="E1725" s="11" t="s">
        <v>25</v>
      </c>
      <c r="F1725" s="12">
        <v>46300</v>
      </c>
      <c r="G1725" s="11" t="s">
        <v>439</v>
      </c>
      <c r="H1725">
        <v>1</v>
      </c>
      <c r="I1725" s="11" t="s">
        <v>4912</v>
      </c>
      <c r="M1725" s="11" t="s">
        <v>73</v>
      </c>
      <c r="N1725" s="11" t="s">
        <v>2264</v>
      </c>
      <c r="O1725" s="11" t="s">
        <v>4913</v>
      </c>
      <c r="P1725" s="11" t="s">
        <v>4912</v>
      </c>
      <c r="Q1725" s="11" t="s">
        <v>135</v>
      </c>
      <c r="U1725" s="11" t="s">
        <v>443</v>
      </c>
      <c r="V1725" s="11" t="s">
        <v>137</v>
      </c>
      <c r="W1725" s="13">
        <v>46302.314618055556</v>
      </c>
    </row>
    <row r="1726" spans="1:23">
      <c r="A1726">
        <v>290157</v>
      </c>
      <c r="B1726">
        <v>439</v>
      </c>
      <c r="C1726" s="11" t="s">
        <v>129</v>
      </c>
      <c r="D1726" s="11" t="s">
        <v>130</v>
      </c>
      <c r="E1726" s="11" t="s">
        <v>25</v>
      </c>
      <c r="F1726" s="12">
        <v>46300</v>
      </c>
      <c r="G1726" s="11" t="s">
        <v>237</v>
      </c>
      <c r="H1726">
        <v>1</v>
      </c>
      <c r="I1726" s="11" t="s">
        <v>4914</v>
      </c>
      <c r="M1726" s="11" t="s">
        <v>71</v>
      </c>
      <c r="N1726" s="11" t="s">
        <v>4915</v>
      </c>
      <c r="O1726" s="11" t="s">
        <v>4916</v>
      </c>
      <c r="P1726" s="11" t="s">
        <v>4914</v>
      </c>
      <c r="Q1726" s="11" t="s">
        <v>135</v>
      </c>
      <c r="U1726" s="11" t="s">
        <v>241</v>
      </c>
      <c r="V1726" s="11" t="s">
        <v>137</v>
      </c>
      <c r="W1726" s="13">
        <v>46302.314618055556</v>
      </c>
    </row>
    <row r="1727" spans="1:23">
      <c r="A1727">
        <v>290158</v>
      </c>
      <c r="B1727">
        <v>440</v>
      </c>
      <c r="C1727" s="11" t="s">
        <v>129</v>
      </c>
      <c r="D1727" s="11" t="s">
        <v>130</v>
      </c>
      <c r="E1727" s="11" t="s">
        <v>25</v>
      </c>
      <c r="F1727" s="12">
        <v>46300</v>
      </c>
      <c r="G1727" s="11" t="s">
        <v>416</v>
      </c>
      <c r="H1727">
        <v>1</v>
      </c>
      <c r="I1727" s="11" t="s">
        <v>935</v>
      </c>
      <c r="M1727" s="11" t="s">
        <v>75</v>
      </c>
      <c r="N1727" s="11" t="s">
        <v>4917</v>
      </c>
      <c r="O1727" s="11" t="s">
        <v>4918</v>
      </c>
      <c r="P1727" s="11" t="s">
        <v>935</v>
      </c>
      <c r="Q1727" s="11" t="s">
        <v>135</v>
      </c>
      <c r="U1727" s="11" t="s">
        <v>420</v>
      </c>
      <c r="V1727" s="11" t="s">
        <v>137</v>
      </c>
      <c r="W1727" s="13">
        <v>46302.314618055556</v>
      </c>
    </row>
    <row r="1728" spans="1:23">
      <c r="A1728">
        <v>290159</v>
      </c>
      <c r="B1728">
        <v>441</v>
      </c>
      <c r="C1728" s="11" t="s">
        <v>129</v>
      </c>
      <c r="D1728" s="11" t="s">
        <v>130</v>
      </c>
      <c r="E1728" s="11" t="s">
        <v>25</v>
      </c>
      <c r="F1728" s="12">
        <v>46300</v>
      </c>
      <c r="G1728" s="11" t="s">
        <v>439</v>
      </c>
      <c r="H1728">
        <v>1</v>
      </c>
      <c r="I1728" s="11" t="s">
        <v>289</v>
      </c>
      <c r="M1728" s="11" t="s">
        <v>73</v>
      </c>
      <c r="N1728" s="11" t="s">
        <v>4919</v>
      </c>
      <c r="O1728" s="11" t="s">
        <v>4920</v>
      </c>
      <c r="P1728" s="11" t="s">
        <v>289</v>
      </c>
      <c r="Q1728" s="11" t="s">
        <v>135</v>
      </c>
      <c r="U1728" s="11" t="s">
        <v>443</v>
      </c>
      <c r="V1728" s="11" t="s">
        <v>137</v>
      </c>
      <c r="W1728" s="13">
        <v>46302.314618055556</v>
      </c>
    </row>
    <row r="1729" spans="1:23">
      <c r="A1729">
        <v>290160</v>
      </c>
      <c r="B1729">
        <v>442</v>
      </c>
      <c r="C1729" s="11" t="s">
        <v>129</v>
      </c>
      <c r="D1729" s="11" t="s">
        <v>130</v>
      </c>
      <c r="E1729" s="11" t="s">
        <v>25</v>
      </c>
      <c r="F1729" s="12">
        <v>46300</v>
      </c>
      <c r="G1729" s="11" t="s">
        <v>416</v>
      </c>
      <c r="H1729">
        <v>1</v>
      </c>
      <c r="I1729" s="11" t="s">
        <v>4921</v>
      </c>
      <c r="M1729" s="11" t="s">
        <v>75</v>
      </c>
      <c r="N1729" s="11" t="s">
        <v>4922</v>
      </c>
      <c r="O1729" s="11" t="s">
        <v>4923</v>
      </c>
      <c r="P1729" s="11" t="s">
        <v>4921</v>
      </c>
      <c r="Q1729" s="11" t="s">
        <v>135</v>
      </c>
      <c r="U1729" s="11" t="s">
        <v>420</v>
      </c>
      <c r="V1729" s="11" t="s">
        <v>137</v>
      </c>
      <c r="W1729" s="13">
        <v>46302.314618055556</v>
      </c>
    </row>
    <row r="1730" spans="1:23">
      <c r="A1730">
        <v>290161</v>
      </c>
      <c r="B1730">
        <v>443</v>
      </c>
      <c r="C1730" s="11" t="s">
        <v>129</v>
      </c>
      <c r="D1730" s="11" t="s">
        <v>130</v>
      </c>
      <c r="E1730" s="11" t="s">
        <v>25</v>
      </c>
      <c r="F1730" s="12">
        <v>46300</v>
      </c>
      <c r="G1730" s="11" t="s">
        <v>263</v>
      </c>
      <c r="H1730">
        <v>1</v>
      </c>
      <c r="I1730" s="11" t="s">
        <v>373</v>
      </c>
      <c r="M1730" s="11" t="s">
        <v>92</v>
      </c>
      <c r="N1730" s="11" t="s">
        <v>4924</v>
      </c>
      <c r="O1730" s="11" t="s">
        <v>4925</v>
      </c>
      <c r="P1730" s="11" t="s">
        <v>373</v>
      </c>
      <c r="Q1730" s="11" t="s">
        <v>135</v>
      </c>
      <c r="U1730" s="11" t="s">
        <v>267</v>
      </c>
      <c r="V1730" s="11" t="s">
        <v>137</v>
      </c>
      <c r="W1730" s="13">
        <v>46302.314618055556</v>
      </c>
    </row>
    <row r="1731" spans="1:23">
      <c r="A1731">
        <v>290162</v>
      </c>
      <c r="B1731">
        <v>444</v>
      </c>
      <c r="C1731" s="11" t="s">
        <v>129</v>
      </c>
      <c r="D1731" s="11" t="s">
        <v>130</v>
      </c>
      <c r="E1731" s="11" t="s">
        <v>25</v>
      </c>
      <c r="F1731" s="12">
        <v>46300</v>
      </c>
      <c r="G1731" s="11" t="s">
        <v>416</v>
      </c>
      <c r="H1731">
        <v>1</v>
      </c>
      <c r="I1731" s="11" t="s">
        <v>910</v>
      </c>
      <c r="M1731" s="11" t="s">
        <v>75</v>
      </c>
      <c r="N1731" s="11" t="s">
        <v>4926</v>
      </c>
      <c r="O1731" s="11" t="s">
        <v>4927</v>
      </c>
      <c r="P1731" s="11" t="s">
        <v>910</v>
      </c>
      <c r="Q1731" s="11" t="s">
        <v>135</v>
      </c>
      <c r="U1731" s="11" t="s">
        <v>420</v>
      </c>
      <c r="V1731" s="11" t="s">
        <v>137</v>
      </c>
      <c r="W1731" s="13">
        <v>46302.314618055556</v>
      </c>
    </row>
    <row r="1732" spans="1:23">
      <c r="A1732">
        <v>290163</v>
      </c>
      <c r="B1732">
        <v>445</v>
      </c>
      <c r="C1732" s="11" t="s">
        <v>129</v>
      </c>
      <c r="D1732" s="11" t="s">
        <v>130</v>
      </c>
      <c r="E1732" s="11" t="s">
        <v>25</v>
      </c>
      <c r="F1732" s="12">
        <v>46300</v>
      </c>
      <c r="G1732" s="11" t="s">
        <v>226</v>
      </c>
      <c r="H1732">
        <v>1</v>
      </c>
      <c r="I1732" s="11" t="s">
        <v>4928</v>
      </c>
      <c r="M1732" s="11" t="s">
        <v>87</v>
      </c>
      <c r="N1732" s="11" t="s">
        <v>4929</v>
      </c>
      <c r="O1732" s="11" t="s">
        <v>1184</v>
      </c>
      <c r="P1732" s="11" t="s">
        <v>4928</v>
      </c>
      <c r="Q1732" s="11" t="s">
        <v>135</v>
      </c>
      <c r="U1732" s="11" t="s">
        <v>231</v>
      </c>
      <c r="V1732" s="11" t="s">
        <v>137</v>
      </c>
      <c r="W1732" s="13">
        <v>46302.314618055556</v>
      </c>
    </row>
    <row r="1733" spans="1:23">
      <c r="A1733">
        <v>290164</v>
      </c>
      <c r="B1733">
        <v>425</v>
      </c>
      <c r="C1733" s="11" t="s">
        <v>129</v>
      </c>
      <c r="D1733" s="11" t="s">
        <v>130</v>
      </c>
      <c r="E1733" s="11" t="s">
        <v>25</v>
      </c>
      <c r="F1733" s="12">
        <v>46300</v>
      </c>
      <c r="G1733" s="11" t="s">
        <v>308</v>
      </c>
      <c r="H1733">
        <v>1</v>
      </c>
      <c r="I1733" s="11" t="s">
        <v>4885</v>
      </c>
      <c r="M1733" s="11" t="s">
        <v>90</v>
      </c>
      <c r="N1733" s="11" t="s">
        <v>2156</v>
      </c>
      <c r="O1733" s="11" t="s">
        <v>4239</v>
      </c>
      <c r="P1733" s="11" t="s">
        <v>4885</v>
      </c>
      <c r="Q1733" s="11" t="s">
        <v>135</v>
      </c>
      <c r="R1733">
        <v>424</v>
      </c>
      <c r="U1733" s="11" t="s">
        <v>311</v>
      </c>
      <c r="V1733" s="11" t="s">
        <v>137</v>
      </c>
      <c r="W1733" s="13">
        <v>46302.314618055556</v>
      </c>
    </row>
    <row r="1734" spans="1:23">
      <c r="A1734">
        <v>290165</v>
      </c>
      <c r="B1734">
        <v>430</v>
      </c>
      <c r="C1734" s="11" t="s">
        <v>129</v>
      </c>
      <c r="D1734" s="11" t="s">
        <v>130</v>
      </c>
      <c r="E1734" s="11" t="s">
        <v>25</v>
      </c>
      <c r="F1734" s="12">
        <v>46300</v>
      </c>
      <c r="G1734" s="11" t="s">
        <v>274</v>
      </c>
      <c r="H1734">
        <v>1</v>
      </c>
      <c r="I1734" s="11" t="s">
        <v>4897</v>
      </c>
      <c r="M1734" s="11" t="s">
        <v>77</v>
      </c>
      <c r="N1734" s="11" t="s">
        <v>4930</v>
      </c>
      <c r="O1734" s="11" t="s">
        <v>4931</v>
      </c>
      <c r="P1734" s="11" t="s">
        <v>4897</v>
      </c>
      <c r="Q1734" s="11" t="s">
        <v>135</v>
      </c>
      <c r="R1734">
        <v>429</v>
      </c>
      <c r="U1734" s="11" t="s">
        <v>278</v>
      </c>
      <c r="V1734" s="11" t="s">
        <v>137</v>
      </c>
      <c r="W1734" s="13">
        <v>46302.314618055556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BAB78-D0BD-42BC-B0DA-649750E6AB8B}">
  <sheetPr codeName="Sheet9">
    <tabColor rgb="FF808080"/>
  </sheetPr>
  <dimension ref="A1:H78"/>
  <sheetViews>
    <sheetView workbookViewId="0">
      <pane ySplit="1" topLeftCell="A2" activePane="bottomLeft" state="frozen"/>
      <selection pane="bottomLeft"/>
    </sheetView>
  </sheetViews>
  <sheetFormatPr defaultRowHeight="14.25"/>
  <sheetData>
    <row r="1" spans="1:8">
      <c r="A1" s="10" t="s">
        <v>4933</v>
      </c>
      <c r="B1" s="10" t="s">
        <v>4934</v>
      </c>
      <c r="C1" s="10" t="s">
        <v>4935</v>
      </c>
      <c r="D1" s="10" t="s">
        <v>99</v>
      </c>
      <c r="E1" s="10" t="s">
        <v>20</v>
      </c>
      <c r="F1" s="10" t="s">
        <v>101</v>
      </c>
      <c r="G1" s="10" t="s">
        <v>128</v>
      </c>
      <c r="H1" s="10" t="s">
        <v>30</v>
      </c>
    </row>
    <row r="2" spans="1:8">
      <c r="A2" s="11" t="s">
        <v>4936</v>
      </c>
      <c r="B2" s="11" t="s">
        <v>4937</v>
      </c>
      <c r="C2" s="11" t="s">
        <v>4938</v>
      </c>
      <c r="D2" s="11" t="s">
        <v>17</v>
      </c>
      <c r="E2" s="11" t="s">
        <v>37</v>
      </c>
      <c r="F2" s="11" t="s">
        <v>4939</v>
      </c>
      <c r="G2" s="11" t="s">
        <v>4940</v>
      </c>
      <c r="H2" s="13">
        <v>46302.314618055556</v>
      </c>
    </row>
    <row r="3" spans="1:8">
      <c r="A3" s="11" t="s">
        <v>4936</v>
      </c>
      <c r="B3" s="11" t="s">
        <v>4937</v>
      </c>
      <c r="C3" s="11" t="s">
        <v>4938</v>
      </c>
      <c r="D3" s="11" t="s">
        <v>13</v>
      </c>
      <c r="E3" s="11" t="s">
        <v>37</v>
      </c>
      <c r="F3" s="11" t="s">
        <v>4941</v>
      </c>
      <c r="G3" s="11" t="s">
        <v>4940</v>
      </c>
      <c r="H3" s="13">
        <v>46302.314618055556</v>
      </c>
    </row>
    <row r="4" spans="1:8">
      <c r="A4" s="11" t="s">
        <v>108</v>
      </c>
      <c r="B4" s="11" t="s">
        <v>4942</v>
      </c>
      <c r="C4" s="11" t="s">
        <v>4943</v>
      </c>
      <c r="D4" s="11" t="s">
        <v>17</v>
      </c>
      <c r="E4" s="11" t="s">
        <v>4944</v>
      </c>
      <c r="F4" s="11" t="s">
        <v>4945</v>
      </c>
      <c r="G4" s="11" t="s">
        <v>4940</v>
      </c>
      <c r="H4" s="13">
        <v>46302.314618055556</v>
      </c>
    </row>
    <row r="5" spans="1:8">
      <c r="A5" s="11" t="s">
        <v>108</v>
      </c>
      <c r="B5" s="11" t="s">
        <v>4942</v>
      </c>
      <c r="C5" s="11" t="s">
        <v>4943</v>
      </c>
      <c r="D5" s="11" t="s">
        <v>18</v>
      </c>
      <c r="E5" s="11" t="s">
        <v>4944</v>
      </c>
      <c r="F5" s="11" t="s">
        <v>4946</v>
      </c>
      <c r="G5" s="11" t="s">
        <v>4940</v>
      </c>
      <c r="H5" s="13">
        <v>46302.314618055556</v>
      </c>
    </row>
    <row r="6" spans="1:8">
      <c r="A6" s="11" t="s">
        <v>108</v>
      </c>
      <c r="B6" s="11" t="s">
        <v>4942</v>
      </c>
      <c r="C6" s="11" t="s">
        <v>4943</v>
      </c>
      <c r="D6" s="11" t="s">
        <v>13</v>
      </c>
      <c r="E6" s="11" t="s">
        <v>4944</v>
      </c>
      <c r="F6" s="11" t="s">
        <v>4947</v>
      </c>
      <c r="G6" s="11" t="s">
        <v>4940</v>
      </c>
      <c r="H6" s="13">
        <v>46302.314618055556</v>
      </c>
    </row>
    <row r="7" spans="1:8">
      <c r="A7" s="11" t="s">
        <v>108</v>
      </c>
      <c r="B7" s="11" t="s">
        <v>4942</v>
      </c>
      <c r="C7" s="11" t="s">
        <v>4943</v>
      </c>
      <c r="D7" s="11" t="s">
        <v>15</v>
      </c>
      <c r="E7" s="11" t="s">
        <v>4944</v>
      </c>
      <c r="F7" s="11" t="s">
        <v>4948</v>
      </c>
      <c r="G7" s="11" t="s">
        <v>4940</v>
      </c>
      <c r="H7" s="13">
        <v>46302.314618055556</v>
      </c>
    </row>
    <row r="8" spans="1:8">
      <c r="A8" s="11" t="s">
        <v>108</v>
      </c>
      <c r="B8" s="11" t="s">
        <v>4949</v>
      </c>
      <c r="C8" s="11" t="s">
        <v>4950</v>
      </c>
      <c r="D8" s="11" t="s">
        <v>18</v>
      </c>
      <c r="E8" s="11" t="s">
        <v>4944</v>
      </c>
      <c r="F8" s="11" t="s">
        <v>4951</v>
      </c>
      <c r="G8" s="11" t="s">
        <v>4940</v>
      </c>
      <c r="H8" s="13">
        <v>46302.314618055556</v>
      </c>
    </row>
    <row r="9" spans="1:8">
      <c r="A9" s="11" t="s">
        <v>108</v>
      </c>
      <c r="B9" s="11" t="s">
        <v>4949</v>
      </c>
      <c r="C9" s="11" t="s">
        <v>4950</v>
      </c>
      <c r="D9" s="11" t="s">
        <v>16</v>
      </c>
      <c r="E9" s="11" t="s">
        <v>4944</v>
      </c>
      <c r="F9" s="11" t="s">
        <v>4948</v>
      </c>
      <c r="G9" s="11" t="s">
        <v>4940</v>
      </c>
      <c r="H9" s="13">
        <v>46302.314618055556</v>
      </c>
    </row>
    <row r="10" spans="1:8">
      <c r="A10" s="11" t="s">
        <v>108</v>
      </c>
      <c r="B10" s="11" t="s">
        <v>4952</v>
      </c>
      <c r="C10" s="11" t="s">
        <v>4953</v>
      </c>
      <c r="D10" s="11" t="s">
        <v>16</v>
      </c>
      <c r="E10" s="11" t="s">
        <v>4954</v>
      </c>
      <c r="F10" s="11" t="s">
        <v>4955</v>
      </c>
      <c r="G10" s="11" t="s">
        <v>4940</v>
      </c>
      <c r="H10" s="13">
        <v>46302.314618055556</v>
      </c>
    </row>
    <row r="11" spans="1:8">
      <c r="A11" s="11" t="s">
        <v>108</v>
      </c>
      <c r="B11" s="11" t="s">
        <v>4956</v>
      </c>
      <c r="C11" s="11" t="s">
        <v>4957</v>
      </c>
      <c r="D11" s="11" t="s">
        <v>16</v>
      </c>
      <c r="E11" s="11" t="s">
        <v>4954</v>
      </c>
      <c r="F11" s="11" t="s">
        <v>4958</v>
      </c>
      <c r="G11" s="11" t="s">
        <v>4940</v>
      </c>
      <c r="H11" s="13">
        <v>46302.314618055556</v>
      </c>
    </row>
    <row r="12" spans="1:8">
      <c r="A12" s="11" t="s">
        <v>108</v>
      </c>
      <c r="B12" s="11" t="s">
        <v>4959</v>
      </c>
      <c r="C12" s="11" t="s">
        <v>4960</v>
      </c>
      <c r="D12" s="11" t="s">
        <v>16</v>
      </c>
      <c r="E12" s="11" t="s">
        <v>4954</v>
      </c>
      <c r="F12" s="11" t="s">
        <v>4961</v>
      </c>
      <c r="G12" s="11" t="s">
        <v>4940</v>
      </c>
      <c r="H12" s="13">
        <v>46302.314618055556</v>
      </c>
    </row>
    <row r="13" spans="1:8">
      <c r="A13" s="11" t="s">
        <v>108</v>
      </c>
      <c r="B13" s="11" t="s">
        <v>4962</v>
      </c>
      <c r="C13" s="11" t="s">
        <v>4963</v>
      </c>
      <c r="D13" s="11" t="s">
        <v>17</v>
      </c>
      <c r="E13" s="11" t="s">
        <v>4954</v>
      </c>
      <c r="F13" s="11" t="s">
        <v>4964</v>
      </c>
      <c r="G13" s="11" t="s">
        <v>4940</v>
      </c>
      <c r="H13" s="13">
        <v>46302.314618055556</v>
      </c>
    </row>
    <row r="14" spans="1:8">
      <c r="A14" s="11" t="s">
        <v>108</v>
      </c>
      <c r="B14" s="11" t="s">
        <v>4962</v>
      </c>
      <c r="C14" s="11" t="s">
        <v>4963</v>
      </c>
      <c r="D14" s="11" t="s">
        <v>13</v>
      </c>
      <c r="E14" s="11" t="s">
        <v>4954</v>
      </c>
      <c r="F14" s="11" t="s">
        <v>4965</v>
      </c>
      <c r="G14" s="11" t="s">
        <v>4940</v>
      </c>
      <c r="H14" s="13">
        <v>46302.314618055556</v>
      </c>
    </row>
    <row r="15" spans="1:8">
      <c r="A15" s="11" t="s">
        <v>108</v>
      </c>
      <c r="B15" s="11" t="s">
        <v>4962</v>
      </c>
      <c r="C15" s="11" t="s">
        <v>4963</v>
      </c>
      <c r="D15" s="11" t="s">
        <v>15</v>
      </c>
      <c r="E15" s="11" t="s">
        <v>4954</v>
      </c>
      <c r="F15" s="11" t="s">
        <v>4951</v>
      </c>
      <c r="G15" s="11" t="s">
        <v>4940</v>
      </c>
      <c r="H15" s="13">
        <v>46302.314618055556</v>
      </c>
    </row>
    <row r="16" spans="1:8">
      <c r="A16" s="11" t="s">
        <v>108</v>
      </c>
      <c r="B16" s="11" t="s">
        <v>4966</v>
      </c>
      <c r="C16" s="11" t="s">
        <v>4967</v>
      </c>
      <c r="D16" s="11" t="s">
        <v>18</v>
      </c>
      <c r="E16" s="11" t="s">
        <v>4954</v>
      </c>
      <c r="F16" s="11" t="s">
        <v>4955</v>
      </c>
      <c r="G16" s="11" t="s">
        <v>4940</v>
      </c>
      <c r="H16" s="13">
        <v>46302.314618055556</v>
      </c>
    </row>
    <row r="17" spans="1:8">
      <c r="A17" s="11" t="s">
        <v>108</v>
      </c>
      <c r="B17" s="11" t="s">
        <v>4966</v>
      </c>
      <c r="C17" s="11" t="s">
        <v>4967</v>
      </c>
      <c r="D17" s="11" t="s">
        <v>15</v>
      </c>
      <c r="E17" s="11" t="s">
        <v>4954</v>
      </c>
      <c r="F17" s="11" t="s">
        <v>4945</v>
      </c>
      <c r="G17" s="11" t="s">
        <v>4940</v>
      </c>
      <c r="H17" s="13">
        <v>46302.314618055556</v>
      </c>
    </row>
    <row r="18" spans="1:8">
      <c r="A18" s="11" t="s">
        <v>108</v>
      </c>
      <c r="B18" s="11" t="s">
        <v>4968</v>
      </c>
      <c r="C18" s="11" t="s">
        <v>4969</v>
      </c>
      <c r="D18" s="11" t="s">
        <v>16</v>
      </c>
      <c r="E18" s="11" t="s">
        <v>37</v>
      </c>
      <c r="F18" s="11" t="s">
        <v>4955</v>
      </c>
      <c r="G18" s="11" t="s">
        <v>4940</v>
      </c>
      <c r="H18" s="13">
        <v>46302.314618055556</v>
      </c>
    </row>
    <row r="19" spans="1:8">
      <c r="A19" s="11" t="s">
        <v>108</v>
      </c>
      <c r="B19" s="11" t="s">
        <v>4968</v>
      </c>
      <c r="C19" s="11" t="s">
        <v>4969</v>
      </c>
      <c r="D19" s="11" t="s">
        <v>15</v>
      </c>
      <c r="E19" s="11" t="s">
        <v>37</v>
      </c>
      <c r="F19" s="11" t="s">
        <v>4965</v>
      </c>
      <c r="G19" s="11" t="s">
        <v>4940</v>
      </c>
      <c r="H19" s="13">
        <v>46302.314618055556</v>
      </c>
    </row>
    <row r="20" spans="1:8">
      <c r="A20" s="11" t="s">
        <v>108</v>
      </c>
      <c r="B20" s="11" t="s">
        <v>4970</v>
      </c>
      <c r="C20" s="11" t="s">
        <v>4971</v>
      </c>
      <c r="D20" s="11" t="s">
        <v>18</v>
      </c>
      <c r="E20" s="11" t="s">
        <v>37</v>
      </c>
      <c r="F20" s="11" t="s">
        <v>4939</v>
      </c>
      <c r="G20" s="11" t="s">
        <v>4940</v>
      </c>
      <c r="H20" s="13">
        <v>46302.314618055556</v>
      </c>
    </row>
    <row r="21" spans="1:8">
      <c r="A21" s="11" t="s">
        <v>108</v>
      </c>
      <c r="B21" s="11" t="s">
        <v>4970</v>
      </c>
      <c r="C21" s="11" t="s">
        <v>4971</v>
      </c>
      <c r="D21" s="11" t="s">
        <v>15</v>
      </c>
      <c r="E21" s="11" t="s">
        <v>37</v>
      </c>
      <c r="F21" s="11" t="s">
        <v>4941</v>
      </c>
      <c r="G21" s="11" t="s">
        <v>4940</v>
      </c>
      <c r="H21" s="13">
        <v>46302.314618055556</v>
      </c>
    </row>
    <row r="22" spans="1:8">
      <c r="A22" s="11" t="s">
        <v>108</v>
      </c>
      <c r="B22" s="11" t="s">
        <v>4972</v>
      </c>
      <c r="C22" s="11" t="s">
        <v>4973</v>
      </c>
      <c r="D22" s="11" t="s">
        <v>16</v>
      </c>
      <c r="E22" s="11" t="s">
        <v>37</v>
      </c>
      <c r="F22" s="11" t="s">
        <v>4974</v>
      </c>
      <c r="G22" s="11" t="s">
        <v>4940</v>
      </c>
      <c r="H22" s="13">
        <v>46302.314618055556</v>
      </c>
    </row>
    <row r="23" spans="1:8">
      <c r="A23" s="11" t="s">
        <v>108</v>
      </c>
      <c r="B23" s="11" t="s">
        <v>4975</v>
      </c>
      <c r="C23" s="11" t="s">
        <v>4976</v>
      </c>
      <c r="D23" s="11" t="s">
        <v>15</v>
      </c>
      <c r="E23" s="11" t="s">
        <v>37</v>
      </c>
      <c r="F23" s="11" t="s">
        <v>4955</v>
      </c>
      <c r="G23" s="11" t="s">
        <v>4940</v>
      </c>
      <c r="H23" s="13">
        <v>46302.314618055556</v>
      </c>
    </row>
    <row r="24" spans="1:8">
      <c r="A24" s="11" t="s">
        <v>108</v>
      </c>
      <c r="B24" s="11" t="s">
        <v>4977</v>
      </c>
      <c r="C24" s="11" t="s">
        <v>4978</v>
      </c>
      <c r="D24" s="11" t="s">
        <v>18</v>
      </c>
      <c r="E24" s="11" t="s">
        <v>37</v>
      </c>
      <c r="F24" s="11" t="s">
        <v>4955</v>
      </c>
      <c r="G24" s="11" t="s">
        <v>4940</v>
      </c>
      <c r="H24" s="13">
        <v>46302.314618055556</v>
      </c>
    </row>
    <row r="25" spans="1:8">
      <c r="A25" s="11" t="s">
        <v>108</v>
      </c>
      <c r="B25" s="11" t="s">
        <v>4977</v>
      </c>
      <c r="C25" s="11" t="s">
        <v>4978</v>
      </c>
      <c r="D25" s="11" t="s">
        <v>15</v>
      </c>
      <c r="E25" s="11" t="s">
        <v>37</v>
      </c>
      <c r="F25" s="11" t="s">
        <v>4955</v>
      </c>
      <c r="G25" s="11" t="s">
        <v>4940</v>
      </c>
      <c r="H25" s="13">
        <v>46302.314618055556</v>
      </c>
    </row>
    <row r="26" spans="1:8">
      <c r="A26" s="11" t="s">
        <v>108</v>
      </c>
      <c r="B26" s="11" t="s">
        <v>4979</v>
      </c>
      <c r="C26" s="11" t="s">
        <v>4980</v>
      </c>
      <c r="D26" s="11" t="s">
        <v>13</v>
      </c>
      <c r="E26" s="11" t="s">
        <v>37</v>
      </c>
      <c r="F26" s="11" t="s">
        <v>4981</v>
      </c>
      <c r="G26" s="11" t="s">
        <v>4940</v>
      </c>
      <c r="H26" s="13">
        <v>46302.314618055556</v>
      </c>
    </row>
    <row r="27" spans="1:8">
      <c r="A27" s="11" t="s">
        <v>108</v>
      </c>
      <c r="B27" s="11" t="s">
        <v>4937</v>
      </c>
      <c r="C27" s="11" t="s">
        <v>4938</v>
      </c>
      <c r="D27" s="11" t="s">
        <v>16</v>
      </c>
      <c r="E27" s="11" t="s">
        <v>37</v>
      </c>
      <c r="F27" s="11" t="s">
        <v>4974</v>
      </c>
      <c r="G27" s="11" t="s">
        <v>4940</v>
      </c>
      <c r="H27" s="13">
        <v>46302.314618055556</v>
      </c>
    </row>
    <row r="28" spans="1:8">
      <c r="A28" s="11" t="s">
        <v>105</v>
      </c>
      <c r="B28" s="11" t="s">
        <v>4942</v>
      </c>
      <c r="C28" s="11" t="s">
        <v>4943</v>
      </c>
      <c r="D28" s="11" t="s">
        <v>17</v>
      </c>
      <c r="E28" s="11" t="s">
        <v>4944</v>
      </c>
      <c r="F28" s="11" t="s">
        <v>4945</v>
      </c>
      <c r="G28" s="11" t="s">
        <v>4940</v>
      </c>
      <c r="H28" s="13">
        <v>46302.314618055556</v>
      </c>
    </row>
    <row r="29" spans="1:8">
      <c r="A29" s="11" t="s">
        <v>105</v>
      </c>
      <c r="B29" s="11" t="s">
        <v>4942</v>
      </c>
      <c r="C29" s="11" t="s">
        <v>4943</v>
      </c>
      <c r="D29" s="11" t="s">
        <v>18</v>
      </c>
      <c r="E29" s="11" t="s">
        <v>4944</v>
      </c>
      <c r="F29" s="11" t="s">
        <v>4941</v>
      </c>
      <c r="G29" s="11" t="s">
        <v>4940</v>
      </c>
      <c r="H29" s="13">
        <v>46302.314618055556</v>
      </c>
    </row>
    <row r="30" spans="1:8">
      <c r="A30" s="11" t="s">
        <v>105</v>
      </c>
      <c r="B30" s="11" t="s">
        <v>4942</v>
      </c>
      <c r="C30" s="11" t="s">
        <v>4943</v>
      </c>
      <c r="D30" s="11" t="s">
        <v>18</v>
      </c>
      <c r="E30" s="11" t="s">
        <v>4944</v>
      </c>
      <c r="F30" s="11" t="s">
        <v>4965</v>
      </c>
      <c r="G30" s="11" t="s">
        <v>4940</v>
      </c>
      <c r="H30" s="13">
        <v>46302.314618055556</v>
      </c>
    </row>
    <row r="31" spans="1:8">
      <c r="A31" s="11" t="s">
        <v>105</v>
      </c>
      <c r="B31" s="11" t="s">
        <v>4942</v>
      </c>
      <c r="C31" s="11" t="s">
        <v>4943</v>
      </c>
      <c r="D31" s="11" t="s">
        <v>13</v>
      </c>
      <c r="E31" s="11" t="s">
        <v>4944</v>
      </c>
      <c r="F31" s="11" t="s">
        <v>4982</v>
      </c>
      <c r="G31" s="11" t="s">
        <v>4940</v>
      </c>
      <c r="H31" s="13">
        <v>46302.314618055556</v>
      </c>
    </row>
    <row r="32" spans="1:8">
      <c r="A32" s="11" t="s">
        <v>105</v>
      </c>
      <c r="B32" s="11" t="s">
        <v>4942</v>
      </c>
      <c r="C32" s="11" t="s">
        <v>4943</v>
      </c>
      <c r="D32" s="11" t="s">
        <v>15</v>
      </c>
      <c r="E32" s="11" t="s">
        <v>4944</v>
      </c>
      <c r="F32" s="11" t="s">
        <v>4958</v>
      </c>
      <c r="G32" s="11" t="s">
        <v>4940</v>
      </c>
      <c r="H32" s="13">
        <v>46302.314618055556</v>
      </c>
    </row>
    <row r="33" spans="1:8">
      <c r="A33" s="11" t="s">
        <v>105</v>
      </c>
      <c r="B33" s="11" t="s">
        <v>4949</v>
      </c>
      <c r="C33" s="11" t="s">
        <v>4950</v>
      </c>
      <c r="D33" s="11" t="s">
        <v>16</v>
      </c>
      <c r="E33" s="11" t="s">
        <v>4944</v>
      </c>
      <c r="F33" s="11" t="s">
        <v>4946</v>
      </c>
      <c r="G33" s="11" t="s">
        <v>4940</v>
      </c>
      <c r="H33" s="13">
        <v>46302.314618055556</v>
      </c>
    </row>
    <row r="34" spans="1:8">
      <c r="A34" s="11" t="s">
        <v>105</v>
      </c>
      <c r="B34" s="11" t="s">
        <v>4959</v>
      </c>
      <c r="C34" s="11" t="s">
        <v>4960</v>
      </c>
      <c r="D34" s="11" t="s">
        <v>16</v>
      </c>
      <c r="E34" s="11" t="s">
        <v>4954</v>
      </c>
      <c r="F34" s="11" t="s">
        <v>4958</v>
      </c>
      <c r="G34" s="11" t="s">
        <v>4940</v>
      </c>
      <c r="H34" s="13">
        <v>46302.314618055556</v>
      </c>
    </row>
    <row r="35" spans="1:8">
      <c r="A35" s="11" t="s">
        <v>105</v>
      </c>
      <c r="B35" s="11" t="s">
        <v>4962</v>
      </c>
      <c r="C35" s="11" t="s">
        <v>4963</v>
      </c>
      <c r="D35" s="11" t="s">
        <v>17</v>
      </c>
      <c r="E35" s="11" t="s">
        <v>4954</v>
      </c>
      <c r="F35" s="11" t="s">
        <v>4945</v>
      </c>
      <c r="G35" s="11" t="s">
        <v>4940</v>
      </c>
      <c r="H35" s="13">
        <v>46302.314618055556</v>
      </c>
    </row>
    <row r="36" spans="1:8">
      <c r="A36" s="11" t="s">
        <v>105</v>
      </c>
      <c r="B36" s="11" t="s">
        <v>4962</v>
      </c>
      <c r="C36" s="11" t="s">
        <v>4963</v>
      </c>
      <c r="D36" s="11" t="s">
        <v>13</v>
      </c>
      <c r="E36" s="11" t="s">
        <v>4954</v>
      </c>
      <c r="F36" s="11" t="s">
        <v>4983</v>
      </c>
      <c r="G36" s="11" t="s">
        <v>4940</v>
      </c>
      <c r="H36" s="13">
        <v>46302.314618055556</v>
      </c>
    </row>
    <row r="37" spans="1:8">
      <c r="A37" s="11" t="s">
        <v>105</v>
      </c>
      <c r="B37" s="11" t="s">
        <v>4966</v>
      </c>
      <c r="C37" s="11" t="s">
        <v>4967</v>
      </c>
      <c r="D37" s="11" t="s">
        <v>18</v>
      </c>
      <c r="E37" s="11" t="s">
        <v>4954</v>
      </c>
      <c r="F37" s="11" t="s">
        <v>4945</v>
      </c>
      <c r="G37" s="11" t="s">
        <v>4940</v>
      </c>
      <c r="H37" s="13">
        <v>46302.314618055556</v>
      </c>
    </row>
    <row r="38" spans="1:8">
      <c r="A38" s="11" t="s">
        <v>105</v>
      </c>
      <c r="B38" s="11" t="s">
        <v>4966</v>
      </c>
      <c r="C38" s="11" t="s">
        <v>4967</v>
      </c>
      <c r="D38" s="11" t="s">
        <v>18</v>
      </c>
      <c r="E38" s="11" t="s">
        <v>4954</v>
      </c>
      <c r="F38" s="11" t="s">
        <v>4955</v>
      </c>
      <c r="G38" s="11" t="s">
        <v>4940</v>
      </c>
      <c r="H38" s="13">
        <v>46302.314618055556</v>
      </c>
    </row>
    <row r="39" spans="1:8">
      <c r="A39" s="11" t="s">
        <v>105</v>
      </c>
      <c r="B39" s="11" t="s">
        <v>4966</v>
      </c>
      <c r="C39" s="11" t="s">
        <v>4967</v>
      </c>
      <c r="D39" s="11" t="s">
        <v>15</v>
      </c>
      <c r="E39" s="11" t="s">
        <v>4954</v>
      </c>
      <c r="F39" s="11" t="s">
        <v>4984</v>
      </c>
      <c r="G39" s="11" t="s">
        <v>4940</v>
      </c>
      <c r="H39" s="13">
        <v>46302.314618055556</v>
      </c>
    </row>
    <row r="40" spans="1:8">
      <c r="A40" s="11" t="s">
        <v>105</v>
      </c>
      <c r="B40" s="11" t="s">
        <v>4968</v>
      </c>
      <c r="C40" s="11" t="s">
        <v>4969</v>
      </c>
      <c r="D40" s="11" t="s">
        <v>16</v>
      </c>
      <c r="E40" s="11" t="s">
        <v>37</v>
      </c>
      <c r="F40" s="11" t="s">
        <v>4939</v>
      </c>
      <c r="G40" s="11" t="s">
        <v>4940</v>
      </c>
      <c r="H40" s="13">
        <v>46302.314618055556</v>
      </c>
    </row>
    <row r="41" spans="1:8">
      <c r="A41" s="11" t="s">
        <v>105</v>
      </c>
      <c r="B41" s="11" t="s">
        <v>4968</v>
      </c>
      <c r="C41" s="11" t="s">
        <v>4969</v>
      </c>
      <c r="D41" s="11" t="s">
        <v>15</v>
      </c>
      <c r="E41" s="11" t="s">
        <v>37</v>
      </c>
      <c r="F41" s="11" t="s">
        <v>4945</v>
      </c>
      <c r="G41" s="11" t="s">
        <v>4940</v>
      </c>
      <c r="H41" s="13">
        <v>46302.314618055556</v>
      </c>
    </row>
    <row r="42" spans="1:8">
      <c r="A42" s="11" t="s">
        <v>105</v>
      </c>
      <c r="B42" s="11" t="s">
        <v>4970</v>
      </c>
      <c r="C42" s="11" t="s">
        <v>4971</v>
      </c>
      <c r="D42" s="11" t="s">
        <v>16</v>
      </c>
      <c r="E42" s="11" t="s">
        <v>37</v>
      </c>
      <c r="F42" s="11" t="s">
        <v>4945</v>
      </c>
      <c r="G42" s="11" t="s">
        <v>4940</v>
      </c>
      <c r="H42" s="13">
        <v>46302.314618055556</v>
      </c>
    </row>
    <row r="43" spans="1:8">
      <c r="A43" s="11" t="s">
        <v>105</v>
      </c>
      <c r="B43" s="11" t="s">
        <v>4972</v>
      </c>
      <c r="C43" s="11" t="s">
        <v>4973</v>
      </c>
      <c r="D43" s="11" t="s">
        <v>17</v>
      </c>
      <c r="E43" s="11" t="s">
        <v>37</v>
      </c>
      <c r="F43" s="11" t="s">
        <v>4964</v>
      </c>
      <c r="G43" s="11" t="s">
        <v>4940</v>
      </c>
      <c r="H43" s="13">
        <v>46302.314618055556</v>
      </c>
    </row>
    <row r="44" spans="1:8">
      <c r="A44" s="11" t="s">
        <v>105</v>
      </c>
      <c r="B44" s="11" t="s">
        <v>4972</v>
      </c>
      <c r="C44" s="11" t="s">
        <v>4973</v>
      </c>
      <c r="D44" s="11" t="s">
        <v>13</v>
      </c>
      <c r="E44" s="11" t="s">
        <v>37</v>
      </c>
      <c r="F44" s="11" t="s">
        <v>4964</v>
      </c>
      <c r="G44" s="11" t="s">
        <v>4940</v>
      </c>
      <c r="H44" s="13">
        <v>46302.314618055556</v>
      </c>
    </row>
    <row r="45" spans="1:8">
      <c r="A45" s="11" t="s">
        <v>105</v>
      </c>
      <c r="B45" s="11" t="s">
        <v>4985</v>
      </c>
      <c r="C45" s="11" t="s">
        <v>4986</v>
      </c>
      <c r="D45" s="11" t="s">
        <v>16</v>
      </c>
      <c r="E45" s="11" t="s">
        <v>37</v>
      </c>
      <c r="F45" s="11" t="s">
        <v>4941</v>
      </c>
      <c r="G45" s="11" t="s">
        <v>4940</v>
      </c>
      <c r="H45" s="13">
        <v>46302.314618055556</v>
      </c>
    </row>
    <row r="46" spans="1:8">
      <c r="A46" s="11" t="s">
        <v>105</v>
      </c>
      <c r="B46" s="11" t="s">
        <v>4987</v>
      </c>
      <c r="C46" s="11" t="s">
        <v>4988</v>
      </c>
      <c r="D46" s="11" t="s">
        <v>16</v>
      </c>
      <c r="E46" s="11" t="s">
        <v>37</v>
      </c>
      <c r="F46" s="11" t="s">
        <v>4945</v>
      </c>
      <c r="G46" s="11" t="s">
        <v>4940</v>
      </c>
      <c r="H46" s="13">
        <v>46302.314618055556</v>
      </c>
    </row>
    <row r="47" spans="1:8">
      <c r="A47" s="11" t="s">
        <v>105</v>
      </c>
      <c r="B47" s="11" t="s">
        <v>4989</v>
      </c>
      <c r="C47" s="11" t="s">
        <v>4990</v>
      </c>
      <c r="D47" s="11" t="s">
        <v>18</v>
      </c>
      <c r="E47" s="11" t="s">
        <v>37</v>
      </c>
      <c r="F47" s="11" t="s">
        <v>4941</v>
      </c>
      <c r="G47" s="11" t="s">
        <v>4940</v>
      </c>
      <c r="H47" s="13">
        <v>46302.314618055556</v>
      </c>
    </row>
    <row r="48" spans="1:8">
      <c r="A48" s="11" t="s">
        <v>105</v>
      </c>
      <c r="B48" s="11" t="s">
        <v>4989</v>
      </c>
      <c r="C48" s="11" t="s">
        <v>4990</v>
      </c>
      <c r="D48" s="11" t="s">
        <v>15</v>
      </c>
      <c r="E48" s="11" t="s">
        <v>37</v>
      </c>
      <c r="F48" s="11" t="s">
        <v>4939</v>
      </c>
      <c r="G48" s="11" t="s">
        <v>4940</v>
      </c>
      <c r="H48" s="13">
        <v>46302.314618055556</v>
      </c>
    </row>
    <row r="49" spans="1:8">
      <c r="A49" s="11" t="s">
        <v>105</v>
      </c>
      <c r="B49" s="11" t="s">
        <v>4977</v>
      </c>
      <c r="C49" s="11" t="s">
        <v>4978</v>
      </c>
      <c r="D49" s="11" t="s">
        <v>18</v>
      </c>
      <c r="E49" s="11" t="s">
        <v>37</v>
      </c>
      <c r="F49" s="11" t="s">
        <v>4939</v>
      </c>
      <c r="G49" s="11" t="s">
        <v>4940</v>
      </c>
      <c r="H49" s="13">
        <v>46302.314618055556</v>
      </c>
    </row>
    <row r="50" spans="1:8">
      <c r="A50" s="11" t="s">
        <v>105</v>
      </c>
      <c r="B50" s="11" t="s">
        <v>4977</v>
      </c>
      <c r="C50" s="11" t="s">
        <v>4978</v>
      </c>
      <c r="D50" s="11" t="s">
        <v>15</v>
      </c>
      <c r="E50" s="11" t="s">
        <v>37</v>
      </c>
      <c r="F50" s="11" t="s">
        <v>4941</v>
      </c>
      <c r="G50" s="11" t="s">
        <v>4940</v>
      </c>
      <c r="H50" s="13">
        <v>46302.314618055556</v>
      </c>
    </row>
    <row r="51" spans="1:8">
      <c r="A51" s="11" t="s">
        <v>105</v>
      </c>
      <c r="B51" s="11" t="s">
        <v>4979</v>
      </c>
      <c r="C51" s="11" t="s">
        <v>4980</v>
      </c>
      <c r="D51" s="11" t="s">
        <v>13</v>
      </c>
      <c r="E51" s="11" t="s">
        <v>37</v>
      </c>
      <c r="F51" s="11" t="s">
        <v>4958</v>
      </c>
      <c r="G51" s="11" t="s">
        <v>4940</v>
      </c>
      <c r="H51" s="13">
        <v>46302.314618055556</v>
      </c>
    </row>
    <row r="52" spans="1:8">
      <c r="A52" s="11" t="s">
        <v>4991</v>
      </c>
      <c r="B52" s="11" t="s">
        <v>4942</v>
      </c>
      <c r="C52" s="11" t="s">
        <v>4943</v>
      </c>
      <c r="D52" s="11" t="s">
        <v>17</v>
      </c>
      <c r="E52" s="11" t="s">
        <v>4944</v>
      </c>
      <c r="F52" s="11" t="s">
        <v>4964</v>
      </c>
      <c r="G52" s="11" t="s">
        <v>4940</v>
      </c>
      <c r="H52" s="13">
        <v>46302.314618055556</v>
      </c>
    </row>
    <row r="53" spans="1:8">
      <c r="A53" s="11" t="s">
        <v>4991</v>
      </c>
      <c r="B53" s="11" t="s">
        <v>4942</v>
      </c>
      <c r="C53" s="11" t="s">
        <v>4943</v>
      </c>
      <c r="D53" s="11" t="s">
        <v>13</v>
      </c>
      <c r="E53" s="11" t="s">
        <v>4944</v>
      </c>
      <c r="F53" s="11" t="s">
        <v>4992</v>
      </c>
      <c r="G53" s="11" t="s">
        <v>4940</v>
      </c>
      <c r="H53" s="13">
        <v>46302.314618055556</v>
      </c>
    </row>
    <row r="54" spans="1:8">
      <c r="A54" s="11" t="s">
        <v>4991</v>
      </c>
      <c r="B54" s="11" t="s">
        <v>4942</v>
      </c>
      <c r="C54" s="11" t="s">
        <v>4943</v>
      </c>
      <c r="D54" s="11" t="s">
        <v>15</v>
      </c>
      <c r="E54" s="11" t="s">
        <v>4944</v>
      </c>
      <c r="F54" s="11" t="s">
        <v>4945</v>
      </c>
      <c r="G54" s="11" t="s">
        <v>4940</v>
      </c>
      <c r="H54" s="13">
        <v>46302.314618055556</v>
      </c>
    </row>
    <row r="55" spans="1:8">
      <c r="A55" s="11" t="s">
        <v>4991</v>
      </c>
      <c r="B55" s="11" t="s">
        <v>4949</v>
      </c>
      <c r="C55" s="11" t="s">
        <v>4950</v>
      </c>
      <c r="D55" s="11" t="s">
        <v>16</v>
      </c>
      <c r="E55" s="11" t="s">
        <v>4944</v>
      </c>
      <c r="F55" s="11" t="s">
        <v>4965</v>
      </c>
      <c r="G55" s="11" t="s">
        <v>4940</v>
      </c>
      <c r="H55" s="13">
        <v>46302.314618055556</v>
      </c>
    </row>
    <row r="56" spans="1:8">
      <c r="A56" s="11" t="s">
        <v>4991</v>
      </c>
      <c r="B56" s="11" t="s">
        <v>4952</v>
      </c>
      <c r="C56" s="11" t="s">
        <v>4953</v>
      </c>
      <c r="D56" s="11" t="s">
        <v>16</v>
      </c>
      <c r="E56" s="11" t="s">
        <v>4954</v>
      </c>
      <c r="F56" s="11" t="s">
        <v>4964</v>
      </c>
      <c r="G56" s="11" t="s">
        <v>4940</v>
      </c>
      <c r="H56" s="13">
        <v>46302.314618055556</v>
      </c>
    </row>
    <row r="57" spans="1:8">
      <c r="A57" s="11" t="s">
        <v>4991</v>
      </c>
      <c r="B57" s="11" t="s">
        <v>4993</v>
      </c>
      <c r="C57" s="11" t="s">
        <v>4994</v>
      </c>
      <c r="D57" s="11" t="s">
        <v>16</v>
      </c>
      <c r="E57" s="11" t="s">
        <v>4954</v>
      </c>
      <c r="F57" s="11" t="s">
        <v>4955</v>
      </c>
      <c r="G57" s="11" t="s">
        <v>4940</v>
      </c>
      <c r="H57" s="13">
        <v>46302.314618055556</v>
      </c>
    </row>
    <row r="58" spans="1:8">
      <c r="A58" s="11" t="s">
        <v>4991</v>
      </c>
      <c r="B58" s="11" t="s">
        <v>4956</v>
      </c>
      <c r="C58" s="11" t="s">
        <v>4957</v>
      </c>
      <c r="D58" s="11" t="s">
        <v>16</v>
      </c>
      <c r="E58" s="11" t="s">
        <v>4954</v>
      </c>
      <c r="F58" s="11" t="s">
        <v>4939</v>
      </c>
      <c r="G58" s="11" t="s">
        <v>4940</v>
      </c>
      <c r="H58" s="13">
        <v>46302.314618055556</v>
      </c>
    </row>
    <row r="59" spans="1:8">
      <c r="A59" s="11" t="s">
        <v>4991</v>
      </c>
      <c r="B59" s="11" t="s">
        <v>4959</v>
      </c>
      <c r="C59" s="11" t="s">
        <v>4960</v>
      </c>
      <c r="D59" s="11" t="s">
        <v>16</v>
      </c>
      <c r="E59" s="11" t="s">
        <v>4954</v>
      </c>
      <c r="F59" s="11" t="s">
        <v>4995</v>
      </c>
      <c r="G59" s="11" t="s">
        <v>4940</v>
      </c>
      <c r="H59" s="13">
        <v>46302.314618055556</v>
      </c>
    </row>
    <row r="60" spans="1:8">
      <c r="A60" s="11" t="s">
        <v>4991</v>
      </c>
      <c r="B60" s="11" t="s">
        <v>4996</v>
      </c>
      <c r="C60" s="11" t="s">
        <v>4997</v>
      </c>
      <c r="D60" s="11" t="s">
        <v>16</v>
      </c>
      <c r="E60" s="11" t="s">
        <v>4954</v>
      </c>
      <c r="F60" s="11" t="s">
        <v>4955</v>
      </c>
      <c r="G60" s="11" t="s">
        <v>4940</v>
      </c>
      <c r="H60" s="13">
        <v>46302.314618055556</v>
      </c>
    </row>
    <row r="61" spans="1:8">
      <c r="A61" s="11" t="s">
        <v>4991</v>
      </c>
      <c r="B61" s="11" t="s">
        <v>4998</v>
      </c>
      <c r="C61" s="11" t="s">
        <v>4999</v>
      </c>
      <c r="D61" s="11" t="s">
        <v>17</v>
      </c>
      <c r="E61" s="11" t="s">
        <v>4954</v>
      </c>
      <c r="F61" s="11" t="s">
        <v>4965</v>
      </c>
      <c r="G61" s="11" t="s">
        <v>4940</v>
      </c>
      <c r="H61" s="13">
        <v>46302.314618055556</v>
      </c>
    </row>
    <row r="62" spans="1:8">
      <c r="A62" s="11" t="s">
        <v>4991</v>
      </c>
      <c r="B62" s="11" t="s">
        <v>4962</v>
      </c>
      <c r="C62" s="11" t="s">
        <v>4963</v>
      </c>
      <c r="D62" s="11" t="s">
        <v>17</v>
      </c>
      <c r="E62" s="11" t="s">
        <v>4954</v>
      </c>
      <c r="F62" s="11" t="s">
        <v>5000</v>
      </c>
      <c r="G62" s="11" t="s">
        <v>4940</v>
      </c>
      <c r="H62" s="13">
        <v>46302.314618055556</v>
      </c>
    </row>
    <row r="63" spans="1:8">
      <c r="A63" s="11" t="s">
        <v>4991</v>
      </c>
      <c r="B63" s="11" t="s">
        <v>4962</v>
      </c>
      <c r="C63" s="11" t="s">
        <v>4963</v>
      </c>
      <c r="D63" s="11" t="s">
        <v>13</v>
      </c>
      <c r="E63" s="11" t="s">
        <v>4954</v>
      </c>
      <c r="F63" s="11" t="s">
        <v>4984</v>
      </c>
      <c r="G63" s="11" t="s">
        <v>4940</v>
      </c>
      <c r="H63" s="13">
        <v>46302.314618055556</v>
      </c>
    </row>
    <row r="64" spans="1:8">
      <c r="A64" s="11" t="s">
        <v>4991</v>
      </c>
      <c r="B64" s="11" t="s">
        <v>4966</v>
      </c>
      <c r="C64" s="11" t="s">
        <v>4967</v>
      </c>
      <c r="D64" s="11" t="s">
        <v>18</v>
      </c>
      <c r="E64" s="11" t="s">
        <v>4954</v>
      </c>
      <c r="F64" s="11" t="s">
        <v>5001</v>
      </c>
      <c r="G64" s="11" t="s">
        <v>4940</v>
      </c>
      <c r="H64" s="13">
        <v>46302.314618055556</v>
      </c>
    </row>
    <row r="65" spans="1:8">
      <c r="A65" s="11" t="s">
        <v>4991</v>
      </c>
      <c r="B65" s="11" t="s">
        <v>4966</v>
      </c>
      <c r="C65" s="11" t="s">
        <v>4967</v>
      </c>
      <c r="D65" s="11" t="s">
        <v>18</v>
      </c>
      <c r="E65" s="11" t="s">
        <v>4954</v>
      </c>
      <c r="F65" s="11" t="s">
        <v>4939</v>
      </c>
      <c r="G65" s="11" t="s">
        <v>4940</v>
      </c>
      <c r="H65" s="13">
        <v>46302.314618055556</v>
      </c>
    </row>
    <row r="66" spans="1:8">
      <c r="A66" s="11" t="s">
        <v>4991</v>
      </c>
      <c r="B66" s="11" t="s">
        <v>4966</v>
      </c>
      <c r="C66" s="11" t="s">
        <v>4967</v>
      </c>
      <c r="D66" s="11" t="s">
        <v>13</v>
      </c>
      <c r="E66" s="11" t="s">
        <v>4954</v>
      </c>
      <c r="F66" s="11" t="s">
        <v>4955</v>
      </c>
      <c r="G66" s="11" t="s">
        <v>4940</v>
      </c>
      <c r="H66" s="13">
        <v>46302.314618055556</v>
      </c>
    </row>
    <row r="67" spans="1:8">
      <c r="A67" s="11" t="s">
        <v>4991</v>
      </c>
      <c r="B67" s="11" t="s">
        <v>4966</v>
      </c>
      <c r="C67" s="11" t="s">
        <v>4967</v>
      </c>
      <c r="D67" s="11" t="s">
        <v>15</v>
      </c>
      <c r="E67" s="11" t="s">
        <v>4954</v>
      </c>
      <c r="F67" s="11" t="s">
        <v>4981</v>
      </c>
      <c r="G67" s="11" t="s">
        <v>4940</v>
      </c>
      <c r="H67" s="13">
        <v>46302.314618055556</v>
      </c>
    </row>
    <row r="68" spans="1:8">
      <c r="A68" s="11" t="s">
        <v>4991</v>
      </c>
      <c r="B68" s="11" t="s">
        <v>4968</v>
      </c>
      <c r="C68" s="11" t="s">
        <v>4969</v>
      </c>
      <c r="D68" s="11" t="s">
        <v>16</v>
      </c>
      <c r="E68" s="11" t="s">
        <v>37</v>
      </c>
      <c r="F68" s="11" t="s">
        <v>4955</v>
      </c>
      <c r="G68" s="11" t="s">
        <v>4940</v>
      </c>
      <c r="H68" s="13">
        <v>46302.314618055556</v>
      </c>
    </row>
    <row r="69" spans="1:8">
      <c r="A69" s="11" t="s">
        <v>4991</v>
      </c>
      <c r="B69" s="11" t="s">
        <v>4968</v>
      </c>
      <c r="C69" s="11" t="s">
        <v>4969</v>
      </c>
      <c r="D69" s="11" t="s">
        <v>15</v>
      </c>
      <c r="E69" s="11" t="s">
        <v>37</v>
      </c>
      <c r="F69" s="11" t="s">
        <v>4941</v>
      </c>
      <c r="G69" s="11" t="s">
        <v>4940</v>
      </c>
      <c r="H69" s="13">
        <v>46302.314618055556</v>
      </c>
    </row>
    <row r="70" spans="1:8">
      <c r="A70" s="11" t="s">
        <v>4991</v>
      </c>
      <c r="B70" s="11" t="s">
        <v>4970</v>
      </c>
      <c r="C70" s="11" t="s">
        <v>4971</v>
      </c>
      <c r="D70" s="11" t="s">
        <v>18</v>
      </c>
      <c r="E70" s="11" t="s">
        <v>37</v>
      </c>
      <c r="F70" s="11" t="s">
        <v>4955</v>
      </c>
      <c r="G70" s="11" t="s">
        <v>4940</v>
      </c>
      <c r="H70" s="13">
        <v>46302.314618055556</v>
      </c>
    </row>
    <row r="71" spans="1:8">
      <c r="A71" s="11" t="s">
        <v>4991</v>
      </c>
      <c r="B71" s="11" t="s">
        <v>4970</v>
      </c>
      <c r="C71" s="11" t="s">
        <v>4971</v>
      </c>
      <c r="D71" s="11" t="s">
        <v>18</v>
      </c>
      <c r="E71" s="11" t="s">
        <v>37</v>
      </c>
      <c r="F71" s="11" t="s">
        <v>4955</v>
      </c>
      <c r="G71" s="11" t="s">
        <v>4940</v>
      </c>
      <c r="H71" s="13">
        <v>46302.314618055556</v>
      </c>
    </row>
    <row r="72" spans="1:8">
      <c r="A72" s="11" t="s">
        <v>4991</v>
      </c>
      <c r="B72" s="11" t="s">
        <v>4970</v>
      </c>
      <c r="C72" s="11" t="s">
        <v>4971</v>
      </c>
      <c r="D72" s="11" t="s">
        <v>15</v>
      </c>
      <c r="E72" s="11" t="s">
        <v>37</v>
      </c>
      <c r="F72" s="11" t="s">
        <v>4939</v>
      </c>
      <c r="G72" s="11" t="s">
        <v>4940</v>
      </c>
      <c r="H72" s="13">
        <v>46302.314618055556</v>
      </c>
    </row>
    <row r="73" spans="1:8">
      <c r="A73" s="11" t="s">
        <v>4991</v>
      </c>
      <c r="B73" s="11" t="s">
        <v>4975</v>
      </c>
      <c r="C73" s="11" t="s">
        <v>4976</v>
      </c>
      <c r="D73" s="11" t="s">
        <v>18</v>
      </c>
      <c r="E73" s="11" t="s">
        <v>37</v>
      </c>
      <c r="F73" s="11" t="s">
        <v>4955</v>
      </c>
      <c r="G73" s="11" t="s">
        <v>4940</v>
      </c>
      <c r="H73" s="13">
        <v>46302.314618055556</v>
      </c>
    </row>
    <row r="74" spans="1:8">
      <c r="A74" s="11" t="s">
        <v>4991</v>
      </c>
      <c r="B74" s="11" t="s">
        <v>4975</v>
      </c>
      <c r="C74" s="11" t="s">
        <v>4976</v>
      </c>
      <c r="D74" s="11" t="s">
        <v>15</v>
      </c>
      <c r="E74" s="11" t="s">
        <v>37</v>
      </c>
      <c r="F74" s="11" t="s">
        <v>4955</v>
      </c>
      <c r="G74" s="11" t="s">
        <v>4940</v>
      </c>
      <c r="H74" s="13">
        <v>46302.314618055556</v>
      </c>
    </row>
    <row r="75" spans="1:8">
      <c r="A75" s="11" t="s">
        <v>4991</v>
      </c>
      <c r="B75" s="11" t="s">
        <v>4989</v>
      </c>
      <c r="C75" s="11" t="s">
        <v>4990</v>
      </c>
      <c r="D75" s="11" t="s">
        <v>17</v>
      </c>
      <c r="E75" s="11" t="s">
        <v>37</v>
      </c>
      <c r="F75" s="11" t="s">
        <v>5000</v>
      </c>
      <c r="G75" s="11" t="s">
        <v>4940</v>
      </c>
      <c r="H75" s="13">
        <v>46302.314618055556</v>
      </c>
    </row>
    <row r="76" spans="1:8">
      <c r="A76" s="11" t="s">
        <v>4991</v>
      </c>
      <c r="B76" s="11" t="s">
        <v>4989</v>
      </c>
      <c r="C76" s="11" t="s">
        <v>4990</v>
      </c>
      <c r="D76" s="11" t="s">
        <v>13</v>
      </c>
      <c r="E76" s="11" t="s">
        <v>37</v>
      </c>
      <c r="F76" s="11" t="s">
        <v>4939</v>
      </c>
      <c r="G76" s="11" t="s">
        <v>4940</v>
      </c>
      <c r="H76" s="13">
        <v>46302.314618055556</v>
      </c>
    </row>
    <row r="77" spans="1:8">
      <c r="A77" s="11" t="s">
        <v>4991</v>
      </c>
      <c r="B77" s="11" t="s">
        <v>4979</v>
      </c>
      <c r="C77" s="11" t="s">
        <v>4980</v>
      </c>
      <c r="D77" s="11" t="s">
        <v>13</v>
      </c>
      <c r="E77" s="11" t="s">
        <v>37</v>
      </c>
      <c r="F77" s="11" t="s">
        <v>4958</v>
      </c>
      <c r="G77" s="11" t="s">
        <v>4940</v>
      </c>
      <c r="H77" s="13">
        <v>46302.314618055556</v>
      </c>
    </row>
    <row r="78" spans="1:8">
      <c r="A78" s="11" t="s">
        <v>4991</v>
      </c>
      <c r="B78" s="11" t="s">
        <v>5002</v>
      </c>
      <c r="C78" s="11" t="s">
        <v>5003</v>
      </c>
      <c r="D78" s="11" t="s">
        <v>17</v>
      </c>
      <c r="E78" s="11" t="s">
        <v>37</v>
      </c>
      <c r="F78" s="11" t="s">
        <v>4965</v>
      </c>
      <c r="G78" s="11" t="s">
        <v>4940</v>
      </c>
      <c r="H78" s="13">
        <v>46302.314618055556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8AE9-0FD0-4EF5-8D18-93BA9836B6C6}">
  <sheetPr codeName="Sheet10">
    <tabColor rgb="FF808080"/>
  </sheetPr>
  <dimension ref="A1:F5"/>
  <sheetViews>
    <sheetView workbookViewId="0">
      <pane ySplit="1" topLeftCell="A2" activePane="bottomLeft" state="frozen"/>
      <selection pane="bottomLeft" activeCell="J36" sqref="J36"/>
    </sheetView>
  </sheetViews>
  <sheetFormatPr defaultRowHeight="14.25"/>
  <cols>
    <col min="1" max="1" width="20.625" customWidth="1"/>
    <col min="2" max="2" width="50.625" customWidth="1"/>
    <col min="6" max="6" width="40.625" customWidth="1"/>
  </cols>
  <sheetData>
    <row r="1" spans="1:6">
      <c r="A1" s="5" t="s">
        <v>30</v>
      </c>
      <c r="B1" s="5" t="s">
        <v>31</v>
      </c>
      <c r="C1" s="5" t="s">
        <v>32</v>
      </c>
      <c r="D1" s="5" t="s">
        <v>33</v>
      </c>
      <c r="E1" s="5" t="s">
        <v>34</v>
      </c>
      <c r="F1" s="5" t="s">
        <v>35</v>
      </c>
    </row>
    <row r="2" spans="1:6">
      <c r="A2" s="14">
        <v>46301.937754629631</v>
      </c>
      <c r="B2" t="s">
        <v>137</v>
      </c>
      <c r="C2" t="s">
        <v>4932</v>
      </c>
      <c r="D2">
        <v>1733</v>
      </c>
      <c r="E2">
        <v>0</v>
      </c>
      <c r="F2" t="s">
        <v>106</v>
      </c>
    </row>
    <row r="3" spans="1:6">
      <c r="A3" s="14">
        <v>46301.937754629631</v>
      </c>
      <c r="B3" t="s">
        <v>4940</v>
      </c>
      <c r="C3" t="s">
        <v>5004</v>
      </c>
      <c r="D3">
        <v>77</v>
      </c>
      <c r="E3">
        <v>0</v>
      </c>
      <c r="F3" t="s">
        <v>106</v>
      </c>
    </row>
    <row r="4" spans="1:6">
      <c r="A4" s="14">
        <v>46302.314618055556</v>
      </c>
      <c r="B4" t="s">
        <v>137</v>
      </c>
      <c r="C4" t="s">
        <v>4932</v>
      </c>
      <c r="D4">
        <v>0</v>
      </c>
      <c r="E4">
        <v>1733</v>
      </c>
      <c r="F4" t="s">
        <v>106</v>
      </c>
    </row>
    <row r="5" spans="1:6">
      <c r="A5" s="14">
        <v>46302.314618055556</v>
      </c>
      <c r="B5" t="s">
        <v>4940</v>
      </c>
      <c r="C5" t="s">
        <v>5004</v>
      </c>
      <c r="D5">
        <v>0</v>
      </c>
      <c r="E5">
        <v>77</v>
      </c>
      <c r="F5" t="s">
        <v>106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63527-241B-49AD-95F5-741918F6555E}">
  <sheetPr>
    <tabColor theme="0" tint="-0.499984740745262"/>
  </sheetPr>
  <dimension ref="A1:F2336"/>
  <sheetViews>
    <sheetView showGridLines="0" workbookViewId="0"/>
  </sheetViews>
  <sheetFormatPr defaultRowHeight="14.25"/>
  <cols>
    <col min="1" max="1" width="6.625" customWidth="1"/>
    <col min="2" max="2" width="14.625" customWidth="1"/>
    <col min="3" max="3" width="24.625" customWidth="1"/>
    <col min="4" max="4" width="18.625" customWidth="1"/>
    <col min="5" max="5" width="120.625" customWidth="1"/>
    <col min="6" max="6" width="10.625" customWidth="1"/>
  </cols>
  <sheetData>
    <row r="1" spans="1:2" ht="19.5">
      <c r="A1" s="3" t="s">
        <v>5236</v>
      </c>
    </row>
    <row r="2" spans="1:2">
      <c r="A2" s="38" t="s">
        <v>5237</v>
      </c>
    </row>
    <row r="4" spans="1:2" ht="15.75">
      <c r="B4" s="60" t="s">
        <v>5238</v>
      </c>
    </row>
    <row r="5" spans="1:2">
      <c r="B5" t="s">
        <v>5239</v>
      </c>
    </row>
    <row r="6" spans="1:2">
      <c r="B6" t="s">
        <v>5240</v>
      </c>
    </row>
    <row r="7" spans="1:2">
      <c r="B7" t="s">
        <v>5241</v>
      </c>
    </row>
    <row r="8" spans="1:2">
      <c r="B8" t="s">
        <v>5242</v>
      </c>
    </row>
    <row r="9" spans="1:2">
      <c r="B9" t="s">
        <v>5243</v>
      </c>
    </row>
    <row r="10" spans="1:2">
      <c r="B10" t="s">
        <v>5244</v>
      </c>
    </row>
    <row r="11" spans="1:2">
      <c r="B11" t="s">
        <v>5245</v>
      </c>
    </row>
    <row r="12" spans="1:2">
      <c r="B12" t="s">
        <v>5246</v>
      </c>
    </row>
    <row r="13" spans="1:2" ht="15.75">
      <c r="B13" s="60" t="s">
        <v>5247</v>
      </c>
    </row>
    <row r="14" spans="1:2">
      <c r="B14" t="s">
        <v>5248</v>
      </c>
    </row>
    <row r="15" spans="1:2">
      <c r="B15" t="s">
        <v>5249</v>
      </c>
    </row>
    <row r="16" spans="1:2">
      <c r="B16" t="s">
        <v>5250</v>
      </c>
    </row>
    <row r="17" spans="1:6" ht="15.75">
      <c r="A17" s="60" t="s">
        <v>5251</v>
      </c>
    </row>
    <row r="18" spans="1:6">
      <c r="A18" s="61"/>
      <c r="B18" s="61" t="s">
        <v>5252</v>
      </c>
      <c r="C18" s="61" t="s">
        <v>5253</v>
      </c>
      <c r="D18" s="61"/>
      <c r="E18" s="61" t="s">
        <v>5254</v>
      </c>
    </row>
    <row r="19" spans="1:6">
      <c r="B19" t="s">
        <v>5255</v>
      </c>
      <c r="C19" t="s">
        <v>5256</v>
      </c>
      <c r="E19" t="s">
        <v>5257</v>
      </c>
    </row>
    <row r="20" spans="1:6">
      <c r="B20" t="s">
        <v>5258</v>
      </c>
      <c r="C20" t="s">
        <v>5259</v>
      </c>
      <c r="E20" t="s">
        <v>5260</v>
      </c>
    </row>
    <row r="21" spans="1:6">
      <c r="B21" t="s">
        <v>5261</v>
      </c>
      <c r="C21" t="s">
        <v>5262</v>
      </c>
      <c r="E21" t="s">
        <v>5263</v>
      </c>
    </row>
    <row r="22" spans="1:6">
      <c r="B22" t="s">
        <v>5264</v>
      </c>
      <c r="C22" t="s">
        <v>5265</v>
      </c>
      <c r="E22" t="s">
        <v>5266</v>
      </c>
    </row>
    <row r="23" spans="1:6">
      <c r="B23" t="s">
        <v>5267</v>
      </c>
      <c r="C23" t="s">
        <v>5268</v>
      </c>
      <c r="E23" t="s">
        <v>5269</v>
      </c>
    </row>
    <row r="25" spans="1:6" ht="15.75">
      <c r="A25" s="60" t="s">
        <v>5270</v>
      </c>
    </row>
    <row r="26" spans="1:6">
      <c r="A26" s="61" t="s">
        <v>5271</v>
      </c>
      <c r="B26" s="61" t="s">
        <v>5272</v>
      </c>
      <c r="C26" s="61" t="s">
        <v>5273</v>
      </c>
      <c r="D26" s="61" t="s">
        <v>5274</v>
      </c>
      <c r="E26" s="61" t="s">
        <v>5275</v>
      </c>
      <c r="F26" s="61" t="s">
        <v>5276</v>
      </c>
    </row>
    <row r="27" spans="1:6">
      <c r="A27" s="63">
        <v>1</v>
      </c>
      <c r="B27" s="66" t="s">
        <v>5252</v>
      </c>
      <c r="C27" s="67" t="s">
        <v>5256</v>
      </c>
      <c r="D27" s="67" t="s">
        <v>5252</v>
      </c>
      <c r="E27" s="63" t="s">
        <v>5277</v>
      </c>
      <c r="F27" s="64" t="str">
        <f>HYPERLINK("#E208","→ 80行目")</f>
        <v>→ 80行目</v>
      </c>
    </row>
    <row r="28" spans="1:6">
      <c r="A28">
        <v>2</v>
      </c>
      <c r="B28" s="6" t="s">
        <v>5252</v>
      </c>
      <c r="C28" s="6" t="s">
        <v>5259</v>
      </c>
      <c r="D28" s="6" t="s">
        <v>5252</v>
      </c>
      <c r="E28" t="s">
        <v>5278</v>
      </c>
      <c r="F28" s="62" t="str">
        <f>HYPERLINK("#E212","→ 84行目")</f>
        <v>→ 84行目</v>
      </c>
    </row>
    <row r="29" spans="1:6">
      <c r="A29">
        <v>3</v>
      </c>
      <c r="B29" s="6" t="s">
        <v>5252</v>
      </c>
      <c r="C29" s="6" t="s">
        <v>5262</v>
      </c>
      <c r="D29" s="6" t="s">
        <v>5252</v>
      </c>
      <c r="E29" t="s">
        <v>5279</v>
      </c>
      <c r="F29" s="62" t="str">
        <f>HYPERLINK("#E216","→ 88行目")</f>
        <v>→ 88行目</v>
      </c>
    </row>
    <row r="30" spans="1:6">
      <c r="A30">
        <v>4</v>
      </c>
      <c r="B30" s="6" t="s">
        <v>5252</v>
      </c>
      <c r="C30" s="6" t="s">
        <v>5265</v>
      </c>
      <c r="D30" s="6" t="s">
        <v>5252</v>
      </c>
      <c r="E30" t="s">
        <v>5280</v>
      </c>
      <c r="F30" s="62" t="str">
        <f>HYPERLINK("#E1418","→ 1290行目")</f>
        <v>→ 1290行目</v>
      </c>
    </row>
    <row r="31" spans="1:6">
      <c r="A31">
        <v>5</v>
      </c>
      <c r="B31" s="6" t="s">
        <v>5252</v>
      </c>
      <c r="C31" s="6" t="s">
        <v>5268</v>
      </c>
      <c r="D31" s="6" t="s">
        <v>5252</v>
      </c>
      <c r="E31" t="s">
        <v>5281</v>
      </c>
      <c r="F31" s="62" t="str">
        <f>HYPERLINK("#E1426","→ 1298行目")</f>
        <v>→ 1298行目</v>
      </c>
    </row>
    <row r="32" spans="1:6">
      <c r="A32" s="63">
        <v>6</v>
      </c>
      <c r="B32" s="65" t="s">
        <v>5282</v>
      </c>
      <c r="C32" s="63" t="s">
        <v>5283</v>
      </c>
      <c r="D32" s="63" t="s">
        <v>5284</v>
      </c>
      <c r="E32" s="63" t="s">
        <v>5285</v>
      </c>
      <c r="F32" s="64" t="str">
        <f>HYPERLINK("#E223","→ 95行目")</f>
        <v>→ 95行目</v>
      </c>
    </row>
    <row r="33" spans="1:6">
      <c r="A33">
        <v>7</v>
      </c>
      <c r="B33" t="s">
        <v>5282</v>
      </c>
      <c r="C33" t="s">
        <v>5286</v>
      </c>
      <c r="D33" t="s">
        <v>5287</v>
      </c>
      <c r="E33" t="s">
        <v>5288</v>
      </c>
      <c r="F33" s="62" t="str">
        <f>HYPERLINK("#E282","→ 154行目")</f>
        <v>→ 154行目</v>
      </c>
    </row>
    <row r="34" spans="1:6">
      <c r="A34">
        <v>8</v>
      </c>
      <c r="B34" t="s">
        <v>5282</v>
      </c>
      <c r="C34" t="s">
        <v>5289</v>
      </c>
      <c r="D34" t="s">
        <v>5287</v>
      </c>
      <c r="E34" t="s">
        <v>5290</v>
      </c>
      <c r="F34" s="62" t="str">
        <f>HYPERLINK("#E299","→ 171行目")</f>
        <v>→ 171行目</v>
      </c>
    </row>
    <row r="35" spans="1:6">
      <c r="A35">
        <v>9</v>
      </c>
      <c r="B35" t="s">
        <v>5282</v>
      </c>
      <c r="C35" t="s">
        <v>5291</v>
      </c>
      <c r="D35" t="s">
        <v>5287</v>
      </c>
      <c r="E35" t="s">
        <v>5292</v>
      </c>
      <c r="F35" s="62" t="str">
        <f>HYPERLINK("#E355","→ 227行目")</f>
        <v>→ 227行目</v>
      </c>
    </row>
    <row r="36" spans="1:6">
      <c r="A36">
        <v>10</v>
      </c>
      <c r="B36" t="s">
        <v>5282</v>
      </c>
      <c r="C36" t="s">
        <v>5293</v>
      </c>
      <c r="D36" t="s">
        <v>5287</v>
      </c>
      <c r="E36" t="s">
        <v>5294</v>
      </c>
      <c r="F36" s="62" t="str">
        <f>HYPERLINK("#E418","→ 290行目")</f>
        <v>→ 290行目</v>
      </c>
    </row>
    <row r="37" spans="1:6">
      <c r="A37">
        <v>11</v>
      </c>
      <c r="B37" t="s">
        <v>5282</v>
      </c>
      <c r="C37" t="s">
        <v>5295</v>
      </c>
      <c r="D37" t="s">
        <v>5287</v>
      </c>
      <c r="E37" t="s">
        <v>5296</v>
      </c>
      <c r="F37" s="62" t="str">
        <f>HYPERLINK("#E423","→ 295行目")</f>
        <v>→ 295行目</v>
      </c>
    </row>
    <row r="38" spans="1:6">
      <c r="A38">
        <v>12</v>
      </c>
      <c r="B38" t="s">
        <v>5282</v>
      </c>
      <c r="C38" t="s">
        <v>5297</v>
      </c>
      <c r="D38" t="s">
        <v>5287</v>
      </c>
      <c r="E38" t="s">
        <v>5298</v>
      </c>
      <c r="F38" s="62" t="str">
        <f>HYPERLINK("#E451","→ 323行目")</f>
        <v>→ 323行目</v>
      </c>
    </row>
    <row r="39" spans="1:6">
      <c r="A39">
        <v>13</v>
      </c>
      <c r="B39" t="s">
        <v>5282</v>
      </c>
      <c r="C39" t="s">
        <v>5299</v>
      </c>
      <c r="D39" t="s">
        <v>5287</v>
      </c>
      <c r="E39" t="s">
        <v>5300</v>
      </c>
      <c r="F39" s="62" t="str">
        <f>HYPERLINK("#E1713","→ 1585行目")</f>
        <v>→ 1585行目</v>
      </c>
    </row>
    <row r="40" spans="1:6">
      <c r="A40">
        <v>14</v>
      </c>
      <c r="B40" t="s">
        <v>5282</v>
      </c>
      <c r="C40" t="s">
        <v>5301</v>
      </c>
      <c r="D40" t="s">
        <v>5287</v>
      </c>
      <c r="E40" t="s">
        <v>5302</v>
      </c>
      <c r="F40" s="62" t="str">
        <f>HYPERLINK("#E1911","→ 1783行目")</f>
        <v>→ 1783行目</v>
      </c>
    </row>
    <row r="41" spans="1:6">
      <c r="A41">
        <v>15</v>
      </c>
      <c r="B41" t="s">
        <v>5282</v>
      </c>
      <c r="C41" t="s">
        <v>5303</v>
      </c>
      <c r="D41" t="s">
        <v>5287</v>
      </c>
      <c r="E41" t="s">
        <v>5304</v>
      </c>
      <c r="F41" s="62" t="str">
        <f>HYPERLINK("#E1919","→ 1791行目")</f>
        <v>→ 1791行目</v>
      </c>
    </row>
    <row r="42" spans="1:6">
      <c r="A42">
        <v>16</v>
      </c>
      <c r="B42" t="s">
        <v>5282</v>
      </c>
      <c r="C42" t="s">
        <v>5305</v>
      </c>
      <c r="D42" t="s">
        <v>5287</v>
      </c>
      <c r="E42" t="s">
        <v>5306</v>
      </c>
      <c r="F42" s="62" t="str">
        <f>HYPERLINK("#E1928","→ 1800行目")</f>
        <v>→ 1800行目</v>
      </c>
    </row>
    <row r="43" spans="1:6">
      <c r="A43" s="63">
        <v>17</v>
      </c>
      <c r="B43" s="65" t="s">
        <v>5307</v>
      </c>
      <c r="C43" s="63" t="s">
        <v>5308</v>
      </c>
      <c r="D43" s="63" t="s">
        <v>5287</v>
      </c>
      <c r="E43" s="63" t="s">
        <v>5309</v>
      </c>
      <c r="F43" s="64" t="str">
        <f>HYPERLINK("#E1739","→ 1611行目")</f>
        <v>→ 1611行目</v>
      </c>
    </row>
    <row r="44" spans="1:6">
      <c r="A44">
        <v>18</v>
      </c>
      <c r="B44" t="s">
        <v>5307</v>
      </c>
      <c r="C44" t="s">
        <v>5310</v>
      </c>
      <c r="D44" t="s">
        <v>5287</v>
      </c>
      <c r="E44" t="s">
        <v>5311</v>
      </c>
      <c r="F44" s="62" t="str">
        <f>HYPERLINK("#E1750","→ 1622行目")</f>
        <v>→ 1622行目</v>
      </c>
    </row>
    <row r="45" spans="1:6">
      <c r="A45">
        <v>19</v>
      </c>
      <c r="B45" t="s">
        <v>5307</v>
      </c>
      <c r="C45" t="s">
        <v>5312</v>
      </c>
      <c r="D45" t="s">
        <v>5287</v>
      </c>
      <c r="E45" t="s">
        <v>5313</v>
      </c>
      <c r="F45" s="62" t="str">
        <f>HYPERLINK("#E1764","→ 1636行目")</f>
        <v>→ 1636行目</v>
      </c>
    </row>
    <row r="46" spans="1:6">
      <c r="A46">
        <v>20</v>
      </c>
      <c r="B46" t="s">
        <v>5307</v>
      </c>
      <c r="C46" t="s">
        <v>5314</v>
      </c>
      <c r="D46" t="s">
        <v>5287</v>
      </c>
      <c r="E46" t="s">
        <v>5315</v>
      </c>
      <c r="F46" s="62" t="str">
        <f>HYPERLINK("#E1782","→ 1654行目")</f>
        <v>→ 1654行目</v>
      </c>
    </row>
    <row r="47" spans="1:6">
      <c r="A47">
        <v>21</v>
      </c>
      <c r="B47" t="s">
        <v>5307</v>
      </c>
      <c r="C47" t="s">
        <v>5316</v>
      </c>
      <c r="D47" t="s">
        <v>5287</v>
      </c>
      <c r="E47" t="s">
        <v>5317</v>
      </c>
      <c r="F47" s="62" t="str">
        <f>HYPERLINK("#E1793","→ 1665行目")</f>
        <v>→ 1665行目</v>
      </c>
    </row>
    <row r="48" spans="1:6">
      <c r="A48">
        <v>22</v>
      </c>
      <c r="B48" t="s">
        <v>5307</v>
      </c>
      <c r="C48" t="s">
        <v>5318</v>
      </c>
      <c r="D48" t="s">
        <v>5287</v>
      </c>
      <c r="E48" t="s">
        <v>5319</v>
      </c>
      <c r="F48" s="62" t="str">
        <f>HYPERLINK("#E1843","→ 1715行目")</f>
        <v>→ 1715行目</v>
      </c>
    </row>
    <row r="49" spans="1:6">
      <c r="A49">
        <v>23</v>
      </c>
      <c r="B49" t="s">
        <v>5307</v>
      </c>
      <c r="C49" t="s">
        <v>5320</v>
      </c>
      <c r="D49" t="s">
        <v>5287</v>
      </c>
      <c r="E49" t="s">
        <v>5321</v>
      </c>
      <c r="F49" s="62" t="str">
        <f>HYPERLINK("#E1855","→ 1727行目")</f>
        <v>→ 1727行目</v>
      </c>
    </row>
    <row r="50" spans="1:6">
      <c r="A50">
        <v>24</v>
      </c>
      <c r="B50" t="s">
        <v>5307</v>
      </c>
      <c r="C50" t="s">
        <v>5322</v>
      </c>
      <c r="D50" t="s">
        <v>5287</v>
      </c>
      <c r="E50" t="s">
        <v>5323</v>
      </c>
      <c r="F50" s="62" t="str">
        <f>HYPERLINK("#E1868","→ 1740行目")</f>
        <v>→ 1740行目</v>
      </c>
    </row>
    <row r="51" spans="1:6">
      <c r="A51">
        <v>25</v>
      </c>
      <c r="B51" t="s">
        <v>5307</v>
      </c>
      <c r="C51" t="s">
        <v>5324</v>
      </c>
      <c r="D51" t="s">
        <v>5287</v>
      </c>
      <c r="E51" t="s">
        <v>5325</v>
      </c>
      <c r="F51" s="62" t="str">
        <f>HYPERLINK("#E1883","→ 1755行目")</f>
        <v>→ 1755行目</v>
      </c>
    </row>
    <row r="52" spans="1:6">
      <c r="A52">
        <v>26</v>
      </c>
      <c r="B52" t="s">
        <v>5307</v>
      </c>
      <c r="C52" t="s">
        <v>5326</v>
      </c>
      <c r="D52" t="s">
        <v>5287</v>
      </c>
      <c r="E52" t="s">
        <v>5327</v>
      </c>
      <c r="F52" s="62" t="str">
        <f>HYPERLINK("#E1898","→ 1770行目")</f>
        <v>→ 1770行目</v>
      </c>
    </row>
    <row r="53" spans="1:6">
      <c r="A53" s="63">
        <v>27</v>
      </c>
      <c r="B53" s="65" t="s">
        <v>5328</v>
      </c>
      <c r="C53" s="63" t="s">
        <v>5329</v>
      </c>
      <c r="D53" s="63" t="s">
        <v>5284</v>
      </c>
      <c r="E53" s="63" t="s">
        <v>5330</v>
      </c>
      <c r="F53" s="64" t="str">
        <f>HYPERLINK("#E473","→ 345行目")</f>
        <v>→ 345行目</v>
      </c>
    </row>
    <row r="54" spans="1:6">
      <c r="A54">
        <v>28</v>
      </c>
      <c r="B54" t="s">
        <v>5328</v>
      </c>
      <c r="C54" t="s">
        <v>5331</v>
      </c>
      <c r="D54" t="s">
        <v>5287</v>
      </c>
      <c r="E54" t="s">
        <v>5332</v>
      </c>
      <c r="F54" s="62" t="str">
        <f>HYPERLINK("#E496","→ 368行目")</f>
        <v>→ 368行目</v>
      </c>
    </row>
    <row r="55" spans="1:6">
      <c r="A55">
        <v>29</v>
      </c>
      <c r="B55" t="s">
        <v>5328</v>
      </c>
      <c r="C55" t="s">
        <v>5333</v>
      </c>
      <c r="D55" t="s">
        <v>5287</v>
      </c>
      <c r="E55" t="s">
        <v>5334</v>
      </c>
      <c r="F55" s="62" t="str">
        <f>HYPERLINK("#E644","→ 516行目")</f>
        <v>→ 516行目</v>
      </c>
    </row>
    <row r="56" spans="1:6">
      <c r="A56" s="63">
        <v>30</v>
      </c>
      <c r="B56" s="65" t="s">
        <v>5261</v>
      </c>
      <c r="C56" s="63" t="s">
        <v>5335</v>
      </c>
      <c r="D56" s="63" t="s">
        <v>5284</v>
      </c>
      <c r="E56" s="63" t="s">
        <v>5336</v>
      </c>
      <c r="F56" s="64" t="str">
        <f>HYPERLINK("#E659","→ 531行目")</f>
        <v>→ 531行目</v>
      </c>
    </row>
    <row r="57" spans="1:6">
      <c r="A57">
        <v>31</v>
      </c>
      <c r="B57" t="s">
        <v>5261</v>
      </c>
      <c r="C57" t="s">
        <v>5337</v>
      </c>
      <c r="D57" t="s">
        <v>5287</v>
      </c>
      <c r="E57" t="s">
        <v>5338</v>
      </c>
      <c r="F57" s="62" t="str">
        <f>HYPERLINK("#E843","→ 715行目")</f>
        <v>→ 715行目</v>
      </c>
    </row>
    <row r="58" spans="1:6">
      <c r="A58">
        <v>32</v>
      </c>
      <c r="B58" t="s">
        <v>5261</v>
      </c>
      <c r="C58" t="s">
        <v>5339</v>
      </c>
      <c r="D58" t="s">
        <v>5287</v>
      </c>
      <c r="E58" t="s">
        <v>5340</v>
      </c>
      <c r="F58" s="62" t="str">
        <f>HYPERLINK("#E851","→ 723行目")</f>
        <v>→ 723行目</v>
      </c>
    </row>
    <row r="59" spans="1:6">
      <c r="A59">
        <v>33</v>
      </c>
      <c r="B59" t="s">
        <v>5261</v>
      </c>
      <c r="C59" t="s">
        <v>5341</v>
      </c>
      <c r="D59" t="s">
        <v>5287</v>
      </c>
      <c r="E59" t="s">
        <v>5342</v>
      </c>
      <c r="F59" s="62" t="str">
        <f>HYPERLINK("#E859","→ 731行目")</f>
        <v>→ 731行目</v>
      </c>
    </row>
    <row r="60" spans="1:6">
      <c r="A60">
        <v>34</v>
      </c>
      <c r="B60" t="s">
        <v>5261</v>
      </c>
      <c r="C60" t="s">
        <v>5343</v>
      </c>
      <c r="D60" t="s">
        <v>5287</v>
      </c>
      <c r="E60" t="s">
        <v>5344</v>
      </c>
      <c r="F60" s="62" t="str">
        <f>HYPERLINK("#E869","→ 741行目")</f>
        <v>→ 741行目</v>
      </c>
    </row>
    <row r="61" spans="1:6">
      <c r="A61">
        <v>35</v>
      </c>
      <c r="B61" t="s">
        <v>5261</v>
      </c>
      <c r="C61" t="s">
        <v>5345</v>
      </c>
      <c r="D61" t="s">
        <v>5287</v>
      </c>
      <c r="E61" t="s">
        <v>5346</v>
      </c>
      <c r="F61" s="62" t="str">
        <f>HYPERLINK("#E879","→ 751行目")</f>
        <v>→ 751行目</v>
      </c>
    </row>
    <row r="62" spans="1:6">
      <c r="A62">
        <v>36</v>
      </c>
      <c r="B62" t="s">
        <v>5261</v>
      </c>
      <c r="C62" t="s">
        <v>5347</v>
      </c>
      <c r="D62" t="s">
        <v>5287</v>
      </c>
      <c r="E62" t="s">
        <v>5348</v>
      </c>
      <c r="F62" s="62" t="str">
        <f>HYPERLINK("#E911","→ 783行目")</f>
        <v>→ 783行目</v>
      </c>
    </row>
    <row r="63" spans="1:6">
      <c r="A63">
        <v>37</v>
      </c>
      <c r="B63" t="s">
        <v>5261</v>
      </c>
      <c r="C63" t="s">
        <v>5349</v>
      </c>
      <c r="D63" t="s">
        <v>5287</v>
      </c>
      <c r="E63" t="s">
        <v>5350</v>
      </c>
      <c r="F63" s="62" t="str">
        <f>HYPERLINK("#E941","→ 813行目")</f>
        <v>→ 813行目</v>
      </c>
    </row>
    <row r="64" spans="1:6">
      <c r="A64">
        <v>38</v>
      </c>
      <c r="B64" t="s">
        <v>5261</v>
      </c>
      <c r="C64" t="s">
        <v>5351</v>
      </c>
      <c r="D64" t="s">
        <v>5287</v>
      </c>
      <c r="E64" t="s">
        <v>5352</v>
      </c>
      <c r="F64" s="62" t="str">
        <f>HYPERLINK("#E946","→ 818行目")</f>
        <v>→ 818行目</v>
      </c>
    </row>
    <row r="65" spans="1:6">
      <c r="A65">
        <v>39</v>
      </c>
      <c r="B65" t="s">
        <v>5261</v>
      </c>
      <c r="C65" t="s">
        <v>5353</v>
      </c>
      <c r="D65" t="s">
        <v>5287</v>
      </c>
      <c r="E65" t="s">
        <v>5354</v>
      </c>
      <c r="F65" s="62" t="str">
        <f>HYPERLINK("#E953","→ 825行目")</f>
        <v>→ 825行目</v>
      </c>
    </row>
    <row r="66" spans="1:6">
      <c r="A66">
        <v>40</v>
      </c>
      <c r="B66" t="s">
        <v>5261</v>
      </c>
      <c r="C66" t="s">
        <v>5355</v>
      </c>
      <c r="D66" t="s">
        <v>5287</v>
      </c>
      <c r="E66" t="s">
        <v>5356</v>
      </c>
      <c r="F66" s="62" t="str">
        <f>HYPERLINK("#E966","→ 838行目")</f>
        <v>→ 838行目</v>
      </c>
    </row>
    <row r="67" spans="1:6">
      <c r="A67">
        <v>41</v>
      </c>
      <c r="B67" t="s">
        <v>5261</v>
      </c>
      <c r="C67" t="s">
        <v>5357</v>
      </c>
      <c r="D67" t="s">
        <v>5287</v>
      </c>
      <c r="E67" t="s">
        <v>5358</v>
      </c>
      <c r="F67" s="62" t="str">
        <f>HYPERLINK("#E1033","→ 905行目")</f>
        <v>→ 905行目</v>
      </c>
    </row>
    <row r="68" spans="1:6">
      <c r="A68">
        <v>42</v>
      </c>
      <c r="B68" t="s">
        <v>5261</v>
      </c>
      <c r="C68" t="s">
        <v>5359</v>
      </c>
      <c r="D68" t="s">
        <v>5287</v>
      </c>
      <c r="E68" t="s">
        <v>5360</v>
      </c>
      <c r="F68" s="62" t="str">
        <f>HYPERLINK("#E1072","→ 944行目")</f>
        <v>→ 944行目</v>
      </c>
    </row>
    <row r="69" spans="1:6">
      <c r="A69">
        <v>43</v>
      </c>
      <c r="B69" t="s">
        <v>5261</v>
      </c>
      <c r="C69" t="s">
        <v>5361</v>
      </c>
      <c r="D69" t="s">
        <v>5287</v>
      </c>
      <c r="E69" t="s">
        <v>5362</v>
      </c>
      <c r="F69" s="62" t="str">
        <f>HYPERLINK("#E1106","→ 978行目")</f>
        <v>→ 978行目</v>
      </c>
    </row>
    <row r="70" spans="1:6">
      <c r="A70">
        <v>44</v>
      </c>
      <c r="B70" t="s">
        <v>5261</v>
      </c>
      <c r="C70" t="s">
        <v>5363</v>
      </c>
      <c r="D70" t="s">
        <v>5287</v>
      </c>
      <c r="E70" t="s">
        <v>5364</v>
      </c>
      <c r="F70" s="62" t="str">
        <f>HYPERLINK("#E1127","→ 999行目")</f>
        <v>→ 999行目</v>
      </c>
    </row>
    <row r="71" spans="1:6">
      <c r="A71">
        <v>45</v>
      </c>
      <c r="B71" t="s">
        <v>5261</v>
      </c>
      <c r="C71" t="s">
        <v>5365</v>
      </c>
      <c r="D71" t="s">
        <v>5287</v>
      </c>
      <c r="E71" t="s">
        <v>5366</v>
      </c>
      <c r="F71" s="62" t="str">
        <f>HYPERLINK("#E1131","→ 1003行目")</f>
        <v>→ 1003行目</v>
      </c>
    </row>
    <row r="72" spans="1:6">
      <c r="A72">
        <v>46</v>
      </c>
      <c r="B72" t="s">
        <v>5261</v>
      </c>
      <c r="C72" t="s">
        <v>5367</v>
      </c>
      <c r="D72" t="s">
        <v>5287</v>
      </c>
      <c r="E72" t="s">
        <v>5368</v>
      </c>
      <c r="F72" s="62" t="str">
        <f>HYPERLINK("#E1136","→ 1008行目")</f>
        <v>→ 1008行目</v>
      </c>
    </row>
    <row r="73" spans="1:6">
      <c r="A73">
        <v>47</v>
      </c>
      <c r="B73" t="s">
        <v>5261</v>
      </c>
      <c r="C73" t="s">
        <v>5369</v>
      </c>
      <c r="D73" t="s">
        <v>5287</v>
      </c>
      <c r="E73" t="s">
        <v>5370</v>
      </c>
      <c r="F73" s="62" t="str">
        <f>HYPERLINK("#E1195","→ 1067行目")</f>
        <v>→ 1067行目</v>
      </c>
    </row>
    <row r="74" spans="1:6">
      <c r="A74">
        <v>48</v>
      </c>
      <c r="B74" t="s">
        <v>5261</v>
      </c>
      <c r="C74" t="s">
        <v>5371</v>
      </c>
      <c r="D74" t="s">
        <v>5287</v>
      </c>
      <c r="E74" t="s">
        <v>5372</v>
      </c>
      <c r="F74" s="62" t="str">
        <f>HYPERLINK("#E1254","→ 1126行目")</f>
        <v>→ 1126行目</v>
      </c>
    </row>
    <row r="75" spans="1:6">
      <c r="A75">
        <v>49</v>
      </c>
      <c r="B75" t="s">
        <v>5261</v>
      </c>
      <c r="C75" t="s">
        <v>5373</v>
      </c>
      <c r="D75" t="s">
        <v>5287</v>
      </c>
      <c r="E75" t="s">
        <v>5374</v>
      </c>
      <c r="F75" s="62" t="str">
        <f>HYPERLINK("#E1286","→ 1158行目")</f>
        <v>→ 1158行目</v>
      </c>
    </row>
    <row r="76" spans="1:6">
      <c r="A76" s="63">
        <v>50</v>
      </c>
      <c r="B76" s="65" t="s">
        <v>5375</v>
      </c>
      <c r="C76" s="63" t="s">
        <v>5376</v>
      </c>
      <c r="D76" s="63" t="s">
        <v>5287</v>
      </c>
      <c r="E76" s="63" t="s">
        <v>5377</v>
      </c>
      <c r="F76" s="64" t="str">
        <f>HYPERLINK("#E1142","→ 1014行目")</f>
        <v>→ 1014行目</v>
      </c>
    </row>
    <row r="77" spans="1:6">
      <c r="A77">
        <v>51</v>
      </c>
      <c r="B77" t="s">
        <v>5375</v>
      </c>
      <c r="C77" t="s">
        <v>5378</v>
      </c>
      <c r="D77" t="s">
        <v>5287</v>
      </c>
      <c r="E77" t="s">
        <v>5379</v>
      </c>
      <c r="F77" s="62" t="str">
        <f>HYPERLINK("#E1165","→ 1037行目")</f>
        <v>→ 1037行目</v>
      </c>
    </row>
    <row r="78" spans="1:6">
      <c r="A78">
        <v>52</v>
      </c>
      <c r="B78" t="s">
        <v>5375</v>
      </c>
      <c r="C78" t="s">
        <v>5380</v>
      </c>
      <c r="D78" t="s">
        <v>5287</v>
      </c>
      <c r="E78" t="s">
        <v>5381</v>
      </c>
      <c r="F78" s="62" t="str">
        <f>HYPERLINK("#E1302","→ 1174行目")</f>
        <v>→ 1174行目</v>
      </c>
    </row>
    <row r="79" spans="1:6">
      <c r="A79">
        <v>53</v>
      </c>
      <c r="B79" t="s">
        <v>5375</v>
      </c>
      <c r="C79" t="s">
        <v>5382</v>
      </c>
      <c r="D79" t="s">
        <v>5287</v>
      </c>
      <c r="E79" t="s">
        <v>5383</v>
      </c>
      <c r="F79" s="62" t="str">
        <f>HYPERLINK("#E1387","→ 1259行目")</f>
        <v>→ 1259行目</v>
      </c>
    </row>
    <row r="80" spans="1:6">
      <c r="A80">
        <v>54</v>
      </c>
      <c r="B80" t="s">
        <v>5375</v>
      </c>
      <c r="C80" t="s">
        <v>5384</v>
      </c>
      <c r="D80" t="s">
        <v>5287</v>
      </c>
      <c r="E80" t="s">
        <v>5385</v>
      </c>
      <c r="F80" s="62" t="str">
        <f>HYPERLINK("#E1525","→ 1397行目")</f>
        <v>→ 1397行目</v>
      </c>
    </row>
    <row r="81" spans="1:6">
      <c r="A81">
        <v>55</v>
      </c>
      <c r="B81" t="s">
        <v>5375</v>
      </c>
      <c r="C81" t="s">
        <v>5386</v>
      </c>
      <c r="D81" t="s">
        <v>5287</v>
      </c>
      <c r="E81" t="s">
        <v>5387</v>
      </c>
      <c r="F81" s="62" t="str">
        <f>HYPERLINK("#E1582","→ 1454行目")</f>
        <v>→ 1454行目</v>
      </c>
    </row>
    <row r="82" spans="1:6">
      <c r="A82">
        <v>56</v>
      </c>
      <c r="B82" t="s">
        <v>5375</v>
      </c>
      <c r="C82" t="s">
        <v>5388</v>
      </c>
      <c r="D82" t="s">
        <v>5287</v>
      </c>
      <c r="E82" t="s">
        <v>5389</v>
      </c>
      <c r="F82" s="62" t="str">
        <f>HYPERLINK("#E1624","→ 1496行目")</f>
        <v>→ 1496行目</v>
      </c>
    </row>
    <row r="83" spans="1:6">
      <c r="A83">
        <v>57</v>
      </c>
      <c r="B83" t="s">
        <v>5375</v>
      </c>
      <c r="C83" t="s">
        <v>5390</v>
      </c>
      <c r="D83" t="s">
        <v>5287</v>
      </c>
      <c r="E83" t="s">
        <v>5391</v>
      </c>
      <c r="F83" s="62" t="str">
        <f>HYPERLINK("#E1639","→ 1511行目")</f>
        <v>→ 1511行目</v>
      </c>
    </row>
    <row r="84" spans="1:6">
      <c r="A84">
        <v>58</v>
      </c>
      <c r="B84" t="s">
        <v>5375</v>
      </c>
      <c r="C84" t="s">
        <v>5392</v>
      </c>
      <c r="D84" t="s">
        <v>5287</v>
      </c>
      <c r="E84" t="s">
        <v>5393</v>
      </c>
      <c r="F84" s="62" t="str">
        <f>HYPERLINK("#E1658","→ 1530行目")</f>
        <v>→ 1530行目</v>
      </c>
    </row>
    <row r="85" spans="1:6">
      <c r="A85">
        <v>59</v>
      </c>
      <c r="B85" t="s">
        <v>5375</v>
      </c>
      <c r="C85" t="s">
        <v>5394</v>
      </c>
      <c r="D85" t="s">
        <v>5287</v>
      </c>
      <c r="E85" t="s">
        <v>5395</v>
      </c>
      <c r="F85" s="62" t="str">
        <f>HYPERLINK("#E1682","→ 1554行目")</f>
        <v>→ 1554行目</v>
      </c>
    </row>
    <row r="86" spans="1:6">
      <c r="A86">
        <v>60</v>
      </c>
      <c r="B86" t="s">
        <v>5375</v>
      </c>
      <c r="C86" t="s">
        <v>5396</v>
      </c>
      <c r="D86" t="s">
        <v>5287</v>
      </c>
      <c r="E86" t="s">
        <v>5397</v>
      </c>
      <c r="F86" s="62" t="str">
        <f>HYPERLINK("#E1691","→ 1563行目")</f>
        <v>→ 1563行目</v>
      </c>
    </row>
    <row r="87" spans="1:6">
      <c r="A87">
        <v>61</v>
      </c>
      <c r="B87" t="s">
        <v>5375</v>
      </c>
      <c r="C87" t="s">
        <v>5398</v>
      </c>
      <c r="D87" t="s">
        <v>5287</v>
      </c>
      <c r="E87" t="s">
        <v>5399</v>
      </c>
      <c r="F87" s="62" t="str">
        <f>HYPERLINK("#E2200","→ 2072行目")</f>
        <v>→ 2072行目</v>
      </c>
    </row>
    <row r="88" spans="1:6">
      <c r="A88" s="63">
        <v>62</v>
      </c>
      <c r="B88" s="65" t="s">
        <v>5400</v>
      </c>
      <c r="C88" s="63" t="s">
        <v>5401</v>
      </c>
      <c r="D88" s="63" t="s">
        <v>5284</v>
      </c>
      <c r="E88" s="63" t="s">
        <v>5402</v>
      </c>
      <c r="F88" s="64" t="str">
        <f>HYPERLINK("#E1443","→ 1315行目")</f>
        <v>→ 1315行目</v>
      </c>
    </row>
    <row r="89" spans="1:6">
      <c r="A89">
        <v>63</v>
      </c>
      <c r="B89" t="s">
        <v>5400</v>
      </c>
      <c r="C89" t="s">
        <v>5403</v>
      </c>
      <c r="D89" t="s">
        <v>5284</v>
      </c>
      <c r="E89" t="s">
        <v>5404</v>
      </c>
      <c r="F89" s="62" t="str">
        <f>HYPERLINK("#E1482","→ 1354行目")</f>
        <v>→ 1354行目</v>
      </c>
    </row>
    <row r="90" spans="1:6">
      <c r="A90">
        <v>64</v>
      </c>
      <c r="B90" t="s">
        <v>5400</v>
      </c>
      <c r="C90" t="s">
        <v>5405</v>
      </c>
      <c r="D90" t="s">
        <v>5287</v>
      </c>
      <c r="E90" t="s">
        <v>5406</v>
      </c>
      <c r="F90" s="62" t="str">
        <f>HYPERLINK("#E1493","→ 1365行目")</f>
        <v>→ 1365行目</v>
      </c>
    </row>
    <row r="91" spans="1:6">
      <c r="A91">
        <v>65</v>
      </c>
      <c r="B91" t="s">
        <v>5400</v>
      </c>
      <c r="C91" t="s">
        <v>5407</v>
      </c>
      <c r="D91" t="s">
        <v>5287</v>
      </c>
      <c r="E91" t="s">
        <v>5408</v>
      </c>
      <c r="F91" s="62" t="str">
        <f>HYPERLINK("#E1509","→ 1381行目")</f>
        <v>→ 1381行目</v>
      </c>
    </row>
    <row r="92" spans="1:6">
      <c r="A92">
        <v>66</v>
      </c>
      <c r="B92" t="s">
        <v>5400</v>
      </c>
      <c r="C92" t="s">
        <v>5409</v>
      </c>
      <c r="D92" t="s">
        <v>5287</v>
      </c>
      <c r="E92" t="s">
        <v>5410</v>
      </c>
      <c r="F92" s="62" t="str">
        <f>HYPERLINK("#E1516","→ 1388行目")</f>
        <v>→ 1388行目</v>
      </c>
    </row>
    <row r="93" spans="1:6">
      <c r="A93" s="63">
        <v>67</v>
      </c>
      <c r="B93" s="65" t="s">
        <v>5411</v>
      </c>
      <c r="C93" s="63" t="s">
        <v>5412</v>
      </c>
      <c r="D93" s="63" t="s">
        <v>5284</v>
      </c>
      <c r="E93" s="63" t="s">
        <v>5413</v>
      </c>
      <c r="F93" s="64" t="str">
        <f>HYPERLINK("#E1392","→ 1264行目")</f>
        <v>→ 1264行目</v>
      </c>
    </row>
    <row r="94" spans="1:6">
      <c r="A94">
        <v>68</v>
      </c>
      <c r="B94" t="s">
        <v>5411</v>
      </c>
      <c r="C94" t="s">
        <v>5414</v>
      </c>
      <c r="D94" t="s">
        <v>5287</v>
      </c>
      <c r="E94" t="s">
        <v>5415</v>
      </c>
      <c r="F94" s="62" t="str">
        <f>HYPERLINK("#E2149","→ 2021行目")</f>
        <v>→ 2021行目</v>
      </c>
    </row>
    <row r="95" spans="1:6">
      <c r="A95">
        <v>69</v>
      </c>
      <c r="B95" t="s">
        <v>5411</v>
      </c>
      <c r="C95" t="s">
        <v>5416</v>
      </c>
      <c r="D95" t="s">
        <v>5287</v>
      </c>
      <c r="E95" t="s">
        <v>5417</v>
      </c>
      <c r="F95" s="62" t="str">
        <f>HYPERLINK("#E2211","→ 2083行目")</f>
        <v>→ 2083行目</v>
      </c>
    </row>
    <row r="96" spans="1:6">
      <c r="A96">
        <v>70</v>
      </c>
      <c r="B96" t="s">
        <v>5411</v>
      </c>
      <c r="C96" t="s">
        <v>5418</v>
      </c>
      <c r="D96" t="s">
        <v>5287</v>
      </c>
      <c r="E96" t="s">
        <v>5419</v>
      </c>
      <c r="F96" s="62" t="str">
        <f>HYPERLINK("#E2218","→ 2090行目")</f>
        <v>→ 2090行目</v>
      </c>
    </row>
    <row r="97" spans="1:6">
      <c r="A97">
        <v>71</v>
      </c>
      <c r="B97" t="s">
        <v>5411</v>
      </c>
      <c r="C97" t="s">
        <v>5420</v>
      </c>
      <c r="D97" t="s">
        <v>5287</v>
      </c>
      <c r="E97" t="s">
        <v>5421</v>
      </c>
      <c r="F97" s="62" t="str">
        <f>HYPERLINK("#E2237","→ 2109行目")</f>
        <v>→ 2109行目</v>
      </c>
    </row>
    <row r="98" spans="1:6">
      <c r="A98">
        <v>72</v>
      </c>
      <c r="B98" t="s">
        <v>5411</v>
      </c>
      <c r="C98" t="s">
        <v>5422</v>
      </c>
      <c r="D98" t="s">
        <v>5287</v>
      </c>
      <c r="E98" t="s">
        <v>5423</v>
      </c>
      <c r="F98" s="62" t="str">
        <f>HYPERLINK("#E2301","→ 2173行目")</f>
        <v>→ 2173行目</v>
      </c>
    </row>
    <row r="99" spans="1:6">
      <c r="A99">
        <v>73</v>
      </c>
      <c r="B99" t="s">
        <v>5411</v>
      </c>
      <c r="C99" t="s">
        <v>5424</v>
      </c>
      <c r="D99" t="s">
        <v>5284</v>
      </c>
      <c r="E99" t="s">
        <v>5425</v>
      </c>
      <c r="F99" s="62" t="str">
        <f>HYPERLINK("#E2321","→ 2193行目")</f>
        <v>→ 2193行目</v>
      </c>
    </row>
    <row r="100" spans="1:6">
      <c r="A100" s="63">
        <v>74</v>
      </c>
      <c r="B100" s="65" t="s">
        <v>5426</v>
      </c>
      <c r="C100" s="63" t="s">
        <v>5427</v>
      </c>
      <c r="D100" s="63" t="s">
        <v>5287</v>
      </c>
      <c r="E100" s="63" t="s">
        <v>5428</v>
      </c>
      <c r="F100" s="64" t="str">
        <f>HYPERLINK("#E1944","→ 1816行目")</f>
        <v>→ 1816行目</v>
      </c>
    </row>
    <row r="101" spans="1:6">
      <c r="A101">
        <v>75</v>
      </c>
      <c r="B101" t="s">
        <v>5426</v>
      </c>
      <c r="C101" t="s">
        <v>5429</v>
      </c>
      <c r="D101" t="s">
        <v>5287</v>
      </c>
      <c r="E101" t="s">
        <v>5430</v>
      </c>
      <c r="F101" s="62" t="str">
        <f>HYPERLINK("#E1957","→ 1829行目")</f>
        <v>→ 1829行目</v>
      </c>
    </row>
    <row r="102" spans="1:6">
      <c r="A102">
        <v>76</v>
      </c>
      <c r="B102" t="s">
        <v>5426</v>
      </c>
      <c r="C102" t="s">
        <v>5431</v>
      </c>
      <c r="D102" t="s">
        <v>5287</v>
      </c>
      <c r="E102" t="s">
        <v>5432</v>
      </c>
      <c r="F102" s="62" t="str">
        <f>HYPERLINK("#E1961","→ 1833行目")</f>
        <v>→ 1833行目</v>
      </c>
    </row>
    <row r="103" spans="1:6">
      <c r="A103">
        <v>77</v>
      </c>
      <c r="B103" t="s">
        <v>5426</v>
      </c>
      <c r="C103" t="s">
        <v>5433</v>
      </c>
      <c r="D103" t="s">
        <v>5287</v>
      </c>
      <c r="E103" t="s">
        <v>5434</v>
      </c>
      <c r="F103" s="62" t="str">
        <f>HYPERLINK("#E1968","→ 1840行目")</f>
        <v>→ 1840行目</v>
      </c>
    </row>
    <row r="104" spans="1:6">
      <c r="A104">
        <v>78</v>
      </c>
      <c r="B104" t="s">
        <v>5426</v>
      </c>
      <c r="C104" t="s">
        <v>5435</v>
      </c>
      <c r="D104" t="s">
        <v>5287</v>
      </c>
      <c r="E104" t="s">
        <v>5436</v>
      </c>
      <c r="F104" s="62" t="str">
        <f>HYPERLINK("#E1977","→ 1849行目")</f>
        <v>→ 1849行目</v>
      </c>
    </row>
    <row r="105" spans="1:6">
      <c r="A105">
        <v>79</v>
      </c>
      <c r="B105" t="s">
        <v>5426</v>
      </c>
      <c r="C105" t="s">
        <v>5437</v>
      </c>
      <c r="D105" t="s">
        <v>5287</v>
      </c>
      <c r="E105" t="s">
        <v>5438</v>
      </c>
      <c r="F105" s="62" t="str">
        <f>HYPERLINK("#E1981","→ 1853行目")</f>
        <v>→ 1853行目</v>
      </c>
    </row>
    <row r="106" spans="1:6">
      <c r="A106">
        <v>80</v>
      </c>
      <c r="B106" t="s">
        <v>5426</v>
      </c>
      <c r="C106" t="s">
        <v>5439</v>
      </c>
      <c r="D106" t="s">
        <v>5287</v>
      </c>
      <c r="E106" t="s">
        <v>5440</v>
      </c>
      <c r="F106" s="62" t="str">
        <f>HYPERLINK("#E1988","→ 1860行目")</f>
        <v>→ 1860行目</v>
      </c>
    </row>
    <row r="107" spans="1:6">
      <c r="A107">
        <v>81</v>
      </c>
      <c r="B107" t="s">
        <v>5426</v>
      </c>
      <c r="C107" t="s">
        <v>5441</v>
      </c>
      <c r="D107" t="s">
        <v>5287</v>
      </c>
      <c r="E107" t="s">
        <v>5442</v>
      </c>
      <c r="F107" s="62" t="str">
        <f>HYPERLINK("#E1993","→ 1865行目")</f>
        <v>→ 1865行目</v>
      </c>
    </row>
    <row r="108" spans="1:6">
      <c r="A108">
        <v>82</v>
      </c>
      <c r="B108" t="s">
        <v>5426</v>
      </c>
      <c r="C108" t="s">
        <v>5443</v>
      </c>
      <c r="D108" t="s">
        <v>5287</v>
      </c>
      <c r="E108" t="s">
        <v>5444</v>
      </c>
      <c r="F108" s="62" t="str">
        <f>HYPERLINK("#E1997","→ 1869行目")</f>
        <v>→ 1869行目</v>
      </c>
    </row>
    <row r="109" spans="1:6">
      <c r="A109">
        <v>83</v>
      </c>
      <c r="B109" t="s">
        <v>5426</v>
      </c>
      <c r="C109" t="s">
        <v>5445</v>
      </c>
      <c r="D109" t="s">
        <v>5287</v>
      </c>
      <c r="E109" t="s">
        <v>5446</v>
      </c>
      <c r="F109" s="62" t="str">
        <f>HYPERLINK("#E2020","→ 1892行目")</f>
        <v>→ 1892行目</v>
      </c>
    </row>
    <row r="110" spans="1:6">
      <c r="A110">
        <v>84</v>
      </c>
      <c r="B110" t="s">
        <v>5426</v>
      </c>
      <c r="C110" t="s">
        <v>5447</v>
      </c>
      <c r="D110" t="s">
        <v>5287</v>
      </c>
      <c r="E110" t="s">
        <v>5448</v>
      </c>
      <c r="F110" s="62" t="str">
        <f>HYPERLINK("#E2038","→ 1910行目")</f>
        <v>→ 1910行目</v>
      </c>
    </row>
    <row r="111" spans="1:6">
      <c r="A111">
        <v>85</v>
      </c>
      <c r="B111" t="s">
        <v>5426</v>
      </c>
      <c r="C111" t="s">
        <v>5449</v>
      </c>
      <c r="D111" t="s">
        <v>5287</v>
      </c>
      <c r="E111" t="s">
        <v>5450</v>
      </c>
      <c r="F111" s="62" t="str">
        <f>HYPERLINK("#E2047","→ 1919行目")</f>
        <v>→ 1919行目</v>
      </c>
    </row>
    <row r="112" spans="1:6">
      <c r="A112">
        <v>86</v>
      </c>
      <c r="B112" t="s">
        <v>5426</v>
      </c>
      <c r="C112" t="s">
        <v>5451</v>
      </c>
      <c r="D112" t="s">
        <v>5287</v>
      </c>
      <c r="E112" t="s">
        <v>5452</v>
      </c>
      <c r="F112" s="62" t="str">
        <f>HYPERLINK("#E2063","→ 1935行目")</f>
        <v>→ 1935行目</v>
      </c>
    </row>
    <row r="113" spans="1:6">
      <c r="A113">
        <v>87</v>
      </c>
      <c r="B113" t="s">
        <v>5426</v>
      </c>
      <c r="C113" t="s">
        <v>5453</v>
      </c>
      <c r="D113" t="s">
        <v>5287</v>
      </c>
      <c r="E113" t="s">
        <v>5454</v>
      </c>
      <c r="F113" s="62" t="str">
        <f>HYPERLINK("#E2068","→ 1940行目")</f>
        <v>→ 1940行目</v>
      </c>
    </row>
    <row r="114" spans="1:6">
      <c r="A114">
        <v>88</v>
      </c>
      <c r="B114" t="s">
        <v>5426</v>
      </c>
      <c r="C114" t="s">
        <v>5455</v>
      </c>
      <c r="D114" t="s">
        <v>5287</v>
      </c>
      <c r="E114" t="s">
        <v>5456</v>
      </c>
      <c r="F114" s="62" t="str">
        <f>HYPERLINK("#E2076","→ 1948行目")</f>
        <v>→ 1948行目</v>
      </c>
    </row>
    <row r="115" spans="1:6">
      <c r="A115">
        <v>89</v>
      </c>
      <c r="B115" t="s">
        <v>5426</v>
      </c>
      <c r="C115" t="s">
        <v>5457</v>
      </c>
      <c r="D115" t="s">
        <v>5287</v>
      </c>
      <c r="E115" t="s">
        <v>5458</v>
      </c>
      <c r="F115" s="62" t="str">
        <f>HYPERLINK("#E2083","→ 1955行目")</f>
        <v>→ 1955行目</v>
      </c>
    </row>
    <row r="116" spans="1:6">
      <c r="A116">
        <v>90</v>
      </c>
      <c r="B116" t="s">
        <v>5426</v>
      </c>
      <c r="C116" t="s">
        <v>5459</v>
      </c>
      <c r="D116" t="s">
        <v>5287</v>
      </c>
      <c r="E116" t="s">
        <v>5460</v>
      </c>
      <c r="F116" s="62" t="str">
        <f>HYPERLINK("#E2087","→ 1959行目")</f>
        <v>→ 1959行目</v>
      </c>
    </row>
    <row r="117" spans="1:6">
      <c r="A117">
        <v>91</v>
      </c>
      <c r="B117" t="s">
        <v>5426</v>
      </c>
      <c r="C117" t="s">
        <v>5461</v>
      </c>
      <c r="D117" t="s">
        <v>5287</v>
      </c>
      <c r="E117" t="s">
        <v>5462</v>
      </c>
      <c r="F117" s="62" t="str">
        <f>HYPERLINK("#E2091","→ 1963行目")</f>
        <v>→ 1963行目</v>
      </c>
    </row>
    <row r="118" spans="1:6">
      <c r="A118">
        <v>92</v>
      </c>
      <c r="B118" t="s">
        <v>5426</v>
      </c>
      <c r="C118" t="s">
        <v>5463</v>
      </c>
      <c r="D118" t="s">
        <v>5287</v>
      </c>
      <c r="E118" t="s">
        <v>5464</v>
      </c>
      <c r="F118" s="62" t="str">
        <f>HYPERLINK("#E2110","→ 1982行目")</f>
        <v>→ 1982行目</v>
      </c>
    </row>
    <row r="119" spans="1:6">
      <c r="A119">
        <v>93</v>
      </c>
      <c r="B119" t="s">
        <v>5426</v>
      </c>
      <c r="C119" t="s">
        <v>5465</v>
      </c>
      <c r="D119" t="s">
        <v>5287</v>
      </c>
      <c r="E119" t="s">
        <v>5466</v>
      </c>
      <c r="F119" s="62" t="str">
        <f>HYPERLINK("#E2114","→ 1986行目")</f>
        <v>→ 1986行目</v>
      </c>
    </row>
    <row r="120" spans="1:6">
      <c r="A120">
        <v>94</v>
      </c>
      <c r="B120" t="s">
        <v>5426</v>
      </c>
      <c r="C120" t="s">
        <v>5467</v>
      </c>
      <c r="D120" t="s">
        <v>5287</v>
      </c>
      <c r="E120" t="s">
        <v>5468</v>
      </c>
      <c r="F120" s="62" t="str">
        <f>HYPERLINK("#E2119","→ 1991行目")</f>
        <v>→ 1991行目</v>
      </c>
    </row>
    <row r="121" spans="1:6">
      <c r="A121">
        <v>95</v>
      </c>
      <c r="B121" t="s">
        <v>5426</v>
      </c>
      <c r="C121" t="s">
        <v>5469</v>
      </c>
      <c r="D121" t="s">
        <v>5287</v>
      </c>
      <c r="E121" t="s">
        <v>5470</v>
      </c>
      <c r="F121" s="62" t="str">
        <f>HYPERLINK("#E2126","→ 1998行目")</f>
        <v>→ 1998行目</v>
      </c>
    </row>
    <row r="122" spans="1:6">
      <c r="A122">
        <v>96</v>
      </c>
      <c r="B122" t="s">
        <v>5426</v>
      </c>
      <c r="C122" t="s">
        <v>5471</v>
      </c>
      <c r="D122" t="s">
        <v>5287</v>
      </c>
      <c r="E122" t="s">
        <v>5472</v>
      </c>
      <c r="F122" s="62" t="str">
        <f>HYPERLINK("#E2133","→ 2005行目")</f>
        <v>→ 2005行目</v>
      </c>
    </row>
    <row r="123" spans="1:6">
      <c r="A123">
        <v>97</v>
      </c>
      <c r="B123" t="s">
        <v>5426</v>
      </c>
      <c r="C123" t="s">
        <v>5473</v>
      </c>
      <c r="D123" t="s">
        <v>5287</v>
      </c>
      <c r="E123" t="s">
        <v>5474</v>
      </c>
      <c r="F123" s="62" t="str">
        <f>HYPERLINK("#E2141","→ 2013行目")</f>
        <v>→ 2013行目</v>
      </c>
    </row>
    <row r="124" spans="1:6">
      <c r="A124">
        <v>98</v>
      </c>
      <c r="B124" t="s">
        <v>5426</v>
      </c>
      <c r="C124" t="s">
        <v>5475</v>
      </c>
      <c r="D124" t="s">
        <v>5287</v>
      </c>
      <c r="E124" t="s">
        <v>5476</v>
      </c>
      <c r="F124" s="62" t="str">
        <f>HYPERLINK("#E2310","→ 2182行目")</f>
        <v>→ 2182行目</v>
      </c>
    </row>
    <row r="127" spans="1:6" ht="15.75">
      <c r="A127" s="60" t="s">
        <v>5477</v>
      </c>
    </row>
    <row r="128" spans="1:6">
      <c r="A128" s="68" t="s">
        <v>5478</v>
      </c>
      <c r="B128" s="68"/>
      <c r="C128" s="68"/>
      <c r="D128" s="68"/>
      <c r="E128" s="68" t="s">
        <v>5276</v>
      </c>
    </row>
    <row r="129" spans="1:5">
      <c r="A129" s="69">
        <v>1</v>
      </c>
      <c r="E129" s="70" t="s">
        <v>5479</v>
      </c>
    </row>
    <row r="130" spans="1:5">
      <c r="A130" s="69">
        <v>2</v>
      </c>
      <c r="E130" s="71"/>
    </row>
    <row r="131" spans="1:5">
      <c r="A131" s="69">
        <v>3</v>
      </c>
      <c r="E131" s="70" t="s">
        <v>5480</v>
      </c>
    </row>
    <row r="132" spans="1:5">
      <c r="A132" s="69">
        <v>4</v>
      </c>
      <c r="E132" s="70" t="s">
        <v>5481</v>
      </c>
    </row>
    <row r="133" spans="1:5">
      <c r="A133" s="69">
        <v>5</v>
      </c>
      <c r="E133" s="70" t="s">
        <v>5482</v>
      </c>
    </row>
    <row r="134" spans="1:5">
      <c r="A134" s="69">
        <v>6</v>
      </c>
      <c r="E134" s="70" t="s">
        <v>5483</v>
      </c>
    </row>
    <row r="135" spans="1:5">
      <c r="A135" s="69">
        <v>7</v>
      </c>
      <c r="E135" s="70" t="s">
        <v>5484</v>
      </c>
    </row>
    <row r="136" spans="1:5">
      <c r="A136" s="69">
        <v>8</v>
      </c>
      <c r="E136" s="70" t="s">
        <v>5485</v>
      </c>
    </row>
    <row r="137" spans="1:5">
      <c r="A137" s="69">
        <v>9</v>
      </c>
      <c r="E137" s="70" t="s">
        <v>5486</v>
      </c>
    </row>
    <row r="138" spans="1:5">
      <c r="A138" s="69">
        <v>10</v>
      </c>
      <c r="E138" s="70" t="s">
        <v>5487</v>
      </c>
    </row>
    <row r="139" spans="1:5">
      <c r="A139" s="69">
        <v>11</v>
      </c>
      <c r="E139" s="70" t="s">
        <v>5488</v>
      </c>
    </row>
    <row r="140" spans="1:5">
      <c r="A140" s="69">
        <v>12</v>
      </c>
      <c r="E140" s="70" t="s">
        <v>5489</v>
      </c>
    </row>
    <row r="141" spans="1:5">
      <c r="A141" s="69">
        <v>13</v>
      </c>
      <c r="E141" s="70" t="s">
        <v>5490</v>
      </c>
    </row>
    <row r="142" spans="1:5">
      <c r="A142" s="69">
        <v>14</v>
      </c>
      <c r="E142" s="70" t="s">
        <v>5480</v>
      </c>
    </row>
    <row r="143" spans="1:5">
      <c r="A143" s="69">
        <v>15</v>
      </c>
      <c r="E143" s="71"/>
    </row>
    <row r="144" spans="1:5">
      <c r="A144" s="69">
        <v>16</v>
      </c>
      <c r="E144" s="70" t="s">
        <v>5491</v>
      </c>
    </row>
    <row r="145" spans="1:5">
      <c r="A145" s="69">
        <v>17</v>
      </c>
      <c r="E145" s="70" t="s">
        <v>5492</v>
      </c>
    </row>
    <row r="146" spans="1:5">
      <c r="A146" s="69">
        <v>18</v>
      </c>
      <c r="E146" s="70" t="s">
        <v>5493</v>
      </c>
    </row>
    <row r="147" spans="1:5">
      <c r="A147" s="69">
        <v>19</v>
      </c>
      <c r="E147" s="70" t="s">
        <v>5494</v>
      </c>
    </row>
    <row r="148" spans="1:5">
      <c r="A148" s="69">
        <v>20</v>
      </c>
      <c r="E148" s="70" t="s">
        <v>5495</v>
      </c>
    </row>
    <row r="149" spans="1:5">
      <c r="A149" s="69">
        <v>21</v>
      </c>
      <c r="E149" s="70" t="s">
        <v>5496</v>
      </c>
    </row>
    <row r="150" spans="1:5">
      <c r="A150" s="69">
        <v>22</v>
      </c>
      <c r="E150" s="70" t="s">
        <v>5497</v>
      </c>
    </row>
    <row r="151" spans="1:5">
      <c r="A151" s="69">
        <v>23</v>
      </c>
      <c r="E151" s="70" t="s">
        <v>5498</v>
      </c>
    </row>
    <row r="152" spans="1:5">
      <c r="A152" s="69">
        <v>24</v>
      </c>
      <c r="E152" s="70" t="s">
        <v>5499</v>
      </c>
    </row>
    <row r="153" spans="1:5">
      <c r="A153" s="69">
        <v>25</v>
      </c>
      <c r="E153" s="70" t="s">
        <v>5500</v>
      </c>
    </row>
    <row r="154" spans="1:5">
      <c r="A154" s="69">
        <v>26</v>
      </c>
      <c r="E154" s="70" t="s">
        <v>5501</v>
      </c>
    </row>
    <row r="155" spans="1:5">
      <c r="A155" s="69">
        <v>27</v>
      </c>
      <c r="E155" s="70" t="s">
        <v>5502</v>
      </c>
    </row>
    <row r="156" spans="1:5">
      <c r="A156" s="69">
        <v>28</v>
      </c>
      <c r="E156" s="70" t="s">
        <v>5503</v>
      </c>
    </row>
    <row r="157" spans="1:5">
      <c r="A157" s="69">
        <v>29</v>
      </c>
      <c r="E157" s="70" t="s">
        <v>5504</v>
      </c>
    </row>
    <row r="158" spans="1:5">
      <c r="A158" s="69">
        <v>30</v>
      </c>
      <c r="E158" s="70" t="s">
        <v>5505</v>
      </c>
    </row>
    <row r="159" spans="1:5">
      <c r="A159" s="69">
        <v>31</v>
      </c>
      <c r="E159" s="70" t="s">
        <v>5506</v>
      </c>
    </row>
    <row r="160" spans="1:5">
      <c r="A160" s="69">
        <v>32</v>
      </c>
      <c r="E160" s="70" t="s">
        <v>5507</v>
      </c>
    </row>
    <row r="161" spans="1:5">
      <c r="A161" s="69">
        <v>33</v>
      </c>
      <c r="E161" s="70" t="s">
        <v>5508</v>
      </c>
    </row>
    <row r="162" spans="1:5">
      <c r="A162" s="69">
        <v>34</v>
      </c>
      <c r="E162" s="70" t="s">
        <v>5509</v>
      </c>
    </row>
    <row r="163" spans="1:5">
      <c r="A163" s="69">
        <v>35</v>
      </c>
      <c r="E163" s="70" t="s">
        <v>5510</v>
      </c>
    </row>
    <row r="164" spans="1:5">
      <c r="A164" s="69">
        <v>36</v>
      </c>
      <c r="E164" s="70" t="s">
        <v>5511</v>
      </c>
    </row>
    <row r="165" spans="1:5">
      <c r="A165" s="69">
        <v>37</v>
      </c>
      <c r="E165" s="70" t="s">
        <v>5512</v>
      </c>
    </row>
    <row r="166" spans="1:5">
      <c r="A166" s="69">
        <v>38</v>
      </c>
      <c r="E166" s="70" t="s">
        <v>5513</v>
      </c>
    </row>
    <row r="167" spans="1:5">
      <c r="A167" s="69">
        <v>39</v>
      </c>
      <c r="E167" s="70" t="s">
        <v>5514</v>
      </c>
    </row>
    <row r="168" spans="1:5">
      <c r="A168" s="69">
        <v>40</v>
      </c>
      <c r="E168" s="70" t="s">
        <v>5515</v>
      </c>
    </row>
    <row r="169" spans="1:5">
      <c r="A169" s="69">
        <v>41</v>
      </c>
      <c r="E169" s="70" t="s">
        <v>5516</v>
      </c>
    </row>
    <row r="170" spans="1:5">
      <c r="A170" s="69">
        <v>42</v>
      </c>
      <c r="E170" s="70" t="s">
        <v>5517</v>
      </c>
    </row>
    <row r="171" spans="1:5">
      <c r="A171" s="69">
        <v>43</v>
      </c>
      <c r="E171" s="70" t="s">
        <v>5518</v>
      </c>
    </row>
    <row r="172" spans="1:5">
      <c r="A172" s="69">
        <v>44</v>
      </c>
      <c r="E172" s="70" t="s">
        <v>5519</v>
      </c>
    </row>
    <row r="173" spans="1:5">
      <c r="A173" s="69">
        <v>45</v>
      </c>
      <c r="E173" s="70" t="s">
        <v>5520</v>
      </c>
    </row>
    <row r="174" spans="1:5">
      <c r="A174" s="69">
        <v>46</v>
      </c>
      <c r="E174" s="71"/>
    </row>
    <row r="175" spans="1:5">
      <c r="A175" s="69">
        <v>47</v>
      </c>
      <c r="E175" s="70" t="s">
        <v>5521</v>
      </c>
    </row>
    <row r="176" spans="1:5">
      <c r="A176" s="69">
        <v>48</v>
      </c>
      <c r="E176" s="70" t="s">
        <v>5522</v>
      </c>
    </row>
    <row r="177" spans="1:5">
      <c r="A177" s="69">
        <v>49</v>
      </c>
      <c r="E177" s="70" t="s">
        <v>5523</v>
      </c>
    </row>
    <row r="178" spans="1:5">
      <c r="A178" s="69">
        <v>50</v>
      </c>
      <c r="E178" s="70" t="s">
        <v>5524</v>
      </c>
    </row>
    <row r="179" spans="1:5">
      <c r="A179" s="69">
        <v>51</v>
      </c>
      <c r="E179" s="70" t="s">
        <v>5525</v>
      </c>
    </row>
    <row r="180" spans="1:5">
      <c r="A180" s="69">
        <v>52</v>
      </c>
      <c r="E180" s="70" t="s">
        <v>5526</v>
      </c>
    </row>
    <row r="181" spans="1:5">
      <c r="A181" s="69">
        <v>53</v>
      </c>
      <c r="E181" s="70" t="s">
        <v>5527</v>
      </c>
    </row>
    <row r="182" spans="1:5">
      <c r="A182" s="69">
        <v>54</v>
      </c>
      <c r="E182" s="71"/>
    </row>
    <row r="183" spans="1:5">
      <c r="A183" s="69">
        <v>55</v>
      </c>
      <c r="E183" s="70" t="s">
        <v>5528</v>
      </c>
    </row>
    <row r="184" spans="1:5">
      <c r="A184" s="69">
        <v>56</v>
      </c>
      <c r="E184" s="70" t="s">
        <v>5529</v>
      </c>
    </row>
    <row r="185" spans="1:5">
      <c r="A185" s="69">
        <v>57</v>
      </c>
      <c r="E185" s="71"/>
    </row>
    <row r="186" spans="1:5">
      <c r="A186" s="69">
        <v>58</v>
      </c>
      <c r="E186" s="70" t="s">
        <v>5530</v>
      </c>
    </row>
    <row r="187" spans="1:5">
      <c r="A187" s="69">
        <v>59</v>
      </c>
      <c r="E187" s="70" t="s">
        <v>5531</v>
      </c>
    </row>
    <row r="188" spans="1:5">
      <c r="A188" s="69">
        <v>60</v>
      </c>
      <c r="E188" s="70" t="s">
        <v>5532</v>
      </c>
    </row>
    <row r="189" spans="1:5">
      <c r="A189" s="69">
        <v>61</v>
      </c>
      <c r="E189" s="70" t="s">
        <v>5533</v>
      </c>
    </row>
    <row r="190" spans="1:5">
      <c r="A190" s="69">
        <v>62</v>
      </c>
      <c r="E190" s="70" t="s">
        <v>5534</v>
      </c>
    </row>
    <row r="191" spans="1:5">
      <c r="A191" s="69">
        <v>63</v>
      </c>
      <c r="E191" s="71"/>
    </row>
    <row r="192" spans="1:5">
      <c r="A192" s="69">
        <v>64</v>
      </c>
      <c r="E192" s="70" t="s">
        <v>5535</v>
      </c>
    </row>
    <row r="193" spans="1:5">
      <c r="A193" s="69">
        <v>65</v>
      </c>
      <c r="E193" s="70" t="s">
        <v>5536</v>
      </c>
    </row>
    <row r="194" spans="1:5">
      <c r="A194" s="69">
        <v>66</v>
      </c>
      <c r="E194" s="71"/>
    </row>
    <row r="195" spans="1:5">
      <c r="A195" s="69">
        <v>67</v>
      </c>
      <c r="E195" s="70" t="s">
        <v>5537</v>
      </c>
    </row>
    <row r="196" spans="1:5">
      <c r="A196" s="69">
        <v>68</v>
      </c>
      <c r="E196" s="70" t="s">
        <v>5538</v>
      </c>
    </row>
    <row r="197" spans="1:5">
      <c r="A197" s="69">
        <v>69</v>
      </c>
      <c r="E197" s="70" t="s">
        <v>5539</v>
      </c>
    </row>
    <row r="198" spans="1:5">
      <c r="A198" s="69">
        <v>70</v>
      </c>
      <c r="E198" s="70" t="s">
        <v>5540</v>
      </c>
    </row>
    <row r="199" spans="1:5">
      <c r="A199" s="69">
        <v>71</v>
      </c>
      <c r="E199" s="70" t="s">
        <v>5541</v>
      </c>
    </row>
    <row r="200" spans="1:5">
      <c r="A200" s="69">
        <v>72</v>
      </c>
      <c r="E200" s="70" t="s">
        <v>5542</v>
      </c>
    </row>
    <row r="201" spans="1:5">
      <c r="A201" s="69">
        <v>73</v>
      </c>
      <c r="E201" s="70" t="s">
        <v>5543</v>
      </c>
    </row>
    <row r="202" spans="1:5">
      <c r="A202" s="69">
        <v>74</v>
      </c>
      <c r="E202" s="70" t="s">
        <v>5544</v>
      </c>
    </row>
    <row r="203" spans="1:5">
      <c r="A203" s="69">
        <v>75</v>
      </c>
      <c r="E203" s="70" t="s">
        <v>5545</v>
      </c>
    </row>
    <row r="204" spans="1:5">
      <c r="A204" s="69">
        <v>76</v>
      </c>
      <c r="E204" s="71"/>
    </row>
    <row r="205" spans="1:5">
      <c r="A205" s="69">
        <v>77</v>
      </c>
      <c r="E205" s="70" t="s">
        <v>5480</v>
      </c>
    </row>
    <row r="206" spans="1:5">
      <c r="A206" s="69">
        <v>78</v>
      </c>
      <c r="E206" s="70" t="s">
        <v>5546</v>
      </c>
    </row>
    <row r="207" spans="1:5">
      <c r="A207" s="69">
        <v>79</v>
      </c>
      <c r="E207" s="70" t="s">
        <v>5480</v>
      </c>
    </row>
    <row r="208" spans="1:5">
      <c r="A208" s="69">
        <v>80</v>
      </c>
      <c r="E208" s="70" t="s">
        <v>5547</v>
      </c>
    </row>
    <row r="209" spans="1:5">
      <c r="A209" s="69">
        <v>81</v>
      </c>
      <c r="E209" s="70" t="s">
        <v>5548</v>
      </c>
    </row>
    <row r="210" spans="1:5">
      <c r="A210" s="69">
        <v>82</v>
      </c>
      <c r="E210" s="70" t="s">
        <v>5549</v>
      </c>
    </row>
    <row r="211" spans="1:5">
      <c r="A211" s="69">
        <v>83</v>
      </c>
      <c r="E211" s="71"/>
    </row>
    <row r="212" spans="1:5">
      <c r="A212" s="69">
        <v>84</v>
      </c>
      <c r="E212" s="70" t="s">
        <v>5550</v>
      </c>
    </row>
    <row r="213" spans="1:5">
      <c r="A213" s="69">
        <v>85</v>
      </c>
      <c r="E213" s="70" t="s">
        <v>5551</v>
      </c>
    </row>
    <row r="214" spans="1:5">
      <c r="A214" s="69">
        <v>86</v>
      </c>
      <c r="E214" s="70" t="s">
        <v>5549</v>
      </c>
    </row>
    <row r="215" spans="1:5">
      <c r="A215" s="69">
        <v>87</v>
      </c>
      <c r="E215" s="71"/>
    </row>
    <row r="216" spans="1:5">
      <c r="A216" s="69">
        <v>88</v>
      </c>
      <c r="E216" s="70" t="s">
        <v>5552</v>
      </c>
    </row>
    <row r="217" spans="1:5">
      <c r="A217" s="69">
        <v>89</v>
      </c>
      <c r="E217" s="70" t="s">
        <v>5553</v>
      </c>
    </row>
    <row r="218" spans="1:5">
      <c r="A218" s="69">
        <v>90</v>
      </c>
      <c r="E218" s="70" t="s">
        <v>5549</v>
      </c>
    </row>
    <row r="219" spans="1:5">
      <c r="A219" s="69">
        <v>91</v>
      </c>
      <c r="E219" s="71"/>
    </row>
    <row r="220" spans="1:5">
      <c r="A220" s="69">
        <v>92</v>
      </c>
      <c r="E220" s="70" t="s">
        <v>5480</v>
      </c>
    </row>
    <row r="221" spans="1:5">
      <c r="A221" s="69">
        <v>93</v>
      </c>
      <c r="E221" s="70" t="s">
        <v>5554</v>
      </c>
    </row>
    <row r="222" spans="1:5">
      <c r="A222" s="69">
        <v>94</v>
      </c>
      <c r="E222" s="70" t="s">
        <v>5480</v>
      </c>
    </row>
    <row r="223" spans="1:5">
      <c r="A223" s="69">
        <v>95</v>
      </c>
      <c r="E223" s="70" t="s">
        <v>5555</v>
      </c>
    </row>
    <row r="224" spans="1:5">
      <c r="A224" s="69">
        <v>96</v>
      </c>
      <c r="E224" s="70" t="s">
        <v>5556</v>
      </c>
    </row>
    <row r="225" spans="1:5">
      <c r="A225" s="69">
        <v>97</v>
      </c>
      <c r="E225" s="70" t="s">
        <v>5557</v>
      </c>
    </row>
    <row r="226" spans="1:5">
      <c r="A226" s="69">
        <v>98</v>
      </c>
      <c r="E226" s="70" t="s">
        <v>5558</v>
      </c>
    </row>
    <row r="227" spans="1:5">
      <c r="A227" s="69">
        <v>99</v>
      </c>
      <c r="E227" s="70" t="s">
        <v>5559</v>
      </c>
    </row>
    <row r="228" spans="1:5">
      <c r="A228" s="69">
        <v>100</v>
      </c>
      <c r="E228" s="71"/>
    </row>
    <row r="229" spans="1:5">
      <c r="A229" s="69">
        <v>101</v>
      </c>
      <c r="E229" s="70" t="s">
        <v>5560</v>
      </c>
    </row>
    <row r="230" spans="1:5">
      <c r="A230" s="69">
        <v>102</v>
      </c>
      <c r="E230" s="70" t="s">
        <v>5561</v>
      </c>
    </row>
    <row r="231" spans="1:5">
      <c r="A231" s="69">
        <v>103</v>
      </c>
      <c r="E231" s="70" t="s">
        <v>5562</v>
      </c>
    </row>
    <row r="232" spans="1:5">
      <c r="A232" s="69">
        <v>104</v>
      </c>
      <c r="E232" s="70" t="s">
        <v>5563</v>
      </c>
    </row>
    <row r="233" spans="1:5">
      <c r="A233" s="69">
        <v>105</v>
      </c>
      <c r="E233" s="70" t="s">
        <v>5564</v>
      </c>
    </row>
    <row r="234" spans="1:5">
      <c r="A234" s="69">
        <v>106</v>
      </c>
      <c r="E234" s="70" t="s">
        <v>5565</v>
      </c>
    </row>
    <row r="235" spans="1:5">
      <c r="A235" s="69">
        <v>107</v>
      </c>
      <c r="E235" s="70" t="s">
        <v>5566</v>
      </c>
    </row>
    <row r="236" spans="1:5">
      <c r="A236" s="69">
        <v>108</v>
      </c>
      <c r="E236" s="70" t="s">
        <v>5567</v>
      </c>
    </row>
    <row r="237" spans="1:5">
      <c r="A237" s="69">
        <v>109</v>
      </c>
      <c r="E237" s="70" t="s">
        <v>5563</v>
      </c>
    </row>
    <row r="238" spans="1:5">
      <c r="A238" s="69">
        <v>110</v>
      </c>
      <c r="E238" s="70" t="s">
        <v>5564</v>
      </c>
    </row>
    <row r="239" spans="1:5">
      <c r="A239" s="69">
        <v>111</v>
      </c>
      <c r="E239" s="70" t="s">
        <v>5568</v>
      </c>
    </row>
    <row r="240" spans="1:5">
      <c r="A240" s="69">
        <v>112</v>
      </c>
      <c r="E240" s="70" t="s">
        <v>5569</v>
      </c>
    </row>
    <row r="241" spans="1:5">
      <c r="A241" s="69">
        <v>113</v>
      </c>
      <c r="E241" s="71"/>
    </row>
    <row r="242" spans="1:5">
      <c r="A242" s="69">
        <v>114</v>
      </c>
      <c r="E242" s="70" t="s">
        <v>5570</v>
      </c>
    </row>
    <row r="243" spans="1:5">
      <c r="A243" s="69">
        <v>115</v>
      </c>
      <c r="E243" s="70" t="s">
        <v>5571</v>
      </c>
    </row>
    <row r="244" spans="1:5">
      <c r="A244" s="69">
        <v>116</v>
      </c>
      <c r="E244" s="70" t="s">
        <v>5572</v>
      </c>
    </row>
    <row r="245" spans="1:5">
      <c r="A245" s="69">
        <v>117</v>
      </c>
      <c r="E245" s="70" t="s">
        <v>5563</v>
      </c>
    </row>
    <row r="246" spans="1:5">
      <c r="A246" s="69">
        <v>118</v>
      </c>
      <c r="E246" s="70" t="s">
        <v>5564</v>
      </c>
    </row>
    <row r="247" spans="1:5">
      <c r="A247" s="69">
        <v>119</v>
      </c>
      <c r="E247" s="71"/>
    </row>
    <row r="248" spans="1:5">
      <c r="A248" s="69">
        <v>120</v>
      </c>
      <c r="E248" s="70" t="s">
        <v>5573</v>
      </c>
    </row>
    <row r="249" spans="1:5">
      <c r="A249" s="69">
        <v>121</v>
      </c>
      <c r="E249" s="70" t="s">
        <v>5574</v>
      </c>
    </row>
    <row r="250" spans="1:5">
      <c r="A250" s="69">
        <v>122</v>
      </c>
      <c r="E250" s="70" t="s">
        <v>5575</v>
      </c>
    </row>
    <row r="251" spans="1:5">
      <c r="A251" s="69">
        <v>123</v>
      </c>
      <c r="E251" s="70" t="s">
        <v>5576</v>
      </c>
    </row>
    <row r="252" spans="1:5">
      <c r="A252" s="69">
        <v>124</v>
      </c>
      <c r="E252" s="70" t="s">
        <v>5577</v>
      </c>
    </row>
    <row r="253" spans="1:5">
      <c r="A253" s="69">
        <v>125</v>
      </c>
      <c r="E253" s="71"/>
    </row>
    <row r="254" spans="1:5">
      <c r="A254" s="69">
        <v>126</v>
      </c>
      <c r="E254" s="70" t="s">
        <v>5578</v>
      </c>
    </row>
    <row r="255" spans="1:5">
      <c r="A255" s="69">
        <v>127</v>
      </c>
      <c r="E255" s="70" t="s">
        <v>5579</v>
      </c>
    </row>
    <row r="256" spans="1:5">
      <c r="A256" s="69">
        <v>128</v>
      </c>
      <c r="E256" s="70" t="s">
        <v>5580</v>
      </c>
    </row>
    <row r="257" spans="1:5">
      <c r="A257" s="69">
        <v>129</v>
      </c>
      <c r="E257" s="70" t="s">
        <v>5581</v>
      </c>
    </row>
    <row r="258" spans="1:5">
      <c r="A258" s="69">
        <v>130</v>
      </c>
      <c r="E258" s="70" t="s">
        <v>5582</v>
      </c>
    </row>
    <row r="259" spans="1:5">
      <c r="A259" s="69">
        <v>131</v>
      </c>
      <c r="E259" s="70" t="s">
        <v>5583</v>
      </c>
    </row>
    <row r="260" spans="1:5">
      <c r="A260" s="69">
        <v>132</v>
      </c>
      <c r="E260" s="70" t="s">
        <v>5584</v>
      </c>
    </row>
    <row r="261" spans="1:5">
      <c r="A261" s="69">
        <v>133</v>
      </c>
      <c r="E261" s="70" t="s">
        <v>5585</v>
      </c>
    </row>
    <row r="262" spans="1:5">
      <c r="A262" s="69">
        <v>134</v>
      </c>
      <c r="E262" s="70" t="s">
        <v>5586</v>
      </c>
    </row>
    <row r="263" spans="1:5">
      <c r="A263" s="69">
        <v>135</v>
      </c>
      <c r="E263" s="70" t="s">
        <v>5587</v>
      </c>
    </row>
    <row r="264" spans="1:5">
      <c r="A264" s="69">
        <v>136</v>
      </c>
      <c r="E264" s="70" t="s">
        <v>5588</v>
      </c>
    </row>
    <row r="265" spans="1:5">
      <c r="A265" s="69">
        <v>137</v>
      </c>
      <c r="E265" s="70" t="s">
        <v>5589</v>
      </c>
    </row>
    <row r="266" spans="1:5">
      <c r="A266" s="69">
        <v>138</v>
      </c>
      <c r="E266" s="70" t="s">
        <v>5590</v>
      </c>
    </row>
    <row r="267" spans="1:5">
      <c r="A267" s="69">
        <v>139</v>
      </c>
      <c r="E267" s="70" t="s">
        <v>5591</v>
      </c>
    </row>
    <row r="268" spans="1:5">
      <c r="A268" s="69">
        <v>140</v>
      </c>
      <c r="E268" s="71"/>
    </row>
    <row r="269" spans="1:5">
      <c r="A269" s="69">
        <v>141</v>
      </c>
      <c r="E269" s="70" t="s">
        <v>5592</v>
      </c>
    </row>
    <row r="270" spans="1:5">
      <c r="A270" s="69">
        <v>142</v>
      </c>
      <c r="E270" s="70" t="s">
        <v>5593</v>
      </c>
    </row>
    <row r="271" spans="1:5">
      <c r="A271" s="69">
        <v>143</v>
      </c>
      <c r="E271" s="70" t="s">
        <v>5594</v>
      </c>
    </row>
    <row r="272" spans="1:5">
      <c r="A272" s="69">
        <v>144</v>
      </c>
      <c r="E272" s="71"/>
    </row>
    <row r="273" spans="1:5">
      <c r="A273" s="69">
        <v>145</v>
      </c>
      <c r="E273" s="70" t="s">
        <v>5595</v>
      </c>
    </row>
    <row r="274" spans="1:5">
      <c r="A274" s="69">
        <v>146</v>
      </c>
      <c r="E274" s="70" t="s">
        <v>5596</v>
      </c>
    </row>
    <row r="275" spans="1:5">
      <c r="A275" s="69">
        <v>147</v>
      </c>
      <c r="E275" s="70" t="s">
        <v>5597</v>
      </c>
    </row>
    <row r="276" spans="1:5">
      <c r="A276" s="69">
        <v>148</v>
      </c>
      <c r="E276" s="70" t="s">
        <v>5598</v>
      </c>
    </row>
    <row r="277" spans="1:5">
      <c r="A277" s="69">
        <v>149</v>
      </c>
      <c r="E277" s="70" t="s">
        <v>5599</v>
      </c>
    </row>
    <row r="278" spans="1:5">
      <c r="A278" s="69">
        <v>150</v>
      </c>
      <c r="E278" s="70" t="s">
        <v>5564</v>
      </c>
    </row>
    <row r="279" spans="1:5">
      <c r="A279" s="69">
        <v>151</v>
      </c>
      <c r="E279" s="70" t="s">
        <v>5600</v>
      </c>
    </row>
    <row r="280" spans="1:5">
      <c r="A280" s="69">
        <v>152</v>
      </c>
      <c r="E280" s="70" t="s">
        <v>5601</v>
      </c>
    </row>
    <row r="281" spans="1:5">
      <c r="A281" s="69">
        <v>153</v>
      </c>
      <c r="E281" s="71"/>
    </row>
    <row r="282" spans="1:5">
      <c r="A282" s="69">
        <v>154</v>
      </c>
      <c r="E282" s="70" t="s">
        <v>5602</v>
      </c>
    </row>
    <row r="283" spans="1:5">
      <c r="A283" s="69">
        <v>155</v>
      </c>
      <c r="E283" s="70" t="s">
        <v>5603</v>
      </c>
    </row>
    <row r="284" spans="1:5">
      <c r="A284" s="69">
        <v>156</v>
      </c>
      <c r="E284" s="70" t="s">
        <v>5604</v>
      </c>
    </row>
    <row r="285" spans="1:5">
      <c r="A285" s="69">
        <v>157</v>
      </c>
      <c r="E285" s="70" t="s">
        <v>5605</v>
      </c>
    </row>
    <row r="286" spans="1:5">
      <c r="A286" s="69">
        <v>158</v>
      </c>
      <c r="E286" s="70" t="s">
        <v>5606</v>
      </c>
    </row>
    <row r="287" spans="1:5">
      <c r="A287" s="69">
        <v>159</v>
      </c>
      <c r="E287" s="70" t="s">
        <v>5607</v>
      </c>
    </row>
    <row r="288" spans="1:5">
      <c r="A288" s="69">
        <v>160</v>
      </c>
      <c r="E288" s="70" t="s">
        <v>5608</v>
      </c>
    </row>
    <row r="289" spans="1:5">
      <c r="A289" s="69">
        <v>161</v>
      </c>
      <c r="E289" s="70" t="s">
        <v>5609</v>
      </c>
    </row>
    <row r="290" spans="1:5">
      <c r="A290" s="69">
        <v>162</v>
      </c>
      <c r="E290" s="70" t="s">
        <v>5610</v>
      </c>
    </row>
    <row r="291" spans="1:5">
      <c r="A291" s="69">
        <v>163</v>
      </c>
      <c r="E291" s="70" t="s">
        <v>5611</v>
      </c>
    </row>
    <row r="292" spans="1:5">
      <c r="A292" s="69">
        <v>164</v>
      </c>
      <c r="E292" s="70" t="s">
        <v>5612</v>
      </c>
    </row>
    <row r="293" spans="1:5">
      <c r="A293" s="69">
        <v>165</v>
      </c>
      <c r="E293" s="70" t="s">
        <v>5613</v>
      </c>
    </row>
    <row r="294" spans="1:5">
      <c r="A294" s="69">
        <v>166</v>
      </c>
      <c r="E294" s="70" t="s">
        <v>5614</v>
      </c>
    </row>
    <row r="295" spans="1:5">
      <c r="A295" s="69">
        <v>167</v>
      </c>
      <c r="E295" s="70" t="s">
        <v>5615</v>
      </c>
    </row>
    <row r="296" spans="1:5">
      <c r="A296" s="69">
        <v>168</v>
      </c>
      <c r="E296" s="70" t="s">
        <v>5601</v>
      </c>
    </row>
    <row r="297" spans="1:5">
      <c r="A297" s="69">
        <v>169</v>
      </c>
      <c r="E297" s="71"/>
    </row>
    <row r="298" spans="1:5">
      <c r="A298" s="69">
        <v>170</v>
      </c>
      <c r="E298" s="70" t="s">
        <v>5616</v>
      </c>
    </row>
    <row r="299" spans="1:5">
      <c r="A299" s="69">
        <v>171</v>
      </c>
      <c r="E299" s="70" t="s">
        <v>5617</v>
      </c>
    </row>
    <row r="300" spans="1:5">
      <c r="A300" s="69">
        <v>172</v>
      </c>
      <c r="E300" s="70" t="s">
        <v>5618</v>
      </c>
    </row>
    <row r="301" spans="1:5">
      <c r="A301" s="69">
        <v>173</v>
      </c>
      <c r="E301" s="70" t="s">
        <v>5619</v>
      </c>
    </row>
    <row r="302" spans="1:5">
      <c r="A302" s="69">
        <v>174</v>
      </c>
      <c r="E302" s="70" t="s">
        <v>5620</v>
      </c>
    </row>
    <row r="303" spans="1:5">
      <c r="A303" s="69">
        <v>175</v>
      </c>
      <c r="E303" s="70" t="s">
        <v>5621</v>
      </c>
    </row>
    <row r="304" spans="1:5">
      <c r="A304" s="69">
        <v>176</v>
      </c>
      <c r="E304" s="70" t="s">
        <v>5622</v>
      </c>
    </row>
    <row r="305" spans="1:5">
      <c r="A305" s="69">
        <v>177</v>
      </c>
      <c r="E305" s="70" t="s">
        <v>5623</v>
      </c>
    </row>
    <row r="306" spans="1:5">
      <c r="A306" s="69">
        <v>178</v>
      </c>
      <c r="E306" s="71"/>
    </row>
    <row r="307" spans="1:5">
      <c r="A307" s="69">
        <v>179</v>
      </c>
      <c r="E307" s="70" t="s">
        <v>5624</v>
      </c>
    </row>
    <row r="308" spans="1:5">
      <c r="A308" s="69">
        <v>180</v>
      </c>
      <c r="E308" s="70" t="s">
        <v>5625</v>
      </c>
    </row>
    <row r="309" spans="1:5">
      <c r="A309" s="69">
        <v>181</v>
      </c>
      <c r="E309" s="70" t="s">
        <v>5626</v>
      </c>
    </row>
    <row r="310" spans="1:5">
      <c r="A310" s="69">
        <v>182</v>
      </c>
      <c r="E310" s="70" t="s">
        <v>5627</v>
      </c>
    </row>
    <row r="311" spans="1:5">
      <c r="A311" s="69">
        <v>183</v>
      </c>
      <c r="E311" s="70" t="s">
        <v>5628</v>
      </c>
    </row>
    <row r="312" spans="1:5">
      <c r="A312" s="69">
        <v>184</v>
      </c>
      <c r="E312" s="71"/>
    </row>
    <row r="313" spans="1:5">
      <c r="A313" s="69">
        <v>185</v>
      </c>
      <c r="E313" s="70" t="s">
        <v>5629</v>
      </c>
    </row>
    <row r="314" spans="1:5">
      <c r="A314" s="69">
        <v>186</v>
      </c>
      <c r="E314" s="70" t="s">
        <v>5630</v>
      </c>
    </row>
    <row r="315" spans="1:5">
      <c r="A315" s="69">
        <v>187</v>
      </c>
      <c r="E315" s="70" t="s">
        <v>5631</v>
      </c>
    </row>
    <row r="316" spans="1:5">
      <c r="A316" s="69">
        <v>188</v>
      </c>
      <c r="E316" s="71"/>
    </row>
    <row r="317" spans="1:5">
      <c r="A317" s="69">
        <v>189</v>
      </c>
      <c r="E317" s="70" t="s">
        <v>5632</v>
      </c>
    </row>
    <row r="318" spans="1:5">
      <c r="A318" s="69">
        <v>190</v>
      </c>
      <c r="E318" s="70" t="s">
        <v>5633</v>
      </c>
    </row>
    <row r="319" spans="1:5">
      <c r="A319" s="69">
        <v>191</v>
      </c>
      <c r="E319" s="70" t="s">
        <v>5634</v>
      </c>
    </row>
    <row r="320" spans="1:5">
      <c r="A320" s="69">
        <v>192</v>
      </c>
      <c r="E320" s="70" t="s">
        <v>5635</v>
      </c>
    </row>
    <row r="321" spans="1:5">
      <c r="A321" s="69">
        <v>193</v>
      </c>
      <c r="E321" s="70" t="s">
        <v>5636</v>
      </c>
    </row>
    <row r="322" spans="1:5">
      <c r="A322" s="69">
        <v>194</v>
      </c>
      <c r="E322" s="70" t="s">
        <v>5637</v>
      </c>
    </row>
    <row r="323" spans="1:5">
      <c r="A323" s="69">
        <v>195</v>
      </c>
      <c r="E323" s="70" t="s">
        <v>5638</v>
      </c>
    </row>
    <row r="324" spans="1:5">
      <c r="A324" s="69">
        <v>196</v>
      </c>
      <c r="E324" s="70" t="s">
        <v>5639</v>
      </c>
    </row>
    <row r="325" spans="1:5">
      <c r="A325" s="69">
        <v>197</v>
      </c>
      <c r="E325" s="70" t="s">
        <v>5640</v>
      </c>
    </row>
    <row r="326" spans="1:5">
      <c r="A326" s="69">
        <v>198</v>
      </c>
      <c r="E326" s="70" t="s">
        <v>5564</v>
      </c>
    </row>
    <row r="327" spans="1:5">
      <c r="A327" s="69">
        <v>199</v>
      </c>
      <c r="E327" s="71"/>
    </row>
    <row r="328" spans="1:5">
      <c r="A328" s="69">
        <v>200</v>
      </c>
      <c r="E328" s="70" t="s">
        <v>5641</v>
      </c>
    </row>
    <row r="329" spans="1:5">
      <c r="A329" s="69">
        <v>201</v>
      </c>
      <c r="E329" s="70" t="s">
        <v>5642</v>
      </c>
    </row>
    <row r="330" spans="1:5">
      <c r="A330" s="69">
        <v>202</v>
      </c>
      <c r="E330" s="70" t="s">
        <v>5643</v>
      </c>
    </row>
    <row r="331" spans="1:5">
      <c r="A331" s="69">
        <v>203</v>
      </c>
      <c r="E331" s="70" t="s">
        <v>5644</v>
      </c>
    </row>
    <row r="332" spans="1:5">
      <c r="A332" s="69">
        <v>204</v>
      </c>
      <c r="E332" s="70" t="s">
        <v>5637</v>
      </c>
    </row>
    <row r="333" spans="1:5">
      <c r="A333" s="69">
        <v>205</v>
      </c>
      <c r="E333" s="70" t="s">
        <v>5645</v>
      </c>
    </row>
    <row r="334" spans="1:5">
      <c r="A334" s="69">
        <v>206</v>
      </c>
      <c r="E334" s="70" t="s">
        <v>5646</v>
      </c>
    </row>
    <row r="335" spans="1:5">
      <c r="A335" s="69">
        <v>207</v>
      </c>
      <c r="E335" s="70" t="s">
        <v>5647</v>
      </c>
    </row>
    <row r="336" spans="1:5">
      <c r="A336" s="69">
        <v>208</v>
      </c>
      <c r="E336" s="70" t="s">
        <v>5648</v>
      </c>
    </row>
    <row r="337" spans="1:5">
      <c r="A337" s="69">
        <v>209</v>
      </c>
      <c r="E337" s="70" t="s">
        <v>5649</v>
      </c>
    </row>
    <row r="338" spans="1:5">
      <c r="A338" s="69">
        <v>210</v>
      </c>
      <c r="E338" s="70" t="s">
        <v>5650</v>
      </c>
    </row>
    <row r="339" spans="1:5">
      <c r="A339" s="69">
        <v>211</v>
      </c>
      <c r="E339" s="70" t="s">
        <v>5651</v>
      </c>
    </row>
    <row r="340" spans="1:5">
      <c r="A340" s="69">
        <v>212</v>
      </c>
      <c r="E340" s="70" t="s">
        <v>5652</v>
      </c>
    </row>
    <row r="341" spans="1:5">
      <c r="A341" s="69">
        <v>213</v>
      </c>
      <c r="E341" s="70" t="s">
        <v>5653</v>
      </c>
    </row>
    <row r="342" spans="1:5">
      <c r="A342" s="69">
        <v>214</v>
      </c>
      <c r="E342" s="70" t="s">
        <v>5654</v>
      </c>
    </row>
    <row r="343" spans="1:5">
      <c r="A343" s="69">
        <v>215</v>
      </c>
      <c r="E343" s="70" t="s">
        <v>5655</v>
      </c>
    </row>
    <row r="344" spans="1:5">
      <c r="A344" s="69">
        <v>216</v>
      </c>
      <c r="E344" s="70" t="s">
        <v>5656</v>
      </c>
    </row>
    <row r="345" spans="1:5">
      <c r="A345" s="69">
        <v>217</v>
      </c>
      <c r="E345" s="70" t="s">
        <v>5590</v>
      </c>
    </row>
    <row r="346" spans="1:5">
      <c r="A346" s="69">
        <v>218</v>
      </c>
      <c r="E346" s="70" t="s">
        <v>5591</v>
      </c>
    </row>
    <row r="347" spans="1:5">
      <c r="A347" s="69">
        <v>219</v>
      </c>
      <c r="E347" s="71"/>
    </row>
    <row r="348" spans="1:5">
      <c r="A348" s="69">
        <v>220</v>
      </c>
      <c r="E348" s="70" t="s">
        <v>5657</v>
      </c>
    </row>
    <row r="349" spans="1:5">
      <c r="A349" s="69">
        <v>221</v>
      </c>
      <c r="E349" s="70" t="s">
        <v>5658</v>
      </c>
    </row>
    <row r="350" spans="1:5">
      <c r="A350" s="69">
        <v>222</v>
      </c>
      <c r="E350" s="70" t="s">
        <v>5659</v>
      </c>
    </row>
    <row r="351" spans="1:5">
      <c r="A351" s="69">
        <v>223</v>
      </c>
      <c r="E351" s="70" t="s">
        <v>5549</v>
      </c>
    </row>
    <row r="352" spans="1:5">
      <c r="A352" s="69">
        <v>224</v>
      </c>
      <c r="E352" s="71"/>
    </row>
    <row r="353" spans="1:5">
      <c r="A353" s="69">
        <v>225</v>
      </c>
      <c r="E353" s="70" t="s">
        <v>5660</v>
      </c>
    </row>
    <row r="354" spans="1:5">
      <c r="A354" s="69">
        <v>226</v>
      </c>
      <c r="E354" s="70" t="s">
        <v>5661</v>
      </c>
    </row>
    <row r="355" spans="1:5">
      <c r="A355" s="69">
        <v>227</v>
      </c>
      <c r="E355" s="70" t="s">
        <v>5662</v>
      </c>
    </row>
    <row r="356" spans="1:5">
      <c r="A356" s="69">
        <v>228</v>
      </c>
      <c r="E356" s="70" t="s">
        <v>5663</v>
      </c>
    </row>
    <row r="357" spans="1:5">
      <c r="A357" s="69">
        <v>229</v>
      </c>
      <c r="E357" s="70" t="s">
        <v>5619</v>
      </c>
    </row>
    <row r="358" spans="1:5">
      <c r="A358" s="69">
        <v>230</v>
      </c>
      <c r="E358" s="70" t="s">
        <v>5664</v>
      </c>
    </row>
    <row r="359" spans="1:5">
      <c r="A359" s="69">
        <v>231</v>
      </c>
      <c r="E359" s="70" t="s">
        <v>5665</v>
      </c>
    </row>
    <row r="360" spans="1:5">
      <c r="A360" s="69">
        <v>232</v>
      </c>
      <c r="E360" s="70" t="s">
        <v>5666</v>
      </c>
    </row>
    <row r="361" spans="1:5">
      <c r="A361" s="69">
        <v>233</v>
      </c>
      <c r="E361" s="70" t="s">
        <v>5667</v>
      </c>
    </row>
    <row r="362" spans="1:5">
      <c r="A362" s="69">
        <v>234</v>
      </c>
      <c r="E362" s="71"/>
    </row>
    <row r="363" spans="1:5">
      <c r="A363" s="69">
        <v>235</v>
      </c>
      <c r="E363" s="70" t="s">
        <v>5668</v>
      </c>
    </row>
    <row r="364" spans="1:5">
      <c r="A364" s="69">
        <v>236</v>
      </c>
      <c r="E364" s="70" t="s">
        <v>5669</v>
      </c>
    </row>
    <row r="365" spans="1:5">
      <c r="A365" s="69">
        <v>237</v>
      </c>
      <c r="E365" s="70" t="s">
        <v>5670</v>
      </c>
    </row>
    <row r="366" spans="1:5">
      <c r="A366" s="69">
        <v>238</v>
      </c>
      <c r="E366" s="70" t="s">
        <v>5671</v>
      </c>
    </row>
    <row r="367" spans="1:5">
      <c r="A367" s="69">
        <v>239</v>
      </c>
      <c r="E367" s="71"/>
    </row>
    <row r="368" spans="1:5">
      <c r="A368" s="69">
        <v>240</v>
      </c>
      <c r="E368" s="70" t="s">
        <v>5672</v>
      </c>
    </row>
    <row r="369" spans="1:5">
      <c r="A369" s="69">
        <v>241</v>
      </c>
      <c r="E369" s="70" t="s">
        <v>5630</v>
      </c>
    </row>
    <row r="370" spans="1:5">
      <c r="A370" s="69">
        <v>242</v>
      </c>
      <c r="E370" s="70" t="s">
        <v>5673</v>
      </c>
    </row>
    <row r="371" spans="1:5">
      <c r="A371" s="69">
        <v>243</v>
      </c>
      <c r="E371" s="70" t="s">
        <v>5674</v>
      </c>
    </row>
    <row r="372" spans="1:5">
      <c r="A372" s="69">
        <v>244</v>
      </c>
      <c r="E372" s="71"/>
    </row>
    <row r="373" spans="1:5">
      <c r="A373" s="69">
        <v>245</v>
      </c>
      <c r="E373" s="70" t="s">
        <v>5675</v>
      </c>
    </row>
    <row r="374" spans="1:5">
      <c r="A374" s="69">
        <v>246</v>
      </c>
      <c r="E374" s="70" t="s">
        <v>5676</v>
      </c>
    </row>
    <row r="375" spans="1:5">
      <c r="A375" s="69">
        <v>247</v>
      </c>
      <c r="E375" s="70" t="s">
        <v>5642</v>
      </c>
    </row>
    <row r="376" spans="1:5">
      <c r="A376" s="69">
        <v>248</v>
      </c>
      <c r="E376" s="70" t="s">
        <v>5643</v>
      </c>
    </row>
    <row r="377" spans="1:5">
      <c r="A377" s="69">
        <v>249</v>
      </c>
      <c r="E377" s="70" t="s">
        <v>5677</v>
      </c>
    </row>
    <row r="378" spans="1:5">
      <c r="A378" s="69">
        <v>250</v>
      </c>
      <c r="E378" s="70" t="s">
        <v>5637</v>
      </c>
    </row>
    <row r="379" spans="1:5">
      <c r="A379" s="69">
        <v>251</v>
      </c>
      <c r="E379" s="70" t="s">
        <v>5645</v>
      </c>
    </row>
    <row r="380" spans="1:5">
      <c r="A380" s="69">
        <v>252</v>
      </c>
      <c r="E380" s="70" t="s">
        <v>5646</v>
      </c>
    </row>
    <row r="381" spans="1:5">
      <c r="A381" s="69">
        <v>253</v>
      </c>
      <c r="E381" s="70" t="s">
        <v>5678</v>
      </c>
    </row>
    <row r="382" spans="1:5">
      <c r="A382" s="69">
        <v>254</v>
      </c>
      <c r="E382" s="70" t="s">
        <v>5679</v>
      </c>
    </row>
    <row r="383" spans="1:5">
      <c r="A383" s="69">
        <v>255</v>
      </c>
      <c r="E383" s="70" t="s">
        <v>5680</v>
      </c>
    </row>
    <row r="384" spans="1:5">
      <c r="A384" s="69">
        <v>256</v>
      </c>
      <c r="E384" s="70" t="s">
        <v>5681</v>
      </c>
    </row>
    <row r="385" spans="1:5">
      <c r="A385" s="69">
        <v>257</v>
      </c>
      <c r="E385" s="70" t="s">
        <v>5682</v>
      </c>
    </row>
    <row r="386" spans="1:5">
      <c r="A386" s="69">
        <v>258</v>
      </c>
      <c r="E386" s="70" t="s">
        <v>5590</v>
      </c>
    </row>
    <row r="387" spans="1:5">
      <c r="A387" s="69">
        <v>259</v>
      </c>
      <c r="E387" s="70" t="s">
        <v>5591</v>
      </c>
    </row>
    <row r="388" spans="1:5">
      <c r="A388" s="69">
        <v>260</v>
      </c>
      <c r="E388" s="71"/>
    </row>
    <row r="389" spans="1:5">
      <c r="A389" s="69">
        <v>261</v>
      </c>
      <c r="E389" s="70" t="s">
        <v>5633</v>
      </c>
    </row>
    <row r="390" spans="1:5">
      <c r="A390" s="69">
        <v>262</v>
      </c>
      <c r="E390" s="70" t="s">
        <v>5634</v>
      </c>
    </row>
    <row r="391" spans="1:5">
      <c r="A391" s="69">
        <v>263</v>
      </c>
      <c r="E391" s="70" t="s">
        <v>5635</v>
      </c>
    </row>
    <row r="392" spans="1:5">
      <c r="A392" s="69">
        <v>264</v>
      </c>
      <c r="E392" s="70" t="s">
        <v>5636</v>
      </c>
    </row>
    <row r="393" spans="1:5">
      <c r="A393" s="69">
        <v>265</v>
      </c>
      <c r="E393" s="70" t="s">
        <v>5678</v>
      </c>
    </row>
    <row r="394" spans="1:5">
      <c r="A394" s="69">
        <v>266</v>
      </c>
      <c r="E394" s="70" t="s">
        <v>5683</v>
      </c>
    </row>
    <row r="395" spans="1:5">
      <c r="A395" s="69">
        <v>267</v>
      </c>
      <c r="E395" s="70" t="s">
        <v>5684</v>
      </c>
    </row>
    <row r="396" spans="1:5">
      <c r="A396" s="69">
        <v>268</v>
      </c>
      <c r="E396" s="70" t="s">
        <v>5685</v>
      </c>
    </row>
    <row r="397" spans="1:5">
      <c r="A397" s="69">
        <v>269</v>
      </c>
      <c r="E397" s="70" t="s">
        <v>5686</v>
      </c>
    </row>
    <row r="398" spans="1:5">
      <c r="A398" s="69">
        <v>270</v>
      </c>
      <c r="E398" s="70" t="s">
        <v>5687</v>
      </c>
    </row>
    <row r="399" spans="1:5">
      <c r="A399" s="69">
        <v>271</v>
      </c>
      <c r="E399" s="70" t="s">
        <v>5688</v>
      </c>
    </row>
    <row r="400" spans="1:5">
      <c r="A400" s="69">
        <v>272</v>
      </c>
      <c r="E400" s="70" t="s">
        <v>5689</v>
      </c>
    </row>
    <row r="401" spans="1:5">
      <c r="A401" s="69">
        <v>273</v>
      </c>
      <c r="E401" s="70" t="s">
        <v>5690</v>
      </c>
    </row>
    <row r="402" spans="1:5">
      <c r="A402" s="69">
        <v>274</v>
      </c>
      <c r="E402" s="70" t="s">
        <v>5656</v>
      </c>
    </row>
    <row r="403" spans="1:5">
      <c r="A403" s="69">
        <v>275</v>
      </c>
      <c r="E403" s="70" t="s">
        <v>5640</v>
      </c>
    </row>
    <row r="404" spans="1:5">
      <c r="A404" s="69">
        <v>276</v>
      </c>
      <c r="E404" s="70" t="s">
        <v>5564</v>
      </c>
    </row>
    <row r="405" spans="1:5">
      <c r="A405" s="69">
        <v>277</v>
      </c>
      <c r="E405" s="70" t="s">
        <v>5691</v>
      </c>
    </row>
    <row r="406" spans="1:5">
      <c r="A406" s="69">
        <v>278</v>
      </c>
      <c r="E406" s="70" t="s">
        <v>5692</v>
      </c>
    </row>
    <row r="407" spans="1:5">
      <c r="A407" s="69">
        <v>279</v>
      </c>
      <c r="E407" s="70" t="s">
        <v>5693</v>
      </c>
    </row>
    <row r="408" spans="1:5">
      <c r="A408" s="69">
        <v>280</v>
      </c>
      <c r="E408" s="70" t="s">
        <v>5591</v>
      </c>
    </row>
    <row r="409" spans="1:5">
      <c r="A409" s="69">
        <v>281</v>
      </c>
      <c r="E409" s="71"/>
    </row>
    <row r="410" spans="1:5">
      <c r="A410" s="69">
        <v>282</v>
      </c>
      <c r="E410" s="70" t="s">
        <v>5694</v>
      </c>
    </row>
    <row r="411" spans="1:5">
      <c r="A411" s="69">
        <v>283</v>
      </c>
      <c r="E411" s="70" t="s">
        <v>5695</v>
      </c>
    </row>
    <row r="412" spans="1:5">
      <c r="A412" s="69">
        <v>284</v>
      </c>
      <c r="E412" s="70" t="s">
        <v>5696</v>
      </c>
    </row>
    <row r="413" spans="1:5">
      <c r="A413" s="69">
        <v>285</v>
      </c>
      <c r="E413" s="70" t="s">
        <v>5697</v>
      </c>
    </row>
    <row r="414" spans="1:5">
      <c r="A414" s="69">
        <v>286</v>
      </c>
      <c r="E414" s="70" t="s">
        <v>5698</v>
      </c>
    </row>
    <row r="415" spans="1:5">
      <c r="A415" s="69">
        <v>287</v>
      </c>
      <c r="E415" s="70" t="s">
        <v>5564</v>
      </c>
    </row>
    <row r="416" spans="1:5">
      <c r="A416" s="69">
        <v>288</v>
      </c>
      <c r="E416" s="70" t="s">
        <v>5549</v>
      </c>
    </row>
    <row r="417" spans="1:5">
      <c r="A417" s="69">
        <v>289</v>
      </c>
      <c r="E417" s="71"/>
    </row>
    <row r="418" spans="1:5">
      <c r="A418" s="69">
        <v>290</v>
      </c>
      <c r="E418" s="70" t="s">
        <v>5699</v>
      </c>
    </row>
    <row r="419" spans="1:5">
      <c r="A419" s="69">
        <v>291</v>
      </c>
      <c r="E419" s="70" t="s">
        <v>5700</v>
      </c>
    </row>
    <row r="420" spans="1:5">
      <c r="A420" s="69">
        <v>292</v>
      </c>
      <c r="E420" s="70" t="s">
        <v>5601</v>
      </c>
    </row>
    <row r="421" spans="1:5">
      <c r="A421" s="69">
        <v>293</v>
      </c>
      <c r="E421" s="71"/>
    </row>
    <row r="422" spans="1:5">
      <c r="A422" s="69">
        <v>294</v>
      </c>
      <c r="E422" s="70" t="s">
        <v>5701</v>
      </c>
    </row>
    <row r="423" spans="1:5">
      <c r="A423" s="69">
        <v>295</v>
      </c>
      <c r="E423" s="70" t="s">
        <v>5702</v>
      </c>
    </row>
    <row r="424" spans="1:5">
      <c r="A424" s="69">
        <v>296</v>
      </c>
      <c r="E424" s="70" t="s">
        <v>5703</v>
      </c>
    </row>
    <row r="425" spans="1:5">
      <c r="A425" s="69">
        <v>297</v>
      </c>
      <c r="E425" s="70" t="s">
        <v>5704</v>
      </c>
    </row>
    <row r="426" spans="1:5">
      <c r="A426" s="69">
        <v>298</v>
      </c>
      <c r="E426" s="70" t="s">
        <v>5705</v>
      </c>
    </row>
    <row r="427" spans="1:5">
      <c r="A427" s="69">
        <v>299</v>
      </c>
      <c r="E427" s="70" t="s">
        <v>5706</v>
      </c>
    </row>
    <row r="428" spans="1:5">
      <c r="A428" s="69">
        <v>300</v>
      </c>
      <c r="E428" s="70" t="s">
        <v>5707</v>
      </c>
    </row>
    <row r="429" spans="1:5">
      <c r="A429" s="69">
        <v>301</v>
      </c>
      <c r="E429" s="70" t="s">
        <v>5708</v>
      </c>
    </row>
    <row r="430" spans="1:5">
      <c r="A430" s="69">
        <v>302</v>
      </c>
      <c r="E430" s="70" t="s">
        <v>5709</v>
      </c>
    </row>
    <row r="431" spans="1:5">
      <c r="A431" s="69">
        <v>303</v>
      </c>
      <c r="E431" s="70" t="s">
        <v>5710</v>
      </c>
    </row>
    <row r="432" spans="1:5">
      <c r="A432" s="69">
        <v>304</v>
      </c>
      <c r="E432" s="70" t="s">
        <v>5711</v>
      </c>
    </row>
    <row r="433" spans="1:5">
      <c r="A433" s="69">
        <v>305</v>
      </c>
      <c r="E433" s="70" t="s">
        <v>5712</v>
      </c>
    </row>
    <row r="434" spans="1:5">
      <c r="A434" s="69">
        <v>306</v>
      </c>
      <c r="E434" s="70" t="s">
        <v>5713</v>
      </c>
    </row>
    <row r="435" spans="1:5">
      <c r="A435" s="69">
        <v>307</v>
      </c>
      <c r="E435" s="70" t="s">
        <v>5714</v>
      </c>
    </row>
    <row r="436" spans="1:5">
      <c r="A436" s="69">
        <v>308</v>
      </c>
      <c r="E436" s="70" t="s">
        <v>5590</v>
      </c>
    </row>
    <row r="437" spans="1:5">
      <c r="A437" s="69">
        <v>309</v>
      </c>
      <c r="E437" s="70" t="s">
        <v>5715</v>
      </c>
    </row>
    <row r="438" spans="1:5">
      <c r="A438" s="69">
        <v>310</v>
      </c>
      <c r="E438" s="70" t="s">
        <v>5591</v>
      </c>
    </row>
    <row r="439" spans="1:5">
      <c r="A439" s="69">
        <v>311</v>
      </c>
      <c r="E439" s="70" t="s">
        <v>5716</v>
      </c>
    </row>
    <row r="440" spans="1:5">
      <c r="A440" s="69">
        <v>312</v>
      </c>
      <c r="E440" s="70" t="s">
        <v>5717</v>
      </c>
    </row>
    <row r="441" spans="1:5">
      <c r="A441" s="69">
        <v>313</v>
      </c>
      <c r="E441" s="70" t="s">
        <v>5564</v>
      </c>
    </row>
    <row r="442" spans="1:5">
      <c r="A442" s="69">
        <v>314</v>
      </c>
      <c r="E442" s="70" t="s">
        <v>5718</v>
      </c>
    </row>
    <row r="443" spans="1:5">
      <c r="A443" s="69">
        <v>315</v>
      </c>
      <c r="E443" s="70" t="s">
        <v>5719</v>
      </c>
    </row>
    <row r="444" spans="1:5">
      <c r="A444" s="69">
        <v>316</v>
      </c>
      <c r="E444" s="70" t="s">
        <v>5564</v>
      </c>
    </row>
    <row r="445" spans="1:5">
      <c r="A445" s="69">
        <v>317</v>
      </c>
      <c r="E445" s="70" t="s">
        <v>5720</v>
      </c>
    </row>
    <row r="446" spans="1:5">
      <c r="A446" s="69">
        <v>318</v>
      </c>
      <c r="E446" s="70" t="s">
        <v>5721</v>
      </c>
    </row>
    <row r="447" spans="1:5">
      <c r="A447" s="69">
        <v>319</v>
      </c>
      <c r="E447" s="70" t="s">
        <v>5722</v>
      </c>
    </row>
    <row r="448" spans="1:5">
      <c r="A448" s="69">
        <v>320</v>
      </c>
      <c r="E448" s="70" t="s">
        <v>5723</v>
      </c>
    </row>
    <row r="449" spans="1:5">
      <c r="A449" s="69">
        <v>321</v>
      </c>
      <c r="E449" s="70" t="s">
        <v>5601</v>
      </c>
    </row>
    <row r="450" spans="1:5">
      <c r="A450" s="69">
        <v>322</v>
      </c>
      <c r="E450" s="71"/>
    </row>
    <row r="451" spans="1:5">
      <c r="A451" s="69">
        <v>323</v>
      </c>
      <c r="E451" s="70" t="s">
        <v>5724</v>
      </c>
    </row>
    <row r="452" spans="1:5">
      <c r="A452" s="69">
        <v>324</v>
      </c>
      <c r="E452" s="70" t="s">
        <v>5725</v>
      </c>
    </row>
    <row r="453" spans="1:5">
      <c r="A453" s="69">
        <v>325</v>
      </c>
      <c r="E453" s="70" t="s">
        <v>5633</v>
      </c>
    </row>
    <row r="454" spans="1:5">
      <c r="A454" s="69">
        <v>326</v>
      </c>
      <c r="E454" s="70" t="s">
        <v>5726</v>
      </c>
    </row>
    <row r="455" spans="1:5">
      <c r="A455" s="69">
        <v>327</v>
      </c>
      <c r="E455" s="70" t="s">
        <v>5727</v>
      </c>
    </row>
    <row r="456" spans="1:5">
      <c r="A456" s="69">
        <v>328</v>
      </c>
      <c r="E456" s="70" t="s">
        <v>5728</v>
      </c>
    </row>
    <row r="457" spans="1:5">
      <c r="A457" s="69">
        <v>329</v>
      </c>
      <c r="E457" s="70" t="s">
        <v>5729</v>
      </c>
    </row>
    <row r="458" spans="1:5">
      <c r="A458" s="69">
        <v>330</v>
      </c>
      <c r="E458" s="70" t="s">
        <v>5730</v>
      </c>
    </row>
    <row r="459" spans="1:5">
      <c r="A459" s="69">
        <v>331</v>
      </c>
      <c r="E459" s="70" t="s">
        <v>5731</v>
      </c>
    </row>
    <row r="460" spans="1:5">
      <c r="A460" s="69">
        <v>332</v>
      </c>
      <c r="E460" s="70" t="s">
        <v>5732</v>
      </c>
    </row>
    <row r="461" spans="1:5">
      <c r="A461" s="69">
        <v>333</v>
      </c>
      <c r="E461" s="70" t="s">
        <v>5733</v>
      </c>
    </row>
    <row r="462" spans="1:5">
      <c r="A462" s="69">
        <v>334</v>
      </c>
      <c r="E462" s="70" t="s">
        <v>5734</v>
      </c>
    </row>
    <row r="463" spans="1:5">
      <c r="A463" s="69">
        <v>335</v>
      </c>
      <c r="E463" s="70" t="s">
        <v>5735</v>
      </c>
    </row>
    <row r="464" spans="1:5">
      <c r="A464" s="69">
        <v>336</v>
      </c>
      <c r="E464" s="70" t="s">
        <v>5656</v>
      </c>
    </row>
    <row r="465" spans="1:5">
      <c r="A465" s="69">
        <v>337</v>
      </c>
      <c r="E465" s="70" t="s">
        <v>5640</v>
      </c>
    </row>
    <row r="466" spans="1:5">
      <c r="A466" s="69">
        <v>338</v>
      </c>
      <c r="E466" s="70" t="s">
        <v>5591</v>
      </c>
    </row>
    <row r="467" spans="1:5">
      <c r="A467" s="69">
        <v>339</v>
      </c>
      <c r="E467" s="70" t="s">
        <v>5736</v>
      </c>
    </row>
    <row r="468" spans="1:5">
      <c r="A468" s="69">
        <v>340</v>
      </c>
      <c r="E468" s="70" t="s">
        <v>5549</v>
      </c>
    </row>
    <row r="469" spans="1:5">
      <c r="A469" s="69">
        <v>341</v>
      </c>
      <c r="E469" s="71"/>
    </row>
    <row r="470" spans="1:5">
      <c r="A470" s="69">
        <v>342</v>
      </c>
      <c r="E470" s="70" t="s">
        <v>5480</v>
      </c>
    </row>
    <row r="471" spans="1:5">
      <c r="A471" s="69">
        <v>343</v>
      </c>
      <c r="E471" s="70" t="s">
        <v>5737</v>
      </c>
    </row>
    <row r="472" spans="1:5">
      <c r="A472" s="69">
        <v>344</v>
      </c>
      <c r="E472" s="70" t="s">
        <v>5480</v>
      </c>
    </row>
    <row r="473" spans="1:5">
      <c r="A473" s="69">
        <v>345</v>
      </c>
      <c r="E473" s="70" t="s">
        <v>5738</v>
      </c>
    </row>
    <row r="474" spans="1:5">
      <c r="A474" s="69">
        <v>346</v>
      </c>
      <c r="E474" s="70" t="s">
        <v>5739</v>
      </c>
    </row>
    <row r="475" spans="1:5">
      <c r="A475" s="69">
        <v>347</v>
      </c>
      <c r="E475" s="70" t="s">
        <v>5560</v>
      </c>
    </row>
    <row r="476" spans="1:5">
      <c r="A476" s="69">
        <v>348</v>
      </c>
      <c r="E476" s="70" t="s">
        <v>5574</v>
      </c>
    </row>
    <row r="477" spans="1:5">
      <c r="A477" s="69">
        <v>349</v>
      </c>
      <c r="E477" s="70" t="s">
        <v>5577</v>
      </c>
    </row>
    <row r="478" spans="1:5">
      <c r="A478" s="69">
        <v>350</v>
      </c>
      <c r="E478" s="70" t="s">
        <v>5740</v>
      </c>
    </row>
    <row r="479" spans="1:5">
      <c r="A479" s="69">
        <v>351</v>
      </c>
      <c r="E479" s="70" t="s">
        <v>5594</v>
      </c>
    </row>
    <row r="480" spans="1:5">
      <c r="A480" s="69">
        <v>352</v>
      </c>
      <c r="E480" s="70" t="s">
        <v>5741</v>
      </c>
    </row>
    <row r="481" spans="1:5">
      <c r="A481" s="69">
        <v>353</v>
      </c>
      <c r="E481" s="70" t="s">
        <v>5742</v>
      </c>
    </row>
    <row r="482" spans="1:5">
      <c r="A482" s="69">
        <v>354</v>
      </c>
      <c r="E482" s="70" t="s">
        <v>5743</v>
      </c>
    </row>
    <row r="483" spans="1:5">
      <c r="A483" s="69">
        <v>355</v>
      </c>
      <c r="E483" s="70" t="s">
        <v>5744</v>
      </c>
    </row>
    <row r="484" spans="1:5">
      <c r="A484" s="69">
        <v>356</v>
      </c>
      <c r="E484" s="70" t="s">
        <v>5745</v>
      </c>
    </row>
    <row r="485" spans="1:5">
      <c r="A485" s="69">
        <v>357</v>
      </c>
      <c r="E485" s="70" t="s">
        <v>5746</v>
      </c>
    </row>
    <row r="486" spans="1:5">
      <c r="A486" s="69">
        <v>358</v>
      </c>
      <c r="E486" s="70" t="s">
        <v>5747</v>
      </c>
    </row>
    <row r="487" spans="1:5">
      <c r="A487" s="69">
        <v>359</v>
      </c>
      <c r="E487" s="70" t="s">
        <v>5748</v>
      </c>
    </row>
    <row r="488" spans="1:5">
      <c r="A488" s="69">
        <v>360</v>
      </c>
      <c r="E488" s="70" t="s">
        <v>5749</v>
      </c>
    </row>
    <row r="489" spans="1:5">
      <c r="A489" s="69">
        <v>361</v>
      </c>
      <c r="E489" s="70" t="s">
        <v>5750</v>
      </c>
    </row>
    <row r="490" spans="1:5">
      <c r="A490" s="69">
        <v>362</v>
      </c>
      <c r="E490" s="70" t="s">
        <v>5751</v>
      </c>
    </row>
    <row r="491" spans="1:5">
      <c r="A491" s="69">
        <v>363</v>
      </c>
      <c r="E491" s="70" t="s">
        <v>5564</v>
      </c>
    </row>
    <row r="492" spans="1:5">
      <c r="A492" s="69">
        <v>364</v>
      </c>
      <c r="E492" s="70" t="s">
        <v>5752</v>
      </c>
    </row>
    <row r="493" spans="1:5">
      <c r="A493" s="69">
        <v>365</v>
      </c>
      <c r="E493" s="70" t="s">
        <v>5601</v>
      </c>
    </row>
    <row r="494" spans="1:5">
      <c r="A494" s="69">
        <v>366</v>
      </c>
      <c r="E494" s="71"/>
    </row>
    <row r="495" spans="1:5">
      <c r="A495" s="69">
        <v>367</v>
      </c>
      <c r="E495" s="70" t="s">
        <v>5753</v>
      </c>
    </row>
    <row r="496" spans="1:5">
      <c r="A496" s="69">
        <v>368</v>
      </c>
      <c r="E496" s="70" t="s">
        <v>5754</v>
      </c>
    </row>
    <row r="497" spans="1:5">
      <c r="A497" s="69">
        <v>369</v>
      </c>
      <c r="E497" s="70" t="s">
        <v>5755</v>
      </c>
    </row>
    <row r="498" spans="1:5">
      <c r="A498" s="69">
        <v>370</v>
      </c>
      <c r="E498" s="70" t="s">
        <v>5756</v>
      </c>
    </row>
    <row r="499" spans="1:5">
      <c r="A499" s="69">
        <v>371</v>
      </c>
      <c r="E499" s="70" t="s">
        <v>5757</v>
      </c>
    </row>
    <row r="500" spans="1:5">
      <c r="A500" s="69">
        <v>372</v>
      </c>
      <c r="E500" s="70" t="s">
        <v>5758</v>
      </c>
    </row>
    <row r="501" spans="1:5">
      <c r="A501" s="69">
        <v>373</v>
      </c>
      <c r="E501" s="70" t="s">
        <v>5759</v>
      </c>
    </row>
    <row r="502" spans="1:5">
      <c r="A502" s="69">
        <v>374</v>
      </c>
      <c r="E502" s="70" t="s">
        <v>5760</v>
      </c>
    </row>
    <row r="503" spans="1:5">
      <c r="A503" s="69">
        <v>375</v>
      </c>
      <c r="E503" s="70" t="s">
        <v>5761</v>
      </c>
    </row>
    <row r="504" spans="1:5">
      <c r="A504" s="69">
        <v>376</v>
      </c>
      <c r="E504" s="70" t="s">
        <v>5762</v>
      </c>
    </row>
    <row r="505" spans="1:5">
      <c r="A505" s="69">
        <v>377</v>
      </c>
      <c r="E505" s="71"/>
    </row>
    <row r="506" spans="1:5">
      <c r="A506" s="69">
        <v>378</v>
      </c>
      <c r="E506" s="70" t="s">
        <v>5763</v>
      </c>
    </row>
    <row r="507" spans="1:5">
      <c r="A507" s="69">
        <v>379</v>
      </c>
      <c r="E507" s="70" t="s">
        <v>5764</v>
      </c>
    </row>
    <row r="508" spans="1:5">
      <c r="A508" s="69">
        <v>380</v>
      </c>
      <c r="E508" s="70" t="s">
        <v>5765</v>
      </c>
    </row>
    <row r="509" spans="1:5">
      <c r="A509" s="69">
        <v>381</v>
      </c>
      <c r="E509" s="70" t="s">
        <v>5766</v>
      </c>
    </row>
    <row r="510" spans="1:5">
      <c r="A510" s="69">
        <v>382</v>
      </c>
      <c r="E510" s="71"/>
    </row>
    <row r="511" spans="1:5">
      <c r="A511" s="69">
        <v>383</v>
      </c>
      <c r="E511" s="70" t="s">
        <v>5767</v>
      </c>
    </row>
    <row r="512" spans="1:5">
      <c r="A512" s="69">
        <v>384</v>
      </c>
      <c r="E512" s="70" t="s">
        <v>5768</v>
      </c>
    </row>
    <row r="513" spans="1:5">
      <c r="A513" s="69">
        <v>385</v>
      </c>
      <c r="E513" s="70" t="s">
        <v>5769</v>
      </c>
    </row>
    <row r="514" spans="1:5">
      <c r="A514" s="69">
        <v>386</v>
      </c>
      <c r="E514" s="70" t="s">
        <v>5770</v>
      </c>
    </row>
    <row r="515" spans="1:5">
      <c r="A515" s="69">
        <v>387</v>
      </c>
      <c r="E515" s="70" t="s">
        <v>5771</v>
      </c>
    </row>
    <row r="516" spans="1:5">
      <c r="A516" s="69">
        <v>388</v>
      </c>
      <c r="E516" s="70" t="s">
        <v>5772</v>
      </c>
    </row>
    <row r="517" spans="1:5">
      <c r="A517" s="69">
        <v>389</v>
      </c>
      <c r="E517" s="70" t="s">
        <v>5773</v>
      </c>
    </row>
    <row r="518" spans="1:5">
      <c r="A518" s="69">
        <v>390</v>
      </c>
      <c r="E518" s="70" t="s">
        <v>5774</v>
      </c>
    </row>
    <row r="519" spans="1:5">
      <c r="A519" s="69">
        <v>391</v>
      </c>
      <c r="E519" s="70" t="s">
        <v>5775</v>
      </c>
    </row>
    <row r="520" spans="1:5">
      <c r="A520" s="69">
        <v>392</v>
      </c>
      <c r="E520" s="70" t="s">
        <v>5776</v>
      </c>
    </row>
    <row r="521" spans="1:5">
      <c r="A521" s="69">
        <v>393</v>
      </c>
      <c r="E521" s="70" t="s">
        <v>5777</v>
      </c>
    </row>
    <row r="522" spans="1:5">
      <c r="A522" s="69">
        <v>394</v>
      </c>
      <c r="E522" s="70" t="s">
        <v>5778</v>
      </c>
    </row>
    <row r="523" spans="1:5">
      <c r="A523" s="69">
        <v>395</v>
      </c>
      <c r="E523" s="70" t="s">
        <v>5779</v>
      </c>
    </row>
    <row r="524" spans="1:5">
      <c r="A524" s="69">
        <v>396</v>
      </c>
      <c r="E524" s="70" t="s">
        <v>5780</v>
      </c>
    </row>
    <row r="525" spans="1:5">
      <c r="A525" s="69">
        <v>397</v>
      </c>
      <c r="E525" s="70" t="s">
        <v>5781</v>
      </c>
    </row>
    <row r="526" spans="1:5">
      <c r="A526" s="69">
        <v>398</v>
      </c>
      <c r="E526" s="70" t="s">
        <v>5782</v>
      </c>
    </row>
    <row r="527" spans="1:5">
      <c r="A527" s="69">
        <v>399</v>
      </c>
      <c r="E527" s="70" t="s">
        <v>5783</v>
      </c>
    </row>
    <row r="528" spans="1:5">
      <c r="A528" s="69">
        <v>400</v>
      </c>
      <c r="E528" s="70" t="s">
        <v>5784</v>
      </c>
    </row>
    <row r="529" spans="1:5">
      <c r="A529" s="69">
        <v>401</v>
      </c>
      <c r="E529" s="70" t="s">
        <v>5785</v>
      </c>
    </row>
    <row r="530" spans="1:5">
      <c r="A530" s="69">
        <v>402</v>
      </c>
      <c r="E530" s="70" t="s">
        <v>5590</v>
      </c>
    </row>
    <row r="531" spans="1:5">
      <c r="A531" s="69">
        <v>403</v>
      </c>
      <c r="E531" s="70" t="s">
        <v>5564</v>
      </c>
    </row>
    <row r="532" spans="1:5">
      <c r="A532" s="69">
        <v>404</v>
      </c>
      <c r="E532" s="71"/>
    </row>
    <row r="533" spans="1:5">
      <c r="A533" s="69">
        <v>405</v>
      </c>
      <c r="E533" s="70" t="s">
        <v>5786</v>
      </c>
    </row>
    <row r="534" spans="1:5">
      <c r="A534" s="69">
        <v>406</v>
      </c>
      <c r="E534" s="70" t="s">
        <v>5787</v>
      </c>
    </row>
    <row r="535" spans="1:5">
      <c r="A535" s="69">
        <v>407</v>
      </c>
      <c r="E535" s="70" t="s">
        <v>5788</v>
      </c>
    </row>
    <row r="536" spans="1:5">
      <c r="A536" s="69">
        <v>408</v>
      </c>
      <c r="E536" s="70" t="s">
        <v>5789</v>
      </c>
    </row>
    <row r="537" spans="1:5">
      <c r="A537" s="69">
        <v>409</v>
      </c>
      <c r="E537" s="70" t="s">
        <v>5772</v>
      </c>
    </row>
    <row r="538" spans="1:5">
      <c r="A538" s="69">
        <v>410</v>
      </c>
      <c r="E538" s="70" t="s">
        <v>5790</v>
      </c>
    </row>
    <row r="539" spans="1:5">
      <c r="A539" s="69">
        <v>411</v>
      </c>
      <c r="E539" s="70" t="s">
        <v>5773</v>
      </c>
    </row>
    <row r="540" spans="1:5">
      <c r="A540" s="69">
        <v>412</v>
      </c>
      <c r="E540" s="70" t="s">
        <v>5791</v>
      </c>
    </row>
    <row r="541" spans="1:5">
      <c r="A541" s="69">
        <v>413</v>
      </c>
      <c r="E541" s="70" t="s">
        <v>5792</v>
      </c>
    </row>
    <row r="542" spans="1:5">
      <c r="A542" s="69">
        <v>414</v>
      </c>
      <c r="E542" s="70" t="s">
        <v>5793</v>
      </c>
    </row>
    <row r="543" spans="1:5">
      <c r="A543" s="69">
        <v>415</v>
      </c>
      <c r="E543" s="70" t="s">
        <v>5794</v>
      </c>
    </row>
    <row r="544" spans="1:5">
      <c r="A544" s="69">
        <v>416</v>
      </c>
      <c r="E544" s="70" t="s">
        <v>5795</v>
      </c>
    </row>
    <row r="545" spans="1:5">
      <c r="A545" s="69">
        <v>417</v>
      </c>
      <c r="E545" s="70" t="s">
        <v>5796</v>
      </c>
    </row>
    <row r="546" spans="1:5">
      <c r="A546" s="69">
        <v>418</v>
      </c>
      <c r="E546" s="70" t="s">
        <v>5797</v>
      </c>
    </row>
    <row r="547" spans="1:5">
      <c r="A547" s="69">
        <v>419</v>
      </c>
      <c r="E547" s="70" t="s">
        <v>5798</v>
      </c>
    </row>
    <row r="548" spans="1:5">
      <c r="A548" s="69">
        <v>420</v>
      </c>
      <c r="E548" s="70" t="s">
        <v>5799</v>
      </c>
    </row>
    <row r="549" spans="1:5">
      <c r="A549" s="69">
        <v>421</v>
      </c>
      <c r="E549" s="70" t="s">
        <v>5800</v>
      </c>
    </row>
    <row r="550" spans="1:5">
      <c r="A550" s="69">
        <v>422</v>
      </c>
      <c r="E550" s="70" t="s">
        <v>5801</v>
      </c>
    </row>
    <row r="551" spans="1:5">
      <c r="A551" s="69">
        <v>423</v>
      </c>
      <c r="E551" s="70" t="s">
        <v>5802</v>
      </c>
    </row>
    <row r="552" spans="1:5">
      <c r="A552" s="69">
        <v>424</v>
      </c>
      <c r="E552" s="70" t="s">
        <v>5803</v>
      </c>
    </row>
    <row r="553" spans="1:5">
      <c r="A553" s="69">
        <v>425</v>
      </c>
      <c r="E553" s="70" t="s">
        <v>5783</v>
      </c>
    </row>
    <row r="554" spans="1:5">
      <c r="A554" s="69">
        <v>426</v>
      </c>
      <c r="E554" s="70" t="s">
        <v>5784</v>
      </c>
    </row>
    <row r="555" spans="1:5">
      <c r="A555" s="69">
        <v>427</v>
      </c>
      <c r="E555" s="70" t="s">
        <v>5785</v>
      </c>
    </row>
    <row r="556" spans="1:5">
      <c r="A556" s="69">
        <v>428</v>
      </c>
      <c r="E556" s="70" t="s">
        <v>5590</v>
      </c>
    </row>
    <row r="557" spans="1:5">
      <c r="A557" s="69">
        <v>429</v>
      </c>
      <c r="E557" s="70" t="s">
        <v>5564</v>
      </c>
    </row>
    <row r="558" spans="1:5">
      <c r="A558" s="69">
        <v>430</v>
      </c>
      <c r="E558" s="71"/>
    </row>
    <row r="559" spans="1:5">
      <c r="A559" s="69">
        <v>431</v>
      </c>
      <c r="E559" s="70" t="s">
        <v>5804</v>
      </c>
    </row>
    <row r="560" spans="1:5">
      <c r="A560" s="69">
        <v>432</v>
      </c>
      <c r="E560" s="70" t="s">
        <v>5741</v>
      </c>
    </row>
    <row r="561" spans="1:5">
      <c r="A561" s="69">
        <v>433</v>
      </c>
      <c r="E561" s="70" t="s">
        <v>5805</v>
      </c>
    </row>
    <row r="562" spans="1:5">
      <c r="A562" s="69">
        <v>434</v>
      </c>
      <c r="E562" s="70" t="s">
        <v>5806</v>
      </c>
    </row>
    <row r="563" spans="1:5">
      <c r="A563" s="69">
        <v>435</v>
      </c>
      <c r="E563" s="70" t="s">
        <v>5807</v>
      </c>
    </row>
    <row r="564" spans="1:5">
      <c r="A564" s="69">
        <v>436</v>
      </c>
      <c r="E564" s="70" t="s">
        <v>5591</v>
      </c>
    </row>
    <row r="565" spans="1:5">
      <c r="A565" s="69">
        <v>437</v>
      </c>
      <c r="E565" s="71"/>
    </row>
    <row r="566" spans="1:5">
      <c r="A566" s="69">
        <v>438</v>
      </c>
      <c r="E566" s="70" t="s">
        <v>5808</v>
      </c>
    </row>
    <row r="567" spans="1:5">
      <c r="A567" s="69">
        <v>439</v>
      </c>
      <c r="E567" s="70" t="s">
        <v>5809</v>
      </c>
    </row>
    <row r="568" spans="1:5">
      <c r="A568" s="69">
        <v>440</v>
      </c>
      <c r="E568" s="70" t="s">
        <v>5810</v>
      </c>
    </row>
    <row r="569" spans="1:5">
      <c r="A569" s="69">
        <v>441</v>
      </c>
      <c r="E569" s="70" t="s">
        <v>5811</v>
      </c>
    </row>
    <row r="570" spans="1:5">
      <c r="A570" s="69">
        <v>442</v>
      </c>
      <c r="E570" s="70" t="s">
        <v>5812</v>
      </c>
    </row>
    <row r="571" spans="1:5">
      <c r="A571" s="69">
        <v>443</v>
      </c>
      <c r="E571" s="70" t="s">
        <v>5813</v>
      </c>
    </row>
    <row r="572" spans="1:5">
      <c r="A572" s="69">
        <v>444</v>
      </c>
      <c r="E572" s="70" t="s">
        <v>5814</v>
      </c>
    </row>
    <row r="573" spans="1:5">
      <c r="A573" s="69">
        <v>445</v>
      </c>
      <c r="E573" s="71"/>
    </row>
    <row r="574" spans="1:5">
      <c r="A574" s="69">
        <v>446</v>
      </c>
      <c r="E574" s="70" t="s">
        <v>5815</v>
      </c>
    </row>
    <row r="575" spans="1:5">
      <c r="A575" s="69">
        <v>447</v>
      </c>
      <c r="E575" s="70" t="s">
        <v>5816</v>
      </c>
    </row>
    <row r="576" spans="1:5">
      <c r="A576" s="69">
        <v>448</v>
      </c>
      <c r="E576" s="70" t="s">
        <v>5817</v>
      </c>
    </row>
    <row r="577" spans="1:5">
      <c r="A577" s="69">
        <v>449</v>
      </c>
      <c r="E577" s="70" t="s">
        <v>5818</v>
      </c>
    </row>
    <row r="578" spans="1:5">
      <c r="A578" s="69">
        <v>450</v>
      </c>
      <c r="E578" s="70" t="s">
        <v>5819</v>
      </c>
    </row>
    <row r="579" spans="1:5">
      <c r="A579" s="69">
        <v>451</v>
      </c>
      <c r="E579" s="70" t="s">
        <v>5820</v>
      </c>
    </row>
    <row r="580" spans="1:5">
      <c r="A580" s="69">
        <v>452</v>
      </c>
      <c r="E580" s="70" t="s">
        <v>5821</v>
      </c>
    </row>
    <row r="581" spans="1:5">
      <c r="A581" s="69">
        <v>453</v>
      </c>
      <c r="E581" s="70" t="s">
        <v>5822</v>
      </c>
    </row>
    <row r="582" spans="1:5">
      <c r="A582" s="69">
        <v>454</v>
      </c>
      <c r="E582" s="70" t="s">
        <v>5823</v>
      </c>
    </row>
    <row r="583" spans="1:5">
      <c r="A583" s="69">
        <v>455</v>
      </c>
      <c r="E583" s="70" t="s">
        <v>5824</v>
      </c>
    </row>
    <row r="584" spans="1:5">
      <c r="A584" s="69">
        <v>456</v>
      </c>
      <c r="E584" s="70" t="s">
        <v>5825</v>
      </c>
    </row>
    <row r="585" spans="1:5">
      <c r="A585" s="69">
        <v>457</v>
      </c>
      <c r="E585" s="70" t="s">
        <v>5826</v>
      </c>
    </row>
    <row r="586" spans="1:5">
      <c r="A586" s="69">
        <v>458</v>
      </c>
      <c r="E586" s="70" t="s">
        <v>5827</v>
      </c>
    </row>
    <row r="587" spans="1:5">
      <c r="A587" s="69">
        <v>459</v>
      </c>
      <c r="E587" s="70" t="s">
        <v>5828</v>
      </c>
    </row>
    <row r="588" spans="1:5">
      <c r="A588" s="69">
        <v>460</v>
      </c>
      <c r="E588" s="70" t="s">
        <v>5829</v>
      </c>
    </row>
    <row r="589" spans="1:5">
      <c r="A589" s="69">
        <v>461</v>
      </c>
      <c r="E589" s="70" t="s">
        <v>5830</v>
      </c>
    </row>
    <row r="590" spans="1:5">
      <c r="A590" s="69">
        <v>462</v>
      </c>
      <c r="E590" s="70" t="s">
        <v>5831</v>
      </c>
    </row>
    <row r="591" spans="1:5">
      <c r="A591" s="69">
        <v>463</v>
      </c>
      <c r="E591" s="70" t="s">
        <v>5832</v>
      </c>
    </row>
    <row r="592" spans="1:5">
      <c r="A592" s="69">
        <v>464</v>
      </c>
      <c r="E592" s="70" t="s">
        <v>5833</v>
      </c>
    </row>
    <row r="593" spans="1:5">
      <c r="A593" s="69">
        <v>465</v>
      </c>
      <c r="E593" s="70" t="s">
        <v>5834</v>
      </c>
    </row>
    <row r="594" spans="1:5">
      <c r="A594" s="69">
        <v>466</v>
      </c>
      <c r="E594" s="70" t="s">
        <v>5835</v>
      </c>
    </row>
    <row r="595" spans="1:5">
      <c r="A595" s="69">
        <v>467</v>
      </c>
      <c r="E595" s="70" t="s">
        <v>5836</v>
      </c>
    </row>
    <row r="596" spans="1:5">
      <c r="A596" s="69">
        <v>468</v>
      </c>
      <c r="E596" s="70" t="s">
        <v>5837</v>
      </c>
    </row>
    <row r="597" spans="1:5">
      <c r="A597" s="69">
        <v>469</v>
      </c>
      <c r="E597" s="70" t="s">
        <v>5838</v>
      </c>
    </row>
    <row r="598" spans="1:5">
      <c r="A598" s="69">
        <v>470</v>
      </c>
      <c r="E598" s="70" t="s">
        <v>5839</v>
      </c>
    </row>
    <row r="599" spans="1:5">
      <c r="A599" s="69">
        <v>471</v>
      </c>
      <c r="E599" s="70" t="s">
        <v>5687</v>
      </c>
    </row>
    <row r="600" spans="1:5">
      <c r="A600" s="69">
        <v>472</v>
      </c>
      <c r="E600" s="70" t="s">
        <v>5840</v>
      </c>
    </row>
    <row r="601" spans="1:5">
      <c r="A601" s="69">
        <v>473</v>
      </c>
      <c r="E601" s="70" t="s">
        <v>5656</v>
      </c>
    </row>
    <row r="602" spans="1:5">
      <c r="A602" s="69">
        <v>474</v>
      </c>
      <c r="E602" s="70" t="s">
        <v>5841</v>
      </c>
    </row>
    <row r="603" spans="1:5">
      <c r="A603" s="69">
        <v>475</v>
      </c>
      <c r="E603" s="70" t="s">
        <v>5842</v>
      </c>
    </row>
    <row r="604" spans="1:5">
      <c r="A604" s="69">
        <v>476</v>
      </c>
      <c r="E604" s="70" t="s">
        <v>5640</v>
      </c>
    </row>
    <row r="605" spans="1:5">
      <c r="A605" s="69">
        <v>477</v>
      </c>
      <c r="E605" s="70" t="s">
        <v>5843</v>
      </c>
    </row>
    <row r="606" spans="1:5">
      <c r="A606" s="69">
        <v>478</v>
      </c>
      <c r="E606" s="70" t="s">
        <v>5844</v>
      </c>
    </row>
    <row r="607" spans="1:5">
      <c r="A607" s="69">
        <v>479</v>
      </c>
      <c r="E607" s="70" t="s">
        <v>5845</v>
      </c>
    </row>
    <row r="608" spans="1:5">
      <c r="A608" s="69">
        <v>480</v>
      </c>
      <c r="E608" s="70" t="s">
        <v>5846</v>
      </c>
    </row>
    <row r="609" spans="1:5">
      <c r="A609" s="69">
        <v>481</v>
      </c>
      <c r="E609" s="70" t="s">
        <v>5847</v>
      </c>
    </row>
    <row r="610" spans="1:5">
      <c r="A610" s="69">
        <v>482</v>
      </c>
      <c r="E610" s="70" t="s">
        <v>5848</v>
      </c>
    </row>
    <row r="611" spans="1:5">
      <c r="A611" s="69">
        <v>483</v>
      </c>
      <c r="E611" s="70" t="s">
        <v>5849</v>
      </c>
    </row>
    <row r="612" spans="1:5">
      <c r="A612" s="69">
        <v>484</v>
      </c>
      <c r="E612" s="70" t="s">
        <v>5850</v>
      </c>
    </row>
    <row r="613" spans="1:5">
      <c r="A613" s="69">
        <v>485</v>
      </c>
      <c r="E613" s="70" t="s">
        <v>5851</v>
      </c>
    </row>
    <row r="614" spans="1:5">
      <c r="A614" s="69">
        <v>486</v>
      </c>
      <c r="E614" s="70" t="s">
        <v>5852</v>
      </c>
    </row>
    <row r="615" spans="1:5">
      <c r="A615" s="69">
        <v>487</v>
      </c>
      <c r="E615" s="70" t="s">
        <v>5853</v>
      </c>
    </row>
    <row r="616" spans="1:5">
      <c r="A616" s="69">
        <v>488</v>
      </c>
      <c r="E616" s="70" t="s">
        <v>5564</v>
      </c>
    </row>
    <row r="617" spans="1:5">
      <c r="A617" s="69">
        <v>489</v>
      </c>
      <c r="E617" s="70" t="s">
        <v>5854</v>
      </c>
    </row>
    <row r="618" spans="1:5">
      <c r="A618" s="69">
        <v>490</v>
      </c>
      <c r="E618" s="71"/>
    </row>
    <row r="619" spans="1:5">
      <c r="A619" s="69">
        <v>491</v>
      </c>
      <c r="E619" s="70" t="s">
        <v>5817</v>
      </c>
    </row>
    <row r="620" spans="1:5">
      <c r="A620" s="69">
        <v>492</v>
      </c>
      <c r="E620" s="70" t="s">
        <v>5855</v>
      </c>
    </row>
    <row r="621" spans="1:5">
      <c r="A621" s="69">
        <v>493</v>
      </c>
      <c r="E621" s="70" t="s">
        <v>5856</v>
      </c>
    </row>
    <row r="622" spans="1:5">
      <c r="A622" s="69">
        <v>494</v>
      </c>
      <c r="E622" s="70" t="s">
        <v>5857</v>
      </c>
    </row>
    <row r="623" spans="1:5">
      <c r="A623" s="69">
        <v>495</v>
      </c>
      <c r="E623" s="70" t="s">
        <v>5858</v>
      </c>
    </row>
    <row r="624" spans="1:5">
      <c r="A624" s="69">
        <v>496</v>
      </c>
      <c r="E624" s="70" t="s">
        <v>5564</v>
      </c>
    </row>
    <row r="625" spans="1:5">
      <c r="A625" s="69">
        <v>497</v>
      </c>
      <c r="E625" s="70" t="s">
        <v>5859</v>
      </c>
    </row>
    <row r="626" spans="1:5">
      <c r="A626" s="69">
        <v>498</v>
      </c>
      <c r="E626" s="70" t="s">
        <v>5860</v>
      </c>
    </row>
    <row r="627" spans="1:5">
      <c r="A627" s="69">
        <v>499</v>
      </c>
      <c r="E627" s="70" t="s">
        <v>5861</v>
      </c>
    </row>
    <row r="628" spans="1:5">
      <c r="A628" s="69">
        <v>500</v>
      </c>
      <c r="E628" s="71"/>
    </row>
    <row r="629" spans="1:5">
      <c r="A629" s="69">
        <v>501</v>
      </c>
      <c r="E629" s="70" t="s">
        <v>5862</v>
      </c>
    </row>
    <row r="630" spans="1:5">
      <c r="A630" s="69">
        <v>502</v>
      </c>
      <c r="E630" s="70" t="s">
        <v>5863</v>
      </c>
    </row>
    <row r="631" spans="1:5">
      <c r="A631" s="69">
        <v>503</v>
      </c>
      <c r="E631" s="70" t="s">
        <v>5864</v>
      </c>
    </row>
    <row r="632" spans="1:5">
      <c r="A632" s="69">
        <v>504</v>
      </c>
      <c r="E632" s="70" t="s">
        <v>5865</v>
      </c>
    </row>
    <row r="633" spans="1:5">
      <c r="A633" s="69">
        <v>505</v>
      </c>
      <c r="E633" s="70" t="s">
        <v>5866</v>
      </c>
    </row>
    <row r="634" spans="1:5">
      <c r="A634" s="69">
        <v>506</v>
      </c>
      <c r="E634" s="70" t="s">
        <v>5867</v>
      </c>
    </row>
    <row r="635" spans="1:5">
      <c r="A635" s="69">
        <v>507</v>
      </c>
      <c r="E635" s="70" t="s">
        <v>5868</v>
      </c>
    </row>
    <row r="636" spans="1:5">
      <c r="A636" s="69">
        <v>508</v>
      </c>
      <c r="E636" s="70" t="s">
        <v>5869</v>
      </c>
    </row>
    <row r="637" spans="1:5">
      <c r="A637" s="69">
        <v>509</v>
      </c>
      <c r="E637" s="70" t="s">
        <v>5870</v>
      </c>
    </row>
    <row r="638" spans="1:5">
      <c r="A638" s="69">
        <v>510</v>
      </c>
      <c r="E638" s="70" t="s">
        <v>5871</v>
      </c>
    </row>
    <row r="639" spans="1:5">
      <c r="A639" s="69">
        <v>511</v>
      </c>
      <c r="E639" s="70" t="s">
        <v>5872</v>
      </c>
    </row>
    <row r="640" spans="1:5">
      <c r="A640" s="69">
        <v>512</v>
      </c>
      <c r="E640" s="71"/>
    </row>
    <row r="641" spans="1:5">
      <c r="A641" s="69">
        <v>513</v>
      </c>
      <c r="E641" s="70" t="s">
        <v>5873</v>
      </c>
    </row>
    <row r="642" spans="1:5">
      <c r="A642" s="69">
        <v>514</v>
      </c>
      <c r="E642" s="70" t="s">
        <v>5601</v>
      </c>
    </row>
    <row r="643" spans="1:5">
      <c r="A643" s="69">
        <v>515</v>
      </c>
      <c r="E643" s="71"/>
    </row>
    <row r="644" spans="1:5">
      <c r="A644" s="69">
        <v>516</v>
      </c>
      <c r="E644" s="70" t="s">
        <v>5874</v>
      </c>
    </row>
    <row r="645" spans="1:5">
      <c r="A645" s="69">
        <v>517</v>
      </c>
      <c r="E645" s="70" t="s">
        <v>5875</v>
      </c>
    </row>
    <row r="646" spans="1:5">
      <c r="A646" s="69">
        <v>518</v>
      </c>
      <c r="E646" s="70" t="s">
        <v>5876</v>
      </c>
    </row>
    <row r="647" spans="1:5">
      <c r="A647" s="69">
        <v>519</v>
      </c>
      <c r="E647" s="70" t="s">
        <v>5877</v>
      </c>
    </row>
    <row r="648" spans="1:5">
      <c r="A648" s="69">
        <v>520</v>
      </c>
      <c r="E648" s="70" t="s">
        <v>5878</v>
      </c>
    </row>
    <row r="649" spans="1:5">
      <c r="A649" s="69">
        <v>521</v>
      </c>
      <c r="E649" s="70" t="s">
        <v>5879</v>
      </c>
    </row>
    <row r="650" spans="1:5">
      <c r="A650" s="69">
        <v>522</v>
      </c>
      <c r="E650" s="70" t="s">
        <v>5880</v>
      </c>
    </row>
    <row r="651" spans="1:5">
      <c r="A651" s="69">
        <v>523</v>
      </c>
      <c r="E651" s="70" t="s">
        <v>5881</v>
      </c>
    </row>
    <row r="652" spans="1:5">
      <c r="A652" s="69">
        <v>524</v>
      </c>
      <c r="E652" s="70" t="s">
        <v>5591</v>
      </c>
    </row>
    <row r="653" spans="1:5">
      <c r="A653" s="69">
        <v>525</v>
      </c>
      <c r="E653" s="70" t="s">
        <v>5882</v>
      </c>
    </row>
    <row r="654" spans="1:5">
      <c r="A654" s="69">
        <v>526</v>
      </c>
      <c r="E654" s="70" t="s">
        <v>5549</v>
      </c>
    </row>
    <row r="655" spans="1:5">
      <c r="A655" s="69">
        <v>527</v>
      </c>
      <c r="E655" s="71"/>
    </row>
    <row r="656" spans="1:5">
      <c r="A656" s="69">
        <v>528</v>
      </c>
      <c r="E656" s="70" t="s">
        <v>5480</v>
      </c>
    </row>
    <row r="657" spans="1:5">
      <c r="A657" s="69">
        <v>529</v>
      </c>
      <c r="E657" s="70" t="s">
        <v>5883</v>
      </c>
    </row>
    <row r="658" spans="1:5">
      <c r="A658" s="69">
        <v>530</v>
      </c>
      <c r="E658" s="70" t="s">
        <v>5480</v>
      </c>
    </row>
    <row r="659" spans="1:5">
      <c r="A659" s="69">
        <v>531</v>
      </c>
      <c r="E659" s="70" t="s">
        <v>5884</v>
      </c>
    </row>
    <row r="660" spans="1:5">
      <c r="A660" s="69">
        <v>532</v>
      </c>
      <c r="E660" s="70" t="s">
        <v>5885</v>
      </c>
    </row>
    <row r="661" spans="1:5">
      <c r="A661" s="69">
        <v>533</v>
      </c>
      <c r="E661" s="70" t="s">
        <v>5886</v>
      </c>
    </row>
    <row r="662" spans="1:5">
      <c r="A662" s="69">
        <v>534</v>
      </c>
      <c r="E662" s="70" t="s">
        <v>5887</v>
      </c>
    </row>
    <row r="663" spans="1:5">
      <c r="A663" s="69">
        <v>535</v>
      </c>
      <c r="E663" s="70" t="s">
        <v>5888</v>
      </c>
    </row>
    <row r="664" spans="1:5">
      <c r="A664" s="69">
        <v>536</v>
      </c>
      <c r="E664" s="70" t="s">
        <v>5889</v>
      </c>
    </row>
    <row r="665" spans="1:5">
      <c r="A665" s="69">
        <v>537</v>
      </c>
      <c r="E665" s="70" t="s">
        <v>5890</v>
      </c>
    </row>
    <row r="666" spans="1:5">
      <c r="A666" s="69">
        <v>538</v>
      </c>
      <c r="E666" s="70" t="s">
        <v>5891</v>
      </c>
    </row>
    <row r="667" spans="1:5">
      <c r="A667" s="69">
        <v>539</v>
      </c>
      <c r="E667" s="70" t="s">
        <v>5892</v>
      </c>
    </row>
    <row r="668" spans="1:5">
      <c r="A668" s="69">
        <v>540</v>
      </c>
      <c r="E668" s="70" t="s">
        <v>5893</v>
      </c>
    </row>
    <row r="669" spans="1:5">
      <c r="A669" s="69">
        <v>541</v>
      </c>
      <c r="E669" s="70" t="s">
        <v>5894</v>
      </c>
    </row>
    <row r="670" spans="1:5">
      <c r="A670" s="69">
        <v>542</v>
      </c>
      <c r="E670" s="70" t="s">
        <v>5895</v>
      </c>
    </row>
    <row r="671" spans="1:5">
      <c r="A671" s="69">
        <v>543</v>
      </c>
      <c r="E671" s="70" t="s">
        <v>5896</v>
      </c>
    </row>
    <row r="672" spans="1:5">
      <c r="A672" s="69">
        <v>544</v>
      </c>
      <c r="E672" s="71"/>
    </row>
    <row r="673" spans="1:5">
      <c r="A673" s="69">
        <v>545</v>
      </c>
      <c r="E673" s="70" t="s">
        <v>5560</v>
      </c>
    </row>
    <row r="674" spans="1:5">
      <c r="A674" s="69">
        <v>546</v>
      </c>
      <c r="E674" s="70" t="s">
        <v>5574</v>
      </c>
    </row>
    <row r="675" spans="1:5">
      <c r="A675" s="69">
        <v>547</v>
      </c>
      <c r="E675" s="70" t="s">
        <v>5577</v>
      </c>
    </row>
    <row r="676" spans="1:5">
      <c r="A676" s="69">
        <v>548</v>
      </c>
      <c r="E676" s="70" t="s">
        <v>5897</v>
      </c>
    </row>
    <row r="677" spans="1:5">
      <c r="A677" s="69">
        <v>549</v>
      </c>
      <c r="E677" s="70" t="s">
        <v>5766</v>
      </c>
    </row>
    <row r="678" spans="1:5">
      <c r="A678" s="69">
        <v>550</v>
      </c>
      <c r="E678" s="71"/>
    </row>
    <row r="679" spans="1:5">
      <c r="A679" s="69">
        <v>551</v>
      </c>
      <c r="E679" s="70" t="s">
        <v>5898</v>
      </c>
    </row>
    <row r="680" spans="1:5">
      <c r="A680" s="69">
        <v>552</v>
      </c>
      <c r="E680" s="70" t="s">
        <v>5899</v>
      </c>
    </row>
    <row r="681" spans="1:5">
      <c r="A681" s="69">
        <v>553</v>
      </c>
      <c r="E681" s="70" t="s">
        <v>5900</v>
      </c>
    </row>
    <row r="682" spans="1:5">
      <c r="A682" s="69">
        <v>554</v>
      </c>
      <c r="E682" s="70" t="s">
        <v>5787</v>
      </c>
    </row>
    <row r="683" spans="1:5">
      <c r="A683" s="69">
        <v>555</v>
      </c>
      <c r="E683" s="70" t="s">
        <v>5901</v>
      </c>
    </row>
    <row r="684" spans="1:5">
      <c r="A684" s="69">
        <v>556</v>
      </c>
      <c r="E684" s="70" t="s">
        <v>5902</v>
      </c>
    </row>
    <row r="685" spans="1:5">
      <c r="A685" s="69">
        <v>557</v>
      </c>
      <c r="E685" s="70" t="s">
        <v>5903</v>
      </c>
    </row>
    <row r="686" spans="1:5">
      <c r="A686" s="69">
        <v>558</v>
      </c>
      <c r="E686" s="70" t="s">
        <v>5772</v>
      </c>
    </row>
    <row r="687" spans="1:5">
      <c r="A687" s="69">
        <v>559</v>
      </c>
      <c r="E687" s="70" t="s">
        <v>5790</v>
      </c>
    </row>
    <row r="688" spans="1:5">
      <c r="A688" s="69">
        <v>560</v>
      </c>
      <c r="E688" s="70" t="s">
        <v>5773</v>
      </c>
    </row>
    <row r="689" spans="1:5">
      <c r="A689" s="69">
        <v>561</v>
      </c>
      <c r="E689" s="70" t="s">
        <v>5904</v>
      </c>
    </row>
    <row r="690" spans="1:5">
      <c r="A690" s="69">
        <v>562</v>
      </c>
      <c r="E690" s="70" t="s">
        <v>5905</v>
      </c>
    </row>
    <row r="691" spans="1:5">
      <c r="A691" s="69">
        <v>563</v>
      </c>
      <c r="E691" s="70" t="s">
        <v>5906</v>
      </c>
    </row>
    <row r="692" spans="1:5">
      <c r="A692" s="69">
        <v>564</v>
      </c>
      <c r="E692" s="70" t="s">
        <v>5795</v>
      </c>
    </row>
    <row r="693" spans="1:5">
      <c r="A693" s="69">
        <v>565</v>
      </c>
      <c r="E693" s="70" t="s">
        <v>5796</v>
      </c>
    </row>
    <row r="694" spans="1:5">
      <c r="A694" s="69">
        <v>566</v>
      </c>
      <c r="E694" s="70" t="s">
        <v>5907</v>
      </c>
    </row>
    <row r="695" spans="1:5">
      <c r="A695" s="69">
        <v>567</v>
      </c>
      <c r="E695" s="70" t="s">
        <v>5908</v>
      </c>
    </row>
    <row r="696" spans="1:5">
      <c r="A696" s="69">
        <v>568</v>
      </c>
      <c r="E696" s="70" t="s">
        <v>5909</v>
      </c>
    </row>
    <row r="697" spans="1:5">
      <c r="A697" s="69">
        <v>569</v>
      </c>
      <c r="E697" s="70" t="s">
        <v>5910</v>
      </c>
    </row>
    <row r="698" spans="1:5">
      <c r="A698" s="69">
        <v>570</v>
      </c>
      <c r="E698" s="70" t="s">
        <v>5911</v>
      </c>
    </row>
    <row r="699" spans="1:5">
      <c r="A699" s="69">
        <v>571</v>
      </c>
      <c r="E699" s="70" t="s">
        <v>5912</v>
      </c>
    </row>
    <row r="700" spans="1:5">
      <c r="A700" s="69">
        <v>572</v>
      </c>
      <c r="E700" s="70" t="s">
        <v>5913</v>
      </c>
    </row>
    <row r="701" spans="1:5">
      <c r="A701" s="69">
        <v>573</v>
      </c>
      <c r="E701" s="70" t="s">
        <v>5914</v>
      </c>
    </row>
    <row r="702" spans="1:5">
      <c r="A702" s="69">
        <v>574</v>
      </c>
      <c r="E702" s="70" t="s">
        <v>5915</v>
      </c>
    </row>
    <row r="703" spans="1:5">
      <c r="A703" s="69">
        <v>575</v>
      </c>
      <c r="E703" s="70" t="s">
        <v>5916</v>
      </c>
    </row>
    <row r="704" spans="1:5">
      <c r="A704" s="69">
        <v>576</v>
      </c>
      <c r="E704" s="70" t="s">
        <v>5917</v>
      </c>
    </row>
    <row r="705" spans="1:5">
      <c r="A705" s="69">
        <v>577</v>
      </c>
      <c r="E705" s="70" t="s">
        <v>5918</v>
      </c>
    </row>
    <row r="706" spans="1:5">
      <c r="A706" s="69">
        <v>578</v>
      </c>
      <c r="E706" s="70" t="s">
        <v>5919</v>
      </c>
    </row>
    <row r="707" spans="1:5">
      <c r="A707" s="69">
        <v>579</v>
      </c>
      <c r="E707" s="70" t="s">
        <v>5920</v>
      </c>
    </row>
    <row r="708" spans="1:5">
      <c r="A708" s="69">
        <v>580</v>
      </c>
      <c r="E708" s="70" t="s">
        <v>5921</v>
      </c>
    </row>
    <row r="709" spans="1:5">
      <c r="A709" s="69">
        <v>581</v>
      </c>
      <c r="E709" s="70" t="s">
        <v>5922</v>
      </c>
    </row>
    <row r="710" spans="1:5">
      <c r="A710" s="69">
        <v>582</v>
      </c>
      <c r="E710" s="70" t="s">
        <v>5923</v>
      </c>
    </row>
    <row r="711" spans="1:5">
      <c r="A711" s="69">
        <v>583</v>
      </c>
      <c r="E711" s="70" t="s">
        <v>5924</v>
      </c>
    </row>
    <row r="712" spans="1:5">
      <c r="A712" s="69">
        <v>584</v>
      </c>
      <c r="E712" s="70" t="s">
        <v>5925</v>
      </c>
    </row>
    <row r="713" spans="1:5">
      <c r="A713" s="69">
        <v>585</v>
      </c>
      <c r="E713" s="70" t="s">
        <v>5803</v>
      </c>
    </row>
    <row r="714" spans="1:5">
      <c r="A714" s="69">
        <v>586</v>
      </c>
      <c r="E714" s="70" t="s">
        <v>5783</v>
      </c>
    </row>
    <row r="715" spans="1:5">
      <c r="A715" s="69">
        <v>587</v>
      </c>
      <c r="E715" s="70" t="s">
        <v>5784</v>
      </c>
    </row>
    <row r="716" spans="1:5">
      <c r="A716" s="69">
        <v>588</v>
      </c>
      <c r="E716" s="70" t="s">
        <v>5785</v>
      </c>
    </row>
    <row r="717" spans="1:5">
      <c r="A717" s="69">
        <v>589</v>
      </c>
      <c r="E717" s="70" t="s">
        <v>5590</v>
      </c>
    </row>
    <row r="718" spans="1:5">
      <c r="A718" s="69">
        <v>590</v>
      </c>
      <c r="E718" s="70" t="s">
        <v>5564</v>
      </c>
    </row>
    <row r="719" spans="1:5">
      <c r="A719" s="69">
        <v>591</v>
      </c>
      <c r="E719" s="70" t="s">
        <v>5926</v>
      </c>
    </row>
    <row r="720" spans="1:5">
      <c r="A720" s="69">
        <v>592</v>
      </c>
      <c r="E720" s="71"/>
    </row>
    <row r="721" spans="1:5">
      <c r="A721" s="69">
        <v>593</v>
      </c>
      <c r="E721" s="70" t="s">
        <v>5927</v>
      </c>
    </row>
    <row r="722" spans="1:5">
      <c r="A722" s="69">
        <v>594</v>
      </c>
      <c r="E722" s="70" t="s">
        <v>5928</v>
      </c>
    </row>
    <row r="723" spans="1:5">
      <c r="A723" s="69">
        <v>595</v>
      </c>
      <c r="E723" s="70" t="s">
        <v>5929</v>
      </c>
    </row>
    <row r="724" spans="1:5">
      <c r="A724" s="69">
        <v>596</v>
      </c>
      <c r="E724" s="70" t="s">
        <v>5930</v>
      </c>
    </row>
    <row r="725" spans="1:5">
      <c r="A725" s="69">
        <v>597</v>
      </c>
      <c r="E725" s="70" t="s">
        <v>5931</v>
      </c>
    </row>
    <row r="726" spans="1:5">
      <c r="A726" s="69">
        <v>598</v>
      </c>
      <c r="E726" s="70" t="s">
        <v>5932</v>
      </c>
    </row>
    <row r="727" spans="1:5">
      <c r="A727" s="69">
        <v>599</v>
      </c>
      <c r="E727" s="70" t="s">
        <v>5933</v>
      </c>
    </row>
    <row r="728" spans="1:5">
      <c r="A728" s="69">
        <v>600</v>
      </c>
      <c r="E728" s="70" t="s">
        <v>5934</v>
      </c>
    </row>
    <row r="729" spans="1:5">
      <c r="A729" s="69">
        <v>601</v>
      </c>
      <c r="E729" s="70" t="s">
        <v>5935</v>
      </c>
    </row>
    <row r="730" spans="1:5">
      <c r="A730" s="69">
        <v>602</v>
      </c>
      <c r="E730" s="70" t="s">
        <v>5936</v>
      </c>
    </row>
    <row r="731" spans="1:5">
      <c r="A731" s="69">
        <v>603</v>
      </c>
      <c r="E731" s="70" t="s">
        <v>5937</v>
      </c>
    </row>
    <row r="732" spans="1:5">
      <c r="A732" s="69">
        <v>604</v>
      </c>
      <c r="E732" s="70" t="s">
        <v>5938</v>
      </c>
    </row>
    <row r="733" spans="1:5">
      <c r="A733" s="69">
        <v>605</v>
      </c>
      <c r="E733" s="70" t="s">
        <v>5939</v>
      </c>
    </row>
    <row r="734" spans="1:5">
      <c r="A734" s="69">
        <v>606</v>
      </c>
      <c r="E734" s="70" t="s">
        <v>5640</v>
      </c>
    </row>
    <row r="735" spans="1:5">
      <c r="A735" s="69">
        <v>607</v>
      </c>
      <c r="E735" s="70" t="s">
        <v>5564</v>
      </c>
    </row>
    <row r="736" spans="1:5">
      <c r="A736" s="69">
        <v>608</v>
      </c>
      <c r="E736" s="71"/>
    </row>
    <row r="737" spans="1:5">
      <c r="A737" s="69">
        <v>609</v>
      </c>
      <c r="E737" s="70" t="s">
        <v>5940</v>
      </c>
    </row>
    <row r="738" spans="1:5">
      <c r="A738" s="69">
        <v>610</v>
      </c>
      <c r="E738" s="70" t="s">
        <v>5941</v>
      </c>
    </row>
    <row r="739" spans="1:5">
      <c r="A739" s="69">
        <v>611</v>
      </c>
      <c r="E739" s="70" t="s">
        <v>5942</v>
      </c>
    </row>
    <row r="740" spans="1:5">
      <c r="A740" s="69">
        <v>612</v>
      </c>
      <c r="E740" s="70" t="s">
        <v>5943</v>
      </c>
    </row>
    <row r="741" spans="1:5">
      <c r="A741" s="69">
        <v>613</v>
      </c>
      <c r="E741" s="70" t="s">
        <v>5944</v>
      </c>
    </row>
    <row r="742" spans="1:5">
      <c r="A742" s="69">
        <v>614</v>
      </c>
      <c r="E742" s="70" t="s">
        <v>5945</v>
      </c>
    </row>
    <row r="743" spans="1:5">
      <c r="A743" s="69">
        <v>615</v>
      </c>
      <c r="E743" s="70" t="s">
        <v>5946</v>
      </c>
    </row>
    <row r="744" spans="1:5">
      <c r="A744" s="69">
        <v>616</v>
      </c>
      <c r="E744" s="70" t="s">
        <v>5947</v>
      </c>
    </row>
    <row r="745" spans="1:5">
      <c r="A745" s="69">
        <v>617</v>
      </c>
      <c r="E745" s="70" t="s">
        <v>5948</v>
      </c>
    </row>
    <row r="746" spans="1:5">
      <c r="A746" s="69">
        <v>618</v>
      </c>
      <c r="E746" s="70" t="s">
        <v>5949</v>
      </c>
    </row>
    <row r="747" spans="1:5">
      <c r="A747" s="69">
        <v>619</v>
      </c>
      <c r="E747" s="70" t="s">
        <v>5950</v>
      </c>
    </row>
    <row r="748" spans="1:5">
      <c r="A748" s="69">
        <v>620</v>
      </c>
      <c r="E748" s="70" t="s">
        <v>5951</v>
      </c>
    </row>
    <row r="749" spans="1:5">
      <c r="A749" s="69">
        <v>621</v>
      </c>
      <c r="E749" s="70" t="s">
        <v>5952</v>
      </c>
    </row>
    <row r="750" spans="1:5">
      <c r="A750" s="69">
        <v>622</v>
      </c>
      <c r="E750" s="70" t="s">
        <v>5953</v>
      </c>
    </row>
    <row r="751" spans="1:5">
      <c r="A751" s="69">
        <v>623</v>
      </c>
      <c r="E751" s="70" t="s">
        <v>5803</v>
      </c>
    </row>
    <row r="752" spans="1:5">
      <c r="A752" s="69">
        <v>624</v>
      </c>
      <c r="E752" s="70" t="s">
        <v>5954</v>
      </c>
    </row>
    <row r="753" spans="1:5">
      <c r="A753" s="69">
        <v>625</v>
      </c>
      <c r="E753" s="70" t="s">
        <v>5784</v>
      </c>
    </row>
    <row r="754" spans="1:5">
      <c r="A754" s="69">
        <v>626</v>
      </c>
      <c r="E754" s="70" t="s">
        <v>5785</v>
      </c>
    </row>
    <row r="755" spans="1:5">
      <c r="A755" s="69">
        <v>627</v>
      </c>
      <c r="E755" s="70" t="s">
        <v>5955</v>
      </c>
    </row>
    <row r="756" spans="1:5">
      <c r="A756" s="69">
        <v>628</v>
      </c>
      <c r="E756" s="70" t="s">
        <v>5590</v>
      </c>
    </row>
    <row r="757" spans="1:5">
      <c r="A757" s="69">
        <v>629</v>
      </c>
      <c r="E757" s="70" t="s">
        <v>5591</v>
      </c>
    </row>
    <row r="758" spans="1:5">
      <c r="A758" s="69">
        <v>630</v>
      </c>
      <c r="E758" s="70" t="s">
        <v>5956</v>
      </c>
    </row>
    <row r="759" spans="1:5">
      <c r="A759" s="69">
        <v>631</v>
      </c>
      <c r="E759" s="70" t="s">
        <v>5957</v>
      </c>
    </row>
    <row r="760" spans="1:5">
      <c r="A760" s="69">
        <v>632</v>
      </c>
      <c r="E760" s="70" t="s">
        <v>5958</v>
      </c>
    </row>
    <row r="761" spans="1:5">
      <c r="A761" s="69">
        <v>633</v>
      </c>
      <c r="E761" s="70" t="s">
        <v>5959</v>
      </c>
    </row>
    <row r="762" spans="1:5">
      <c r="A762" s="69">
        <v>634</v>
      </c>
      <c r="E762" s="70" t="s">
        <v>5960</v>
      </c>
    </row>
    <row r="763" spans="1:5">
      <c r="A763" s="69">
        <v>635</v>
      </c>
      <c r="E763" s="70" t="s">
        <v>5961</v>
      </c>
    </row>
    <row r="764" spans="1:5">
      <c r="A764" s="69">
        <v>636</v>
      </c>
      <c r="E764" s="70" t="s">
        <v>5962</v>
      </c>
    </row>
    <row r="765" spans="1:5">
      <c r="A765" s="69">
        <v>637</v>
      </c>
      <c r="E765" s="70" t="s">
        <v>5963</v>
      </c>
    </row>
    <row r="766" spans="1:5">
      <c r="A766" s="69">
        <v>638</v>
      </c>
      <c r="E766" s="70" t="s">
        <v>5964</v>
      </c>
    </row>
    <row r="767" spans="1:5">
      <c r="A767" s="69">
        <v>639</v>
      </c>
      <c r="E767" s="70" t="s">
        <v>5965</v>
      </c>
    </row>
    <row r="768" spans="1:5">
      <c r="A768" s="69">
        <v>640</v>
      </c>
      <c r="E768" s="70" t="s">
        <v>5966</v>
      </c>
    </row>
    <row r="769" spans="1:5">
      <c r="A769" s="69">
        <v>641</v>
      </c>
      <c r="E769" s="70" t="s">
        <v>5967</v>
      </c>
    </row>
    <row r="770" spans="1:5">
      <c r="A770" s="69">
        <v>642</v>
      </c>
      <c r="E770" s="70" t="s">
        <v>5968</v>
      </c>
    </row>
    <row r="771" spans="1:5">
      <c r="A771" s="69">
        <v>643</v>
      </c>
      <c r="E771" s="70" t="s">
        <v>5969</v>
      </c>
    </row>
    <row r="772" spans="1:5">
      <c r="A772" s="69">
        <v>644</v>
      </c>
      <c r="E772" s="70" t="s">
        <v>5970</v>
      </c>
    </row>
    <row r="773" spans="1:5">
      <c r="A773" s="69">
        <v>645</v>
      </c>
      <c r="E773" s="70" t="s">
        <v>5971</v>
      </c>
    </row>
    <row r="774" spans="1:5">
      <c r="A774" s="69">
        <v>646</v>
      </c>
      <c r="E774" s="70" t="s">
        <v>5783</v>
      </c>
    </row>
    <row r="775" spans="1:5">
      <c r="A775" s="69">
        <v>647</v>
      </c>
      <c r="E775" s="70" t="s">
        <v>5972</v>
      </c>
    </row>
    <row r="776" spans="1:5">
      <c r="A776" s="69">
        <v>648</v>
      </c>
      <c r="E776" s="70" t="s">
        <v>5785</v>
      </c>
    </row>
    <row r="777" spans="1:5">
      <c r="A777" s="69">
        <v>649</v>
      </c>
      <c r="E777" s="70" t="s">
        <v>5955</v>
      </c>
    </row>
    <row r="778" spans="1:5">
      <c r="A778" s="69">
        <v>650</v>
      </c>
      <c r="E778" s="70" t="s">
        <v>5590</v>
      </c>
    </row>
    <row r="779" spans="1:5">
      <c r="A779" s="69">
        <v>651</v>
      </c>
      <c r="E779" s="70" t="s">
        <v>5591</v>
      </c>
    </row>
    <row r="780" spans="1:5">
      <c r="A780" s="69">
        <v>652</v>
      </c>
      <c r="E780" s="71"/>
    </row>
    <row r="781" spans="1:5">
      <c r="A781" s="69">
        <v>653</v>
      </c>
      <c r="E781" s="70" t="s">
        <v>5973</v>
      </c>
    </row>
    <row r="782" spans="1:5">
      <c r="A782" s="69">
        <v>654</v>
      </c>
      <c r="E782" s="70" t="s">
        <v>5974</v>
      </c>
    </row>
    <row r="783" spans="1:5">
      <c r="A783" s="69">
        <v>655</v>
      </c>
      <c r="E783" s="70" t="s">
        <v>5975</v>
      </c>
    </row>
    <row r="784" spans="1:5">
      <c r="A784" s="69">
        <v>656</v>
      </c>
      <c r="E784" s="70" t="s">
        <v>5976</v>
      </c>
    </row>
    <row r="785" spans="1:5">
      <c r="A785" s="69">
        <v>657</v>
      </c>
      <c r="E785" s="70" t="s">
        <v>5977</v>
      </c>
    </row>
    <row r="786" spans="1:5">
      <c r="A786" s="69">
        <v>658</v>
      </c>
      <c r="E786" s="70" t="s">
        <v>5978</v>
      </c>
    </row>
    <row r="787" spans="1:5">
      <c r="A787" s="69">
        <v>659</v>
      </c>
      <c r="E787" s="70" t="s">
        <v>5979</v>
      </c>
    </row>
    <row r="788" spans="1:5">
      <c r="A788" s="69">
        <v>660</v>
      </c>
      <c r="E788" s="70" t="s">
        <v>5980</v>
      </c>
    </row>
    <row r="789" spans="1:5">
      <c r="A789" s="69">
        <v>661</v>
      </c>
      <c r="E789" s="70" t="s">
        <v>5981</v>
      </c>
    </row>
    <row r="790" spans="1:5">
      <c r="A790" s="69">
        <v>662</v>
      </c>
      <c r="E790" s="70" t="s">
        <v>5982</v>
      </c>
    </row>
    <row r="791" spans="1:5">
      <c r="A791" s="69">
        <v>663</v>
      </c>
      <c r="E791" s="70" t="s">
        <v>5983</v>
      </c>
    </row>
    <row r="792" spans="1:5">
      <c r="A792" s="69">
        <v>664</v>
      </c>
      <c r="E792" s="70" t="s">
        <v>5984</v>
      </c>
    </row>
    <row r="793" spans="1:5">
      <c r="A793" s="69">
        <v>665</v>
      </c>
      <c r="E793" s="70" t="s">
        <v>5985</v>
      </c>
    </row>
    <row r="794" spans="1:5">
      <c r="A794" s="69">
        <v>666</v>
      </c>
      <c r="E794" s="70" t="s">
        <v>5986</v>
      </c>
    </row>
    <row r="795" spans="1:5">
      <c r="A795" s="69">
        <v>667</v>
      </c>
      <c r="E795" s="70" t="s">
        <v>5987</v>
      </c>
    </row>
    <row r="796" spans="1:5">
      <c r="A796" s="69">
        <v>668</v>
      </c>
      <c r="E796" s="70" t="s">
        <v>5988</v>
      </c>
    </row>
    <row r="797" spans="1:5">
      <c r="A797" s="69">
        <v>669</v>
      </c>
      <c r="E797" s="70" t="s">
        <v>5989</v>
      </c>
    </row>
    <row r="798" spans="1:5">
      <c r="A798" s="69">
        <v>670</v>
      </c>
      <c r="E798" s="70" t="s">
        <v>5990</v>
      </c>
    </row>
    <row r="799" spans="1:5">
      <c r="A799" s="69">
        <v>671</v>
      </c>
      <c r="E799" s="70" t="s">
        <v>5991</v>
      </c>
    </row>
    <row r="800" spans="1:5">
      <c r="A800" s="69">
        <v>672</v>
      </c>
      <c r="E800" s="70" t="s">
        <v>5992</v>
      </c>
    </row>
    <row r="801" spans="1:5">
      <c r="A801" s="69">
        <v>673</v>
      </c>
      <c r="E801" s="70" t="s">
        <v>5993</v>
      </c>
    </row>
    <row r="802" spans="1:5">
      <c r="A802" s="69">
        <v>674</v>
      </c>
      <c r="E802" s="70" t="s">
        <v>5994</v>
      </c>
    </row>
    <row r="803" spans="1:5">
      <c r="A803" s="69">
        <v>675</v>
      </c>
      <c r="E803" s="70" t="s">
        <v>5995</v>
      </c>
    </row>
    <row r="804" spans="1:5">
      <c r="A804" s="69">
        <v>676</v>
      </c>
      <c r="E804" s="70" t="s">
        <v>5996</v>
      </c>
    </row>
    <row r="805" spans="1:5">
      <c r="A805" s="69">
        <v>677</v>
      </c>
      <c r="E805" s="70" t="s">
        <v>5997</v>
      </c>
    </row>
    <row r="806" spans="1:5">
      <c r="A806" s="69">
        <v>678</v>
      </c>
      <c r="E806" s="70" t="s">
        <v>5783</v>
      </c>
    </row>
    <row r="807" spans="1:5">
      <c r="A807" s="69">
        <v>679</v>
      </c>
      <c r="E807" s="70" t="s">
        <v>5784</v>
      </c>
    </row>
    <row r="808" spans="1:5">
      <c r="A808" s="69">
        <v>680</v>
      </c>
      <c r="E808" s="70" t="s">
        <v>5998</v>
      </c>
    </row>
    <row r="809" spans="1:5">
      <c r="A809" s="69">
        <v>681</v>
      </c>
      <c r="E809" s="70" t="s">
        <v>5999</v>
      </c>
    </row>
    <row r="810" spans="1:5">
      <c r="A810" s="69">
        <v>682</v>
      </c>
      <c r="E810" s="70" t="s">
        <v>6000</v>
      </c>
    </row>
    <row r="811" spans="1:5">
      <c r="A811" s="69">
        <v>683</v>
      </c>
      <c r="E811" s="70" t="s">
        <v>6001</v>
      </c>
    </row>
    <row r="812" spans="1:5">
      <c r="A812" s="69">
        <v>684</v>
      </c>
      <c r="E812" s="70" t="s">
        <v>6002</v>
      </c>
    </row>
    <row r="813" spans="1:5">
      <c r="A813" s="69">
        <v>685</v>
      </c>
      <c r="E813" s="70" t="s">
        <v>5993</v>
      </c>
    </row>
    <row r="814" spans="1:5">
      <c r="A814" s="69">
        <v>686</v>
      </c>
      <c r="E814" s="70" t="s">
        <v>6003</v>
      </c>
    </row>
    <row r="815" spans="1:5">
      <c r="A815" s="69">
        <v>687</v>
      </c>
      <c r="E815" s="70" t="s">
        <v>5995</v>
      </c>
    </row>
    <row r="816" spans="1:5">
      <c r="A816" s="69">
        <v>688</v>
      </c>
      <c r="E816" s="70" t="s">
        <v>5996</v>
      </c>
    </row>
    <row r="817" spans="1:5">
      <c r="A817" s="69">
        <v>689</v>
      </c>
      <c r="E817" s="70" t="s">
        <v>5997</v>
      </c>
    </row>
    <row r="818" spans="1:5">
      <c r="A818" s="69">
        <v>690</v>
      </c>
      <c r="E818" s="70" t="s">
        <v>5783</v>
      </c>
    </row>
    <row r="819" spans="1:5">
      <c r="A819" s="69">
        <v>691</v>
      </c>
      <c r="E819" s="70" t="s">
        <v>5784</v>
      </c>
    </row>
    <row r="820" spans="1:5">
      <c r="A820" s="69">
        <v>692</v>
      </c>
      <c r="E820" s="70" t="s">
        <v>6004</v>
      </c>
    </row>
    <row r="821" spans="1:5">
      <c r="A821" s="69">
        <v>693</v>
      </c>
      <c r="E821" s="70" t="s">
        <v>5591</v>
      </c>
    </row>
    <row r="822" spans="1:5">
      <c r="A822" s="69">
        <v>694</v>
      </c>
      <c r="E822" s="71"/>
    </row>
    <row r="823" spans="1:5">
      <c r="A823" s="69">
        <v>695</v>
      </c>
      <c r="E823" s="70" t="s">
        <v>6005</v>
      </c>
    </row>
    <row r="824" spans="1:5">
      <c r="A824" s="69">
        <v>696</v>
      </c>
      <c r="E824" s="70" t="s">
        <v>6006</v>
      </c>
    </row>
    <row r="825" spans="1:5">
      <c r="A825" s="69">
        <v>697</v>
      </c>
      <c r="E825" s="70" t="s">
        <v>6007</v>
      </c>
    </row>
    <row r="826" spans="1:5">
      <c r="A826" s="69">
        <v>698</v>
      </c>
      <c r="E826" s="70" t="s">
        <v>6008</v>
      </c>
    </row>
    <row r="827" spans="1:5">
      <c r="A827" s="69">
        <v>699</v>
      </c>
      <c r="E827" s="70" t="s">
        <v>6009</v>
      </c>
    </row>
    <row r="828" spans="1:5">
      <c r="A828" s="69">
        <v>700</v>
      </c>
      <c r="E828" s="70" t="s">
        <v>6010</v>
      </c>
    </row>
    <row r="829" spans="1:5">
      <c r="A829" s="69">
        <v>701</v>
      </c>
      <c r="E829" s="70" t="s">
        <v>5594</v>
      </c>
    </row>
    <row r="830" spans="1:5">
      <c r="A830" s="69">
        <v>702</v>
      </c>
      <c r="E830" s="71"/>
    </row>
    <row r="831" spans="1:5">
      <c r="A831" s="69">
        <v>703</v>
      </c>
      <c r="E831" s="70" t="s">
        <v>6011</v>
      </c>
    </row>
    <row r="832" spans="1:5">
      <c r="A832" s="69">
        <v>704</v>
      </c>
      <c r="E832" s="70" t="s">
        <v>6012</v>
      </c>
    </row>
    <row r="833" spans="1:5">
      <c r="A833" s="69">
        <v>705</v>
      </c>
      <c r="E833" s="70" t="s">
        <v>6013</v>
      </c>
    </row>
    <row r="834" spans="1:5">
      <c r="A834" s="69">
        <v>706</v>
      </c>
      <c r="E834" s="70" t="s">
        <v>6014</v>
      </c>
    </row>
    <row r="835" spans="1:5">
      <c r="A835" s="69">
        <v>707</v>
      </c>
      <c r="E835" s="70" t="s">
        <v>6015</v>
      </c>
    </row>
    <row r="836" spans="1:5">
      <c r="A836" s="69">
        <v>708</v>
      </c>
      <c r="E836" s="70" t="s">
        <v>6016</v>
      </c>
    </row>
    <row r="837" spans="1:5">
      <c r="A837" s="69">
        <v>709</v>
      </c>
      <c r="E837" s="70" t="s">
        <v>6017</v>
      </c>
    </row>
    <row r="838" spans="1:5">
      <c r="A838" s="69">
        <v>710</v>
      </c>
      <c r="E838" s="70" t="s">
        <v>5564</v>
      </c>
    </row>
    <row r="839" spans="1:5">
      <c r="A839" s="69">
        <v>711</v>
      </c>
      <c r="E839" s="70" t="s">
        <v>6018</v>
      </c>
    </row>
    <row r="840" spans="1:5">
      <c r="A840" s="69">
        <v>712</v>
      </c>
      <c r="E840" s="70" t="s">
        <v>6019</v>
      </c>
    </row>
    <row r="841" spans="1:5">
      <c r="A841" s="69">
        <v>713</v>
      </c>
      <c r="E841" s="70" t="s">
        <v>5601</v>
      </c>
    </row>
    <row r="842" spans="1:5">
      <c r="A842" s="69">
        <v>714</v>
      </c>
      <c r="E842" s="71"/>
    </row>
    <row r="843" spans="1:5">
      <c r="A843" s="69">
        <v>715</v>
      </c>
      <c r="E843" s="70" t="s">
        <v>6020</v>
      </c>
    </row>
    <row r="844" spans="1:5">
      <c r="A844" s="69">
        <v>716</v>
      </c>
      <c r="E844" s="70" t="s">
        <v>6021</v>
      </c>
    </row>
    <row r="845" spans="1:5">
      <c r="A845" s="69">
        <v>717</v>
      </c>
      <c r="E845" s="70" t="s">
        <v>6022</v>
      </c>
    </row>
    <row r="846" spans="1:5">
      <c r="A846" s="69">
        <v>718</v>
      </c>
      <c r="E846" s="70" t="s">
        <v>6023</v>
      </c>
    </row>
    <row r="847" spans="1:5">
      <c r="A847" s="69">
        <v>719</v>
      </c>
      <c r="E847" s="70" t="s">
        <v>6024</v>
      </c>
    </row>
    <row r="848" spans="1:5">
      <c r="A848" s="69">
        <v>720</v>
      </c>
      <c r="E848" s="70" t="s">
        <v>5549</v>
      </c>
    </row>
    <row r="849" spans="1:5">
      <c r="A849" s="69">
        <v>721</v>
      </c>
      <c r="E849" s="71"/>
    </row>
    <row r="850" spans="1:5">
      <c r="A850" s="69">
        <v>722</v>
      </c>
      <c r="E850" s="70" t="s">
        <v>6025</v>
      </c>
    </row>
    <row r="851" spans="1:5">
      <c r="A851" s="69">
        <v>723</v>
      </c>
      <c r="E851" s="70" t="s">
        <v>6026</v>
      </c>
    </row>
    <row r="852" spans="1:5">
      <c r="A852" s="69">
        <v>724</v>
      </c>
      <c r="E852" s="70" t="s">
        <v>6027</v>
      </c>
    </row>
    <row r="853" spans="1:5">
      <c r="A853" s="69">
        <v>725</v>
      </c>
      <c r="E853" s="70" t="s">
        <v>6028</v>
      </c>
    </row>
    <row r="854" spans="1:5">
      <c r="A854" s="69">
        <v>726</v>
      </c>
      <c r="E854" s="70" t="s">
        <v>6029</v>
      </c>
    </row>
    <row r="855" spans="1:5">
      <c r="A855" s="69">
        <v>727</v>
      </c>
      <c r="E855" s="70" t="s">
        <v>5591</v>
      </c>
    </row>
    <row r="856" spans="1:5">
      <c r="A856" s="69">
        <v>728</v>
      </c>
      <c r="E856" s="70" t="s">
        <v>5601</v>
      </c>
    </row>
    <row r="857" spans="1:5">
      <c r="A857" s="69">
        <v>729</v>
      </c>
      <c r="E857" s="71"/>
    </row>
    <row r="858" spans="1:5">
      <c r="A858" s="69">
        <v>730</v>
      </c>
      <c r="E858" s="70" t="s">
        <v>6030</v>
      </c>
    </row>
    <row r="859" spans="1:5">
      <c r="A859" s="69">
        <v>731</v>
      </c>
      <c r="E859" s="70" t="s">
        <v>6031</v>
      </c>
    </row>
    <row r="860" spans="1:5">
      <c r="A860" s="69">
        <v>732</v>
      </c>
      <c r="E860" s="70" t="s">
        <v>6032</v>
      </c>
    </row>
    <row r="861" spans="1:5">
      <c r="A861" s="69">
        <v>733</v>
      </c>
      <c r="E861" s="70" t="s">
        <v>6033</v>
      </c>
    </row>
    <row r="862" spans="1:5">
      <c r="A862" s="69">
        <v>734</v>
      </c>
      <c r="E862" s="70" t="s">
        <v>6034</v>
      </c>
    </row>
    <row r="863" spans="1:5">
      <c r="A863" s="69">
        <v>735</v>
      </c>
      <c r="E863" s="70" t="s">
        <v>6035</v>
      </c>
    </row>
    <row r="864" spans="1:5">
      <c r="A864" s="69">
        <v>736</v>
      </c>
      <c r="E864" s="70" t="s">
        <v>5591</v>
      </c>
    </row>
    <row r="865" spans="1:5">
      <c r="A865" s="69">
        <v>737</v>
      </c>
      <c r="E865" s="70" t="s">
        <v>6036</v>
      </c>
    </row>
    <row r="866" spans="1:5">
      <c r="A866" s="69">
        <v>738</v>
      </c>
      <c r="E866" s="70" t="s">
        <v>5601</v>
      </c>
    </row>
    <row r="867" spans="1:5">
      <c r="A867" s="69">
        <v>739</v>
      </c>
      <c r="E867" s="71"/>
    </row>
    <row r="868" spans="1:5">
      <c r="A868" s="69">
        <v>740</v>
      </c>
      <c r="E868" s="70" t="s">
        <v>6037</v>
      </c>
    </row>
    <row r="869" spans="1:5">
      <c r="A869" s="69">
        <v>741</v>
      </c>
      <c r="E869" s="70" t="s">
        <v>6038</v>
      </c>
    </row>
    <row r="870" spans="1:5">
      <c r="A870" s="69">
        <v>742</v>
      </c>
      <c r="E870" s="70" t="s">
        <v>6039</v>
      </c>
    </row>
    <row r="871" spans="1:5">
      <c r="A871" s="69">
        <v>743</v>
      </c>
      <c r="E871" s="70" t="s">
        <v>6040</v>
      </c>
    </row>
    <row r="872" spans="1:5">
      <c r="A872" s="69">
        <v>744</v>
      </c>
      <c r="E872" s="70" t="s">
        <v>5601</v>
      </c>
    </row>
    <row r="873" spans="1:5">
      <c r="A873" s="69">
        <v>745</v>
      </c>
      <c r="E873" s="71"/>
    </row>
    <row r="874" spans="1:5">
      <c r="A874" s="69">
        <v>746</v>
      </c>
      <c r="E874" s="71"/>
    </row>
    <row r="875" spans="1:5">
      <c r="A875" s="69">
        <v>747</v>
      </c>
      <c r="E875" s="71"/>
    </row>
    <row r="876" spans="1:5">
      <c r="A876" s="69">
        <v>748</v>
      </c>
      <c r="E876" s="70" t="s">
        <v>6041</v>
      </c>
    </row>
    <row r="877" spans="1:5">
      <c r="A877" s="69">
        <v>749</v>
      </c>
      <c r="E877" s="70" t="s">
        <v>6042</v>
      </c>
    </row>
    <row r="878" spans="1:5">
      <c r="A878" s="69">
        <v>750</v>
      </c>
      <c r="E878" s="70" t="s">
        <v>6043</v>
      </c>
    </row>
    <row r="879" spans="1:5">
      <c r="A879" s="69">
        <v>751</v>
      </c>
      <c r="E879" s="70" t="s">
        <v>6044</v>
      </c>
    </row>
    <row r="880" spans="1:5">
      <c r="A880" s="69">
        <v>752</v>
      </c>
      <c r="E880" s="70" t="s">
        <v>6045</v>
      </c>
    </row>
    <row r="881" spans="1:5">
      <c r="A881" s="69">
        <v>753</v>
      </c>
      <c r="E881" s="70" t="s">
        <v>6046</v>
      </c>
    </row>
    <row r="882" spans="1:5">
      <c r="A882" s="69">
        <v>754</v>
      </c>
      <c r="E882" s="70" t="s">
        <v>6047</v>
      </c>
    </row>
    <row r="883" spans="1:5">
      <c r="A883" s="69">
        <v>755</v>
      </c>
      <c r="E883" s="70" t="s">
        <v>6048</v>
      </c>
    </row>
    <row r="884" spans="1:5">
      <c r="A884" s="69">
        <v>756</v>
      </c>
      <c r="E884" s="70" t="s">
        <v>6049</v>
      </c>
    </row>
    <row r="885" spans="1:5">
      <c r="A885" s="69">
        <v>757</v>
      </c>
      <c r="E885" s="70" t="s">
        <v>6050</v>
      </c>
    </row>
    <row r="886" spans="1:5">
      <c r="A886" s="69">
        <v>758</v>
      </c>
      <c r="E886" s="70" t="s">
        <v>6051</v>
      </c>
    </row>
    <row r="887" spans="1:5">
      <c r="A887" s="69">
        <v>759</v>
      </c>
      <c r="E887" s="70" t="s">
        <v>6052</v>
      </c>
    </row>
    <row r="888" spans="1:5">
      <c r="A888" s="69">
        <v>760</v>
      </c>
      <c r="E888" s="70" t="s">
        <v>6053</v>
      </c>
    </row>
    <row r="889" spans="1:5">
      <c r="A889" s="69">
        <v>761</v>
      </c>
      <c r="E889" s="70" t="s">
        <v>6054</v>
      </c>
    </row>
    <row r="890" spans="1:5">
      <c r="A890" s="69">
        <v>762</v>
      </c>
      <c r="E890" s="70" t="s">
        <v>6055</v>
      </c>
    </row>
    <row r="891" spans="1:5">
      <c r="A891" s="69">
        <v>763</v>
      </c>
      <c r="E891" s="70" t="s">
        <v>5656</v>
      </c>
    </row>
    <row r="892" spans="1:5">
      <c r="A892" s="69">
        <v>764</v>
      </c>
      <c r="E892" s="70" t="s">
        <v>5640</v>
      </c>
    </row>
    <row r="893" spans="1:5">
      <c r="A893" s="69">
        <v>765</v>
      </c>
      <c r="E893" s="70" t="s">
        <v>6056</v>
      </c>
    </row>
    <row r="894" spans="1:5">
      <c r="A894" s="69">
        <v>766</v>
      </c>
      <c r="E894" s="70" t="s">
        <v>6057</v>
      </c>
    </row>
    <row r="895" spans="1:5">
      <c r="A895" s="69">
        <v>767</v>
      </c>
      <c r="E895" s="70" t="s">
        <v>6058</v>
      </c>
    </row>
    <row r="896" spans="1:5">
      <c r="A896" s="69">
        <v>768</v>
      </c>
      <c r="E896" s="70" t="s">
        <v>6059</v>
      </c>
    </row>
    <row r="897" spans="1:5">
      <c r="A897" s="69">
        <v>769</v>
      </c>
      <c r="E897" s="70" t="s">
        <v>6060</v>
      </c>
    </row>
    <row r="898" spans="1:5">
      <c r="A898" s="69">
        <v>770</v>
      </c>
      <c r="E898" s="70" t="s">
        <v>5587</v>
      </c>
    </row>
    <row r="899" spans="1:5">
      <c r="A899" s="69">
        <v>771</v>
      </c>
      <c r="E899" s="70" t="s">
        <v>6061</v>
      </c>
    </row>
    <row r="900" spans="1:5">
      <c r="A900" s="69">
        <v>772</v>
      </c>
      <c r="E900" s="70" t="s">
        <v>5590</v>
      </c>
    </row>
    <row r="901" spans="1:5">
      <c r="A901" s="69">
        <v>773</v>
      </c>
      <c r="E901" s="70" t="s">
        <v>5591</v>
      </c>
    </row>
    <row r="902" spans="1:5">
      <c r="A902" s="69">
        <v>774</v>
      </c>
      <c r="E902" s="70" t="s">
        <v>6062</v>
      </c>
    </row>
    <row r="903" spans="1:5">
      <c r="A903" s="69">
        <v>775</v>
      </c>
      <c r="E903" s="70" t="s">
        <v>6063</v>
      </c>
    </row>
    <row r="904" spans="1:5">
      <c r="A904" s="69">
        <v>776</v>
      </c>
      <c r="E904" s="70" t="s">
        <v>5591</v>
      </c>
    </row>
    <row r="905" spans="1:5">
      <c r="A905" s="69">
        <v>777</v>
      </c>
      <c r="E905" s="70" t="s">
        <v>6064</v>
      </c>
    </row>
    <row r="906" spans="1:5">
      <c r="A906" s="69">
        <v>778</v>
      </c>
      <c r="E906" s="70" t="s">
        <v>6065</v>
      </c>
    </row>
    <row r="907" spans="1:5">
      <c r="A907" s="69">
        <v>779</v>
      </c>
      <c r="E907" s="70" t="s">
        <v>5591</v>
      </c>
    </row>
    <row r="908" spans="1:5">
      <c r="A908" s="69">
        <v>780</v>
      </c>
      <c r="E908" s="70" t="s">
        <v>5549</v>
      </c>
    </row>
    <row r="909" spans="1:5">
      <c r="A909" s="69">
        <v>781</v>
      </c>
      <c r="E909" s="71"/>
    </row>
    <row r="910" spans="1:5">
      <c r="A910" s="69">
        <v>782</v>
      </c>
      <c r="E910" s="70" t="s">
        <v>6066</v>
      </c>
    </row>
    <row r="911" spans="1:5">
      <c r="A911" s="69">
        <v>783</v>
      </c>
      <c r="E911" s="70" t="s">
        <v>6067</v>
      </c>
    </row>
    <row r="912" spans="1:5">
      <c r="A912" s="69">
        <v>784</v>
      </c>
      <c r="E912" s="70" t="s">
        <v>6068</v>
      </c>
    </row>
    <row r="913" spans="1:5">
      <c r="A913" s="69">
        <v>785</v>
      </c>
      <c r="E913" s="70" t="s">
        <v>6069</v>
      </c>
    </row>
    <row r="914" spans="1:5">
      <c r="A914" s="69">
        <v>786</v>
      </c>
      <c r="E914" s="70" t="s">
        <v>6070</v>
      </c>
    </row>
    <row r="915" spans="1:5">
      <c r="A915" s="69">
        <v>787</v>
      </c>
      <c r="E915" s="70" t="s">
        <v>6071</v>
      </c>
    </row>
    <row r="916" spans="1:5">
      <c r="A916" s="69">
        <v>788</v>
      </c>
      <c r="E916" s="70" t="s">
        <v>6049</v>
      </c>
    </row>
    <row r="917" spans="1:5">
      <c r="A917" s="69">
        <v>789</v>
      </c>
      <c r="E917" s="70" t="s">
        <v>6050</v>
      </c>
    </row>
    <row r="918" spans="1:5">
      <c r="A918" s="69">
        <v>790</v>
      </c>
      <c r="E918" s="70" t="s">
        <v>6072</v>
      </c>
    </row>
    <row r="919" spans="1:5">
      <c r="A919" s="69">
        <v>791</v>
      </c>
      <c r="E919" s="70" t="s">
        <v>6052</v>
      </c>
    </row>
    <row r="920" spans="1:5">
      <c r="A920" s="69">
        <v>792</v>
      </c>
      <c r="E920" s="70" t="s">
        <v>6073</v>
      </c>
    </row>
    <row r="921" spans="1:5">
      <c r="A921" s="69">
        <v>793</v>
      </c>
      <c r="E921" s="70" t="s">
        <v>6074</v>
      </c>
    </row>
    <row r="922" spans="1:5">
      <c r="A922" s="69">
        <v>794</v>
      </c>
      <c r="E922" s="70" t="s">
        <v>6075</v>
      </c>
    </row>
    <row r="923" spans="1:5">
      <c r="A923" s="69">
        <v>795</v>
      </c>
      <c r="E923" s="70" t="s">
        <v>5656</v>
      </c>
    </row>
    <row r="924" spans="1:5">
      <c r="A924" s="69">
        <v>796</v>
      </c>
      <c r="E924" s="70" t="s">
        <v>5640</v>
      </c>
    </row>
    <row r="925" spans="1:5">
      <c r="A925" s="69">
        <v>797</v>
      </c>
      <c r="E925" s="70" t="s">
        <v>6076</v>
      </c>
    </row>
    <row r="926" spans="1:5">
      <c r="A926" s="69">
        <v>798</v>
      </c>
      <c r="E926" s="70" t="s">
        <v>6077</v>
      </c>
    </row>
    <row r="927" spans="1:5">
      <c r="A927" s="69">
        <v>799</v>
      </c>
      <c r="E927" s="70" t="s">
        <v>6078</v>
      </c>
    </row>
    <row r="928" spans="1:5">
      <c r="A928" s="69">
        <v>800</v>
      </c>
      <c r="E928" s="70" t="s">
        <v>6079</v>
      </c>
    </row>
    <row r="929" spans="1:5">
      <c r="A929" s="69">
        <v>801</v>
      </c>
      <c r="E929" s="70" t="s">
        <v>5587</v>
      </c>
    </row>
    <row r="930" spans="1:5">
      <c r="A930" s="69">
        <v>802</v>
      </c>
      <c r="E930" s="70" t="s">
        <v>6061</v>
      </c>
    </row>
    <row r="931" spans="1:5">
      <c r="A931" s="69">
        <v>803</v>
      </c>
      <c r="E931" s="70" t="s">
        <v>5590</v>
      </c>
    </row>
    <row r="932" spans="1:5">
      <c r="A932" s="69">
        <v>804</v>
      </c>
      <c r="E932" s="70" t="s">
        <v>5591</v>
      </c>
    </row>
    <row r="933" spans="1:5">
      <c r="A933" s="69">
        <v>805</v>
      </c>
      <c r="E933" s="70" t="s">
        <v>6062</v>
      </c>
    </row>
    <row r="934" spans="1:5">
      <c r="A934" s="69">
        <v>806</v>
      </c>
      <c r="E934" s="70" t="s">
        <v>6080</v>
      </c>
    </row>
    <row r="935" spans="1:5">
      <c r="A935" s="69">
        <v>807</v>
      </c>
      <c r="E935" s="70" t="s">
        <v>5591</v>
      </c>
    </row>
    <row r="936" spans="1:5">
      <c r="A936" s="69">
        <v>808</v>
      </c>
      <c r="E936" s="70" t="s">
        <v>6064</v>
      </c>
    </row>
    <row r="937" spans="1:5">
      <c r="A937" s="69">
        <v>809</v>
      </c>
      <c r="E937" s="70" t="s">
        <v>6081</v>
      </c>
    </row>
    <row r="938" spans="1:5">
      <c r="A938" s="69">
        <v>810</v>
      </c>
      <c r="E938" s="70" t="s">
        <v>5591</v>
      </c>
    </row>
    <row r="939" spans="1:5">
      <c r="A939" s="69">
        <v>811</v>
      </c>
      <c r="E939" s="70" t="s">
        <v>5549</v>
      </c>
    </row>
    <row r="940" spans="1:5">
      <c r="A940" s="69">
        <v>812</v>
      </c>
      <c r="E940" s="71"/>
    </row>
    <row r="941" spans="1:5">
      <c r="A941" s="69">
        <v>813</v>
      </c>
      <c r="E941" s="70" t="s">
        <v>6082</v>
      </c>
    </row>
    <row r="942" spans="1:5">
      <c r="A942" s="69">
        <v>814</v>
      </c>
      <c r="E942" s="70" t="s">
        <v>6083</v>
      </c>
    </row>
    <row r="943" spans="1:5">
      <c r="A943" s="69">
        <v>815</v>
      </c>
      <c r="E943" s="70" t="s">
        <v>5601</v>
      </c>
    </row>
    <row r="944" spans="1:5">
      <c r="A944" s="69">
        <v>816</v>
      </c>
      <c r="E944" s="71"/>
    </row>
    <row r="945" spans="1:5">
      <c r="A945" s="69">
        <v>817</v>
      </c>
      <c r="E945" s="70" t="s">
        <v>6084</v>
      </c>
    </row>
    <row r="946" spans="1:5">
      <c r="A946" s="69">
        <v>818</v>
      </c>
      <c r="E946" s="70" t="s">
        <v>6085</v>
      </c>
    </row>
    <row r="947" spans="1:5">
      <c r="A947" s="69">
        <v>819</v>
      </c>
      <c r="E947" s="70" t="s">
        <v>5608</v>
      </c>
    </row>
    <row r="948" spans="1:5">
      <c r="A948" s="69">
        <v>820</v>
      </c>
      <c r="E948" s="70" t="s">
        <v>6086</v>
      </c>
    </row>
    <row r="949" spans="1:5">
      <c r="A949" s="69">
        <v>821</v>
      </c>
      <c r="E949" s="70" t="s">
        <v>6087</v>
      </c>
    </row>
    <row r="950" spans="1:5">
      <c r="A950" s="69">
        <v>822</v>
      </c>
      <c r="E950" s="70" t="s">
        <v>5612</v>
      </c>
    </row>
    <row r="951" spans="1:5">
      <c r="A951" s="69">
        <v>823</v>
      </c>
      <c r="E951" s="70" t="s">
        <v>5601</v>
      </c>
    </row>
    <row r="952" spans="1:5">
      <c r="A952" s="69">
        <v>824</v>
      </c>
      <c r="E952" s="71"/>
    </row>
    <row r="953" spans="1:5">
      <c r="A953" s="69">
        <v>825</v>
      </c>
      <c r="E953" s="70" t="s">
        <v>6088</v>
      </c>
    </row>
    <row r="954" spans="1:5">
      <c r="A954" s="69">
        <v>826</v>
      </c>
      <c r="E954" s="70" t="s">
        <v>5808</v>
      </c>
    </row>
    <row r="955" spans="1:5">
      <c r="A955" s="69">
        <v>827</v>
      </c>
      <c r="E955" s="70" t="s">
        <v>6089</v>
      </c>
    </row>
    <row r="956" spans="1:5">
      <c r="A956" s="69">
        <v>828</v>
      </c>
      <c r="E956" s="70" t="s">
        <v>6090</v>
      </c>
    </row>
    <row r="957" spans="1:5">
      <c r="A957" s="69">
        <v>829</v>
      </c>
      <c r="E957" s="70" t="s">
        <v>6091</v>
      </c>
    </row>
    <row r="958" spans="1:5">
      <c r="A958" s="69">
        <v>830</v>
      </c>
      <c r="E958" s="70" t="s">
        <v>6092</v>
      </c>
    </row>
    <row r="959" spans="1:5">
      <c r="A959" s="69">
        <v>831</v>
      </c>
      <c r="E959" s="70" t="s">
        <v>6093</v>
      </c>
    </row>
    <row r="960" spans="1:5">
      <c r="A960" s="69">
        <v>832</v>
      </c>
      <c r="E960" s="70" t="s">
        <v>6094</v>
      </c>
    </row>
    <row r="961" spans="1:5">
      <c r="A961" s="69">
        <v>833</v>
      </c>
      <c r="E961" s="70" t="s">
        <v>5809</v>
      </c>
    </row>
    <row r="962" spans="1:5">
      <c r="A962" s="69">
        <v>834</v>
      </c>
      <c r="E962" s="70" t="s">
        <v>6095</v>
      </c>
    </row>
    <row r="963" spans="1:5">
      <c r="A963" s="69">
        <v>835</v>
      </c>
      <c r="E963" s="70" t="s">
        <v>5549</v>
      </c>
    </row>
    <row r="964" spans="1:5">
      <c r="A964" s="69">
        <v>836</v>
      </c>
      <c r="E964" s="71"/>
    </row>
    <row r="965" spans="1:5">
      <c r="A965" s="69">
        <v>837</v>
      </c>
      <c r="E965" s="70" t="s">
        <v>6096</v>
      </c>
    </row>
    <row r="966" spans="1:5">
      <c r="A966" s="69">
        <v>838</v>
      </c>
      <c r="E966" s="70" t="s">
        <v>6097</v>
      </c>
    </row>
    <row r="967" spans="1:5">
      <c r="A967" s="69">
        <v>839</v>
      </c>
      <c r="E967" s="70" t="s">
        <v>6098</v>
      </c>
    </row>
    <row r="968" spans="1:5">
      <c r="A968" s="69">
        <v>840</v>
      </c>
      <c r="E968" s="70" t="s">
        <v>6099</v>
      </c>
    </row>
    <row r="969" spans="1:5">
      <c r="A969" s="69">
        <v>841</v>
      </c>
      <c r="E969" s="70" t="s">
        <v>6100</v>
      </c>
    </row>
    <row r="970" spans="1:5">
      <c r="A970" s="69">
        <v>842</v>
      </c>
      <c r="E970" s="71"/>
    </row>
    <row r="971" spans="1:5">
      <c r="A971" s="69">
        <v>843</v>
      </c>
      <c r="E971" s="70" t="s">
        <v>6101</v>
      </c>
    </row>
    <row r="972" spans="1:5">
      <c r="A972" s="69">
        <v>844</v>
      </c>
      <c r="E972" s="70" t="s">
        <v>5608</v>
      </c>
    </row>
    <row r="973" spans="1:5">
      <c r="A973" s="69">
        <v>845</v>
      </c>
      <c r="E973" s="70" t="s">
        <v>6102</v>
      </c>
    </row>
    <row r="974" spans="1:5">
      <c r="A974" s="69">
        <v>846</v>
      </c>
      <c r="E974" s="70" t="s">
        <v>6103</v>
      </c>
    </row>
    <row r="975" spans="1:5">
      <c r="A975" s="69">
        <v>847</v>
      </c>
      <c r="E975" s="70" t="s">
        <v>6104</v>
      </c>
    </row>
    <row r="976" spans="1:5">
      <c r="A976" s="69">
        <v>848</v>
      </c>
      <c r="E976" s="70" t="s">
        <v>5612</v>
      </c>
    </row>
    <row r="977" spans="1:5">
      <c r="A977" s="69">
        <v>849</v>
      </c>
      <c r="E977" s="70" t="s">
        <v>6105</v>
      </c>
    </row>
    <row r="978" spans="1:5">
      <c r="A978" s="69">
        <v>850</v>
      </c>
      <c r="E978" s="70" t="s">
        <v>5811</v>
      </c>
    </row>
    <row r="979" spans="1:5">
      <c r="A979" s="69">
        <v>851</v>
      </c>
      <c r="E979" s="70" t="s">
        <v>6106</v>
      </c>
    </row>
    <row r="980" spans="1:5">
      <c r="A980" s="69">
        <v>852</v>
      </c>
      <c r="E980" s="70" t="s">
        <v>6107</v>
      </c>
    </row>
    <row r="981" spans="1:5">
      <c r="A981" s="69">
        <v>853</v>
      </c>
      <c r="E981" s="70" t="s">
        <v>6108</v>
      </c>
    </row>
    <row r="982" spans="1:5">
      <c r="A982" s="69">
        <v>854</v>
      </c>
      <c r="E982" s="70" t="s">
        <v>6109</v>
      </c>
    </row>
    <row r="983" spans="1:5">
      <c r="A983" s="69">
        <v>855</v>
      </c>
      <c r="E983" s="71"/>
    </row>
    <row r="984" spans="1:5">
      <c r="A984" s="69">
        <v>856</v>
      </c>
      <c r="E984" s="70" t="s">
        <v>6110</v>
      </c>
    </row>
    <row r="985" spans="1:5">
      <c r="A985" s="69">
        <v>857</v>
      </c>
      <c r="E985" s="70" t="s">
        <v>6111</v>
      </c>
    </row>
    <row r="986" spans="1:5">
      <c r="A986" s="69">
        <v>858</v>
      </c>
      <c r="E986" s="70" t="s">
        <v>6112</v>
      </c>
    </row>
    <row r="987" spans="1:5">
      <c r="A987" s="69">
        <v>859</v>
      </c>
      <c r="E987" s="70" t="s">
        <v>6113</v>
      </c>
    </row>
    <row r="988" spans="1:5">
      <c r="A988" s="69">
        <v>860</v>
      </c>
      <c r="E988" s="70" t="s">
        <v>6114</v>
      </c>
    </row>
    <row r="989" spans="1:5">
      <c r="A989" s="69">
        <v>861</v>
      </c>
      <c r="E989" s="70" t="s">
        <v>6115</v>
      </c>
    </row>
    <row r="990" spans="1:5">
      <c r="A990" s="69">
        <v>862</v>
      </c>
      <c r="E990" s="70" t="s">
        <v>6116</v>
      </c>
    </row>
    <row r="991" spans="1:5">
      <c r="A991" s="69">
        <v>863</v>
      </c>
      <c r="E991" s="70" t="s">
        <v>6117</v>
      </c>
    </row>
    <row r="992" spans="1:5">
      <c r="A992" s="69">
        <v>864</v>
      </c>
      <c r="E992" s="70" t="s">
        <v>6118</v>
      </c>
    </row>
    <row r="993" spans="1:5">
      <c r="A993" s="69">
        <v>865</v>
      </c>
      <c r="E993" s="70" t="s">
        <v>6004</v>
      </c>
    </row>
    <row r="994" spans="1:5">
      <c r="A994" s="69">
        <v>866</v>
      </c>
      <c r="E994" s="70" t="s">
        <v>5591</v>
      </c>
    </row>
    <row r="995" spans="1:5">
      <c r="A995" s="69">
        <v>867</v>
      </c>
      <c r="E995" s="70" t="s">
        <v>6119</v>
      </c>
    </row>
    <row r="996" spans="1:5">
      <c r="A996" s="69">
        <v>868</v>
      </c>
      <c r="E996" s="70" t="s">
        <v>6120</v>
      </c>
    </row>
    <row r="997" spans="1:5">
      <c r="A997" s="69">
        <v>869</v>
      </c>
      <c r="E997" s="70" t="s">
        <v>6121</v>
      </c>
    </row>
    <row r="998" spans="1:5">
      <c r="A998" s="69">
        <v>870</v>
      </c>
      <c r="E998" s="70" t="s">
        <v>6122</v>
      </c>
    </row>
    <row r="999" spans="1:5">
      <c r="A999" s="69">
        <v>871</v>
      </c>
      <c r="E999" s="70" t="s">
        <v>6123</v>
      </c>
    </row>
    <row r="1000" spans="1:5">
      <c r="A1000" s="69">
        <v>872</v>
      </c>
      <c r="E1000" s="70" t="s">
        <v>6124</v>
      </c>
    </row>
    <row r="1001" spans="1:5">
      <c r="A1001" s="69">
        <v>873</v>
      </c>
      <c r="E1001" s="70" t="s">
        <v>6125</v>
      </c>
    </row>
    <row r="1002" spans="1:5">
      <c r="A1002" s="69">
        <v>874</v>
      </c>
      <c r="E1002" s="70" t="s">
        <v>6126</v>
      </c>
    </row>
    <row r="1003" spans="1:5">
      <c r="A1003" s="69">
        <v>875</v>
      </c>
      <c r="E1003" s="70" t="s">
        <v>6127</v>
      </c>
    </row>
    <row r="1004" spans="1:5">
      <c r="A1004" s="69">
        <v>876</v>
      </c>
      <c r="E1004" s="70" t="s">
        <v>6128</v>
      </c>
    </row>
    <row r="1005" spans="1:5">
      <c r="A1005" s="69">
        <v>877</v>
      </c>
      <c r="E1005" s="70" t="s">
        <v>6129</v>
      </c>
    </row>
    <row r="1006" spans="1:5">
      <c r="A1006" s="69">
        <v>878</v>
      </c>
      <c r="E1006" s="70" t="s">
        <v>6130</v>
      </c>
    </row>
    <row r="1007" spans="1:5">
      <c r="A1007" s="69">
        <v>879</v>
      </c>
      <c r="E1007" s="70" t="s">
        <v>5564</v>
      </c>
    </row>
    <row r="1008" spans="1:5">
      <c r="A1008" s="69">
        <v>880</v>
      </c>
      <c r="E1008" s="71"/>
    </row>
    <row r="1009" spans="1:5">
      <c r="A1009" s="69">
        <v>881</v>
      </c>
      <c r="E1009" s="70" t="s">
        <v>6131</v>
      </c>
    </row>
    <row r="1010" spans="1:5">
      <c r="A1010" s="69">
        <v>882</v>
      </c>
      <c r="E1010" s="70" t="s">
        <v>6132</v>
      </c>
    </row>
    <row r="1011" spans="1:5">
      <c r="A1011" s="69">
        <v>883</v>
      </c>
      <c r="E1011" s="70" t="s">
        <v>6133</v>
      </c>
    </row>
    <row r="1012" spans="1:5">
      <c r="A1012" s="69">
        <v>884</v>
      </c>
      <c r="E1012" s="70" t="s">
        <v>6134</v>
      </c>
    </row>
    <row r="1013" spans="1:5">
      <c r="A1013" s="69">
        <v>885</v>
      </c>
      <c r="E1013" s="70" t="s">
        <v>6135</v>
      </c>
    </row>
    <row r="1014" spans="1:5">
      <c r="A1014" s="69">
        <v>886</v>
      </c>
      <c r="E1014" s="71"/>
    </row>
    <row r="1015" spans="1:5">
      <c r="A1015" s="69">
        <v>887</v>
      </c>
      <c r="E1015" s="70" t="s">
        <v>6127</v>
      </c>
    </row>
    <row r="1016" spans="1:5">
      <c r="A1016" s="69">
        <v>888</v>
      </c>
      <c r="E1016" s="70" t="s">
        <v>6136</v>
      </c>
    </row>
    <row r="1017" spans="1:5">
      <c r="A1017" s="69">
        <v>889</v>
      </c>
      <c r="E1017" s="70" t="s">
        <v>6137</v>
      </c>
    </row>
    <row r="1018" spans="1:5">
      <c r="A1018" s="69">
        <v>890</v>
      </c>
      <c r="E1018" s="70" t="s">
        <v>6138</v>
      </c>
    </row>
    <row r="1019" spans="1:5">
      <c r="A1019" s="69">
        <v>891</v>
      </c>
      <c r="E1019" s="70" t="s">
        <v>6139</v>
      </c>
    </row>
    <row r="1020" spans="1:5">
      <c r="A1020" s="69">
        <v>892</v>
      </c>
      <c r="E1020" s="70" t="s">
        <v>6140</v>
      </c>
    </row>
    <row r="1021" spans="1:5">
      <c r="A1021" s="69">
        <v>893</v>
      </c>
      <c r="E1021" s="70" t="s">
        <v>6141</v>
      </c>
    </row>
    <row r="1022" spans="1:5">
      <c r="A1022" s="69">
        <v>894</v>
      </c>
      <c r="E1022" s="70" t="s">
        <v>6142</v>
      </c>
    </row>
    <row r="1023" spans="1:5">
      <c r="A1023" s="69">
        <v>895</v>
      </c>
      <c r="E1023" s="70" t="s">
        <v>5784</v>
      </c>
    </row>
    <row r="1024" spans="1:5">
      <c r="A1024" s="69">
        <v>896</v>
      </c>
      <c r="E1024" s="70" t="s">
        <v>5785</v>
      </c>
    </row>
    <row r="1025" spans="1:5">
      <c r="A1025" s="69">
        <v>897</v>
      </c>
      <c r="E1025" s="70" t="s">
        <v>5590</v>
      </c>
    </row>
    <row r="1026" spans="1:5">
      <c r="A1026" s="69">
        <v>898</v>
      </c>
      <c r="E1026" s="70" t="s">
        <v>6143</v>
      </c>
    </row>
    <row r="1027" spans="1:5">
      <c r="A1027" s="69">
        <v>899</v>
      </c>
      <c r="E1027" s="70" t="s">
        <v>5564</v>
      </c>
    </row>
    <row r="1028" spans="1:5">
      <c r="A1028" s="69">
        <v>900</v>
      </c>
      <c r="E1028" s="70" t="s">
        <v>6144</v>
      </c>
    </row>
    <row r="1029" spans="1:5">
      <c r="A1029" s="69">
        <v>901</v>
      </c>
      <c r="E1029" s="70" t="s">
        <v>5549</v>
      </c>
    </row>
    <row r="1030" spans="1:5">
      <c r="A1030" s="69">
        <v>902</v>
      </c>
      <c r="E1030" s="71"/>
    </row>
    <row r="1031" spans="1:5">
      <c r="A1031" s="69">
        <v>903</v>
      </c>
      <c r="E1031" s="70" t="s">
        <v>6145</v>
      </c>
    </row>
    <row r="1032" spans="1:5">
      <c r="A1032" s="69">
        <v>904</v>
      </c>
      <c r="E1032" s="70" t="s">
        <v>6146</v>
      </c>
    </row>
    <row r="1033" spans="1:5">
      <c r="A1033" s="69">
        <v>905</v>
      </c>
      <c r="E1033" s="70" t="s">
        <v>6147</v>
      </c>
    </row>
    <row r="1034" spans="1:5">
      <c r="A1034" s="69">
        <v>906</v>
      </c>
      <c r="E1034" s="70" t="s">
        <v>6148</v>
      </c>
    </row>
    <row r="1035" spans="1:5">
      <c r="A1035" s="69">
        <v>907</v>
      </c>
      <c r="E1035" s="70" t="s">
        <v>6149</v>
      </c>
    </row>
    <row r="1036" spans="1:5">
      <c r="A1036" s="69">
        <v>908</v>
      </c>
      <c r="E1036" s="70" t="s">
        <v>6150</v>
      </c>
    </row>
    <row r="1037" spans="1:5">
      <c r="A1037" s="69">
        <v>909</v>
      </c>
      <c r="E1037" s="70" t="s">
        <v>6151</v>
      </c>
    </row>
    <row r="1038" spans="1:5">
      <c r="A1038" s="69">
        <v>910</v>
      </c>
      <c r="E1038" s="70" t="s">
        <v>6152</v>
      </c>
    </row>
    <row r="1039" spans="1:5">
      <c r="A1039" s="69">
        <v>911</v>
      </c>
      <c r="E1039" s="70" t="s">
        <v>6153</v>
      </c>
    </row>
    <row r="1040" spans="1:5">
      <c r="A1040" s="69">
        <v>912</v>
      </c>
      <c r="E1040" s="70" t="s">
        <v>6154</v>
      </c>
    </row>
    <row r="1041" spans="1:5">
      <c r="A1041" s="69">
        <v>913</v>
      </c>
      <c r="E1041" s="70" t="s">
        <v>6155</v>
      </c>
    </row>
    <row r="1042" spans="1:5">
      <c r="A1042" s="69">
        <v>914</v>
      </c>
      <c r="E1042" s="70" t="s">
        <v>6156</v>
      </c>
    </row>
    <row r="1043" spans="1:5">
      <c r="A1043" s="69">
        <v>915</v>
      </c>
      <c r="E1043" s="70" t="s">
        <v>6157</v>
      </c>
    </row>
    <row r="1044" spans="1:5">
      <c r="A1044" s="69">
        <v>916</v>
      </c>
      <c r="E1044" s="70" t="s">
        <v>6158</v>
      </c>
    </row>
    <row r="1045" spans="1:5">
      <c r="A1045" s="69">
        <v>917</v>
      </c>
      <c r="E1045" s="70" t="s">
        <v>6159</v>
      </c>
    </row>
    <row r="1046" spans="1:5">
      <c r="A1046" s="69">
        <v>918</v>
      </c>
      <c r="E1046" s="70" t="s">
        <v>6160</v>
      </c>
    </row>
    <row r="1047" spans="1:5">
      <c r="A1047" s="69">
        <v>919</v>
      </c>
      <c r="E1047" s="70" t="s">
        <v>6161</v>
      </c>
    </row>
    <row r="1048" spans="1:5">
      <c r="A1048" s="69">
        <v>920</v>
      </c>
      <c r="E1048" s="70" t="s">
        <v>6162</v>
      </c>
    </row>
    <row r="1049" spans="1:5">
      <c r="A1049" s="69">
        <v>921</v>
      </c>
      <c r="E1049" s="70" t="s">
        <v>6163</v>
      </c>
    </row>
    <row r="1050" spans="1:5">
      <c r="A1050" s="69">
        <v>922</v>
      </c>
      <c r="E1050" s="70" t="s">
        <v>6164</v>
      </c>
    </row>
    <row r="1051" spans="1:5">
      <c r="A1051" s="69">
        <v>923</v>
      </c>
      <c r="E1051" s="70" t="s">
        <v>6165</v>
      </c>
    </row>
    <row r="1052" spans="1:5">
      <c r="A1052" s="69">
        <v>924</v>
      </c>
      <c r="E1052" s="70" t="s">
        <v>6166</v>
      </c>
    </row>
    <row r="1053" spans="1:5">
      <c r="A1053" s="69">
        <v>925</v>
      </c>
      <c r="E1053" s="70" t="s">
        <v>6167</v>
      </c>
    </row>
    <row r="1054" spans="1:5">
      <c r="A1054" s="69">
        <v>926</v>
      </c>
      <c r="E1054" s="70" t="s">
        <v>6168</v>
      </c>
    </row>
    <row r="1055" spans="1:5">
      <c r="A1055" s="69">
        <v>927</v>
      </c>
      <c r="E1055" s="70" t="s">
        <v>6169</v>
      </c>
    </row>
    <row r="1056" spans="1:5">
      <c r="A1056" s="69">
        <v>928</v>
      </c>
      <c r="E1056" s="70" t="s">
        <v>6170</v>
      </c>
    </row>
    <row r="1057" spans="1:5">
      <c r="A1057" s="69">
        <v>929</v>
      </c>
      <c r="E1057" s="70" t="s">
        <v>6159</v>
      </c>
    </row>
    <row r="1058" spans="1:5">
      <c r="A1058" s="69">
        <v>930</v>
      </c>
      <c r="E1058" s="70" t="s">
        <v>6171</v>
      </c>
    </row>
    <row r="1059" spans="1:5">
      <c r="A1059" s="69">
        <v>931</v>
      </c>
      <c r="E1059" s="70" t="s">
        <v>6172</v>
      </c>
    </row>
    <row r="1060" spans="1:5">
      <c r="A1060" s="69">
        <v>932</v>
      </c>
      <c r="E1060" s="70" t="s">
        <v>6173</v>
      </c>
    </row>
    <row r="1061" spans="1:5">
      <c r="A1061" s="69">
        <v>933</v>
      </c>
      <c r="E1061" s="70" t="s">
        <v>6152</v>
      </c>
    </row>
    <row r="1062" spans="1:5">
      <c r="A1062" s="69">
        <v>934</v>
      </c>
      <c r="E1062" s="70" t="s">
        <v>6174</v>
      </c>
    </row>
    <row r="1063" spans="1:5">
      <c r="A1063" s="69">
        <v>935</v>
      </c>
      <c r="E1063" s="70" t="s">
        <v>6154</v>
      </c>
    </row>
    <row r="1064" spans="1:5">
      <c r="A1064" s="69">
        <v>936</v>
      </c>
      <c r="E1064" s="70" t="s">
        <v>6155</v>
      </c>
    </row>
    <row r="1065" spans="1:5">
      <c r="A1065" s="69">
        <v>937</v>
      </c>
      <c r="E1065" s="70" t="s">
        <v>6156</v>
      </c>
    </row>
    <row r="1066" spans="1:5">
      <c r="A1066" s="69">
        <v>938</v>
      </c>
      <c r="E1066" s="70" t="s">
        <v>6175</v>
      </c>
    </row>
    <row r="1067" spans="1:5">
      <c r="A1067" s="69">
        <v>939</v>
      </c>
      <c r="E1067" s="70" t="s">
        <v>6176</v>
      </c>
    </row>
    <row r="1068" spans="1:5">
      <c r="A1068" s="69">
        <v>940</v>
      </c>
      <c r="E1068" s="70" t="s">
        <v>6159</v>
      </c>
    </row>
    <row r="1069" spans="1:5">
      <c r="A1069" s="69">
        <v>941</v>
      </c>
      <c r="E1069" s="70" t="s">
        <v>5549</v>
      </c>
    </row>
    <row r="1070" spans="1:5">
      <c r="A1070" s="69">
        <v>942</v>
      </c>
      <c r="E1070" s="71"/>
    </row>
    <row r="1071" spans="1:5">
      <c r="A1071" s="69">
        <v>943</v>
      </c>
      <c r="E1071" s="70" t="s">
        <v>6177</v>
      </c>
    </row>
    <row r="1072" spans="1:5">
      <c r="A1072" s="69">
        <v>944</v>
      </c>
      <c r="E1072" s="70" t="s">
        <v>6178</v>
      </c>
    </row>
    <row r="1073" spans="1:5">
      <c r="A1073" s="69">
        <v>945</v>
      </c>
      <c r="E1073" s="70" t="s">
        <v>6179</v>
      </c>
    </row>
    <row r="1074" spans="1:5">
      <c r="A1074" s="69">
        <v>946</v>
      </c>
      <c r="E1074" s="70" t="s">
        <v>6180</v>
      </c>
    </row>
    <row r="1075" spans="1:5">
      <c r="A1075" s="69">
        <v>947</v>
      </c>
      <c r="E1075" s="70" t="s">
        <v>6181</v>
      </c>
    </row>
    <row r="1076" spans="1:5">
      <c r="A1076" s="69">
        <v>948</v>
      </c>
      <c r="E1076" s="70" t="s">
        <v>6182</v>
      </c>
    </row>
    <row r="1077" spans="1:5">
      <c r="A1077" s="69">
        <v>949</v>
      </c>
      <c r="E1077" s="70" t="s">
        <v>6183</v>
      </c>
    </row>
    <row r="1078" spans="1:5">
      <c r="A1078" s="69">
        <v>950</v>
      </c>
      <c r="E1078" s="70" t="s">
        <v>6184</v>
      </c>
    </row>
    <row r="1079" spans="1:5">
      <c r="A1079" s="69">
        <v>951</v>
      </c>
      <c r="E1079" s="70" t="s">
        <v>6185</v>
      </c>
    </row>
    <row r="1080" spans="1:5">
      <c r="A1080" s="69">
        <v>952</v>
      </c>
      <c r="E1080" s="70" t="s">
        <v>6186</v>
      </c>
    </row>
    <row r="1081" spans="1:5">
      <c r="A1081" s="69">
        <v>953</v>
      </c>
      <c r="E1081" s="70" t="s">
        <v>6187</v>
      </c>
    </row>
    <row r="1082" spans="1:5">
      <c r="A1082" s="69">
        <v>954</v>
      </c>
      <c r="E1082" s="70" t="s">
        <v>5587</v>
      </c>
    </row>
    <row r="1083" spans="1:5">
      <c r="A1083" s="69">
        <v>955</v>
      </c>
      <c r="E1083" s="70" t="s">
        <v>6188</v>
      </c>
    </row>
    <row r="1084" spans="1:5">
      <c r="A1084" s="69">
        <v>956</v>
      </c>
      <c r="E1084" s="70" t="s">
        <v>5590</v>
      </c>
    </row>
    <row r="1085" spans="1:5">
      <c r="A1085" s="69">
        <v>957</v>
      </c>
      <c r="E1085" s="70" t="s">
        <v>6189</v>
      </c>
    </row>
    <row r="1086" spans="1:5">
      <c r="A1086" s="69">
        <v>958</v>
      </c>
      <c r="E1086" s="70" t="s">
        <v>6190</v>
      </c>
    </row>
    <row r="1087" spans="1:5">
      <c r="A1087" s="69">
        <v>959</v>
      </c>
      <c r="E1087" s="70" t="s">
        <v>6191</v>
      </c>
    </row>
    <row r="1088" spans="1:5">
      <c r="A1088" s="69">
        <v>960</v>
      </c>
      <c r="E1088" s="70" t="s">
        <v>6192</v>
      </c>
    </row>
    <row r="1089" spans="1:5">
      <c r="A1089" s="69">
        <v>961</v>
      </c>
      <c r="E1089" s="70" t="s">
        <v>6193</v>
      </c>
    </row>
    <row r="1090" spans="1:5">
      <c r="A1090" s="69">
        <v>962</v>
      </c>
      <c r="E1090" s="70" t="s">
        <v>6194</v>
      </c>
    </row>
    <row r="1091" spans="1:5">
      <c r="A1091" s="69">
        <v>963</v>
      </c>
      <c r="E1091" s="70" t="s">
        <v>6195</v>
      </c>
    </row>
    <row r="1092" spans="1:5">
      <c r="A1092" s="69">
        <v>964</v>
      </c>
      <c r="E1092" s="70" t="s">
        <v>6196</v>
      </c>
    </row>
    <row r="1093" spans="1:5">
      <c r="A1093" s="69">
        <v>965</v>
      </c>
      <c r="E1093" s="70" t="s">
        <v>6197</v>
      </c>
    </row>
    <row r="1094" spans="1:5">
      <c r="A1094" s="69">
        <v>966</v>
      </c>
      <c r="E1094" s="70" t="s">
        <v>6198</v>
      </c>
    </row>
    <row r="1095" spans="1:5">
      <c r="A1095" s="69">
        <v>967</v>
      </c>
      <c r="E1095" s="70" t="s">
        <v>6199</v>
      </c>
    </row>
    <row r="1096" spans="1:5">
      <c r="A1096" s="69">
        <v>968</v>
      </c>
      <c r="E1096" s="70" t="s">
        <v>6200</v>
      </c>
    </row>
    <row r="1097" spans="1:5">
      <c r="A1097" s="69">
        <v>969</v>
      </c>
      <c r="E1097" s="70" t="s">
        <v>6201</v>
      </c>
    </row>
    <row r="1098" spans="1:5">
      <c r="A1098" s="69">
        <v>970</v>
      </c>
      <c r="E1098" s="70" t="s">
        <v>6202</v>
      </c>
    </row>
    <row r="1099" spans="1:5">
      <c r="A1099" s="69">
        <v>971</v>
      </c>
      <c r="E1099" s="70" t="s">
        <v>5590</v>
      </c>
    </row>
    <row r="1100" spans="1:5">
      <c r="A1100" s="69">
        <v>972</v>
      </c>
      <c r="E1100" s="70" t="s">
        <v>5591</v>
      </c>
    </row>
    <row r="1101" spans="1:5">
      <c r="A1101" s="69">
        <v>973</v>
      </c>
      <c r="E1101" s="70" t="s">
        <v>5549</v>
      </c>
    </row>
    <row r="1102" spans="1:5">
      <c r="A1102" s="69">
        <v>974</v>
      </c>
      <c r="E1102" s="71"/>
    </row>
    <row r="1103" spans="1:5">
      <c r="A1103" s="69">
        <v>975</v>
      </c>
      <c r="E1103" s="70" t="s">
        <v>6203</v>
      </c>
    </row>
    <row r="1104" spans="1:5">
      <c r="A1104" s="69">
        <v>976</v>
      </c>
      <c r="E1104" s="70" t="s">
        <v>6204</v>
      </c>
    </row>
    <row r="1105" spans="1:5">
      <c r="A1105" s="69">
        <v>977</v>
      </c>
      <c r="E1105" s="70" t="s">
        <v>6205</v>
      </c>
    </row>
    <row r="1106" spans="1:5">
      <c r="A1106" s="69">
        <v>978</v>
      </c>
      <c r="E1106" s="70" t="s">
        <v>6206</v>
      </c>
    </row>
    <row r="1107" spans="1:5">
      <c r="A1107" s="69">
        <v>979</v>
      </c>
      <c r="E1107" s="70" t="s">
        <v>6207</v>
      </c>
    </row>
    <row r="1108" spans="1:5">
      <c r="A1108" s="69">
        <v>980</v>
      </c>
      <c r="E1108" s="70" t="s">
        <v>6208</v>
      </c>
    </row>
    <row r="1109" spans="1:5">
      <c r="A1109" s="69">
        <v>981</v>
      </c>
      <c r="E1109" s="70" t="s">
        <v>6149</v>
      </c>
    </row>
    <row r="1110" spans="1:5">
      <c r="A1110" s="69">
        <v>982</v>
      </c>
      <c r="E1110" s="70" t="s">
        <v>6150</v>
      </c>
    </row>
    <row r="1111" spans="1:5">
      <c r="A1111" s="69">
        <v>983</v>
      </c>
      <c r="E1111" s="70" t="s">
        <v>6209</v>
      </c>
    </row>
    <row r="1112" spans="1:5">
      <c r="A1112" s="69">
        <v>984</v>
      </c>
      <c r="E1112" s="70" t="s">
        <v>6210</v>
      </c>
    </row>
    <row r="1113" spans="1:5">
      <c r="A1113" s="69">
        <v>985</v>
      </c>
      <c r="E1113" s="70" t="s">
        <v>6211</v>
      </c>
    </row>
    <row r="1114" spans="1:5">
      <c r="A1114" s="69">
        <v>986</v>
      </c>
      <c r="E1114" s="70" t="s">
        <v>6212</v>
      </c>
    </row>
    <row r="1115" spans="1:5">
      <c r="A1115" s="69">
        <v>987</v>
      </c>
      <c r="E1115" s="70" t="s">
        <v>6213</v>
      </c>
    </row>
    <row r="1116" spans="1:5">
      <c r="A1116" s="69">
        <v>988</v>
      </c>
      <c r="E1116" s="70" t="s">
        <v>6214</v>
      </c>
    </row>
    <row r="1117" spans="1:5">
      <c r="A1117" s="69">
        <v>989</v>
      </c>
      <c r="E1117" s="70" t="s">
        <v>6215</v>
      </c>
    </row>
    <row r="1118" spans="1:5">
      <c r="A1118" s="69">
        <v>990</v>
      </c>
      <c r="E1118" s="70" t="s">
        <v>6216</v>
      </c>
    </row>
    <row r="1119" spans="1:5">
      <c r="A1119" s="69">
        <v>991</v>
      </c>
      <c r="E1119" s="70" t="s">
        <v>6217</v>
      </c>
    </row>
    <row r="1120" spans="1:5">
      <c r="A1120" s="69">
        <v>992</v>
      </c>
      <c r="E1120" s="70" t="s">
        <v>6218</v>
      </c>
    </row>
    <row r="1121" spans="1:5">
      <c r="A1121" s="69">
        <v>993</v>
      </c>
      <c r="E1121" s="70" t="s">
        <v>6219</v>
      </c>
    </row>
    <row r="1122" spans="1:5">
      <c r="A1122" s="69">
        <v>994</v>
      </c>
      <c r="E1122" s="70" t="s">
        <v>6220</v>
      </c>
    </row>
    <row r="1123" spans="1:5">
      <c r="A1123" s="69">
        <v>995</v>
      </c>
      <c r="E1123" s="70" t="s">
        <v>6221</v>
      </c>
    </row>
    <row r="1124" spans="1:5">
      <c r="A1124" s="69">
        <v>996</v>
      </c>
      <c r="E1124" s="70" t="s">
        <v>6159</v>
      </c>
    </row>
    <row r="1125" spans="1:5">
      <c r="A1125" s="69">
        <v>997</v>
      </c>
      <c r="E1125" s="70" t="s">
        <v>5549</v>
      </c>
    </row>
    <row r="1126" spans="1:5">
      <c r="A1126" s="69">
        <v>998</v>
      </c>
      <c r="E1126" s="71"/>
    </row>
    <row r="1127" spans="1:5">
      <c r="A1127" s="69">
        <v>999</v>
      </c>
      <c r="E1127" s="70" t="s">
        <v>6222</v>
      </c>
    </row>
    <row r="1128" spans="1:5">
      <c r="A1128" s="69">
        <v>1000</v>
      </c>
      <c r="E1128" s="70" t="s">
        <v>6223</v>
      </c>
    </row>
    <row r="1129" spans="1:5">
      <c r="A1129" s="69">
        <v>1001</v>
      </c>
      <c r="E1129" s="70" t="s">
        <v>5601</v>
      </c>
    </row>
    <row r="1130" spans="1:5">
      <c r="A1130" s="69">
        <v>1002</v>
      </c>
      <c r="E1130" s="71"/>
    </row>
    <row r="1131" spans="1:5">
      <c r="A1131" s="69">
        <v>1003</v>
      </c>
      <c r="E1131" s="70" t="s">
        <v>6224</v>
      </c>
    </row>
    <row r="1132" spans="1:5">
      <c r="A1132" s="69">
        <v>1004</v>
      </c>
      <c r="E1132" s="70" t="s">
        <v>6225</v>
      </c>
    </row>
    <row r="1133" spans="1:5">
      <c r="A1133" s="69">
        <v>1005</v>
      </c>
      <c r="E1133" s="70" t="s">
        <v>6226</v>
      </c>
    </row>
    <row r="1134" spans="1:5">
      <c r="A1134" s="69">
        <v>1006</v>
      </c>
      <c r="E1134" s="70" t="s">
        <v>5601</v>
      </c>
    </row>
    <row r="1135" spans="1:5">
      <c r="A1135" s="69">
        <v>1007</v>
      </c>
      <c r="E1135" s="71"/>
    </row>
    <row r="1136" spans="1:5">
      <c r="A1136" s="69">
        <v>1008</v>
      </c>
      <c r="E1136" s="70" t="s">
        <v>6227</v>
      </c>
    </row>
    <row r="1137" spans="1:5">
      <c r="A1137" s="69">
        <v>1009</v>
      </c>
      <c r="E1137" s="70" t="s">
        <v>6228</v>
      </c>
    </row>
    <row r="1138" spans="1:5">
      <c r="A1138" s="69">
        <v>1010</v>
      </c>
      <c r="E1138" s="70" t="s">
        <v>6229</v>
      </c>
    </row>
    <row r="1139" spans="1:5">
      <c r="A1139" s="69">
        <v>1011</v>
      </c>
      <c r="E1139" s="70" t="s">
        <v>5601</v>
      </c>
    </row>
    <row r="1140" spans="1:5">
      <c r="A1140" s="69">
        <v>1012</v>
      </c>
      <c r="E1140" s="71"/>
    </row>
    <row r="1141" spans="1:5">
      <c r="A1141" s="69">
        <v>1013</v>
      </c>
      <c r="E1141" s="70" t="s">
        <v>6230</v>
      </c>
    </row>
    <row r="1142" spans="1:5">
      <c r="A1142" s="69">
        <v>1014</v>
      </c>
      <c r="E1142" s="70" t="s">
        <v>6231</v>
      </c>
    </row>
    <row r="1143" spans="1:5">
      <c r="A1143" s="69">
        <v>1015</v>
      </c>
      <c r="E1143" s="70" t="s">
        <v>6232</v>
      </c>
    </row>
    <row r="1144" spans="1:5">
      <c r="A1144" s="69">
        <v>1016</v>
      </c>
      <c r="E1144" s="70" t="s">
        <v>6233</v>
      </c>
    </row>
    <row r="1145" spans="1:5">
      <c r="A1145" s="69">
        <v>1017</v>
      </c>
      <c r="E1145" s="70" t="s">
        <v>6234</v>
      </c>
    </row>
    <row r="1146" spans="1:5">
      <c r="A1146" s="69">
        <v>1018</v>
      </c>
      <c r="E1146" s="70" t="s">
        <v>6235</v>
      </c>
    </row>
    <row r="1147" spans="1:5">
      <c r="A1147" s="69">
        <v>1019</v>
      </c>
      <c r="E1147" s="70" t="s">
        <v>6236</v>
      </c>
    </row>
    <row r="1148" spans="1:5">
      <c r="A1148" s="69">
        <v>1020</v>
      </c>
      <c r="E1148" s="70" t="s">
        <v>6237</v>
      </c>
    </row>
    <row r="1149" spans="1:5">
      <c r="A1149" s="69">
        <v>1021</v>
      </c>
      <c r="E1149" s="70" t="s">
        <v>6238</v>
      </c>
    </row>
    <row r="1150" spans="1:5">
      <c r="A1150" s="69">
        <v>1022</v>
      </c>
      <c r="E1150" s="70" t="s">
        <v>6239</v>
      </c>
    </row>
    <row r="1151" spans="1:5">
      <c r="A1151" s="69">
        <v>1023</v>
      </c>
      <c r="E1151" s="70" t="s">
        <v>6240</v>
      </c>
    </row>
    <row r="1152" spans="1:5">
      <c r="A1152" s="69">
        <v>1024</v>
      </c>
      <c r="E1152" s="70" t="s">
        <v>6241</v>
      </c>
    </row>
    <row r="1153" spans="1:5">
      <c r="A1153" s="69">
        <v>1025</v>
      </c>
      <c r="E1153" s="70" t="s">
        <v>6242</v>
      </c>
    </row>
    <row r="1154" spans="1:5">
      <c r="A1154" s="69">
        <v>1026</v>
      </c>
      <c r="E1154" s="70" t="s">
        <v>6243</v>
      </c>
    </row>
    <row r="1155" spans="1:5">
      <c r="A1155" s="69">
        <v>1027</v>
      </c>
      <c r="E1155" s="70" t="s">
        <v>6244</v>
      </c>
    </row>
    <row r="1156" spans="1:5">
      <c r="A1156" s="69">
        <v>1028</v>
      </c>
      <c r="E1156" s="70" t="s">
        <v>6245</v>
      </c>
    </row>
    <row r="1157" spans="1:5">
      <c r="A1157" s="69">
        <v>1029</v>
      </c>
      <c r="E1157" s="70" t="s">
        <v>6155</v>
      </c>
    </row>
    <row r="1158" spans="1:5">
      <c r="A1158" s="69">
        <v>1030</v>
      </c>
      <c r="E1158" s="70" t="s">
        <v>6159</v>
      </c>
    </row>
    <row r="1159" spans="1:5">
      <c r="A1159" s="69">
        <v>1031</v>
      </c>
      <c r="E1159" s="70" t="s">
        <v>6246</v>
      </c>
    </row>
    <row r="1160" spans="1:5">
      <c r="A1160" s="69">
        <v>1032</v>
      </c>
      <c r="E1160" s="70" t="s">
        <v>6247</v>
      </c>
    </row>
    <row r="1161" spans="1:5">
      <c r="A1161" s="69">
        <v>1033</v>
      </c>
      <c r="E1161" s="70" t="s">
        <v>6248</v>
      </c>
    </row>
    <row r="1162" spans="1:5">
      <c r="A1162" s="69">
        <v>1034</v>
      </c>
      <c r="E1162" s="70" t="s">
        <v>5549</v>
      </c>
    </row>
    <row r="1163" spans="1:5">
      <c r="A1163" s="69">
        <v>1035</v>
      </c>
      <c r="E1163" s="71"/>
    </row>
    <row r="1164" spans="1:5">
      <c r="A1164" s="69">
        <v>1036</v>
      </c>
      <c r="E1164" s="70" t="s">
        <v>6249</v>
      </c>
    </row>
    <row r="1165" spans="1:5">
      <c r="A1165" s="69">
        <v>1037</v>
      </c>
      <c r="E1165" s="70" t="s">
        <v>6250</v>
      </c>
    </row>
    <row r="1166" spans="1:5">
      <c r="A1166" s="69">
        <v>1038</v>
      </c>
      <c r="E1166" s="70" t="s">
        <v>6251</v>
      </c>
    </row>
    <row r="1167" spans="1:5">
      <c r="A1167" s="69">
        <v>1039</v>
      </c>
      <c r="E1167" s="70" t="s">
        <v>6252</v>
      </c>
    </row>
    <row r="1168" spans="1:5">
      <c r="A1168" s="69">
        <v>1040</v>
      </c>
      <c r="E1168" s="70" t="s">
        <v>6253</v>
      </c>
    </row>
    <row r="1169" spans="1:5">
      <c r="A1169" s="69">
        <v>1041</v>
      </c>
      <c r="E1169" s="70" t="s">
        <v>6254</v>
      </c>
    </row>
    <row r="1170" spans="1:5">
      <c r="A1170" s="69">
        <v>1042</v>
      </c>
      <c r="E1170" s="70" t="s">
        <v>6255</v>
      </c>
    </row>
    <row r="1171" spans="1:5">
      <c r="A1171" s="69">
        <v>1043</v>
      </c>
      <c r="E1171" s="70" t="s">
        <v>6256</v>
      </c>
    </row>
    <row r="1172" spans="1:5">
      <c r="A1172" s="69">
        <v>1044</v>
      </c>
      <c r="E1172" s="70" t="s">
        <v>6257</v>
      </c>
    </row>
    <row r="1173" spans="1:5">
      <c r="A1173" s="69">
        <v>1045</v>
      </c>
      <c r="E1173" s="70" t="s">
        <v>6258</v>
      </c>
    </row>
    <row r="1174" spans="1:5">
      <c r="A1174" s="69">
        <v>1046</v>
      </c>
      <c r="E1174" s="70" t="s">
        <v>6259</v>
      </c>
    </row>
    <row r="1175" spans="1:5">
      <c r="A1175" s="69">
        <v>1047</v>
      </c>
      <c r="E1175" s="70" t="s">
        <v>6260</v>
      </c>
    </row>
    <row r="1176" spans="1:5">
      <c r="A1176" s="69">
        <v>1048</v>
      </c>
      <c r="E1176" s="70" t="s">
        <v>6261</v>
      </c>
    </row>
    <row r="1177" spans="1:5">
      <c r="A1177" s="69">
        <v>1049</v>
      </c>
      <c r="E1177" s="70" t="s">
        <v>6262</v>
      </c>
    </row>
    <row r="1178" spans="1:5">
      <c r="A1178" s="69">
        <v>1050</v>
      </c>
      <c r="E1178" s="70" t="s">
        <v>6263</v>
      </c>
    </row>
    <row r="1179" spans="1:5">
      <c r="A1179" s="69">
        <v>1051</v>
      </c>
      <c r="E1179" s="70" t="s">
        <v>6264</v>
      </c>
    </row>
    <row r="1180" spans="1:5">
      <c r="A1180" s="69">
        <v>1052</v>
      </c>
      <c r="E1180" s="70" t="s">
        <v>6265</v>
      </c>
    </row>
    <row r="1181" spans="1:5">
      <c r="A1181" s="69">
        <v>1053</v>
      </c>
      <c r="E1181" s="70" t="s">
        <v>6266</v>
      </c>
    </row>
    <row r="1182" spans="1:5">
      <c r="A1182" s="69">
        <v>1054</v>
      </c>
      <c r="E1182" s="70" t="s">
        <v>6267</v>
      </c>
    </row>
    <row r="1183" spans="1:5">
      <c r="A1183" s="69">
        <v>1055</v>
      </c>
      <c r="E1183" s="70" t="s">
        <v>6268</v>
      </c>
    </row>
    <row r="1184" spans="1:5">
      <c r="A1184" s="69">
        <v>1056</v>
      </c>
      <c r="E1184" s="70" t="s">
        <v>6269</v>
      </c>
    </row>
    <row r="1185" spans="1:5">
      <c r="A1185" s="69">
        <v>1057</v>
      </c>
      <c r="E1185" s="70" t="s">
        <v>6270</v>
      </c>
    </row>
    <row r="1186" spans="1:5">
      <c r="A1186" s="69">
        <v>1058</v>
      </c>
      <c r="E1186" s="70" t="s">
        <v>6271</v>
      </c>
    </row>
    <row r="1187" spans="1:5">
      <c r="A1187" s="69">
        <v>1059</v>
      </c>
      <c r="E1187" s="70" t="s">
        <v>6272</v>
      </c>
    </row>
    <row r="1188" spans="1:5">
      <c r="A1188" s="69">
        <v>1060</v>
      </c>
      <c r="E1188" s="70" t="s">
        <v>6273</v>
      </c>
    </row>
    <row r="1189" spans="1:5">
      <c r="A1189" s="69">
        <v>1061</v>
      </c>
      <c r="E1189" s="70" t="s">
        <v>6274</v>
      </c>
    </row>
    <row r="1190" spans="1:5">
      <c r="A1190" s="69">
        <v>1062</v>
      </c>
      <c r="E1190" s="70" t="s">
        <v>6275</v>
      </c>
    </row>
    <row r="1191" spans="1:5">
      <c r="A1191" s="69">
        <v>1063</v>
      </c>
      <c r="E1191" s="70" t="s">
        <v>5549</v>
      </c>
    </row>
    <row r="1192" spans="1:5">
      <c r="A1192" s="69">
        <v>1064</v>
      </c>
      <c r="E1192" s="71"/>
    </row>
    <row r="1193" spans="1:5">
      <c r="A1193" s="69">
        <v>1065</v>
      </c>
      <c r="E1193" s="70" t="s">
        <v>6276</v>
      </c>
    </row>
    <row r="1194" spans="1:5">
      <c r="A1194" s="69">
        <v>1066</v>
      </c>
      <c r="E1194" s="70" t="s">
        <v>6277</v>
      </c>
    </row>
    <row r="1195" spans="1:5">
      <c r="A1195" s="69">
        <v>1067</v>
      </c>
      <c r="E1195" s="70" t="s">
        <v>6278</v>
      </c>
    </row>
    <row r="1196" spans="1:5">
      <c r="A1196" s="69">
        <v>1068</v>
      </c>
      <c r="E1196" s="70" t="s">
        <v>6279</v>
      </c>
    </row>
    <row r="1197" spans="1:5">
      <c r="A1197" s="69">
        <v>1069</v>
      </c>
      <c r="E1197" s="70" t="s">
        <v>6132</v>
      </c>
    </row>
    <row r="1198" spans="1:5">
      <c r="A1198" s="69">
        <v>1070</v>
      </c>
      <c r="E1198" s="70" t="s">
        <v>6133</v>
      </c>
    </row>
    <row r="1199" spans="1:5">
      <c r="A1199" s="69">
        <v>1071</v>
      </c>
      <c r="E1199" s="70" t="s">
        <v>6280</v>
      </c>
    </row>
    <row r="1200" spans="1:5">
      <c r="A1200" s="69">
        <v>1072</v>
      </c>
      <c r="E1200" s="70" t="s">
        <v>6281</v>
      </c>
    </row>
    <row r="1201" spans="1:5">
      <c r="A1201" s="69">
        <v>1073</v>
      </c>
      <c r="E1201" s="70" t="s">
        <v>6282</v>
      </c>
    </row>
    <row r="1202" spans="1:5">
      <c r="A1202" s="69">
        <v>1074</v>
      </c>
      <c r="E1202" s="70" t="s">
        <v>6283</v>
      </c>
    </row>
    <row r="1203" spans="1:5">
      <c r="A1203" s="69">
        <v>1075</v>
      </c>
      <c r="E1203" s="70" t="s">
        <v>6284</v>
      </c>
    </row>
    <row r="1204" spans="1:5">
      <c r="A1204" s="69">
        <v>1076</v>
      </c>
      <c r="E1204" s="70" t="s">
        <v>6285</v>
      </c>
    </row>
    <row r="1205" spans="1:5">
      <c r="A1205" s="69">
        <v>1077</v>
      </c>
      <c r="E1205" s="70" t="s">
        <v>6286</v>
      </c>
    </row>
    <row r="1206" spans="1:5">
      <c r="A1206" s="69">
        <v>1078</v>
      </c>
      <c r="E1206" s="70" t="s">
        <v>6287</v>
      </c>
    </row>
    <row r="1207" spans="1:5">
      <c r="A1207" s="69">
        <v>1079</v>
      </c>
      <c r="E1207" s="70" t="s">
        <v>6288</v>
      </c>
    </row>
    <row r="1208" spans="1:5">
      <c r="A1208" s="69">
        <v>1080</v>
      </c>
      <c r="E1208" s="70" t="s">
        <v>5984</v>
      </c>
    </row>
    <row r="1209" spans="1:5">
      <c r="A1209" s="69">
        <v>1081</v>
      </c>
      <c r="E1209" s="70" t="s">
        <v>6289</v>
      </c>
    </row>
    <row r="1210" spans="1:5">
      <c r="A1210" s="69">
        <v>1082</v>
      </c>
      <c r="E1210" s="70" t="s">
        <v>6290</v>
      </c>
    </row>
    <row r="1211" spans="1:5">
      <c r="A1211" s="69">
        <v>1083</v>
      </c>
      <c r="E1211" s="70" t="s">
        <v>6291</v>
      </c>
    </row>
    <row r="1212" spans="1:5">
      <c r="A1212" s="69">
        <v>1084</v>
      </c>
      <c r="E1212" s="70" t="s">
        <v>6292</v>
      </c>
    </row>
    <row r="1213" spans="1:5">
      <c r="A1213" s="69">
        <v>1085</v>
      </c>
      <c r="E1213" s="70" t="s">
        <v>6293</v>
      </c>
    </row>
    <row r="1214" spans="1:5">
      <c r="A1214" s="69">
        <v>1086</v>
      </c>
      <c r="E1214" s="70" t="s">
        <v>5986</v>
      </c>
    </row>
    <row r="1215" spans="1:5">
      <c r="A1215" s="69">
        <v>1087</v>
      </c>
      <c r="E1215" s="70" t="s">
        <v>6289</v>
      </c>
    </row>
    <row r="1216" spans="1:5">
      <c r="A1216" s="69">
        <v>1088</v>
      </c>
      <c r="E1216" s="70" t="s">
        <v>6294</v>
      </c>
    </row>
    <row r="1217" spans="1:5">
      <c r="A1217" s="69">
        <v>1089</v>
      </c>
      <c r="E1217" s="70" t="s">
        <v>6291</v>
      </c>
    </row>
    <row r="1218" spans="1:5">
      <c r="A1218" s="69">
        <v>1090</v>
      </c>
      <c r="E1218" s="70" t="s">
        <v>6292</v>
      </c>
    </row>
    <row r="1219" spans="1:5">
      <c r="A1219" s="69">
        <v>1091</v>
      </c>
      <c r="E1219" s="70" t="s">
        <v>6293</v>
      </c>
    </row>
    <row r="1220" spans="1:5">
      <c r="A1220" s="69">
        <v>1092</v>
      </c>
      <c r="E1220" s="70" t="s">
        <v>6295</v>
      </c>
    </row>
    <row r="1221" spans="1:5">
      <c r="A1221" s="69">
        <v>1093</v>
      </c>
      <c r="E1221" s="70" t="s">
        <v>6289</v>
      </c>
    </row>
    <row r="1222" spans="1:5">
      <c r="A1222" s="69">
        <v>1094</v>
      </c>
      <c r="E1222" s="70" t="s">
        <v>6291</v>
      </c>
    </row>
    <row r="1223" spans="1:5">
      <c r="A1223" s="69">
        <v>1095</v>
      </c>
      <c r="E1223" s="70" t="s">
        <v>6296</v>
      </c>
    </row>
    <row r="1224" spans="1:5">
      <c r="A1224" s="69">
        <v>1096</v>
      </c>
      <c r="E1224" s="70" t="s">
        <v>6297</v>
      </c>
    </row>
    <row r="1225" spans="1:5">
      <c r="A1225" s="69">
        <v>1097</v>
      </c>
      <c r="E1225" s="70" t="s">
        <v>6293</v>
      </c>
    </row>
    <row r="1226" spans="1:5">
      <c r="A1226" s="69">
        <v>1098</v>
      </c>
      <c r="E1226" s="70" t="s">
        <v>6298</v>
      </c>
    </row>
    <row r="1227" spans="1:5">
      <c r="A1227" s="69">
        <v>1099</v>
      </c>
      <c r="E1227" s="70" t="s">
        <v>6299</v>
      </c>
    </row>
    <row r="1228" spans="1:5">
      <c r="A1228" s="69">
        <v>1100</v>
      </c>
      <c r="E1228" s="70" t="s">
        <v>6300</v>
      </c>
    </row>
    <row r="1229" spans="1:5">
      <c r="A1229" s="69">
        <v>1101</v>
      </c>
      <c r="E1229" s="70" t="s">
        <v>6301</v>
      </c>
    </row>
    <row r="1230" spans="1:5">
      <c r="A1230" s="69">
        <v>1102</v>
      </c>
      <c r="E1230" s="70" t="s">
        <v>6302</v>
      </c>
    </row>
    <row r="1231" spans="1:5">
      <c r="A1231" s="69">
        <v>1103</v>
      </c>
      <c r="E1231" s="70" t="s">
        <v>6303</v>
      </c>
    </row>
    <row r="1232" spans="1:5">
      <c r="A1232" s="69">
        <v>1104</v>
      </c>
      <c r="E1232" s="70" t="s">
        <v>6304</v>
      </c>
    </row>
    <row r="1233" spans="1:5">
      <c r="A1233" s="69">
        <v>1105</v>
      </c>
      <c r="E1233" s="70" t="s">
        <v>6305</v>
      </c>
    </row>
    <row r="1234" spans="1:5">
      <c r="A1234" s="69">
        <v>1106</v>
      </c>
      <c r="E1234" s="70" t="s">
        <v>6306</v>
      </c>
    </row>
    <row r="1235" spans="1:5">
      <c r="A1235" s="69">
        <v>1107</v>
      </c>
      <c r="E1235" s="70" t="s">
        <v>6307</v>
      </c>
    </row>
    <row r="1236" spans="1:5">
      <c r="A1236" s="69">
        <v>1108</v>
      </c>
      <c r="E1236" s="70" t="s">
        <v>6308</v>
      </c>
    </row>
    <row r="1237" spans="1:5">
      <c r="A1237" s="69">
        <v>1109</v>
      </c>
      <c r="E1237" s="70" t="s">
        <v>6289</v>
      </c>
    </row>
    <row r="1238" spans="1:5">
      <c r="A1238" s="69">
        <v>1110</v>
      </c>
      <c r="E1238" s="70" t="s">
        <v>6291</v>
      </c>
    </row>
    <row r="1239" spans="1:5">
      <c r="A1239" s="69">
        <v>1111</v>
      </c>
      <c r="E1239" s="70" t="s">
        <v>6296</v>
      </c>
    </row>
    <row r="1240" spans="1:5">
      <c r="A1240" s="69">
        <v>1112</v>
      </c>
      <c r="E1240" s="70" t="s">
        <v>6297</v>
      </c>
    </row>
    <row r="1241" spans="1:5">
      <c r="A1241" s="69">
        <v>1113</v>
      </c>
      <c r="E1241" s="70" t="s">
        <v>6309</v>
      </c>
    </row>
    <row r="1242" spans="1:5">
      <c r="A1242" s="69">
        <v>1114</v>
      </c>
      <c r="E1242" s="70" t="s">
        <v>6293</v>
      </c>
    </row>
    <row r="1243" spans="1:5">
      <c r="A1243" s="69">
        <v>1115</v>
      </c>
      <c r="E1243" s="70" t="s">
        <v>6310</v>
      </c>
    </row>
    <row r="1244" spans="1:5">
      <c r="A1244" s="69">
        <v>1116</v>
      </c>
      <c r="E1244" s="70" t="s">
        <v>6311</v>
      </c>
    </row>
    <row r="1245" spans="1:5">
      <c r="A1245" s="69">
        <v>1117</v>
      </c>
      <c r="E1245" s="70" t="s">
        <v>6312</v>
      </c>
    </row>
    <row r="1246" spans="1:5">
      <c r="A1246" s="69">
        <v>1118</v>
      </c>
      <c r="E1246" s="70" t="s">
        <v>6303</v>
      </c>
    </row>
    <row r="1247" spans="1:5">
      <c r="A1247" s="69">
        <v>1119</v>
      </c>
      <c r="E1247" s="70" t="s">
        <v>6304</v>
      </c>
    </row>
    <row r="1248" spans="1:5">
      <c r="A1248" s="69">
        <v>1120</v>
      </c>
      <c r="E1248" s="70" t="s">
        <v>6313</v>
      </c>
    </row>
    <row r="1249" spans="1:5">
      <c r="A1249" s="69">
        <v>1121</v>
      </c>
      <c r="E1249" s="70" t="s">
        <v>6004</v>
      </c>
    </row>
    <row r="1250" spans="1:5">
      <c r="A1250" s="69">
        <v>1122</v>
      </c>
      <c r="E1250" s="70" t="s">
        <v>5591</v>
      </c>
    </row>
    <row r="1251" spans="1:5">
      <c r="A1251" s="69">
        <v>1123</v>
      </c>
      <c r="E1251" s="70" t="s">
        <v>5549</v>
      </c>
    </row>
    <row r="1252" spans="1:5">
      <c r="A1252" s="69">
        <v>1124</v>
      </c>
      <c r="E1252" s="71"/>
    </row>
    <row r="1253" spans="1:5">
      <c r="A1253" s="69">
        <v>1125</v>
      </c>
      <c r="E1253" s="70" t="s">
        <v>6314</v>
      </c>
    </row>
    <row r="1254" spans="1:5">
      <c r="A1254" s="69">
        <v>1126</v>
      </c>
      <c r="E1254" s="70" t="s">
        <v>6315</v>
      </c>
    </row>
    <row r="1255" spans="1:5">
      <c r="A1255" s="69">
        <v>1127</v>
      </c>
      <c r="E1255" s="70" t="s">
        <v>6316</v>
      </c>
    </row>
    <row r="1256" spans="1:5">
      <c r="A1256" s="69">
        <v>1128</v>
      </c>
      <c r="E1256" s="70" t="s">
        <v>6317</v>
      </c>
    </row>
    <row r="1257" spans="1:5">
      <c r="A1257" s="69">
        <v>1129</v>
      </c>
      <c r="E1257" s="70" t="s">
        <v>6318</v>
      </c>
    </row>
    <row r="1258" spans="1:5">
      <c r="A1258" s="69">
        <v>1130</v>
      </c>
      <c r="E1258" s="70" t="s">
        <v>6319</v>
      </c>
    </row>
    <row r="1259" spans="1:5">
      <c r="A1259" s="69">
        <v>1131</v>
      </c>
      <c r="E1259" s="70" t="s">
        <v>6320</v>
      </c>
    </row>
    <row r="1260" spans="1:5">
      <c r="A1260" s="69">
        <v>1132</v>
      </c>
      <c r="E1260" s="70" t="s">
        <v>6321</v>
      </c>
    </row>
    <row r="1261" spans="1:5">
      <c r="A1261" s="69">
        <v>1133</v>
      </c>
      <c r="E1261" s="70" t="s">
        <v>6322</v>
      </c>
    </row>
    <row r="1262" spans="1:5">
      <c r="A1262" s="69">
        <v>1134</v>
      </c>
      <c r="E1262" s="70" t="s">
        <v>6323</v>
      </c>
    </row>
    <row r="1263" spans="1:5">
      <c r="A1263" s="69">
        <v>1135</v>
      </c>
      <c r="E1263" s="70" t="s">
        <v>6324</v>
      </c>
    </row>
    <row r="1264" spans="1:5">
      <c r="A1264" s="69">
        <v>1136</v>
      </c>
      <c r="E1264" s="70" t="s">
        <v>6325</v>
      </c>
    </row>
    <row r="1265" spans="1:5">
      <c r="A1265" s="69">
        <v>1137</v>
      </c>
      <c r="E1265" s="70" t="s">
        <v>5825</v>
      </c>
    </row>
    <row r="1266" spans="1:5">
      <c r="A1266" s="69">
        <v>1138</v>
      </c>
      <c r="E1266" s="70" t="s">
        <v>6326</v>
      </c>
    </row>
    <row r="1267" spans="1:5">
      <c r="A1267" s="69">
        <v>1139</v>
      </c>
      <c r="E1267" s="70" t="s">
        <v>6327</v>
      </c>
    </row>
    <row r="1268" spans="1:5">
      <c r="A1268" s="69">
        <v>1140</v>
      </c>
      <c r="E1268" s="70" t="s">
        <v>6328</v>
      </c>
    </row>
    <row r="1269" spans="1:5">
      <c r="A1269" s="69">
        <v>1141</v>
      </c>
      <c r="E1269" s="70" t="s">
        <v>6329</v>
      </c>
    </row>
    <row r="1270" spans="1:5">
      <c r="A1270" s="69">
        <v>1142</v>
      </c>
      <c r="E1270" s="70" t="s">
        <v>5656</v>
      </c>
    </row>
    <row r="1271" spans="1:5">
      <c r="A1271" s="69">
        <v>1143</v>
      </c>
      <c r="E1271" s="70" t="s">
        <v>6330</v>
      </c>
    </row>
    <row r="1272" spans="1:5">
      <c r="A1272" s="69">
        <v>1144</v>
      </c>
      <c r="E1272" s="70" t="s">
        <v>6331</v>
      </c>
    </row>
    <row r="1273" spans="1:5">
      <c r="A1273" s="69">
        <v>1145</v>
      </c>
      <c r="E1273" s="70" t="s">
        <v>5656</v>
      </c>
    </row>
    <row r="1274" spans="1:5">
      <c r="A1274" s="69">
        <v>1146</v>
      </c>
      <c r="E1274" s="70" t="s">
        <v>5590</v>
      </c>
    </row>
    <row r="1275" spans="1:5">
      <c r="A1275" s="69">
        <v>1147</v>
      </c>
      <c r="E1275" s="70" t="s">
        <v>5591</v>
      </c>
    </row>
    <row r="1276" spans="1:5">
      <c r="A1276" s="69">
        <v>1148</v>
      </c>
      <c r="E1276" s="70" t="s">
        <v>6332</v>
      </c>
    </row>
    <row r="1277" spans="1:5">
      <c r="A1277" s="69">
        <v>1149</v>
      </c>
      <c r="E1277" s="70" t="s">
        <v>6333</v>
      </c>
    </row>
    <row r="1278" spans="1:5">
      <c r="A1278" s="69">
        <v>1150</v>
      </c>
      <c r="E1278" s="70" t="s">
        <v>6334</v>
      </c>
    </row>
    <row r="1279" spans="1:5">
      <c r="A1279" s="69">
        <v>1151</v>
      </c>
      <c r="E1279" s="70" t="s">
        <v>5591</v>
      </c>
    </row>
    <row r="1280" spans="1:5">
      <c r="A1280" s="69">
        <v>1152</v>
      </c>
      <c r="E1280" s="70" t="s">
        <v>6335</v>
      </c>
    </row>
    <row r="1281" spans="1:5">
      <c r="A1281" s="69">
        <v>1153</v>
      </c>
      <c r="E1281" s="70" t="s">
        <v>6333</v>
      </c>
    </row>
    <row r="1282" spans="1:5">
      <c r="A1282" s="69">
        <v>1154</v>
      </c>
      <c r="E1282" s="70" t="s">
        <v>6336</v>
      </c>
    </row>
    <row r="1283" spans="1:5">
      <c r="A1283" s="69">
        <v>1155</v>
      </c>
      <c r="E1283" s="70" t="s">
        <v>5591</v>
      </c>
    </row>
    <row r="1284" spans="1:5">
      <c r="A1284" s="69">
        <v>1156</v>
      </c>
      <c r="E1284" s="70" t="s">
        <v>5549</v>
      </c>
    </row>
    <row r="1285" spans="1:5">
      <c r="A1285" s="69">
        <v>1157</v>
      </c>
      <c r="E1285" s="71"/>
    </row>
    <row r="1286" spans="1:5">
      <c r="A1286" s="69">
        <v>1158</v>
      </c>
      <c r="E1286" s="70" t="s">
        <v>6337</v>
      </c>
    </row>
    <row r="1287" spans="1:5">
      <c r="A1287" s="69">
        <v>1159</v>
      </c>
      <c r="E1287" s="70" t="s">
        <v>6338</v>
      </c>
    </row>
    <row r="1288" spans="1:5">
      <c r="A1288" s="69">
        <v>1160</v>
      </c>
      <c r="E1288" s="70" t="s">
        <v>6168</v>
      </c>
    </row>
    <row r="1289" spans="1:5">
      <c r="A1289" s="69">
        <v>1161</v>
      </c>
      <c r="E1289" s="70" t="s">
        <v>6169</v>
      </c>
    </row>
    <row r="1290" spans="1:5">
      <c r="A1290" s="69">
        <v>1162</v>
      </c>
      <c r="E1290" s="70" t="s">
        <v>6170</v>
      </c>
    </row>
    <row r="1291" spans="1:5">
      <c r="A1291" s="69">
        <v>1163</v>
      </c>
      <c r="E1291" s="70" t="s">
        <v>6159</v>
      </c>
    </row>
    <row r="1292" spans="1:5">
      <c r="A1292" s="69">
        <v>1164</v>
      </c>
      <c r="E1292" s="70" t="s">
        <v>6339</v>
      </c>
    </row>
    <row r="1293" spans="1:5">
      <c r="A1293" s="69">
        <v>1165</v>
      </c>
      <c r="E1293" s="70" t="s">
        <v>6340</v>
      </c>
    </row>
    <row r="1294" spans="1:5">
      <c r="A1294" s="69">
        <v>1166</v>
      </c>
      <c r="E1294" s="70" t="s">
        <v>6341</v>
      </c>
    </row>
    <row r="1295" spans="1:5">
      <c r="A1295" s="69">
        <v>1167</v>
      </c>
      <c r="E1295" s="70" t="s">
        <v>6342</v>
      </c>
    </row>
    <row r="1296" spans="1:5">
      <c r="A1296" s="69">
        <v>1168</v>
      </c>
      <c r="E1296" s="70" t="s">
        <v>5549</v>
      </c>
    </row>
    <row r="1297" spans="1:5">
      <c r="A1297" s="69">
        <v>1169</v>
      </c>
      <c r="E1297" s="71"/>
    </row>
    <row r="1298" spans="1:5">
      <c r="A1298" s="69">
        <v>1170</v>
      </c>
      <c r="E1298" s="70" t="s">
        <v>5480</v>
      </c>
    </row>
    <row r="1299" spans="1:5">
      <c r="A1299" s="69">
        <v>1171</v>
      </c>
      <c r="E1299" s="70" t="s">
        <v>6343</v>
      </c>
    </row>
    <row r="1300" spans="1:5">
      <c r="A1300" s="69">
        <v>1172</v>
      </c>
      <c r="E1300" s="70" t="s">
        <v>5480</v>
      </c>
    </row>
    <row r="1301" spans="1:5">
      <c r="A1301" s="69">
        <v>1173</v>
      </c>
      <c r="E1301" s="70" t="s">
        <v>6344</v>
      </c>
    </row>
    <row r="1302" spans="1:5">
      <c r="A1302" s="69">
        <v>1174</v>
      </c>
      <c r="E1302" s="70" t="s">
        <v>6345</v>
      </c>
    </row>
    <row r="1303" spans="1:5">
      <c r="A1303" s="69">
        <v>1175</v>
      </c>
      <c r="E1303" s="70" t="s">
        <v>6346</v>
      </c>
    </row>
    <row r="1304" spans="1:5">
      <c r="A1304" s="69">
        <v>1176</v>
      </c>
      <c r="E1304" s="70" t="s">
        <v>6347</v>
      </c>
    </row>
    <row r="1305" spans="1:5">
      <c r="A1305" s="69">
        <v>1177</v>
      </c>
      <c r="E1305" s="70" t="s">
        <v>6348</v>
      </c>
    </row>
    <row r="1306" spans="1:5">
      <c r="A1306" s="69">
        <v>1178</v>
      </c>
      <c r="E1306" s="70" t="s">
        <v>6349</v>
      </c>
    </row>
    <row r="1307" spans="1:5">
      <c r="A1307" s="69">
        <v>1179</v>
      </c>
      <c r="E1307" s="70" t="s">
        <v>6350</v>
      </c>
    </row>
    <row r="1308" spans="1:5">
      <c r="A1308" s="69">
        <v>1180</v>
      </c>
      <c r="E1308" s="70" t="s">
        <v>6233</v>
      </c>
    </row>
    <row r="1309" spans="1:5">
      <c r="A1309" s="69">
        <v>1181</v>
      </c>
      <c r="E1309" s="70" t="s">
        <v>6351</v>
      </c>
    </row>
    <row r="1310" spans="1:5">
      <c r="A1310" s="69">
        <v>1182</v>
      </c>
      <c r="E1310" s="71"/>
    </row>
    <row r="1311" spans="1:5">
      <c r="A1311" s="69">
        <v>1183</v>
      </c>
      <c r="E1311" s="70" t="s">
        <v>6352</v>
      </c>
    </row>
    <row r="1312" spans="1:5">
      <c r="A1312" s="69">
        <v>1184</v>
      </c>
      <c r="E1312" s="70" t="s">
        <v>6353</v>
      </c>
    </row>
    <row r="1313" spans="1:5">
      <c r="A1313" s="69">
        <v>1185</v>
      </c>
      <c r="E1313" s="70" t="s">
        <v>6354</v>
      </c>
    </row>
    <row r="1314" spans="1:5">
      <c r="A1314" s="69">
        <v>1186</v>
      </c>
      <c r="E1314" s="70" t="s">
        <v>6355</v>
      </c>
    </row>
    <row r="1315" spans="1:5">
      <c r="A1315" s="69">
        <v>1187</v>
      </c>
      <c r="E1315" s="70" t="s">
        <v>6356</v>
      </c>
    </row>
    <row r="1316" spans="1:5">
      <c r="A1316" s="69">
        <v>1188</v>
      </c>
      <c r="E1316" s="70" t="s">
        <v>5590</v>
      </c>
    </row>
    <row r="1317" spans="1:5">
      <c r="A1317" s="69">
        <v>1189</v>
      </c>
      <c r="E1317" s="70" t="s">
        <v>5591</v>
      </c>
    </row>
    <row r="1318" spans="1:5">
      <c r="A1318" s="69">
        <v>1190</v>
      </c>
      <c r="E1318" s="70" t="s">
        <v>6357</v>
      </c>
    </row>
    <row r="1319" spans="1:5">
      <c r="A1319" s="69">
        <v>1191</v>
      </c>
      <c r="E1319" s="70" t="s">
        <v>6358</v>
      </c>
    </row>
    <row r="1320" spans="1:5">
      <c r="A1320" s="69">
        <v>1192</v>
      </c>
      <c r="E1320" s="70" t="s">
        <v>5591</v>
      </c>
    </row>
    <row r="1321" spans="1:5">
      <c r="A1321" s="69">
        <v>1193</v>
      </c>
      <c r="E1321" s="70" t="s">
        <v>6359</v>
      </c>
    </row>
    <row r="1322" spans="1:5">
      <c r="A1322" s="69">
        <v>1194</v>
      </c>
      <c r="E1322" s="71"/>
    </row>
    <row r="1323" spans="1:5">
      <c r="A1323" s="69">
        <v>1195</v>
      </c>
      <c r="E1323" s="70" t="s">
        <v>6360</v>
      </c>
    </row>
    <row r="1324" spans="1:5">
      <c r="A1324" s="69">
        <v>1196</v>
      </c>
      <c r="E1324" s="70" t="s">
        <v>5787</v>
      </c>
    </row>
    <row r="1325" spans="1:5">
      <c r="A1325" s="69">
        <v>1197</v>
      </c>
      <c r="E1325" s="70" t="s">
        <v>6361</v>
      </c>
    </row>
    <row r="1326" spans="1:5">
      <c r="A1326" s="69">
        <v>1198</v>
      </c>
      <c r="E1326" s="70" t="s">
        <v>6362</v>
      </c>
    </row>
    <row r="1327" spans="1:5">
      <c r="A1327" s="69">
        <v>1199</v>
      </c>
      <c r="E1327" s="70" t="s">
        <v>5772</v>
      </c>
    </row>
    <row r="1328" spans="1:5">
      <c r="A1328" s="69">
        <v>1200</v>
      </c>
      <c r="E1328" s="70" t="s">
        <v>6363</v>
      </c>
    </row>
    <row r="1329" spans="1:5">
      <c r="A1329" s="69">
        <v>1201</v>
      </c>
      <c r="E1329" s="70" t="s">
        <v>6364</v>
      </c>
    </row>
    <row r="1330" spans="1:5">
      <c r="A1330" s="69">
        <v>1202</v>
      </c>
      <c r="E1330" s="70" t="s">
        <v>6365</v>
      </c>
    </row>
    <row r="1331" spans="1:5">
      <c r="A1331" s="69">
        <v>1203</v>
      </c>
      <c r="E1331" s="70" t="s">
        <v>6366</v>
      </c>
    </row>
    <row r="1332" spans="1:5">
      <c r="A1332" s="69">
        <v>1204</v>
      </c>
      <c r="E1332" s="70" t="s">
        <v>6367</v>
      </c>
    </row>
    <row r="1333" spans="1:5">
      <c r="A1333" s="69">
        <v>1205</v>
      </c>
      <c r="E1333" s="70" t="s">
        <v>5784</v>
      </c>
    </row>
    <row r="1334" spans="1:5">
      <c r="A1334" s="69">
        <v>1206</v>
      </c>
      <c r="E1334" s="70" t="s">
        <v>5785</v>
      </c>
    </row>
    <row r="1335" spans="1:5">
      <c r="A1335" s="69">
        <v>1207</v>
      </c>
      <c r="E1335" s="70" t="s">
        <v>5590</v>
      </c>
    </row>
    <row r="1336" spans="1:5">
      <c r="A1336" s="69">
        <v>1208</v>
      </c>
      <c r="E1336" s="70" t="s">
        <v>5564</v>
      </c>
    </row>
    <row r="1337" spans="1:5">
      <c r="A1337" s="69">
        <v>1209</v>
      </c>
      <c r="E1337" s="70" t="s">
        <v>6368</v>
      </c>
    </row>
    <row r="1338" spans="1:5">
      <c r="A1338" s="69">
        <v>1210</v>
      </c>
      <c r="E1338" s="70" t="s">
        <v>6369</v>
      </c>
    </row>
    <row r="1339" spans="1:5">
      <c r="A1339" s="69">
        <v>1211</v>
      </c>
      <c r="E1339" s="70" t="s">
        <v>6370</v>
      </c>
    </row>
    <row r="1340" spans="1:5">
      <c r="A1340" s="69">
        <v>1212</v>
      </c>
      <c r="E1340" s="70" t="s">
        <v>6371</v>
      </c>
    </row>
    <row r="1341" spans="1:5">
      <c r="A1341" s="69">
        <v>1213</v>
      </c>
      <c r="E1341" s="70" t="s">
        <v>5590</v>
      </c>
    </row>
    <row r="1342" spans="1:5">
      <c r="A1342" s="69">
        <v>1214</v>
      </c>
      <c r="E1342" s="70" t="s">
        <v>5591</v>
      </c>
    </row>
    <row r="1343" spans="1:5">
      <c r="A1343" s="69">
        <v>1215</v>
      </c>
      <c r="E1343" s="71"/>
    </row>
    <row r="1344" spans="1:5">
      <c r="A1344" s="69">
        <v>1216</v>
      </c>
      <c r="E1344" s="70" t="s">
        <v>6372</v>
      </c>
    </row>
    <row r="1345" spans="1:5">
      <c r="A1345" s="69">
        <v>1217</v>
      </c>
      <c r="E1345" s="70" t="s">
        <v>6373</v>
      </c>
    </row>
    <row r="1346" spans="1:5">
      <c r="A1346" s="69">
        <v>1218</v>
      </c>
      <c r="E1346" s="70" t="s">
        <v>6374</v>
      </c>
    </row>
    <row r="1347" spans="1:5">
      <c r="A1347" s="69">
        <v>1219</v>
      </c>
      <c r="E1347" s="70" t="s">
        <v>6375</v>
      </c>
    </row>
    <row r="1348" spans="1:5">
      <c r="A1348" s="69">
        <v>1220</v>
      </c>
      <c r="E1348" s="70" t="s">
        <v>6376</v>
      </c>
    </row>
    <row r="1349" spans="1:5">
      <c r="A1349" s="69">
        <v>1221</v>
      </c>
      <c r="E1349" s="70" t="s">
        <v>6377</v>
      </c>
    </row>
    <row r="1350" spans="1:5">
      <c r="A1350" s="69">
        <v>1222</v>
      </c>
      <c r="E1350" s="70" t="s">
        <v>6378</v>
      </c>
    </row>
    <row r="1351" spans="1:5">
      <c r="A1351" s="69">
        <v>1223</v>
      </c>
      <c r="E1351" s="70" t="s">
        <v>6379</v>
      </c>
    </row>
    <row r="1352" spans="1:5">
      <c r="A1352" s="69">
        <v>1224</v>
      </c>
      <c r="E1352" s="70" t="s">
        <v>5785</v>
      </c>
    </row>
    <row r="1353" spans="1:5">
      <c r="A1353" s="69">
        <v>1225</v>
      </c>
      <c r="E1353" s="70" t="s">
        <v>5590</v>
      </c>
    </row>
    <row r="1354" spans="1:5">
      <c r="A1354" s="69">
        <v>1226</v>
      </c>
      <c r="E1354" s="70" t="s">
        <v>5591</v>
      </c>
    </row>
    <row r="1355" spans="1:5">
      <c r="A1355" s="69">
        <v>1227</v>
      </c>
      <c r="E1355" s="71"/>
    </row>
    <row r="1356" spans="1:5">
      <c r="A1356" s="69">
        <v>1228</v>
      </c>
      <c r="E1356" s="70" t="s">
        <v>6380</v>
      </c>
    </row>
    <row r="1357" spans="1:5">
      <c r="A1357" s="69">
        <v>1229</v>
      </c>
      <c r="E1357" s="70" t="s">
        <v>5809</v>
      </c>
    </row>
    <row r="1358" spans="1:5">
      <c r="A1358" s="69">
        <v>1230</v>
      </c>
      <c r="E1358" s="70" t="s">
        <v>6381</v>
      </c>
    </row>
    <row r="1359" spans="1:5">
      <c r="A1359" s="69">
        <v>1231</v>
      </c>
      <c r="E1359" s="70" t="s">
        <v>6382</v>
      </c>
    </row>
    <row r="1360" spans="1:5">
      <c r="A1360" s="69">
        <v>1232</v>
      </c>
      <c r="E1360" s="70" t="s">
        <v>6383</v>
      </c>
    </row>
    <row r="1361" spans="1:5">
      <c r="A1361" s="69">
        <v>1233</v>
      </c>
      <c r="E1361" s="70" t="s">
        <v>6384</v>
      </c>
    </row>
    <row r="1362" spans="1:5">
      <c r="A1362" s="69">
        <v>1234</v>
      </c>
      <c r="E1362" s="70" t="s">
        <v>6385</v>
      </c>
    </row>
    <row r="1363" spans="1:5">
      <c r="A1363" s="69">
        <v>1235</v>
      </c>
      <c r="E1363" s="70" t="s">
        <v>6386</v>
      </c>
    </row>
    <row r="1364" spans="1:5">
      <c r="A1364" s="69">
        <v>1236</v>
      </c>
      <c r="E1364" s="70" t="s">
        <v>6387</v>
      </c>
    </row>
    <row r="1365" spans="1:5">
      <c r="A1365" s="69">
        <v>1237</v>
      </c>
      <c r="E1365" s="70" t="s">
        <v>6388</v>
      </c>
    </row>
    <row r="1366" spans="1:5">
      <c r="A1366" s="69">
        <v>1238</v>
      </c>
      <c r="E1366" s="70" t="s">
        <v>6389</v>
      </c>
    </row>
    <row r="1367" spans="1:5">
      <c r="A1367" s="69">
        <v>1239</v>
      </c>
      <c r="E1367" s="70" t="s">
        <v>5640</v>
      </c>
    </row>
    <row r="1368" spans="1:5">
      <c r="A1368" s="69">
        <v>1240</v>
      </c>
      <c r="E1368" s="70" t="s">
        <v>6390</v>
      </c>
    </row>
    <row r="1369" spans="1:5">
      <c r="A1369" s="69">
        <v>1241</v>
      </c>
      <c r="E1369" s="70" t="s">
        <v>5564</v>
      </c>
    </row>
    <row r="1370" spans="1:5">
      <c r="A1370" s="69">
        <v>1242</v>
      </c>
      <c r="E1370" s="70" t="s">
        <v>6391</v>
      </c>
    </row>
    <row r="1371" spans="1:5">
      <c r="A1371" s="69">
        <v>1243</v>
      </c>
      <c r="E1371" s="70" t="s">
        <v>6392</v>
      </c>
    </row>
    <row r="1372" spans="1:5">
      <c r="A1372" s="69">
        <v>1244</v>
      </c>
      <c r="E1372" s="70" t="s">
        <v>6393</v>
      </c>
    </row>
    <row r="1373" spans="1:5">
      <c r="A1373" s="69">
        <v>1245</v>
      </c>
      <c r="E1373" s="70" t="s">
        <v>6394</v>
      </c>
    </row>
    <row r="1374" spans="1:5">
      <c r="A1374" s="69">
        <v>1246</v>
      </c>
      <c r="E1374" s="70" t="s">
        <v>6395</v>
      </c>
    </row>
    <row r="1375" spans="1:5">
      <c r="A1375" s="69">
        <v>1247</v>
      </c>
      <c r="E1375" s="70" t="s">
        <v>5591</v>
      </c>
    </row>
    <row r="1376" spans="1:5">
      <c r="A1376" s="69">
        <v>1248</v>
      </c>
      <c r="E1376" s="70" t="s">
        <v>6392</v>
      </c>
    </row>
    <row r="1377" spans="1:5">
      <c r="A1377" s="69">
        <v>1249</v>
      </c>
      <c r="E1377" s="70" t="s">
        <v>6393</v>
      </c>
    </row>
    <row r="1378" spans="1:5">
      <c r="A1378" s="69">
        <v>1250</v>
      </c>
      <c r="E1378" s="70" t="s">
        <v>6396</v>
      </c>
    </row>
    <row r="1379" spans="1:5">
      <c r="A1379" s="69">
        <v>1251</v>
      </c>
      <c r="E1379" s="70" t="s">
        <v>6397</v>
      </c>
    </row>
    <row r="1380" spans="1:5">
      <c r="A1380" s="69">
        <v>1252</v>
      </c>
      <c r="E1380" s="70" t="s">
        <v>5591</v>
      </c>
    </row>
    <row r="1381" spans="1:5">
      <c r="A1381" s="69">
        <v>1253</v>
      </c>
      <c r="E1381" s="70" t="s">
        <v>6398</v>
      </c>
    </row>
    <row r="1382" spans="1:5">
      <c r="A1382" s="69">
        <v>1254</v>
      </c>
      <c r="E1382" s="70" t="s">
        <v>6399</v>
      </c>
    </row>
    <row r="1383" spans="1:5">
      <c r="A1383" s="69">
        <v>1255</v>
      </c>
      <c r="E1383" s="70" t="s">
        <v>6400</v>
      </c>
    </row>
    <row r="1384" spans="1:5">
      <c r="A1384" s="69">
        <v>1256</v>
      </c>
      <c r="E1384" s="70" t="s">
        <v>6401</v>
      </c>
    </row>
    <row r="1385" spans="1:5">
      <c r="A1385" s="69">
        <v>1257</v>
      </c>
      <c r="E1385" s="70" t="s">
        <v>5549</v>
      </c>
    </row>
    <row r="1386" spans="1:5">
      <c r="A1386" s="69">
        <v>1258</v>
      </c>
      <c r="E1386" s="71"/>
    </row>
    <row r="1387" spans="1:5">
      <c r="A1387" s="69">
        <v>1259</v>
      </c>
      <c r="E1387" s="70" t="s">
        <v>6402</v>
      </c>
    </row>
    <row r="1388" spans="1:5">
      <c r="A1388" s="69">
        <v>1260</v>
      </c>
      <c r="E1388" s="70" t="s">
        <v>6403</v>
      </c>
    </row>
    <row r="1389" spans="1:5">
      <c r="A1389" s="69">
        <v>1261</v>
      </c>
      <c r="E1389" s="70" t="s">
        <v>6404</v>
      </c>
    </row>
    <row r="1390" spans="1:5">
      <c r="A1390" s="69">
        <v>1262</v>
      </c>
      <c r="E1390" s="70" t="s">
        <v>5601</v>
      </c>
    </row>
    <row r="1391" spans="1:5">
      <c r="A1391" s="69">
        <v>1263</v>
      </c>
      <c r="E1391" s="71"/>
    </row>
    <row r="1392" spans="1:5">
      <c r="A1392" s="69">
        <v>1264</v>
      </c>
      <c r="E1392" s="70" t="s">
        <v>6405</v>
      </c>
    </row>
    <row r="1393" spans="1:5">
      <c r="A1393" s="69">
        <v>1265</v>
      </c>
      <c r="E1393" s="70" t="s">
        <v>6406</v>
      </c>
    </row>
    <row r="1394" spans="1:5">
      <c r="A1394" s="69">
        <v>1266</v>
      </c>
      <c r="E1394" s="70" t="s">
        <v>5574</v>
      </c>
    </row>
    <row r="1395" spans="1:5">
      <c r="A1395" s="69">
        <v>1267</v>
      </c>
      <c r="E1395" s="70" t="s">
        <v>6407</v>
      </c>
    </row>
    <row r="1396" spans="1:5">
      <c r="A1396" s="69">
        <v>1268</v>
      </c>
      <c r="E1396" s="70" t="s">
        <v>5575</v>
      </c>
    </row>
    <row r="1397" spans="1:5">
      <c r="A1397" s="69">
        <v>1269</v>
      </c>
      <c r="E1397" s="70" t="s">
        <v>6408</v>
      </c>
    </row>
    <row r="1398" spans="1:5">
      <c r="A1398" s="69">
        <v>1270</v>
      </c>
      <c r="E1398" s="70" t="s">
        <v>5593</v>
      </c>
    </row>
    <row r="1399" spans="1:5">
      <c r="A1399" s="69">
        <v>1271</v>
      </c>
      <c r="E1399" s="70" t="s">
        <v>5577</v>
      </c>
    </row>
    <row r="1400" spans="1:5">
      <c r="A1400" s="69">
        <v>1272</v>
      </c>
      <c r="E1400" s="70" t="s">
        <v>6409</v>
      </c>
    </row>
    <row r="1401" spans="1:5">
      <c r="A1401" s="69">
        <v>1273</v>
      </c>
      <c r="E1401" s="70" t="s">
        <v>6410</v>
      </c>
    </row>
    <row r="1402" spans="1:5">
      <c r="A1402" s="69">
        <v>1274</v>
      </c>
      <c r="E1402" s="70" t="s">
        <v>6411</v>
      </c>
    </row>
    <row r="1403" spans="1:5">
      <c r="A1403" s="69">
        <v>1275</v>
      </c>
      <c r="E1403" s="70" t="s">
        <v>6412</v>
      </c>
    </row>
    <row r="1404" spans="1:5">
      <c r="A1404" s="69">
        <v>1276</v>
      </c>
      <c r="E1404" s="70" t="s">
        <v>5591</v>
      </c>
    </row>
    <row r="1405" spans="1:5">
      <c r="A1405" s="69">
        <v>1277</v>
      </c>
      <c r="E1405" s="70" t="s">
        <v>6413</v>
      </c>
    </row>
    <row r="1406" spans="1:5">
      <c r="A1406" s="69">
        <v>1278</v>
      </c>
      <c r="E1406" s="70" t="s">
        <v>6414</v>
      </c>
    </row>
    <row r="1407" spans="1:5">
      <c r="A1407" s="69">
        <v>1279</v>
      </c>
      <c r="E1407" s="70" t="s">
        <v>6415</v>
      </c>
    </row>
    <row r="1408" spans="1:5">
      <c r="A1408" s="69">
        <v>1280</v>
      </c>
      <c r="E1408" s="70" t="s">
        <v>6416</v>
      </c>
    </row>
    <row r="1409" spans="1:5">
      <c r="A1409" s="69">
        <v>1281</v>
      </c>
      <c r="E1409" s="70" t="s">
        <v>6417</v>
      </c>
    </row>
    <row r="1410" spans="1:5">
      <c r="A1410" s="69">
        <v>1282</v>
      </c>
      <c r="E1410" s="70" t="s">
        <v>5591</v>
      </c>
    </row>
    <row r="1411" spans="1:5">
      <c r="A1411" s="69">
        <v>1283</v>
      </c>
      <c r="E1411" s="70" t="s">
        <v>6418</v>
      </c>
    </row>
    <row r="1412" spans="1:5">
      <c r="A1412" s="69">
        <v>1284</v>
      </c>
      <c r="E1412" s="70" t="s">
        <v>5594</v>
      </c>
    </row>
    <row r="1413" spans="1:5">
      <c r="A1413" s="69">
        <v>1285</v>
      </c>
      <c r="E1413" s="70" t="s">
        <v>5549</v>
      </c>
    </row>
    <row r="1414" spans="1:5">
      <c r="A1414" s="69">
        <v>1286</v>
      </c>
      <c r="E1414" s="71"/>
    </row>
    <row r="1415" spans="1:5">
      <c r="A1415" s="69">
        <v>1287</v>
      </c>
      <c r="E1415" s="70" t="s">
        <v>5480</v>
      </c>
    </row>
    <row r="1416" spans="1:5">
      <c r="A1416" s="69">
        <v>1288</v>
      </c>
      <c r="E1416" s="70" t="s">
        <v>6419</v>
      </c>
    </row>
    <row r="1417" spans="1:5">
      <c r="A1417" s="69">
        <v>1289</v>
      </c>
      <c r="E1417" s="70" t="s">
        <v>5480</v>
      </c>
    </row>
    <row r="1418" spans="1:5">
      <c r="A1418" s="69">
        <v>1290</v>
      </c>
      <c r="E1418" s="70" t="s">
        <v>6420</v>
      </c>
    </row>
    <row r="1419" spans="1:5">
      <c r="A1419" s="69">
        <v>1291</v>
      </c>
      <c r="E1419" s="70" t="s">
        <v>6421</v>
      </c>
    </row>
    <row r="1420" spans="1:5">
      <c r="A1420" s="69">
        <v>1292</v>
      </c>
      <c r="E1420" s="70" t="s">
        <v>6422</v>
      </c>
    </row>
    <row r="1421" spans="1:5">
      <c r="A1421" s="69">
        <v>1293</v>
      </c>
      <c r="E1421" s="70" t="s">
        <v>5574</v>
      </c>
    </row>
    <row r="1422" spans="1:5">
      <c r="A1422" s="69">
        <v>1294</v>
      </c>
      <c r="E1422" s="70" t="s">
        <v>6423</v>
      </c>
    </row>
    <row r="1423" spans="1:5">
      <c r="A1423" s="69">
        <v>1295</v>
      </c>
      <c r="E1423" s="70" t="s">
        <v>5594</v>
      </c>
    </row>
    <row r="1424" spans="1:5">
      <c r="A1424" s="69">
        <v>1296</v>
      </c>
      <c r="E1424" s="70" t="s">
        <v>5549</v>
      </c>
    </row>
    <row r="1425" spans="1:5">
      <c r="A1425" s="69">
        <v>1297</v>
      </c>
      <c r="E1425" s="71"/>
    </row>
    <row r="1426" spans="1:5">
      <c r="A1426" s="69">
        <v>1298</v>
      </c>
      <c r="E1426" s="70" t="s">
        <v>6424</v>
      </c>
    </row>
    <row r="1427" spans="1:5">
      <c r="A1427" s="69">
        <v>1299</v>
      </c>
      <c r="E1427" s="70" t="s">
        <v>6232</v>
      </c>
    </row>
    <row r="1428" spans="1:5">
      <c r="A1428" s="69">
        <v>1300</v>
      </c>
      <c r="E1428" s="70" t="s">
        <v>6425</v>
      </c>
    </row>
    <row r="1429" spans="1:5">
      <c r="A1429" s="69">
        <v>1301</v>
      </c>
      <c r="E1429" s="70" t="s">
        <v>6426</v>
      </c>
    </row>
    <row r="1430" spans="1:5">
      <c r="A1430" s="69">
        <v>1302</v>
      </c>
      <c r="E1430" s="70" t="s">
        <v>6427</v>
      </c>
    </row>
    <row r="1431" spans="1:5">
      <c r="A1431" s="69">
        <v>1303</v>
      </c>
      <c r="E1431" s="70" t="s">
        <v>6428</v>
      </c>
    </row>
    <row r="1432" spans="1:5">
      <c r="A1432" s="69">
        <v>1304</v>
      </c>
      <c r="E1432" s="70" t="s">
        <v>6429</v>
      </c>
    </row>
    <row r="1433" spans="1:5">
      <c r="A1433" s="69">
        <v>1305</v>
      </c>
      <c r="E1433" s="70" t="s">
        <v>6430</v>
      </c>
    </row>
    <row r="1434" spans="1:5">
      <c r="A1434" s="69">
        <v>1306</v>
      </c>
      <c r="E1434" s="70" t="s">
        <v>5574</v>
      </c>
    </row>
    <row r="1435" spans="1:5">
      <c r="A1435" s="69">
        <v>1307</v>
      </c>
      <c r="E1435" s="70" t="s">
        <v>6431</v>
      </c>
    </row>
    <row r="1436" spans="1:5">
      <c r="A1436" s="69">
        <v>1308</v>
      </c>
      <c r="E1436" s="70" t="s">
        <v>5594</v>
      </c>
    </row>
    <row r="1437" spans="1:5">
      <c r="A1437" s="69">
        <v>1309</v>
      </c>
      <c r="E1437" s="70" t="s">
        <v>6432</v>
      </c>
    </row>
    <row r="1438" spans="1:5">
      <c r="A1438" s="69">
        <v>1310</v>
      </c>
      <c r="E1438" s="70" t="s">
        <v>5549</v>
      </c>
    </row>
    <row r="1439" spans="1:5">
      <c r="A1439" s="69">
        <v>1311</v>
      </c>
      <c r="E1439" s="71"/>
    </row>
    <row r="1440" spans="1:5">
      <c r="A1440" s="69">
        <v>1312</v>
      </c>
      <c r="E1440" s="70" t="s">
        <v>6433</v>
      </c>
    </row>
    <row r="1441" spans="1:5">
      <c r="A1441" s="69">
        <v>1313</v>
      </c>
      <c r="E1441" s="70" t="s">
        <v>6434</v>
      </c>
    </row>
    <row r="1442" spans="1:5">
      <c r="A1442" s="69">
        <v>1314</v>
      </c>
      <c r="E1442" s="70" t="s">
        <v>6435</v>
      </c>
    </row>
    <row r="1443" spans="1:5">
      <c r="A1443" s="69">
        <v>1315</v>
      </c>
      <c r="E1443" s="70" t="s">
        <v>6436</v>
      </c>
    </row>
    <row r="1444" spans="1:5">
      <c r="A1444" s="69">
        <v>1316</v>
      </c>
      <c r="E1444" s="70" t="s">
        <v>6437</v>
      </c>
    </row>
    <row r="1445" spans="1:5">
      <c r="A1445" s="69">
        <v>1317</v>
      </c>
      <c r="E1445" s="70" t="s">
        <v>6438</v>
      </c>
    </row>
    <row r="1446" spans="1:5">
      <c r="A1446" s="69">
        <v>1318</v>
      </c>
      <c r="E1446" s="70" t="s">
        <v>5577</v>
      </c>
    </row>
    <row r="1447" spans="1:5">
      <c r="A1447" s="69">
        <v>1319</v>
      </c>
      <c r="E1447" s="70" t="s">
        <v>6439</v>
      </c>
    </row>
    <row r="1448" spans="1:5">
      <c r="A1448" s="69">
        <v>1320</v>
      </c>
      <c r="E1448" s="70" t="s">
        <v>6440</v>
      </c>
    </row>
    <row r="1449" spans="1:5">
      <c r="A1449" s="69">
        <v>1321</v>
      </c>
      <c r="E1449" s="70" t="s">
        <v>6441</v>
      </c>
    </row>
    <row r="1450" spans="1:5">
      <c r="A1450" s="69">
        <v>1322</v>
      </c>
      <c r="E1450" s="70" t="s">
        <v>6442</v>
      </c>
    </row>
    <row r="1451" spans="1:5">
      <c r="A1451" s="69">
        <v>1323</v>
      </c>
      <c r="E1451" s="70" t="s">
        <v>6443</v>
      </c>
    </row>
    <row r="1452" spans="1:5">
      <c r="A1452" s="69">
        <v>1324</v>
      </c>
      <c r="E1452" s="70" t="s">
        <v>6444</v>
      </c>
    </row>
    <row r="1453" spans="1:5">
      <c r="A1453" s="69">
        <v>1325</v>
      </c>
      <c r="E1453" s="70" t="s">
        <v>6445</v>
      </c>
    </row>
    <row r="1454" spans="1:5">
      <c r="A1454" s="69">
        <v>1326</v>
      </c>
      <c r="E1454" s="70" t="s">
        <v>6446</v>
      </c>
    </row>
    <row r="1455" spans="1:5">
      <c r="A1455" s="69">
        <v>1327</v>
      </c>
      <c r="E1455" s="70" t="s">
        <v>6447</v>
      </c>
    </row>
    <row r="1456" spans="1:5">
      <c r="A1456" s="69">
        <v>1328</v>
      </c>
      <c r="E1456" s="70" t="s">
        <v>5564</v>
      </c>
    </row>
    <row r="1457" spans="1:5">
      <c r="A1457" s="69">
        <v>1329</v>
      </c>
      <c r="E1457" s="71"/>
    </row>
    <row r="1458" spans="1:5">
      <c r="A1458" s="69">
        <v>1330</v>
      </c>
      <c r="E1458" s="70" t="s">
        <v>6448</v>
      </c>
    </row>
    <row r="1459" spans="1:5">
      <c r="A1459" s="69">
        <v>1331</v>
      </c>
      <c r="E1459" s="70" t="s">
        <v>6449</v>
      </c>
    </row>
    <row r="1460" spans="1:5">
      <c r="A1460" s="69">
        <v>1332</v>
      </c>
      <c r="E1460" s="70" t="s">
        <v>6450</v>
      </c>
    </row>
    <row r="1461" spans="1:5">
      <c r="A1461" s="69">
        <v>1333</v>
      </c>
      <c r="E1461" s="70" t="s">
        <v>6451</v>
      </c>
    </row>
    <row r="1462" spans="1:5">
      <c r="A1462" s="69">
        <v>1334</v>
      </c>
      <c r="E1462" s="70" t="s">
        <v>6452</v>
      </c>
    </row>
    <row r="1463" spans="1:5">
      <c r="A1463" s="69">
        <v>1335</v>
      </c>
      <c r="E1463" s="70" t="s">
        <v>6453</v>
      </c>
    </row>
    <row r="1464" spans="1:5">
      <c r="A1464" s="69">
        <v>1336</v>
      </c>
      <c r="E1464" s="70" t="s">
        <v>6454</v>
      </c>
    </row>
    <row r="1465" spans="1:5">
      <c r="A1465" s="69">
        <v>1337</v>
      </c>
      <c r="E1465" s="70" t="s">
        <v>6455</v>
      </c>
    </row>
    <row r="1466" spans="1:5">
      <c r="A1466" s="69">
        <v>1338</v>
      </c>
      <c r="E1466" s="70" t="s">
        <v>6456</v>
      </c>
    </row>
    <row r="1467" spans="1:5">
      <c r="A1467" s="69">
        <v>1339</v>
      </c>
      <c r="E1467" s="70" t="s">
        <v>6457</v>
      </c>
    </row>
    <row r="1468" spans="1:5">
      <c r="A1468" s="69">
        <v>1340</v>
      </c>
      <c r="E1468" s="70" t="s">
        <v>6458</v>
      </c>
    </row>
    <row r="1469" spans="1:5">
      <c r="A1469" s="69">
        <v>1341</v>
      </c>
      <c r="E1469" s="71"/>
    </row>
    <row r="1470" spans="1:5">
      <c r="A1470" s="69">
        <v>1342</v>
      </c>
      <c r="E1470" s="70" t="s">
        <v>6459</v>
      </c>
    </row>
    <row r="1471" spans="1:5">
      <c r="A1471" s="69">
        <v>1343</v>
      </c>
      <c r="E1471" s="70" t="s">
        <v>6460</v>
      </c>
    </row>
    <row r="1472" spans="1:5">
      <c r="A1472" s="69">
        <v>1344</v>
      </c>
      <c r="E1472" s="70" t="s">
        <v>6461</v>
      </c>
    </row>
    <row r="1473" spans="1:5">
      <c r="A1473" s="69">
        <v>1345</v>
      </c>
      <c r="E1473" s="70" t="s">
        <v>6462</v>
      </c>
    </row>
    <row r="1474" spans="1:5">
      <c r="A1474" s="69">
        <v>1346</v>
      </c>
      <c r="E1474" s="70" t="s">
        <v>6463</v>
      </c>
    </row>
    <row r="1475" spans="1:5">
      <c r="A1475" s="69">
        <v>1347</v>
      </c>
      <c r="E1475" s="70" t="s">
        <v>6464</v>
      </c>
    </row>
    <row r="1476" spans="1:5">
      <c r="A1476" s="69">
        <v>1348</v>
      </c>
      <c r="E1476" s="70" t="s">
        <v>6461</v>
      </c>
    </row>
    <row r="1477" spans="1:5">
      <c r="A1477" s="69">
        <v>1349</v>
      </c>
      <c r="E1477" s="70" t="s">
        <v>6465</v>
      </c>
    </row>
    <row r="1478" spans="1:5">
      <c r="A1478" s="69">
        <v>1350</v>
      </c>
      <c r="E1478" s="70" t="s">
        <v>6466</v>
      </c>
    </row>
    <row r="1479" spans="1:5">
      <c r="A1479" s="69">
        <v>1351</v>
      </c>
      <c r="E1479" s="70" t="s">
        <v>6467</v>
      </c>
    </row>
    <row r="1480" spans="1:5">
      <c r="A1480" s="69">
        <v>1352</v>
      </c>
      <c r="E1480" s="70" t="s">
        <v>5601</v>
      </c>
    </row>
    <row r="1481" spans="1:5">
      <c r="A1481" s="69">
        <v>1353</v>
      </c>
      <c r="E1481" s="71"/>
    </row>
    <row r="1482" spans="1:5">
      <c r="A1482" s="69">
        <v>1354</v>
      </c>
      <c r="E1482" s="70" t="s">
        <v>6468</v>
      </c>
    </row>
    <row r="1483" spans="1:5">
      <c r="A1483" s="69">
        <v>1355</v>
      </c>
      <c r="E1483" s="70" t="s">
        <v>6469</v>
      </c>
    </row>
    <row r="1484" spans="1:5">
      <c r="A1484" s="69">
        <v>1356</v>
      </c>
      <c r="E1484" s="70" t="s">
        <v>6439</v>
      </c>
    </row>
    <row r="1485" spans="1:5">
      <c r="A1485" s="69">
        <v>1357</v>
      </c>
      <c r="E1485" s="70" t="s">
        <v>6470</v>
      </c>
    </row>
    <row r="1486" spans="1:5">
      <c r="A1486" s="69">
        <v>1358</v>
      </c>
      <c r="E1486" s="70" t="s">
        <v>6471</v>
      </c>
    </row>
    <row r="1487" spans="1:5">
      <c r="A1487" s="69">
        <v>1359</v>
      </c>
      <c r="E1487" s="70" t="s">
        <v>6472</v>
      </c>
    </row>
    <row r="1488" spans="1:5">
      <c r="A1488" s="69">
        <v>1360</v>
      </c>
      <c r="E1488" s="70" t="s">
        <v>6473</v>
      </c>
    </row>
    <row r="1489" spans="1:5">
      <c r="A1489" s="69">
        <v>1361</v>
      </c>
      <c r="E1489" s="70" t="s">
        <v>6474</v>
      </c>
    </row>
    <row r="1490" spans="1:5">
      <c r="A1490" s="69">
        <v>1362</v>
      </c>
      <c r="E1490" s="70" t="s">
        <v>6401</v>
      </c>
    </row>
    <row r="1491" spans="1:5">
      <c r="A1491" s="69">
        <v>1363</v>
      </c>
      <c r="E1491" s="70" t="s">
        <v>5549</v>
      </c>
    </row>
    <row r="1492" spans="1:5">
      <c r="A1492" s="69">
        <v>1364</v>
      </c>
      <c r="E1492" s="71"/>
    </row>
    <row r="1493" spans="1:5">
      <c r="A1493" s="69">
        <v>1365</v>
      </c>
      <c r="E1493" s="70" t="s">
        <v>6475</v>
      </c>
    </row>
    <row r="1494" spans="1:5">
      <c r="A1494" s="69">
        <v>1366</v>
      </c>
      <c r="E1494" s="70" t="s">
        <v>6232</v>
      </c>
    </row>
    <row r="1495" spans="1:5">
      <c r="A1495" s="69">
        <v>1367</v>
      </c>
      <c r="E1495" s="70" t="s">
        <v>6476</v>
      </c>
    </row>
    <row r="1496" spans="1:5">
      <c r="A1496" s="69">
        <v>1368</v>
      </c>
      <c r="E1496" s="70" t="s">
        <v>6477</v>
      </c>
    </row>
    <row r="1497" spans="1:5">
      <c r="A1497" s="69">
        <v>1369</v>
      </c>
      <c r="E1497" s="70" t="s">
        <v>6478</v>
      </c>
    </row>
    <row r="1498" spans="1:5">
      <c r="A1498" s="69">
        <v>1370</v>
      </c>
      <c r="E1498" s="70" t="s">
        <v>5857</v>
      </c>
    </row>
    <row r="1499" spans="1:5">
      <c r="A1499" s="69">
        <v>1371</v>
      </c>
      <c r="E1499" s="70" t="s">
        <v>6479</v>
      </c>
    </row>
    <row r="1500" spans="1:5">
      <c r="A1500" s="69">
        <v>1372</v>
      </c>
      <c r="E1500" s="70" t="s">
        <v>5564</v>
      </c>
    </row>
    <row r="1501" spans="1:5">
      <c r="A1501" s="69">
        <v>1373</v>
      </c>
      <c r="E1501" s="70" t="s">
        <v>6380</v>
      </c>
    </row>
    <row r="1502" spans="1:5">
      <c r="A1502" s="69">
        <v>1374</v>
      </c>
      <c r="E1502" s="70" t="s">
        <v>5809</v>
      </c>
    </row>
    <row r="1503" spans="1:5">
      <c r="A1503" s="69">
        <v>1375</v>
      </c>
      <c r="E1503" s="70" t="s">
        <v>6480</v>
      </c>
    </row>
    <row r="1504" spans="1:5">
      <c r="A1504" s="69">
        <v>1376</v>
      </c>
      <c r="E1504" s="70" t="s">
        <v>6481</v>
      </c>
    </row>
    <row r="1505" spans="1:5">
      <c r="A1505" s="69">
        <v>1377</v>
      </c>
      <c r="E1505" s="70" t="s">
        <v>6482</v>
      </c>
    </row>
    <row r="1506" spans="1:5">
      <c r="A1506" s="69">
        <v>1378</v>
      </c>
      <c r="E1506" s="70" t="s">
        <v>6466</v>
      </c>
    </row>
    <row r="1507" spans="1:5">
      <c r="A1507" s="69">
        <v>1379</v>
      </c>
      <c r="E1507" s="70" t="s">
        <v>5549</v>
      </c>
    </row>
    <row r="1508" spans="1:5">
      <c r="A1508" s="69">
        <v>1380</v>
      </c>
      <c r="E1508" s="71"/>
    </row>
    <row r="1509" spans="1:5">
      <c r="A1509" s="69">
        <v>1381</v>
      </c>
      <c r="E1509" s="70" t="s">
        <v>6483</v>
      </c>
    </row>
    <row r="1510" spans="1:5">
      <c r="A1510" s="69">
        <v>1382</v>
      </c>
      <c r="E1510" s="70" t="s">
        <v>6484</v>
      </c>
    </row>
    <row r="1511" spans="1:5">
      <c r="A1511" s="69">
        <v>1383</v>
      </c>
      <c r="E1511" s="70" t="s">
        <v>6485</v>
      </c>
    </row>
    <row r="1512" spans="1:5">
      <c r="A1512" s="69">
        <v>1384</v>
      </c>
      <c r="E1512" s="70" t="s">
        <v>6486</v>
      </c>
    </row>
    <row r="1513" spans="1:5">
      <c r="A1513" s="69">
        <v>1385</v>
      </c>
      <c r="E1513" s="70" t="s">
        <v>5591</v>
      </c>
    </row>
    <row r="1514" spans="1:5">
      <c r="A1514" s="69">
        <v>1386</v>
      </c>
      <c r="E1514" s="70" t="s">
        <v>5601</v>
      </c>
    </row>
    <row r="1515" spans="1:5">
      <c r="A1515" s="69">
        <v>1387</v>
      </c>
      <c r="E1515" s="71"/>
    </row>
    <row r="1516" spans="1:5">
      <c r="A1516" s="69">
        <v>1388</v>
      </c>
      <c r="E1516" s="70" t="s">
        <v>6487</v>
      </c>
    </row>
    <row r="1517" spans="1:5">
      <c r="A1517" s="69">
        <v>1389</v>
      </c>
      <c r="E1517" s="70" t="s">
        <v>6488</v>
      </c>
    </row>
    <row r="1518" spans="1:5">
      <c r="A1518" s="69">
        <v>1390</v>
      </c>
      <c r="E1518" s="70" t="s">
        <v>6489</v>
      </c>
    </row>
    <row r="1519" spans="1:5">
      <c r="A1519" s="69">
        <v>1391</v>
      </c>
      <c r="E1519" s="70" t="s">
        <v>6490</v>
      </c>
    </row>
    <row r="1520" spans="1:5">
      <c r="A1520" s="69">
        <v>1392</v>
      </c>
      <c r="E1520" s="70" t="s">
        <v>5601</v>
      </c>
    </row>
    <row r="1521" spans="1:5">
      <c r="A1521" s="69">
        <v>1393</v>
      </c>
      <c r="E1521" s="71"/>
    </row>
    <row r="1522" spans="1:5">
      <c r="A1522" s="69">
        <v>1394</v>
      </c>
      <c r="E1522" s="70" t="s">
        <v>5480</v>
      </c>
    </row>
    <row r="1523" spans="1:5">
      <c r="A1523" s="69">
        <v>1395</v>
      </c>
      <c r="E1523" s="70" t="s">
        <v>6491</v>
      </c>
    </row>
    <row r="1524" spans="1:5">
      <c r="A1524" s="69">
        <v>1396</v>
      </c>
      <c r="E1524" s="70" t="s">
        <v>5480</v>
      </c>
    </row>
    <row r="1525" spans="1:5">
      <c r="A1525" s="69">
        <v>1397</v>
      </c>
      <c r="E1525" s="70" t="s">
        <v>6492</v>
      </c>
    </row>
    <row r="1526" spans="1:5">
      <c r="A1526" s="69">
        <v>1398</v>
      </c>
      <c r="E1526" s="70" t="s">
        <v>6493</v>
      </c>
    </row>
    <row r="1527" spans="1:5">
      <c r="A1527" s="69">
        <v>1399</v>
      </c>
      <c r="E1527" s="70" t="s">
        <v>6494</v>
      </c>
    </row>
    <row r="1528" spans="1:5">
      <c r="A1528" s="69">
        <v>1400</v>
      </c>
      <c r="E1528" s="71"/>
    </row>
    <row r="1529" spans="1:5">
      <c r="A1529" s="69">
        <v>1401</v>
      </c>
      <c r="E1529" s="70" t="s">
        <v>6495</v>
      </c>
    </row>
    <row r="1530" spans="1:5">
      <c r="A1530" s="69">
        <v>1402</v>
      </c>
      <c r="E1530" s="70" t="s">
        <v>6496</v>
      </c>
    </row>
    <row r="1531" spans="1:5">
      <c r="A1531" s="69">
        <v>1403</v>
      </c>
      <c r="E1531" s="71"/>
    </row>
    <row r="1532" spans="1:5">
      <c r="A1532" s="69">
        <v>1404</v>
      </c>
      <c r="E1532" s="70" t="s">
        <v>6497</v>
      </c>
    </row>
    <row r="1533" spans="1:5">
      <c r="A1533" s="69">
        <v>1405</v>
      </c>
      <c r="E1533" s="70" t="s">
        <v>6353</v>
      </c>
    </row>
    <row r="1534" spans="1:5">
      <c r="A1534" s="69">
        <v>1406</v>
      </c>
      <c r="E1534" s="70" t="s">
        <v>6498</v>
      </c>
    </row>
    <row r="1535" spans="1:5">
      <c r="A1535" s="69">
        <v>1407</v>
      </c>
      <c r="E1535" s="70" t="s">
        <v>6499</v>
      </c>
    </row>
    <row r="1536" spans="1:5">
      <c r="A1536" s="69">
        <v>1408</v>
      </c>
      <c r="E1536" s="70" t="s">
        <v>6500</v>
      </c>
    </row>
    <row r="1537" spans="1:5">
      <c r="A1537" s="69">
        <v>1409</v>
      </c>
      <c r="E1537" s="70" t="s">
        <v>6501</v>
      </c>
    </row>
    <row r="1538" spans="1:5">
      <c r="A1538" s="69">
        <v>1410</v>
      </c>
      <c r="E1538" s="70" t="s">
        <v>6502</v>
      </c>
    </row>
    <row r="1539" spans="1:5">
      <c r="A1539" s="69">
        <v>1411</v>
      </c>
      <c r="E1539" s="70" t="s">
        <v>5590</v>
      </c>
    </row>
    <row r="1540" spans="1:5">
      <c r="A1540" s="69">
        <v>1412</v>
      </c>
      <c r="E1540" s="70" t="s">
        <v>5591</v>
      </c>
    </row>
    <row r="1541" spans="1:5">
      <c r="A1541" s="69">
        <v>1413</v>
      </c>
      <c r="E1541" s="71"/>
    </row>
    <row r="1542" spans="1:5">
      <c r="A1542" s="69">
        <v>1414</v>
      </c>
      <c r="E1542" s="70" t="s">
        <v>6503</v>
      </c>
    </row>
    <row r="1543" spans="1:5">
      <c r="A1543" s="69">
        <v>1415</v>
      </c>
      <c r="E1543" s="70" t="s">
        <v>6504</v>
      </c>
    </row>
    <row r="1544" spans="1:5">
      <c r="A1544" s="69">
        <v>1416</v>
      </c>
      <c r="E1544" s="70" t="s">
        <v>5591</v>
      </c>
    </row>
    <row r="1545" spans="1:5">
      <c r="A1545" s="69">
        <v>1417</v>
      </c>
      <c r="E1545" s="71"/>
    </row>
    <row r="1546" spans="1:5">
      <c r="A1546" s="69">
        <v>1418</v>
      </c>
      <c r="E1546" s="70" t="s">
        <v>6233</v>
      </c>
    </row>
    <row r="1547" spans="1:5">
      <c r="A1547" s="69">
        <v>1419</v>
      </c>
      <c r="E1547" s="70" t="s">
        <v>6505</v>
      </c>
    </row>
    <row r="1548" spans="1:5">
      <c r="A1548" s="69">
        <v>1420</v>
      </c>
      <c r="E1548" s="70" t="s">
        <v>6506</v>
      </c>
    </row>
    <row r="1549" spans="1:5">
      <c r="A1549" s="69">
        <v>1421</v>
      </c>
      <c r="E1549" s="70" t="s">
        <v>6507</v>
      </c>
    </row>
    <row r="1550" spans="1:5">
      <c r="A1550" s="69">
        <v>1422</v>
      </c>
      <c r="E1550" s="70" t="s">
        <v>6508</v>
      </c>
    </row>
    <row r="1551" spans="1:5">
      <c r="A1551" s="69">
        <v>1423</v>
      </c>
      <c r="E1551" s="70" t="s">
        <v>6509</v>
      </c>
    </row>
    <row r="1552" spans="1:5">
      <c r="A1552" s="69">
        <v>1424</v>
      </c>
      <c r="E1552" s="70" t="s">
        <v>6510</v>
      </c>
    </row>
    <row r="1553" spans="1:5">
      <c r="A1553" s="69">
        <v>1425</v>
      </c>
      <c r="E1553" s="70" t="s">
        <v>6511</v>
      </c>
    </row>
    <row r="1554" spans="1:5">
      <c r="A1554" s="69">
        <v>1426</v>
      </c>
      <c r="E1554" s="70" t="s">
        <v>5590</v>
      </c>
    </row>
    <row r="1555" spans="1:5">
      <c r="A1555" s="69">
        <v>1427</v>
      </c>
      <c r="E1555" s="70" t="s">
        <v>5591</v>
      </c>
    </row>
    <row r="1556" spans="1:5">
      <c r="A1556" s="69">
        <v>1428</v>
      </c>
      <c r="E1556" s="70" t="s">
        <v>6512</v>
      </c>
    </row>
    <row r="1557" spans="1:5">
      <c r="A1557" s="69">
        <v>1429</v>
      </c>
      <c r="E1557" s="70" t="s">
        <v>6513</v>
      </c>
    </row>
    <row r="1558" spans="1:5">
      <c r="A1558" s="69">
        <v>1430</v>
      </c>
      <c r="E1558" s="70" t="s">
        <v>6514</v>
      </c>
    </row>
    <row r="1559" spans="1:5">
      <c r="A1559" s="69">
        <v>1431</v>
      </c>
      <c r="E1559" s="70" t="s">
        <v>6515</v>
      </c>
    </row>
    <row r="1560" spans="1:5">
      <c r="A1560" s="69">
        <v>1432</v>
      </c>
      <c r="E1560" s="70" t="s">
        <v>6516</v>
      </c>
    </row>
    <row r="1561" spans="1:5">
      <c r="A1561" s="69">
        <v>1433</v>
      </c>
      <c r="E1561" s="70" t="s">
        <v>6517</v>
      </c>
    </row>
    <row r="1562" spans="1:5">
      <c r="A1562" s="69">
        <v>1434</v>
      </c>
      <c r="E1562" s="70" t="s">
        <v>6518</v>
      </c>
    </row>
    <row r="1563" spans="1:5">
      <c r="A1563" s="69">
        <v>1435</v>
      </c>
      <c r="E1563" s="70" t="s">
        <v>6519</v>
      </c>
    </row>
    <row r="1564" spans="1:5">
      <c r="A1564" s="69">
        <v>1436</v>
      </c>
      <c r="E1564" s="70" t="s">
        <v>6520</v>
      </c>
    </row>
    <row r="1565" spans="1:5">
      <c r="A1565" s="69">
        <v>1437</v>
      </c>
      <c r="E1565" s="70" t="s">
        <v>6521</v>
      </c>
    </row>
    <row r="1566" spans="1:5">
      <c r="A1566" s="69">
        <v>1438</v>
      </c>
      <c r="E1566" s="70" t="s">
        <v>6522</v>
      </c>
    </row>
    <row r="1567" spans="1:5">
      <c r="A1567" s="69">
        <v>1439</v>
      </c>
      <c r="E1567" s="70" t="s">
        <v>6523</v>
      </c>
    </row>
    <row r="1568" spans="1:5">
      <c r="A1568" s="69">
        <v>1440</v>
      </c>
      <c r="E1568" s="70" t="s">
        <v>6524</v>
      </c>
    </row>
    <row r="1569" spans="1:5">
      <c r="A1569" s="69">
        <v>1441</v>
      </c>
      <c r="E1569" s="70" t="s">
        <v>6525</v>
      </c>
    </row>
    <row r="1570" spans="1:5">
      <c r="A1570" s="69">
        <v>1442</v>
      </c>
      <c r="E1570" s="70" t="s">
        <v>6526</v>
      </c>
    </row>
    <row r="1571" spans="1:5">
      <c r="A1571" s="69">
        <v>1443</v>
      </c>
      <c r="E1571" s="70" t="s">
        <v>6527</v>
      </c>
    </row>
    <row r="1572" spans="1:5">
      <c r="A1572" s="69">
        <v>1444</v>
      </c>
      <c r="E1572" s="70" t="s">
        <v>6528</v>
      </c>
    </row>
    <row r="1573" spans="1:5">
      <c r="A1573" s="69">
        <v>1445</v>
      </c>
      <c r="E1573" s="70" t="s">
        <v>6529</v>
      </c>
    </row>
    <row r="1574" spans="1:5">
      <c r="A1574" s="69">
        <v>1446</v>
      </c>
      <c r="E1574" s="70" t="s">
        <v>6530</v>
      </c>
    </row>
    <row r="1575" spans="1:5">
      <c r="A1575" s="69">
        <v>1447</v>
      </c>
      <c r="E1575" s="70" t="s">
        <v>5656</v>
      </c>
    </row>
    <row r="1576" spans="1:5">
      <c r="A1576" s="69">
        <v>1448</v>
      </c>
      <c r="E1576" s="70" t="s">
        <v>5590</v>
      </c>
    </row>
    <row r="1577" spans="1:5">
      <c r="A1577" s="69">
        <v>1449</v>
      </c>
      <c r="E1577" s="70" t="s">
        <v>5591</v>
      </c>
    </row>
    <row r="1578" spans="1:5">
      <c r="A1578" s="69">
        <v>1450</v>
      </c>
      <c r="E1578" s="70" t="s">
        <v>5549</v>
      </c>
    </row>
    <row r="1579" spans="1:5">
      <c r="A1579" s="69">
        <v>1451</v>
      </c>
      <c r="E1579" s="71"/>
    </row>
    <row r="1580" spans="1:5">
      <c r="A1580" s="69">
        <v>1452</v>
      </c>
      <c r="E1580" s="70" t="s">
        <v>6531</v>
      </c>
    </row>
    <row r="1581" spans="1:5">
      <c r="A1581" s="69">
        <v>1453</v>
      </c>
      <c r="E1581" s="70" t="s">
        <v>6532</v>
      </c>
    </row>
    <row r="1582" spans="1:5">
      <c r="A1582" s="69">
        <v>1454</v>
      </c>
      <c r="E1582" s="70" t="s">
        <v>6533</v>
      </c>
    </row>
    <row r="1583" spans="1:5">
      <c r="A1583" s="69">
        <v>1455</v>
      </c>
      <c r="E1583" s="70" t="s">
        <v>6534</v>
      </c>
    </row>
    <row r="1584" spans="1:5">
      <c r="A1584" s="69">
        <v>1456</v>
      </c>
      <c r="E1584" s="70" t="s">
        <v>6535</v>
      </c>
    </row>
    <row r="1585" spans="1:5">
      <c r="A1585" s="69">
        <v>1457</v>
      </c>
      <c r="E1585" s="70" t="s">
        <v>6233</v>
      </c>
    </row>
    <row r="1586" spans="1:5">
      <c r="A1586" s="69">
        <v>1458</v>
      </c>
      <c r="E1586" s="70" t="s">
        <v>6536</v>
      </c>
    </row>
    <row r="1587" spans="1:5">
      <c r="A1587" s="69">
        <v>1459</v>
      </c>
      <c r="E1587" s="70" t="s">
        <v>6537</v>
      </c>
    </row>
    <row r="1588" spans="1:5">
      <c r="A1588" s="69">
        <v>1460</v>
      </c>
      <c r="E1588" s="70" t="s">
        <v>6538</v>
      </c>
    </row>
    <row r="1589" spans="1:5">
      <c r="A1589" s="69">
        <v>1461</v>
      </c>
      <c r="E1589" s="70" t="s">
        <v>6539</v>
      </c>
    </row>
    <row r="1590" spans="1:5">
      <c r="A1590" s="69">
        <v>1462</v>
      </c>
      <c r="E1590" s="70" t="s">
        <v>6540</v>
      </c>
    </row>
    <row r="1591" spans="1:5">
      <c r="A1591" s="69">
        <v>1463</v>
      </c>
      <c r="E1591" s="70" t="s">
        <v>6541</v>
      </c>
    </row>
    <row r="1592" spans="1:5">
      <c r="A1592" s="69">
        <v>1464</v>
      </c>
      <c r="E1592" s="70" t="s">
        <v>5591</v>
      </c>
    </row>
    <row r="1593" spans="1:5">
      <c r="A1593" s="69">
        <v>1465</v>
      </c>
      <c r="E1593" s="70" t="s">
        <v>6542</v>
      </c>
    </row>
    <row r="1594" spans="1:5">
      <c r="A1594" s="69">
        <v>1466</v>
      </c>
      <c r="E1594" s="70" t="s">
        <v>6543</v>
      </c>
    </row>
    <row r="1595" spans="1:5">
      <c r="A1595" s="69">
        <v>1467</v>
      </c>
      <c r="E1595" s="70" t="s">
        <v>6544</v>
      </c>
    </row>
    <row r="1596" spans="1:5">
      <c r="A1596" s="69">
        <v>1468</v>
      </c>
      <c r="E1596" s="70" t="s">
        <v>6545</v>
      </c>
    </row>
    <row r="1597" spans="1:5">
      <c r="A1597" s="69">
        <v>1469</v>
      </c>
      <c r="E1597" s="70" t="s">
        <v>6546</v>
      </c>
    </row>
    <row r="1598" spans="1:5">
      <c r="A1598" s="69">
        <v>1470</v>
      </c>
      <c r="E1598" s="70" t="s">
        <v>6547</v>
      </c>
    </row>
    <row r="1599" spans="1:5">
      <c r="A1599" s="69">
        <v>1471</v>
      </c>
      <c r="E1599" s="70" t="s">
        <v>6548</v>
      </c>
    </row>
    <row r="1600" spans="1:5">
      <c r="A1600" s="69">
        <v>1472</v>
      </c>
      <c r="E1600" s="70" t="s">
        <v>6549</v>
      </c>
    </row>
    <row r="1601" spans="1:5">
      <c r="A1601" s="69">
        <v>1473</v>
      </c>
      <c r="E1601" s="70" t="s">
        <v>6550</v>
      </c>
    </row>
    <row r="1602" spans="1:5">
      <c r="A1602" s="69">
        <v>1474</v>
      </c>
      <c r="E1602" s="70" t="s">
        <v>6551</v>
      </c>
    </row>
    <row r="1603" spans="1:5">
      <c r="A1603" s="69">
        <v>1475</v>
      </c>
      <c r="E1603" s="70" t="s">
        <v>6552</v>
      </c>
    </row>
    <row r="1604" spans="1:5">
      <c r="A1604" s="69">
        <v>1476</v>
      </c>
      <c r="E1604" s="70" t="s">
        <v>5972</v>
      </c>
    </row>
    <row r="1605" spans="1:5">
      <c r="A1605" s="69">
        <v>1477</v>
      </c>
      <c r="E1605" s="70" t="s">
        <v>6553</v>
      </c>
    </row>
    <row r="1606" spans="1:5">
      <c r="A1606" s="69">
        <v>1478</v>
      </c>
      <c r="E1606" s="70" t="s">
        <v>5687</v>
      </c>
    </row>
    <row r="1607" spans="1:5">
      <c r="A1607" s="69">
        <v>1479</v>
      </c>
      <c r="E1607" s="70" t="s">
        <v>6554</v>
      </c>
    </row>
    <row r="1608" spans="1:5">
      <c r="A1608" s="69">
        <v>1480</v>
      </c>
      <c r="E1608" s="70" t="s">
        <v>6555</v>
      </c>
    </row>
    <row r="1609" spans="1:5">
      <c r="A1609" s="69">
        <v>1481</v>
      </c>
      <c r="E1609" s="70" t="s">
        <v>6556</v>
      </c>
    </row>
    <row r="1610" spans="1:5">
      <c r="A1610" s="69">
        <v>1482</v>
      </c>
      <c r="E1610" s="70" t="s">
        <v>6557</v>
      </c>
    </row>
    <row r="1611" spans="1:5">
      <c r="A1611" s="69">
        <v>1483</v>
      </c>
      <c r="E1611" s="70" t="s">
        <v>6558</v>
      </c>
    </row>
    <row r="1612" spans="1:5">
      <c r="A1612" s="69">
        <v>1484</v>
      </c>
      <c r="E1612" s="70" t="s">
        <v>6559</v>
      </c>
    </row>
    <row r="1613" spans="1:5">
      <c r="A1613" s="69">
        <v>1485</v>
      </c>
      <c r="E1613" s="70" t="s">
        <v>6560</v>
      </c>
    </row>
    <row r="1614" spans="1:5">
      <c r="A1614" s="69">
        <v>1486</v>
      </c>
      <c r="E1614" s="70" t="s">
        <v>5656</v>
      </c>
    </row>
    <row r="1615" spans="1:5">
      <c r="A1615" s="69">
        <v>1487</v>
      </c>
      <c r="E1615" s="70" t="s">
        <v>6561</v>
      </c>
    </row>
    <row r="1616" spans="1:5">
      <c r="A1616" s="69">
        <v>1488</v>
      </c>
      <c r="E1616" s="70" t="s">
        <v>6562</v>
      </c>
    </row>
    <row r="1617" spans="1:5">
      <c r="A1617" s="69">
        <v>1489</v>
      </c>
      <c r="E1617" s="70" t="s">
        <v>6563</v>
      </c>
    </row>
    <row r="1618" spans="1:5">
      <c r="A1618" s="69">
        <v>1490</v>
      </c>
      <c r="E1618" s="70" t="s">
        <v>5590</v>
      </c>
    </row>
    <row r="1619" spans="1:5">
      <c r="A1619" s="69">
        <v>1491</v>
      </c>
      <c r="E1619" s="70" t="s">
        <v>5591</v>
      </c>
    </row>
    <row r="1620" spans="1:5">
      <c r="A1620" s="69">
        <v>1492</v>
      </c>
      <c r="E1620" s="70" t="s">
        <v>6401</v>
      </c>
    </row>
    <row r="1621" spans="1:5">
      <c r="A1621" s="69">
        <v>1493</v>
      </c>
      <c r="E1621" s="70" t="s">
        <v>5549</v>
      </c>
    </row>
    <row r="1622" spans="1:5">
      <c r="A1622" s="69">
        <v>1494</v>
      </c>
      <c r="E1622" s="71"/>
    </row>
    <row r="1623" spans="1:5">
      <c r="A1623" s="69">
        <v>1495</v>
      </c>
      <c r="E1623" s="70" t="s">
        <v>6564</v>
      </c>
    </row>
    <row r="1624" spans="1:5">
      <c r="A1624" s="69">
        <v>1496</v>
      </c>
      <c r="E1624" s="70" t="s">
        <v>6565</v>
      </c>
    </row>
    <row r="1625" spans="1:5">
      <c r="A1625" s="69">
        <v>1497</v>
      </c>
      <c r="E1625" s="70" t="s">
        <v>6566</v>
      </c>
    </row>
    <row r="1626" spans="1:5">
      <c r="A1626" s="69">
        <v>1498</v>
      </c>
      <c r="E1626" s="70" t="s">
        <v>6233</v>
      </c>
    </row>
    <row r="1627" spans="1:5">
      <c r="A1627" s="69">
        <v>1499</v>
      </c>
      <c r="E1627" s="70" t="s">
        <v>6567</v>
      </c>
    </row>
    <row r="1628" spans="1:5">
      <c r="A1628" s="69">
        <v>1500</v>
      </c>
      <c r="E1628" s="70" t="s">
        <v>6542</v>
      </c>
    </row>
    <row r="1629" spans="1:5">
      <c r="A1629" s="69">
        <v>1501</v>
      </c>
      <c r="E1629" s="70" t="s">
        <v>6568</v>
      </c>
    </row>
    <row r="1630" spans="1:5">
      <c r="A1630" s="69">
        <v>1502</v>
      </c>
      <c r="E1630" s="70" t="s">
        <v>6569</v>
      </c>
    </row>
    <row r="1631" spans="1:5">
      <c r="A1631" s="69">
        <v>1503</v>
      </c>
      <c r="E1631" s="70" t="s">
        <v>6570</v>
      </c>
    </row>
    <row r="1632" spans="1:5">
      <c r="A1632" s="69">
        <v>1504</v>
      </c>
      <c r="E1632" s="70" t="s">
        <v>6571</v>
      </c>
    </row>
    <row r="1633" spans="1:5">
      <c r="A1633" s="69">
        <v>1505</v>
      </c>
      <c r="E1633" s="70" t="s">
        <v>6572</v>
      </c>
    </row>
    <row r="1634" spans="1:5">
      <c r="A1634" s="69">
        <v>1506</v>
      </c>
      <c r="E1634" s="70" t="s">
        <v>6573</v>
      </c>
    </row>
    <row r="1635" spans="1:5">
      <c r="A1635" s="69">
        <v>1507</v>
      </c>
      <c r="E1635" s="70" t="s">
        <v>5591</v>
      </c>
    </row>
    <row r="1636" spans="1:5">
      <c r="A1636" s="69">
        <v>1508</v>
      </c>
      <c r="E1636" s="70" t="s">
        <v>6401</v>
      </c>
    </row>
    <row r="1637" spans="1:5">
      <c r="A1637" s="69">
        <v>1509</v>
      </c>
      <c r="E1637" s="70" t="s">
        <v>5549</v>
      </c>
    </row>
    <row r="1638" spans="1:5">
      <c r="A1638" s="69">
        <v>1510</v>
      </c>
      <c r="E1638" s="71"/>
    </row>
    <row r="1639" spans="1:5">
      <c r="A1639" s="69">
        <v>1511</v>
      </c>
      <c r="E1639" s="70" t="s">
        <v>6574</v>
      </c>
    </row>
    <row r="1640" spans="1:5">
      <c r="A1640" s="69">
        <v>1512</v>
      </c>
      <c r="E1640" s="70" t="s">
        <v>6575</v>
      </c>
    </row>
    <row r="1641" spans="1:5">
      <c r="A1641" s="69">
        <v>1513</v>
      </c>
      <c r="E1641" s="70" t="s">
        <v>6497</v>
      </c>
    </row>
    <row r="1642" spans="1:5">
      <c r="A1642" s="69">
        <v>1514</v>
      </c>
      <c r="E1642" s="70" t="s">
        <v>5705</v>
      </c>
    </row>
    <row r="1643" spans="1:5">
      <c r="A1643" s="69">
        <v>1515</v>
      </c>
      <c r="E1643" s="70" t="s">
        <v>6576</v>
      </c>
    </row>
    <row r="1644" spans="1:5">
      <c r="A1644" s="69">
        <v>1516</v>
      </c>
      <c r="E1644" s="70" t="s">
        <v>6577</v>
      </c>
    </row>
    <row r="1645" spans="1:5">
      <c r="A1645" s="69">
        <v>1517</v>
      </c>
      <c r="E1645" s="70" t="s">
        <v>6578</v>
      </c>
    </row>
    <row r="1646" spans="1:5">
      <c r="A1646" s="69">
        <v>1518</v>
      </c>
      <c r="E1646" s="70" t="s">
        <v>6543</v>
      </c>
    </row>
    <row r="1647" spans="1:5">
      <c r="A1647" s="69">
        <v>1519</v>
      </c>
      <c r="E1647" s="70" t="s">
        <v>6545</v>
      </c>
    </row>
    <row r="1648" spans="1:5">
      <c r="A1648" s="69">
        <v>1520</v>
      </c>
      <c r="E1648" s="70" t="s">
        <v>6579</v>
      </c>
    </row>
    <row r="1649" spans="1:5">
      <c r="A1649" s="69">
        <v>1521</v>
      </c>
      <c r="E1649" s="70" t="s">
        <v>6580</v>
      </c>
    </row>
    <row r="1650" spans="1:5">
      <c r="A1650" s="69">
        <v>1522</v>
      </c>
      <c r="E1650" s="70" t="s">
        <v>6581</v>
      </c>
    </row>
    <row r="1651" spans="1:5">
      <c r="A1651" s="69">
        <v>1523</v>
      </c>
      <c r="E1651" s="70" t="s">
        <v>6582</v>
      </c>
    </row>
    <row r="1652" spans="1:5">
      <c r="A1652" s="69">
        <v>1524</v>
      </c>
      <c r="E1652" s="70" t="s">
        <v>6563</v>
      </c>
    </row>
    <row r="1653" spans="1:5">
      <c r="A1653" s="69">
        <v>1525</v>
      </c>
      <c r="E1653" s="70" t="s">
        <v>5590</v>
      </c>
    </row>
    <row r="1654" spans="1:5">
      <c r="A1654" s="69">
        <v>1526</v>
      </c>
      <c r="E1654" s="70" t="s">
        <v>5591</v>
      </c>
    </row>
    <row r="1655" spans="1:5">
      <c r="A1655" s="69">
        <v>1527</v>
      </c>
      <c r="E1655" s="70" t="s">
        <v>5549</v>
      </c>
    </row>
    <row r="1656" spans="1:5">
      <c r="A1656" s="69">
        <v>1528</v>
      </c>
      <c r="E1656" s="71"/>
    </row>
    <row r="1657" spans="1:5">
      <c r="A1657" s="69">
        <v>1529</v>
      </c>
      <c r="E1657" s="71"/>
    </row>
    <row r="1658" spans="1:5">
      <c r="A1658" s="69">
        <v>1530</v>
      </c>
      <c r="E1658" s="70" t="s">
        <v>6583</v>
      </c>
    </row>
    <row r="1659" spans="1:5">
      <c r="A1659" s="69">
        <v>1531</v>
      </c>
      <c r="E1659" s="70" t="s">
        <v>6584</v>
      </c>
    </row>
    <row r="1660" spans="1:5">
      <c r="A1660" s="69">
        <v>1532</v>
      </c>
      <c r="E1660" s="70" t="s">
        <v>6233</v>
      </c>
    </row>
    <row r="1661" spans="1:5">
      <c r="A1661" s="69">
        <v>1533</v>
      </c>
      <c r="E1661" s="70" t="s">
        <v>6585</v>
      </c>
    </row>
    <row r="1662" spans="1:5">
      <c r="A1662" s="69">
        <v>1534</v>
      </c>
      <c r="E1662" s="70" t="s">
        <v>6506</v>
      </c>
    </row>
    <row r="1663" spans="1:5">
      <c r="A1663" s="69">
        <v>1535</v>
      </c>
      <c r="E1663" s="70" t="s">
        <v>6586</v>
      </c>
    </row>
    <row r="1664" spans="1:5">
      <c r="A1664" s="69">
        <v>1536</v>
      </c>
      <c r="E1664" s="70" t="s">
        <v>6587</v>
      </c>
    </row>
    <row r="1665" spans="1:5">
      <c r="A1665" s="69">
        <v>1537</v>
      </c>
      <c r="E1665" s="70" t="s">
        <v>6588</v>
      </c>
    </row>
    <row r="1666" spans="1:5">
      <c r="A1666" s="69">
        <v>1538</v>
      </c>
      <c r="E1666" s="70" t="s">
        <v>6589</v>
      </c>
    </row>
    <row r="1667" spans="1:5">
      <c r="A1667" s="69">
        <v>1539</v>
      </c>
      <c r="E1667" s="70" t="s">
        <v>5590</v>
      </c>
    </row>
    <row r="1668" spans="1:5">
      <c r="A1668" s="69">
        <v>1540</v>
      </c>
      <c r="E1668" s="70" t="s">
        <v>5591</v>
      </c>
    </row>
    <row r="1669" spans="1:5">
      <c r="A1669" s="69">
        <v>1541</v>
      </c>
      <c r="E1669" s="70" t="s">
        <v>6590</v>
      </c>
    </row>
    <row r="1670" spans="1:5">
      <c r="A1670" s="69">
        <v>1542</v>
      </c>
      <c r="E1670" s="70" t="s">
        <v>6591</v>
      </c>
    </row>
    <row r="1671" spans="1:5">
      <c r="A1671" s="69">
        <v>1543</v>
      </c>
      <c r="E1671" s="70" t="s">
        <v>6592</v>
      </c>
    </row>
    <row r="1672" spans="1:5">
      <c r="A1672" s="69">
        <v>1544</v>
      </c>
      <c r="E1672" s="70" t="s">
        <v>6593</v>
      </c>
    </row>
    <row r="1673" spans="1:5">
      <c r="A1673" s="69">
        <v>1545</v>
      </c>
      <c r="E1673" s="70" t="s">
        <v>6594</v>
      </c>
    </row>
    <row r="1674" spans="1:5">
      <c r="A1674" s="69">
        <v>1546</v>
      </c>
      <c r="E1674" s="70" t="s">
        <v>6595</v>
      </c>
    </row>
    <row r="1675" spans="1:5">
      <c r="A1675" s="69">
        <v>1547</v>
      </c>
      <c r="E1675" s="70" t="s">
        <v>6537</v>
      </c>
    </row>
    <row r="1676" spans="1:5">
      <c r="A1676" s="69">
        <v>1548</v>
      </c>
      <c r="E1676" s="70" t="s">
        <v>6538</v>
      </c>
    </row>
    <row r="1677" spans="1:5">
      <c r="A1677" s="69">
        <v>1549</v>
      </c>
      <c r="E1677" s="70" t="s">
        <v>6596</v>
      </c>
    </row>
    <row r="1678" spans="1:5">
      <c r="A1678" s="69">
        <v>1550</v>
      </c>
      <c r="E1678" s="70" t="s">
        <v>5591</v>
      </c>
    </row>
    <row r="1679" spans="1:5">
      <c r="A1679" s="69">
        <v>1551</v>
      </c>
      <c r="E1679" s="70" t="s">
        <v>6597</v>
      </c>
    </row>
    <row r="1680" spans="1:5">
      <c r="A1680" s="69">
        <v>1552</v>
      </c>
      <c r="E1680" s="70" t="s">
        <v>5549</v>
      </c>
    </row>
    <row r="1681" spans="1:5">
      <c r="A1681" s="69">
        <v>1553</v>
      </c>
      <c r="E1681" s="71"/>
    </row>
    <row r="1682" spans="1:5">
      <c r="A1682" s="69">
        <v>1554</v>
      </c>
      <c r="E1682" s="70" t="s">
        <v>6598</v>
      </c>
    </row>
    <row r="1683" spans="1:5">
      <c r="A1683" s="69">
        <v>1555</v>
      </c>
      <c r="E1683" s="70" t="s">
        <v>6599</v>
      </c>
    </row>
    <row r="1684" spans="1:5">
      <c r="A1684" s="69">
        <v>1556</v>
      </c>
      <c r="E1684" s="70" t="s">
        <v>6600</v>
      </c>
    </row>
    <row r="1685" spans="1:5">
      <c r="A1685" s="69">
        <v>1557</v>
      </c>
      <c r="E1685" s="70" t="s">
        <v>6601</v>
      </c>
    </row>
    <row r="1686" spans="1:5">
      <c r="A1686" s="69">
        <v>1558</v>
      </c>
      <c r="E1686" s="70" t="s">
        <v>6602</v>
      </c>
    </row>
    <row r="1687" spans="1:5">
      <c r="A1687" s="69">
        <v>1559</v>
      </c>
      <c r="E1687" s="70" t="s">
        <v>6159</v>
      </c>
    </row>
    <row r="1688" spans="1:5">
      <c r="A1688" s="69">
        <v>1560</v>
      </c>
      <c r="E1688" s="70" t="s">
        <v>5549</v>
      </c>
    </row>
    <row r="1689" spans="1:5">
      <c r="A1689" s="69">
        <v>1561</v>
      </c>
      <c r="E1689" s="71"/>
    </row>
    <row r="1690" spans="1:5">
      <c r="A1690" s="69">
        <v>1562</v>
      </c>
      <c r="E1690" s="70" t="s">
        <v>6603</v>
      </c>
    </row>
    <row r="1691" spans="1:5">
      <c r="A1691" s="69">
        <v>1563</v>
      </c>
      <c r="E1691" s="70" t="s">
        <v>6604</v>
      </c>
    </row>
    <row r="1692" spans="1:5">
      <c r="A1692" s="69">
        <v>1564</v>
      </c>
      <c r="E1692" s="70" t="s">
        <v>6605</v>
      </c>
    </row>
    <row r="1693" spans="1:5">
      <c r="A1693" s="69">
        <v>1565</v>
      </c>
      <c r="E1693" s="70" t="s">
        <v>6606</v>
      </c>
    </row>
    <row r="1694" spans="1:5">
      <c r="A1694" s="69">
        <v>1566</v>
      </c>
      <c r="E1694" s="70" t="s">
        <v>6607</v>
      </c>
    </row>
    <row r="1695" spans="1:5">
      <c r="A1695" s="69">
        <v>1567</v>
      </c>
      <c r="E1695" s="70" t="s">
        <v>6608</v>
      </c>
    </row>
    <row r="1696" spans="1:5">
      <c r="A1696" s="69">
        <v>1568</v>
      </c>
      <c r="E1696" s="70" t="s">
        <v>6609</v>
      </c>
    </row>
    <row r="1697" spans="1:5">
      <c r="A1697" s="69">
        <v>1569</v>
      </c>
      <c r="E1697" s="70" t="s">
        <v>6610</v>
      </c>
    </row>
    <row r="1698" spans="1:5">
      <c r="A1698" s="69">
        <v>1570</v>
      </c>
      <c r="E1698" s="70" t="s">
        <v>6611</v>
      </c>
    </row>
    <row r="1699" spans="1:5">
      <c r="A1699" s="69">
        <v>1571</v>
      </c>
      <c r="E1699" s="70" t="s">
        <v>6612</v>
      </c>
    </row>
    <row r="1700" spans="1:5">
      <c r="A1700" s="69">
        <v>1572</v>
      </c>
      <c r="E1700" s="70" t="s">
        <v>6613</v>
      </c>
    </row>
    <row r="1701" spans="1:5">
      <c r="A1701" s="69">
        <v>1573</v>
      </c>
      <c r="E1701" s="70" t="s">
        <v>6614</v>
      </c>
    </row>
    <row r="1702" spans="1:5">
      <c r="A1702" s="69">
        <v>1574</v>
      </c>
      <c r="E1702" s="70" t="s">
        <v>6615</v>
      </c>
    </row>
    <row r="1703" spans="1:5">
      <c r="A1703" s="69">
        <v>1575</v>
      </c>
      <c r="E1703" s="70" t="s">
        <v>6616</v>
      </c>
    </row>
    <row r="1704" spans="1:5">
      <c r="A1704" s="69">
        <v>1576</v>
      </c>
      <c r="E1704" s="70" t="s">
        <v>5857</v>
      </c>
    </row>
    <row r="1705" spans="1:5">
      <c r="A1705" s="69">
        <v>1577</v>
      </c>
      <c r="E1705" s="70" t="s">
        <v>6617</v>
      </c>
    </row>
    <row r="1706" spans="1:5">
      <c r="A1706" s="69">
        <v>1578</v>
      </c>
      <c r="E1706" s="70" t="s">
        <v>5564</v>
      </c>
    </row>
    <row r="1707" spans="1:5">
      <c r="A1707" s="69">
        <v>1579</v>
      </c>
      <c r="E1707" s="70" t="s">
        <v>6618</v>
      </c>
    </row>
    <row r="1708" spans="1:5">
      <c r="A1708" s="69">
        <v>1580</v>
      </c>
      <c r="E1708" s="70" t="s">
        <v>5601</v>
      </c>
    </row>
    <row r="1709" spans="1:5">
      <c r="A1709" s="69">
        <v>1581</v>
      </c>
      <c r="E1709" s="71"/>
    </row>
    <row r="1710" spans="1:5">
      <c r="A1710" s="69">
        <v>1582</v>
      </c>
      <c r="E1710" s="70" t="s">
        <v>5480</v>
      </c>
    </row>
    <row r="1711" spans="1:5">
      <c r="A1711" s="69">
        <v>1583</v>
      </c>
      <c r="E1711" s="70" t="s">
        <v>6619</v>
      </c>
    </row>
    <row r="1712" spans="1:5">
      <c r="A1712" s="69">
        <v>1584</v>
      </c>
      <c r="E1712" s="70" t="s">
        <v>5480</v>
      </c>
    </row>
    <row r="1713" spans="1:5">
      <c r="A1713" s="69">
        <v>1585</v>
      </c>
      <c r="E1713" s="70" t="s">
        <v>6620</v>
      </c>
    </row>
    <row r="1714" spans="1:5">
      <c r="A1714" s="69">
        <v>1586</v>
      </c>
      <c r="E1714" s="70" t="s">
        <v>6621</v>
      </c>
    </row>
    <row r="1715" spans="1:5">
      <c r="A1715" s="69">
        <v>1587</v>
      </c>
      <c r="E1715" s="70" t="s">
        <v>6622</v>
      </c>
    </row>
    <row r="1716" spans="1:5">
      <c r="A1716" s="69">
        <v>1588</v>
      </c>
      <c r="E1716" s="70" t="s">
        <v>6623</v>
      </c>
    </row>
    <row r="1717" spans="1:5">
      <c r="A1717" s="69">
        <v>1589</v>
      </c>
      <c r="E1717" s="70" t="s">
        <v>6624</v>
      </c>
    </row>
    <row r="1718" spans="1:5">
      <c r="A1718" s="69">
        <v>1590</v>
      </c>
      <c r="E1718" s="70" t="s">
        <v>6625</v>
      </c>
    </row>
    <row r="1719" spans="1:5">
      <c r="A1719" s="69">
        <v>1591</v>
      </c>
      <c r="E1719" s="70" t="s">
        <v>6626</v>
      </c>
    </row>
    <row r="1720" spans="1:5">
      <c r="A1720" s="69">
        <v>1592</v>
      </c>
      <c r="E1720" s="70" t="s">
        <v>6627</v>
      </c>
    </row>
    <row r="1721" spans="1:5">
      <c r="A1721" s="69">
        <v>1593</v>
      </c>
      <c r="E1721" s="70" t="s">
        <v>6628</v>
      </c>
    </row>
    <row r="1722" spans="1:5">
      <c r="A1722" s="69">
        <v>1594</v>
      </c>
      <c r="E1722" s="70" t="s">
        <v>6629</v>
      </c>
    </row>
    <row r="1723" spans="1:5">
      <c r="A1723" s="69">
        <v>1595</v>
      </c>
      <c r="E1723" s="70" t="s">
        <v>6630</v>
      </c>
    </row>
    <row r="1724" spans="1:5">
      <c r="A1724" s="69">
        <v>1596</v>
      </c>
      <c r="E1724" s="70" t="s">
        <v>6631</v>
      </c>
    </row>
    <row r="1725" spans="1:5">
      <c r="A1725" s="69">
        <v>1597</v>
      </c>
      <c r="E1725" s="70" t="s">
        <v>6632</v>
      </c>
    </row>
    <row r="1726" spans="1:5">
      <c r="A1726" s="69">
        <v>1598</v>
      </c>
      <c r="E1726" s="70" t="s">
        <v>5590</v>
      </c>
    </row>
    <row r="1727" spans="1:5">
      <c r="A1727" s="69">
        <v>1599</v>
      </c>
      <c r="E1727" s="70" t="s">
        <v>6633</v>
      </c>
    </row>
    <row r="1728" spans="1:5">
      <c r="A1728" s="69">
        <v>1600</v>
      </c>
      <c r="E1728" s="70" t="s">
        <v>6634</v>
      </c>
    </row>
    <row r="1729" spans="1:5">
      <c r="A1729" s="69">
        <v>1601</v>
      </c>
      <c r="E1729" s="70" t="s">
        <v>6635</v>
      </c>
    </row>
    <row r="1730" spans="1:5">
      <c r="A1730" s="69">
        <v>1602</v>
      </c>
      <c r="E1730" s="70" t="s">
        <v>6636</v>
      </c>
    </row>
    <row r="1731" spans="1:5">
      <c r="A1731" s="69">
        <v>1603</v>
      </c>
      <c r="E1731" s="70" t="s">
        <v>6637</v>
      </c>
    </row>
    <row r="1732" spans="1:5">
      <c r="A1732" s="69">
        <v>1604</v>
      </c>
      <c r="E1732" s="70" t="s">
        <v>6638</v>
      </c>
    </row>
    <row r="1733" spans="1:5">
      <c r="A1733" s="69">
        <v>1605</v>
      </c>
      <c r="E1733" s="70" t="s">
        <v>5640</v>
      </c>
    </row>
    <row r="1734" spans="1:5">
      <c r="A1734" s="69">
        <v>1606</v>
      </c>
      <c r="E1734" s="70" t="s">
        <v>5591</v>
      </c>
    </row>
    <row r="1735" spans="1:5">
      <c r="A1735" s="69">
        <v>1607</v>
      </c>
      <c r="E1735" s="70" t="s">
        <v>6639</v>
      </c>
    </row>
    <row r="1736" spans="1:5">
      <c r="A1736" s="69">
        <v>1608</v>
      </c>
      <c r="E1736" s="70" t="s">
        <v>6640</v>
      </c>
    </row>
    <row r="1737" spans="1:5">
      <c r="A1737" s="69">
        <v>1609</v>
      </c>
      <c r="E1737" s="70" t="s">
        <v>5601</v>
      </c>
    </row>
    <row r="1738" spans="1:5">
      <c r="A1738" s="69">
        <v>1610</v>
      </c>
      <c r="E1738" s="71"/>
    </row>
    <row r="1739" spans="1:5">
      <c r="A1739" s="69">
        <v>1611</v>
      </c>
      <c r="E1739" s="70" t="s">
        <v>6641</v>
      </c>
    </row>
    <row r="1740" spans="1:5">
      <c r="A1740" s="69">
        <v>1612</v>
      </c>
      <c r="E1740" s="70" t="s">
        <v>6642</v>
      </c>
    </row>
    <row r="1741" spans="1:5">
      <c r="A1741" s="69">
        <v>1613</v>
      </c>
      <c r="E1741" s="70" t="s">
        <v>6643</v>
      </c>
    </row>
    <row r="1742" spans="1:5">
      <c r="A1742" s="69">
        <v>1614</v>
      </c>
      <c r="E1742" s="70" t="s">
        <v>6644</v>
      </c>
    </row>
    <row r="1743" spans="1:5">
      <c r="A1743" s="69">
        <v>1615</v>
      </c>
      <c r="E1743" s="70" t="s">
        <v>6645</v>
      </c>
    </row>
    <row r="1744" spans="1:5">
      <c r="A1744" s="69">
        <v>1616</v>
      </c>
      <c r="E1744" s="70" t="s">
        <v>6646</v>
      </c>
    </row>
    <row r="1745" spans="1:5">
      <c r="A1745" s="69">
        <v>1617</v>
      </c>
      <c r="E1745" s="70" t="s">
        <v>5857</v>
      </c>
    </row>
    <row r="1746" spans="1:5">
      <c r="A1746" s="69">
        <v>1618</v>
      </c>
      <c r="E1746" s="70" t="s">
        <v>6647</v>
      </c>
    </row>
    <row r="1747" spans="1:5">
      <c r="A1747" s="69">
        <v>1619</v>
      </c>
      <c r="E1747" s="70" t="s">
        <v>5564</v>
      </c>
    </row>
    <row r="1748" spans="1:5">
      <c r="A1748" s="69">
        <v>1620</v>
      </c>
      <c r="E1748" s="70" t="s">
        <v>5601</v>
      </c>
    </row>
    <row r="1749" spans="1:5">
      <c r="A1749" s="69">
        <v>1621</v>
      </c>
      <c r="E1749" s="71"/>
    </row>
    <row r="1750" spans="1:5">
      <c r="A1750" s="69">
        <v>1622</v>
      </c>
      <c r="E1750" s="70" t="s">
        <v>6648</v>
      </c>
    </row>
    <row r="1751" spans="1:5">
      <c r="A1751" s="69">
        <v>1623</v>
      </c>
      <c r="E1751" s="70" t="s">
        <v>6649</v>
      </c>
    </row>
    <row r="1752" spans="1:5">
      <c r="A1752" s="69">
        <v>1624</v>
      </c>
      <c r="E1752" s="70" t="s">
        <v>6650</v>
      </c>
    </row>
    <row r="1753" spans="1:5">
      <c r="A1753" s="69">
        <v>1625</v>
      </c>
      <c r="E1753" s="70" t="s">
        <v>6651</v>
      </c>
    </row>
    <row r="1754" spans="1:5">
      <c r="A1754" s="69">
        <v>1626</v>
      </c>
      <c r="E1754" s="70" t="s">
        <v>6652</v>
      </c>
    </row>
    <row r="1755" spans="1:5">
      <c r="A1755" s="69">
        <v>1627</v>
      </c>
      <c r="E1755" s="70" t="s">
        <v>6653</v>
      </c>
    </row>
    <row r="1756" spans="1:5">
      <c r="A1756" s="69">
        <v>1628</v>
      </c>
      <c r="E1756" s="70" t="s">
        <v>6654</v>
      </c>
    </row>
    <row r="1757" spans="1:5">
      <c r="A1757" s="69">
        <v>1629</v>
      </c>
      <c r="E1757" s="70" t="s">
        <v>6655</v>
      </c>
    </row>
    <row r="1758" spans="1:5">
      <c r="A1758" s="69">
        <v>1630</v>
      </c>
      <c r="E1758" s="70" t="s">
        <v>6656</v>
      </c>
    </row>
    <row r="1759" spans="1:5">
      <c r="A1759" s="69">
        <v>1631</v>
      </c>
      <c r="E1759" s="70" t="s">
        <v>6657</v>
      </c>
    </row>
    <row r="1760" spans="1:5">
      <c r="A1760" s="69">
        <v>1632</v>
      </c>
      <c r="E1760" s="70" t="s">
        <v>5564</v>
      </c>
    </row>
    <row r="1761" spans="1:5">
      <c r="A1761" s="69">
        <v>1633</v>
      </c>
      <c r="E1761" s="70" t="s">
        <v>6658</v>
      </c>
    </row>
    <row r="1762" spans="1:5">
      <c r="A1762" s="69">
        <v>1634</v>
      </c>
      <c r="E1762" s="70" t="s">
        <v>5601</v>
      </c>
    </row>
    <row r="1763" spans="1:5">
      <c r="A1763" s="69">
        <v>1635</v>
      </c>
      <c r="E1763" s="71"/>
    </row>
    <row r="1764" spans="1:5">
      <c r="A1764" s="69">
        <v>1636</v>
      </c>
      <c r="E1764" s="70" t="s">
        <v>6659</v>
      </c>
    </row>
    <row r="1765" spans="1:5">
      <c r="A1765" s="69">
        <v>1637</v>
      </c>
      <c r="E1765" s="70" t="s">
        <v>6660</v>
      </c>
    </row>
    <row r="1766" spans="1:5">
      <c r="A1766" s="69">
        <v>1638</v>
      </c>
      <c r="E1766" s="70" t="s">
        <v>6661</v>
      </c>
    </row>
    <row r="1767" spans="1:5">
      <c r="A1767" s="69">
        <v>1639</v>
      </c>
      <c r="E1767" s="70" t="s">
        <v>5605</v>
      </c>
    </row>
    <row r="1768" spans="1:5">
      <c r="A1768" s="69">
        <v>1640</v>
      </c>
      <c r="E1768" s="70" t="s">
        <v>6662</v>
      </c>
    </row>
    <row r="1769" spans="1:5">
      <c r="A1769" s="69">
        <v>1641</v>
      </c>
      <c r="E1769" s="70" t="s">
        <v>6663</v>
      </c>
    </row>
    <row r="1770" spans="1:5">
      <c r="A1770" s="69">
        <v>1642</v>
      </c>
      <c r="E1770" s="70" t="s">
        <v>6664</v>
      </c>
    </row>
    <row r="1771" spans="1:5">
      <c r="A1771" s="69">
        <v>1643</v>
      </c>
      <c r="E1771" s="70" t="s">
        <v>6665</v>
      </c>
    </row>
    <row r="1772" spans="1:5">
      <c r="A1772" s="69">
        <v>1644</v>
      </c>
      <c r="E1772" s="70" t="s">
        <v>5590</v>
      </c>
    </row>
    <row r="1773" spans="1:5">
      <c r="A1773" s="69">
        <v>1645</v>
      </c>
      <c r="E1773" s="70" t="s">
        <v>5591</v>
      </c>
    </row>
    <row r="1774" spans="1:5">
      <c r="A1774" s="69">
        <v>1646</v>
      </c>
      <c r="E1774" s="70" t="s">
        <v>6666</v>
      </c>
    </row>
    <row r="1775" spans="1:5">
      <c r="A1775" s="69">
        <v>1647</v>
      </c>
      <c r="E1775" s="70" t="s">
        <v>5613</v>
      </c>
    </row>
    <row r="1776" spans="1:5">
      <c r="A1776" s="69">
        <v>1648</v>
      </c>
      <c r="E1776" s="70" t="s">
        <v>5614</v>
      </c>
    </row>
    <row r="1777" spans="1:5">
      <c r="A1777" s="69">
        <v>1649</v>
      </c>
      <c r="E1777" s="70" t="s">
        <v>6667</v>
      </c>
    </row>
    <row r="1778" spans="1:5">
      <c r="A1778" s="69">
        <v>1650</v>
      </c>
      <c r="E1778" s="70" t="s">
        <v>6666</v>
      </c>
    </row>
    <row r="1779" spans="1:5">
      <c r="A1779" s="69">
        <v>1651</v>
      </c>
      <c r="E1779" s="70" t="s">
        <v>6668</v>
      </c>
    </row>
    <row r="1780" spans="1:5">
      <c r="A1780" s="69">
        <v>1652</v>
      </c>
      <c r="E1780" s="70" t="s">
        <v>5601</v>
      </c>
    </row>
    <row r="1781" spans="1:5">
      <c r="A1781" s="69">
        <v>1653</v>
      </c>
      <c r="E1781" s="71"/>
    </row>
    <row r="1782" spans="1:5">
      <c r="A1782" s="69">
        <v>1654</v>
      </c>
      <c r="E1782" s="70" t="s">
        <v>6669</v>
      </c>
    </row>
    <row r="1783" spans="1:5">
      <c r="A1783" s="69">
        <v>1655</v>
      </c>
      <c r="E1783" s="70" t="s">
        <v>6670</v>
      </c>
    </row>
    <row r="1784" spans="1:5">
      <c r="A1784" s="69">
        <v>1656</v>
      </c>
      <c r="E1784" s="70" t="s">
        <v>6671</v>
      </c>
    </row>
    <row r="1785" spans="1:5">
      <c r="A1785" s="69">
        <v>1657</v>
      </c>
      <c r="E1785" s="70" t="s">
        <v>6672</v>
      </c>
    </row>
    <row r="1786" spans="1:5">
      <c r="A1786" s="69">
        <v>1658</v>
      </c>
      <c r="E1786" s="70" t="s">
        <v>6673</v>
      </c>
    </row>
    <row r="1787" spans="1:5">
      <c r="A1787" s="69">
        <v>1659</v>
      </c>
      <c r="E1787" s="70" t="s">
        <v>6674</v>
      </c>
    </row>
    <row r="1788" spans="1:5">
      <c r="A1788" s="69">
        <v>1660</v>
      </c>
      <c r="E1788" s="70" t="s">
        <v>6675</v>
      </c>
    </row>
    <row r="1789" spans="1:5">
      <c r="A1789" s="69">
        <v>1661</v>
      </c>
      <c r="E1789" s="70" t="s">
        <v>6676</v>
      </c>
    </row>
    <row r="1790" spans="1:5">
      <c r="A1790" s="69">
        <v>1662</v>
      </c>
      <c r="E1790" s="70" t="s">
        <v>6677</v>
      </c>
    </row>
    <row r="1791" spans="1:5">
      <c r="A1791" s="69">
        <v>1663</v>
      </c>
      <c r="E1791" s="70" t="s">
        <v>5601</v>
      </c>
    </row>
    <row r="1792" spans="1:5">
      <c r="A1792" s="69">
        <v>1664</v>
      </c>
      <c r="E1792" s="71"/>
    </row>
    <row r="1793" spans="1:5">
      <c r="A1793" s="69">
        <v>1665</v>
      </c>
      <c r="E1793" s="70" t="s">
        <v>6678</v>
      </c>
    </row>
    <row r="1794" spans="1:5">
      <c r="A1794" s="69">
        <v>1666</v>
      </c>
      <c r="E1794" s="70" t="s">
        <v>6679</v>
      </c>
    </row>
    <row r="1795" spans="1:5">
      <c r="A1795" s="69">
        <v>1667</v>
      </c>
      <c r="E1795" s="70" t="s">
        <v>6680</v>
      </c>
    </row>
    <row r="1796" spans="1:5">
      <c r="A1796" s="69">
        <v>1668</v>
      </c>
      <c r="E1796" s="70" t="s">
        <v>6681</v>
      </c>
    </row>
    <row r="1797" spans="1:5">
      <c r="A1797" s="69">
        <v>1669</v>
      </c>
      <c r="E1797" s="70" t="s">
        <v>6682</v>
      </c>
    </row>
    <row r="1798" spans="1:5">
      <c r="A1798" s="69">
        <v>1670</v>
      </c>
      <c r="E1798" s="70" t="s">
        <v>6683</v>
      </c>
    </row>
    <row r="1799" spans="1:5">
      <c r="A1799" s="69">
        <v>1671</v>
      </c>
      <c r="E1799" s="71"/>
    </row>
    <row r="1800" spans="1:5">
      <c r="A1800" s="69">
        <v>1672</v>
      </c>
      <c r="E1800" s="70" t="s">
        <v>6684</v>
      </c>
    </row>
    <row r="1801" spans="1:5">
      <c r="A1801" s="69">
        <v>1673</v>
      </c>
      <c r="E1801" s="70" t="s">
        <v>6685</v>
      </c>
    </row>
    <row r="1802" spans="1:5">
      <c r="A1802" s="69">
        <v>1674</v>
      </c>
      <c r="E1802" s="70" t="s">
        <v>6686</v>
      </c>
    </row>
    <row r="1803" spans="1:5">
      <c r="A1803" s="69">
        <v>1675</v>
      </c>
      <c r="E1803" s="70" t="s">
        <v>6687</v>
      </c>
    </row>
    <row r="1804" spans="1:5">
      <c r="A1804" s="69">
        <v>1676</v>
      </c>
      <c r="E1804" s="71"/>
    </row>
    <row r="1805" spans="1:5">
      <c r="A1805" s="69">
        <v>1677</v>
      </c>
      <c r="E1805" s="70" t="s">
        <v>6688</v>
      </c>
    </row>
    <row r="1806" spans="1:5">
      <c r="A1806" s="69">
        <v>1678</v>
      </c>
      <c r="E1806" s="70" t="s">
        <v>6689</v>
      </c>
    </row>
    <row r="1807" spans="1:5">
      <c r="A1807" s="69">
        <v>1679</v>
      </c>
      <c r="E1807" s="70" t="s">
        <v>6690</v>
      </c>
    </row>
    <row r="1808" spans="1:5">
      <c r="A1808" s="69">
        <v>1680</v>
      </c>
      <c r="E1808" s="70" t="s">
        <v>6691</v>
      </c>
    </row>
    <row r="1809" spans="1:5">
      <c r="A1809" s="69">
        <v>1681</v>
      </c>
      <c r="E1809" s="70" t="s">
        <v>6692</v>
      </c>
    </row>
    <row r="1810" spans="1:5">
      <c r="A1810" s="69">
        <v>1682</v>
      </c>
      <c r="E1810" s="70" t="s">
        <v>6693</v>
      </c>
    </row>
    <row r="1811" spans="1:5">
      <c r="A1811" s="69">
        <v>1683</v>
      </c>
      <c r="E1811" s="70" t="s">
        <v>6694</v>
      </c>
    </row>
    <row r="1812" spans="1:5">
      <c r="A1812" s="69">
        <v>1684</v>
      </c>
      <c r="E1812" s="70" t="s">
        <v>6695</v>
      </c>
    </row>
    <row r="1813" spans="1:5">
      <c r="A1813" s="69">
        <v>1685</v>
      </c>
      <c r="E1813" s="70" t="s">
        <v>6696</v>
      </c>
    </row>
    <row r="1814" spans="1:5">
      <c r="A1814" s="69">
        <v>1686</v>
      </c>
      <c r="E1814" s="70" t="s">
        <v>6697</v>
      </c>
    </row>
    <row r="1815" spans="1:5">
      <c r="A1815" s="69">
        <v>1687</v>
      </c>
      <c r="E1815" s="70" t="s">
        <v>6698</v>
      </c>
    </row>
    <row r="1816" spans="1:5">
      <c r="A1816" s="69">
        <v>1688</v>
      </c>
      <c r="E1816" s="70" t="s">
        <v>6699</v>
      </c>
    </row>
    <row r="1817" spans="1:5">
      <c r="A1817" s="69">
        <v>1689</v>
      </c>
      <c r="E1817" s="70" t="s">
        <v>6700</v>
      </c>
    </row>
    <row r="1818" spans="1:5">
      <c r="A1818" s="69">
        <v>1690</v>
      </c>
      <c r="E1818" s="70" t="s">
        <v>6701</v>
      </c>
    </row>
    <row r="1819" spans="1:5">
      <c r="A1819" s="69">
        <v>1691</v>
      </c>
      <c r="E1819" s="70" t="s">
        <v>6702</v>
      </c>
    </row>
    <row r="1820" spans="1:5">
      <c r="A1820" s="69">
        <v>1692</v>
      </c>
      <c r="E1820" s="70" t="s">
        <v>6703</v>
      </c>
    </row>
    <row r="1821" spans="1:5">
      <c r="A1821" s="69">
        <v>1693</v>
      </c>
      <c r="E1821" s="70" t="s">
        <v>6704</v>
      </c>
    </row>
    <row r="1822" spans="1:5">
      <c r="A1822" s="69">
        <v>1694</v>
      </c>
      <c r="E1822" s="70" t="s">
        <v>6705</v>
      </c>
    </row>
    <row r="1823" spans="1:5">
      <c r="A1823" s="69">
        <v>1695</v>
      </c>
      <c r="E1823" s="70" t="s">
        <v>6706</v>
      </c>
    </row>
    <row r="1824" spans="1:5">
      <c r="A1824" s="69">
        <v>1696</v>
      </c>
      <c r="E1824" s="70" t="s">
        <v>6707</v>
      </c>
    </row>
    <row r="1825" spans="1:5">
      <c r="A1825" s="69">
        <v>1697</v>
      </c>
      <c r="E1825" s="70" t="s">
        <v>6708</v>
      </c>
    </row>
    <row r="1826" spans="1:5">
      <c r="A1826" s="69">
        <v>1698</v>
      </c>
      <c r="E1826" s="70" t="s">
        <v>6709</v>
      </c>
    </row>
    <row r="1827" spans="1:5">
      <c r="A1827" s="69">
        <v>1699</v>
      </c>
      <c r="E1827" s="70" t="s">
        <v>6710</v>
      </c>
    </row>
    <row r="1828" spans="1:5">
      <c r="A1828" s="69">
        <v>1700</v>
      </c>
      <c r="E1828" s="70" t="s">
        <v>5590</v>
      </c>
    </row>
    <row r="1829" spans="1:5">
      <c r="A1829" s="69">
        <v>1701</v>
      </c>
      <c r="E1829" s="70" t="s">
        <v>6711</v>
      </c>
    </row>
    <row r="1830" spans="1:5">
      <c r="A1830" s="69">
        <v>1702</v>
      </c>
      <c r="E1830" s="70" t="s">
        <v>6634</v>
      </c>
    </row>
    <row r="1831" spans="1:5">
      <c r="A1831" s="69">
        <v>1703</v>
      </c>
      <c r="E1831" s="70" t="s">
        <v>6712</v>
      </c>
    </row>
    <row r="1832" spans="1:5">
      <c r="A1832" s="69">
        <v>1704</v>
      </c>
      <c r="E1832" s="71"/>
    </row>
    <row r="1833" spans="1:5">
      <c r="A1833" s="69">
        <v>1705</v>
      </c>
      <c r="E1833" s="70" t="s">
        <v>6713</v>
      </c>
    </row>
    <row r="1834" spans="1:5">
      <c r="A1834" s="69">
        <v>1706</v>
      </c>
      <c r="E1834" s="70" t="s">
        <v>6714</v>
      </c>
    </row>
    <row r="1835" spans="1:5">
      <c r="A1835" s="69">
        <v>1707</v>
      </c>
      <c r="E1835" s="70" t="s">
        <v>6715</v>
      </c>
    </row>
    <row r="1836" spans="1:5">
      <c r="A1836" s="69">
        <v>1708</v>
      </c>
      <c r="E1836" s="70" t="s">
        <v>6716</v>
      </c>
    </row>
    <row r="1837" spans="1:5">
      <c r="A1837" s="69">
        <v>1709</v>
      </c>
      <c r="E1837" s="70" t="s">
        <v>6717</v>
      </c>
    </row>
    <row r="1838" spans="1:5">
      <c r="A1838" s="69">
        <v>1710</v>
      </c>
      <c r="E1838" s="70" t="s">
        <v>5640</v>
      </c>
    </row>
    <row r="1839" spans="1:5">
      <c r="A1839" s="69">
        <v>1711</v>
      </c>
      <c r="E1839" s="70" t="s">
        <v>5591</v>
      </c>
    </row>
    <row r="1840" spans="1:5">
      <c r="A1840" s="69">
        <v>1712</v>
      </c>
      <c r="E1840" s="70" t="s">
        <v>6718</v>
      </c>
    </row>
    <row r="1841" spans="1:5">
      <c r="A1841" s="69">
        <v>1713</v>
      </c>
      <c r="E1841" s="70" t="s">
        <v>5601</v>
      </c>
    </row>
    <row r="1842" spans="1:5">
      <c r="A1842" s="69">
        <v>1714</v>
      </c>
      <c r="E1842" s="71"/>
    </row>
    <row r="1843" spans="1:5">
      <c r="A1843" s="69">
        <v>1715</v>
      </c>
      <c r="E1843" s="70" t="s">
        <v>6719</v>
      </c>
    </row>
    <row r="1844" spans="1:5">
      <c r="A1844" s="69">
        <v>1716</v>
      </c>
      <c r="E1844" s="70" t="s">
        <v>6720</v>
      </c>
    </row>
    <row r="1845" spans="1:5">
      <c r="A1845" s="69">
        <v>1717</v>
      </c>
      <c r="E1845" s="70" t="s">
        <v>6721</v>
      </c>
    </row>
    <row r="1846" spans="1:5">
      <c r="A1846" s="69">
        <v>1718</v>
      </c>
      <c r="E1846" s="70" t="s">
        <v>6722</v>
      </c>
    </row>
    <row r="1847" spans="1:5">
      <c r="A1847" s="69">
        <v>1719</v>
      </c>
      <c r="E1847" s="70" t="s">
        <v>6723</v>
      </c>
    </row>
    <row r="1848" spans="1:5">
      <c r="A1848" s="69">
        <v>1720</v>
      </c>
      <c r="E1848" s="70" t="s">
        <v>6689</v>
      </c>
    </row>
    <row r="1849" spans="1:5">
      <c r="A1849" s="69">
        <v>1721</v>
      </c>
      <c r="E1849" s="70" t="s">
        <v>6724</v>
      </c>
    </row>
    <row r="1850" spans="1:5">
      <c r="A1850" s="69">
        <v>1722</v>
      </c>
      <c r="E1850" s="70" t="s">
        <v>6725</v>
      </c>
    </row>
    <row r="1851" spans="1:5">
      <c r="A1851" s="69">
        <v>1723</v>
      </c>
      <c r="E1851" s="70" t="s">
        <v>6726</v>
      </c>
    </row>
    <row r="1852" spans="1:5">
      <c r="A1852" s="69">
        <v>1724</v>
      </c>
      <c r="E1852" s="70" t="s">
        <v>6634</v>
      </c>
    </row>
    <row r="1853" spans="1:5">
      <c r="A1853" s="69">
        <v>1725</v>
      </c>
      <c r="E1853" s="70" t="s">
        <v>5601</v>
      </c>
    </row>
    <row r="1854" spans="1:5">
      <c r="A1854" s="69">
        <v>1726</v>
      </c>
      <c r="E1854" s="71"/>
    </row>
    <row r="1855" spans="1:5">
      <c r="A1855" s="69">
        <v>1727</v>
      </c>
      <c r="E1855" s="70" t="s">
        <v>6727</v>
      </c>
    </row>
    <row r="1856" spans="1:5">
      <c r="A1856" s="69">
        <v>1728</v>
      </c>
      <c r="E1856" s="70" t="s">
        <v>6728</v>
      </c>
    </row>
    <row r="1857" spans="1:5">
      <c r="A1857" s="69">
        <v>1729</v>
      </c>
      <c r="E1857" s="70" t="s">
        <v>6729</v>
      </c>
    </row>
    <row r="1858" spans="1:5">
      <c r="A1858" s="69">
        <v>1730</v>
      </c>
      <c r="E1858" s="70" t="s">
        <v>6730</v>
      </c>
    </row>
    <row r="1859" spans="1:5">
      <c r="A1859" s="69">
        <v>1731</v>
      </c>
      <c r="E1859" s="70" t="s">
        <v>6731</v>
      </c>
    </row>
    <row r="1860" spans="1:5">
      <c r="A1860" s="69">
        <v>1732</v>
      </c>
      <c r="E1860" s="70" t="s">
        <v>6732</v>
      </c>
    </row>
    <row r="1861" spans="1:5">
      <c r="A1861" s="69">
        <v>1733</v>
      </c>
      <c r="E1861" s="70" t="s">
        <v>6733</v>
      </c>
    </row>
    <row r="1862" spans="1:5">
      <c r="A1862" s="69">
        <v>1734</v>
      </c>
      <c r="E1862" s="70" t="s">
        <v>6734</v>
      </c>
    </row>
    <row r="1863" spans="1:5">
      <c r="A1863" s="69">
        <v>1735</v>
      </c>
      <c r="E1863" s="70" t="s">
        <v>5857</v>
      </c>
    </row>
    <row r="1864" spans="1:5">
      <c r="A1864" s="69">
        <v>1736</v>
      </c>
      <c r="E1864" s="70" t="s">
        <v>6735</v>
      </c>
    </row>
    <row r="1865" spans="1:5">
      <c r="A1865" s="69">
        <v>1737</v>
      </c>
      <c r="E1865" s="70" t="s">
        <v>5564</v>
      </c>
    </row>
    <row r="1866" spans="1:5">
      <c r="A1866" s="69">
        <v>1738</v>
      </c>
      <c r="E1866" s="70" t="s">
        <v>5601</v>
      </c>
    </row>
    <row r="1867" spans="1:5">
      <c r="A1867" s="69">
        <v>1739</v>
      </c>
      <c r="E1867" s="71"/>
    </row>
    <row r="1868" spans="1:5">
      <c r="A1868" s="69">
        <v>1740</v>
      </c>
      <c r="E1868" s="70" t="s">
        <v>6736</v>
      </c>
    </row>
    <row r="1869" spans="1:5">
      <c r="A1869" s="69">
        <v>1741</v>
      </c>
      <c r="E1869" s="70" t="s">
        <v>6737</v>
      </c>
    </row>
    <row r="1870" spans="1:5">
      <c r="A1870" s="69">
        <v>1742</v>
      </c>
      <c r="E1870" s="70" t="s">
        <v>6738</v>
      </c>
    </row>
    <row r="1871" spans="1:5">
      <c r="A1871" s="69">
        <v>1743</v>
      </c>
      <c r="E1871" s="70" t="s">
        <v>6689</v>
      </c>
    </row>
    <row r="1872" spans="1:5">
      <c r="A1872" s="69">
        <v>1744</v>
      </c>
      <c r="E1872" s="70" t="s">
        <v>6739</v>
      </c>
    </row>
    <row r="1873" spans="1:5">
      <c r="A1873" s="69">
        <v>1745</v>
      </c>
      <c r="E1873" s="70" t="s">
        <v>6740</v>
      </c>
    </row>
    <row r="1874" spans="1:5">
      <c r="A1874" s="69">
        <v>1746</v>
      </c>
      <c r="E1874" s="70" t="s">
        <v>6741</v>
      </c>
    </row>
    <row r="1875" spans="1:5">
      <c r="A1875" s="69">
        <v>1747</v>
      </c>
      <c r="E1875" s="70" t="s">
        <v>6742</v>
      </c>
    </row>
    <row r="1876" spans="1:5">
      <c r="A1876" s="69">
        <v>1748</v>
      </c>
      <c r="E1876" s="70" t="s">
        <v>6634</v>
      </c>
    </row>
    <row r="1877" spans="1:5">
      <c r="A1877" s="69">
        <v>1749</v>
      </c>
      <c r="E1877" s="70" t="s">
        <v>6743</v>
      </c>
    </row>
    <row r="1878" spans="1:5">
      <c r="A1878" s="69">
        <v>1750</v>
      </c>
      <c r="E1878" s="70" t="s">
        <v>6744</v>
      </c>
    </row>
    <row r="1879" spans="1:5">
      <c r="A1879" s="69">
        <v>1751</v>
      </c>
      <c r="E1879" s="70" t="s">
        <v>6745</v>
      </c>
    </row>
    <row r="1880" spans="1:5">
      <c r="A1880" s="69">
        <v>1752</v>
      </c>
      <c r="E1880" s="70" t="s">
        <v>6746</v>
      </c>
    </row>
    <row r="1881" spans="1:5">
      <c r="A1881" s="69">
        <v>1753</v>
      </c>
      <c r="E1881" s="70" t="s">
        <v>5601</v>
      </c>
    </row>
    <row r="1882" spans="1:5">
      <c r="A1882" s="69">
        <v>1754</v>
      </c>
      <c r="E1882" s="71"/>
    </row>
    <row r="1883" spans="1:5">
      <c r="A1883" s="69">
        <v>1755</v>
      </c>
      <c r="E1883" s="70" t="s">
        <v>6747</v>
      </c>
    </row>
    <row r="1884" spans="1:5">
      <c r="A1884" s="69">
        <v>1756</v>
      </c>
      <c r="E1884" s="70" t="s">
        <v>6748</v>
      </c>
    </row>
    <row r="1885" spans="1:5">
      <c r="A1885" s="69">
        <v>1757</v>
      </c>
      <c r="E1885" s="70" t="s">
        <v>6749</v>
      </c>
    </row>
    <row r="1886" spans="1:5">
      <c r="A1886" s="69">
        <v>1758</v>
      </c>
      <c r="E1886" s="70" t="s">
        <v>6750</v>
      </c>
    </row>
    <row r="1887" spans="1:5">
      <c r="A1887" s="69">
        <v>1759</v>
      </c>
      <c r="E1887" s="70" t="s">
        <v>6751</v>
      </c>
    </row>
    <row r="1888" spans="1:5">
      <c r="A1888" s="69">
        <v>1760</v>
      </c>
      <c r="E1888" s="70" t="s">
        <v>6752</v>
      </c>
    </row>
    <row r="1889" spans="1:5">
      <c r="A1889" s="69">
        <v>1761</v>
      </c>
      <c r="E1889" s="70" t="s">
        <v>6753</v>
      </c>
    </row>
    <row r="1890" spans="1:5">
      <c r="A1890" s="69">
        <v>1762</v>
      </c>
      <c r="E1890" s="70" t="s">
        <v>6754</v>
      </c>
    </row>
    <row r="1891" spans="1:5">
      <c r="A1891" s="69">
        <v>1763</v>
      </c>
      <c r="E1891" s="70" t="s">
        <v>5590</v>
      </c>
    </row>
    <row r="1892" spans="1:5">
      <c r="A1892" s="69">
        <v>1764</v>
      </c>
      <c r="E1892" s="70" t="s">
        <v>6755</v>
      </c>
    </row>
    <row r="1893" spans="1:5">
      <c r="A1893" s="69">
        <v>1765</v>
      </c>
      <c r="E1893" s="70" t="s">
        <v>6756</v>
      </c>
    </row>
    <row r="1894" spans="1:5">
      <c r="A1894" s="69">
        <v>1766</v>
      </c>
      <c r="E1894" s="70" t="s">
        <v>5590</v>
      </c>
    </row>
    <row r="1895" spans="1:5">
      <c r="A1895" s="69">
        <v>1767</v>
      </c>
      <c r="E1895" s="70" t="s">
        <v>5591</v>
      </c>
    </row>
    <row r="1896" spans="1:5">
      <c r="A1896" s="69">
        <v>1768</v>
      </c>
      <c r="E1896" s="70" t="s">
        <v>5601</v>
      </c>
    </row>
    <row r="1897" spans="1:5">
      <c r="A1897" s="69">
        <v>1769</v>
      </c>
      <c r="E1897" s="71"/>
    </row>
    <row r="1898" spans="1:5">
      <c r="A1898" s="69">
        <v>1770</v>
      </c>
      <c r="E1898" s="70" t="s">
        <v>6757</v>
      </c>
    </row>
    <row r="1899" spans="1:5">
      <c r="A1899" s="69">
        <v>1771</v>
      </c>
      <c r="E1899" s="70" t="s">
        <v>6758</v>
      </c>
    </row>
    <row r="1900" spans="1:5">
      <c r="A1900" s="69">
        <v>1772</v>
      </c>
      <c r="E1900" s="70" t="s">
        <v>6759</v>
      </c>
    </row>
    <row r="1901" spans="1:5">
      <c r="A1901" s="69">
        <v>1773</v>
      </c>
      <c r="E1901" s="70" t="s">
        <v>5710</v>
      </c>
    </row>
    <row r="1902" spans="1:5">
      <c r="A1902" s="69">
        <v>1774</v>
      </c>
      <c r="E1902" s="70" t="s">
        <v>6760</v>
      </c>
    </row>
    <row r="1903" spans="1:5">
      <c r="A1903" s="69">
        <v>1775</v>
      </c>
      <c r="E1903" s="70" t="s">
        <v>6761</v>
      </c>
    </row>
    <row r="1904" spans="1:5">
      <c r="A1904" s="69">
        <v>1776</v>
      </c>
      <c r="E1904" s="70" t="s">
        <v>6762</v>
      </c>
    </row>
    <row r="1905" spans="1:5">
      <c r="A1905" s="69">
        <v>1777</v>
      </c>
      <c r="E1905" s="70" t="s">
        <v>6763</v>
      </c>
    </row>
    <row r="1906" spans="1:5">
      <c r="A1906" s="69">
        <v>1778</v>
      </c>
      <c r="E1906" s="70" t="s">
        <v>6764</v>
      </c>
    </row>
    <row r="1907" spans="1:5">
      <c r="A1907" s="69">
        <v>1779</v>
      </c>
      <c r="E1907" s="70" t="s">
        <v>5590</v>
      </c>
    </row>
    <row r="1908" spans="1:5">
      <c r="A1908" s="69">
        <v>1780</v>
      </c>
      <c r="E1908" s="70" t="s">
        <v>5591</v>
      </c>
    </row>
    <row r="1909" spans="1:5">
      <c r="A1909" s="69">
        <v>1781</v>
      </c>
      <c r="E1909" s="70" t="s">
        <v>5601</v>
      </c>
    </row>
    <row r="1910" spans="1:5">
      <c r="A1910" s="69">
        <v>1782</v>
      </c>
      <c r="E1910" s="71"/>
    </row>
    <row r="1911" spans="1:5">
      <c r="A1911" s="69">
        <v>1783</v>
      </c>
      <c r="E1911" s="70" t="s">
        <v>6765</v>
      </c>
    </row>
    <row r="1912" spans="1:5">
      <c r="A1912" s="69">
        <v>1784</v>
      </c>
      <c r="E1912" s="70" t="s">
        <v>5608</v>
      </c>
    </row>
    <row r="1913" spans="1:5">
      <c r="A1913" s="69">
        <v>1785</v>
      </c>
      <c r="E1913" s="70" t="s">
        <v>6766</v>
      </c>
    </row>
    <row r="1914" spans="1:5">
      <c r="A1914" s="69">
        <v>1786</v>
      </c>
      <c r="E1914" s="70" t="s">
        <v>6767</v>
      </c>
    </row>
    <row r="1915" spans="1:5">
      <c r="A1915" s="69">
        <v>1787</v>
      </c>
      <c r="E1915" s="70" t="s">
        <v>6768</v>
      </c>
    </row>
    <row r="1916" spans="1:5">
      <c r="A1916" s="69">
        <v>1788</v>
      </c>
      <c r="E1916" s="70" t="s">
        <v>5612</v>
      </c>
    </row>
    <row r="1917" spans="1:5">
      <c r="A1917" s="69">
        <v>1789</v>
      </c>
      <c r="E1917" s="70" t="s">
        <v>5601</v>
      </c>
    </row>
    <row r="1918" spans="1:5">
      <c r="A1918" s="69">
        <v>1790</v>
      </c>
      <c r="E1918" s="71"/>
    </row>
    <row r="1919" spans="1:5">
      <c r="A1919" s="69">
        <v>1791</v>
      </c>
      <c r="E1919" s="70" t="s">
        <v>6769</v>
      </c>
    </row>
    <row r="1920" spans="1:5">
      <c r="A1920" s="69">
        <v>1792</v>
      </c>
      <c r="E1920" s="70" t="s">
        <v>5605</v>
      </c>
    </row>
    <row r="1921" spans="1:5">
      <c r="A1921" s="69">
        <v>1793</v>
      </c>
      <c r="E1921" s="70" t="s">
        <v>6770</v>
      </c>
    </row>
    <row r="1922" spans="1:5">
      <c r="A1922" s="69">
        <v>1794</v>
      </c>
      <c r="E1922" s="70" t="s">
        <v>6771</v>
      </c>
    </row>
    <row r="1923" spans="1:5">
      <c r="A1923" s="69">
        <v>1795</v>
      </c>
      <c r="E1923" s="70" t="s">
        <v>5613</v>
      </c>
    </row>
    <row r="1924" spans="1:5">
      <c r="A1924" s="69">
        <v>1796</v>
      </c>
      <c r="E1924" s="70" t="s">
        <v>5614</v>
      </c>
    </row>
    <row r="1925" spans="1:5">
      <c r="A1925" s="69">
        <v>1797</v>
      </c>
      <c r="E1925" s="70" t="s">
        <v>6772</v>
      </c>
    </row>
    <row r="1926" spans="1:5">
      <c r="A1926" s="69">
        <v>1798</v>
      </c>
      <c r="E1926" s="70" t="s">
        <v>5601</v>
      </c>
    </row>
    <row r="1927" spans="1:5">
      <c r="A1927" s="69">
        <v>1799</v>
      </c>
      <c r="E1927" s="71"/>
    </row>
    <row r="1928" spans="1:5">
      <c r="A1928" s="69">
        <v>1800</v>
      </c>
      <c r="E1928" s="70" t="s">
        <v>6773</v>
      </c>
    </row>
    <row r="1929" spans="1:5">
      <c r="A1929" s="69">
        <v>1801</v>
      </c>
      <c r="E1929" s="70" t="s">
        <v>6774</v>
      </c>
    </row>
    <row r="1930" spans="1:5">
      <c r="A1930" s="69">
        <v>1802</v>
      </c>
      <c r="E1930" s="70" t="s">
        <v>6775</v>
      </c>
    </row>
    <row r="1931" spans="1:5">
      <c r="A1931" s="69">
        <v>1803</v>
      </c>
      <c r="E1931" s="70" t="s">
        <v>6776</v>
      </c>
    </row>
    <row r="1932" spans="1:5">
      <c r="A1932" s="69">
        <v>1804</v>
      </c>
      <c r="E1932" s="70" t="s">
        <v>6777</v>
      </c>
    </row>
    <row r="1933" spans="1:5">
      <c r="A1933" s="69">
        <v>1805</v>
      </c>
      <c r="E1933" s="70" t="s">
        <v>6778</v>
      </c>
    </row>
    <row r="1934" spans="1:5">
      <c r="A1934" s="69">
        <v>1806</v>
      </c>
      <c r="E1934" s="70" t="s">
        <v>6779</v>
      </c>
    </row>
    <row r="1935" spans="1:5">
      <c r="A1935" s="69">
        <v>1807</v>
      </c>
      <c r="E1935" s="70" t="s">
        <v>6780</v>
      </c>
    </row>
    <row r="1936" spans="1:5">
      <c r="A1936" s="69">
        <v>1808</v>
      </c>
      <c r="E1936" s="70" t="s">
        <v>6781</v>
      </c>
    </row>
    <row r="1937" spans="1:5">
      <c r="A1937" s="69">
        <v>1809</v>
      </c>
      <c r="E1937" s="70" t="s">
        <v>6782</v>
      </c>
    </row>
    <row r="1938" spans="1:5">
      <c r="A1938" s="69">
        <v>1810</v>
      </c>
      <c r="E1938" s="70" t="s">
        <v>6783</v>
      </c>
    </row>
    <row r="1939" spans="1:5">
      <c r="A1939" s="69">
        <v>1811</v>
      </c>
      <c r="E1939" s="70" t="s">
        <v>5549</v>
      </c>
    </row>
    <row r="1940" spans="1:5">
      <c r="A1940" s="69">
        <v>1812</v>
      </c>
      <c r="E1940" s="71"/>
    </row>
    <row r="1941" spans="1:5">
      <c r="A1941" s="69">
        <v>1813</v>
      </c>
      <c r="E1941" s="70" t="s">
        <v>5480</v>
      </c>
    </row>
    <row r="1942" spans="1:5">
      <c r="A1942" s="69">
        <v>1814</v>
      </c>
      <c r="E1942" s="70" t="s">
        <v>6784</v>
      </c>
    </row>
    <row r="1943" spans="1:5">
      <c r="A1943" s="69">
        <v>1815</v>
      </c>
      <c r="E1943" s="70" t="s">
        <v>5480</v>
      </c>
    </row>
    <row r="1944" spans="1:5">
      <c r="A1944" s="69">
        <v>1816</v>
      </c>
      <c r="E1944" s="70" t="s">
        <v>6785</v>
      </c>
    </row>
    <row r="1945" spans="1:5">
      <c r="A1945" s="69">
        <v>1817</v>
      </c>
      <c r="E1945" s="70" t="s">
        <v>6786</v>
      </c>
    </row>
    <row r="1946" spans="1:5">
      <c r="A1946" s="69">
        <v>1818</v>
      </c>
      <c r="E1946" s="70" t="s">
        <v>6787</v>
      </c>
    </row>
    <row r="1947" spans="1:5">
      <c r="A1947" s="69">
        <v>1819</v>
      </c>
      <c r="E1947" s="70" t="s">
        <v>5633</v>
      </c>
    </row>
    <row r="1948" spans="1:5">
      <c r="A1948" s="69">
        <v>1820</v>
      </c>
      <c r="E1948" s="70" t="s">
        <v>5706</v>
      </c>
    </row>
    <row r="1949" spans="1:5">
      <c r="A1949" s="69">
        <v>1821</v>
      </c>
      <c r="E1949" s="70" t="s">
        <v>6788</v>
      </c>
    </row>
    <row r="1950" spans="1:5">
      <c r="A1950" s="69">
        <v>1822</v>
      </c>
      <c r="E1950" s="70" t="s">
        <v>6789</v>
      </c>
    </row>
    <row r="1951" spans="1:5">
      <c r="A1951" s="69">
        <v>1823</v>
      </c>
      <c r="E1951" s="70" t="s">
        <v>6790</v>
      </c>
    </row>
    <row r="1952" spans="1:5">
      <c r="A1952" s="69">
        <v>1824</v>
      </c>
      <c r="E1952" s="70" t="s">
        <v>6791</v>
      </c>
    </row>
    <row r="1953" spans="1:5">
      <c r="A1953" s="69">
        <v>1825</v>
      </c>
      <c r="E1953" s="70" t="s">
        <v>5591</v>
      </c>
    </row>
    <row r="1954" spans="1:5">
      <c r="A1954" s="69">
        <v>1826</v>
      </c>
      <c r="E1954" s="70" t="s">
        <v>6792</v>
      </c>
    </row>
    <row r="1955" spans="1:5">
      <c r="A1955" s="69">
        <v>1827</v>
      </c>
      <c r="E1955" s="70" t="s">
        <v>5601</v>
      </c>
    </row>
    <row r="1956" spans="1:5">
      <c r="A1956" s="69">
        <v>1828</v>
      </c>
      <c r="E1956" s="71"/>
    </row>
    <row r="1957" spans="1:5">
      <c r="A1957" s="69">
        <v>1829</v>
      </c>
      <c r="E1957" s="70" t="s">
        <v>6793</v>
      </c>
    </row>
    <row r="1958" spans="1:5">
      <c r="A1958" s="69">
        <v>1830</v>
      </c>
      <c r="E1958" s="70" t="s">
        <v>6794</v>
      </c>
    </row>
    <row r="1959" spans="1:5">
      <c r="A1959" s="69">
        <v>1831</v>
      </c>
      <c r="E1959" s="70" t="s">
        <v>5601</v>
      </c>
    </row>
    <row r="1960" spans="1:5">
      <c r="A1960" s="69">
        <v>1832</v>
      </c>
      <c r="E1960" s="71"/>
    </row>
    <row r="1961" spans="1:5">
      <c r="A1961" s="69">
        <v>1833</v>
      </c>
      <c r="E1961" s="70" t="s">
        <v>6795</v>
      </c>
    </row>
    <row r="1962" spans="1:5">
      <c r="A1962" s="69">
        <v>1834</v>
      </c>
      <c r="E1962" s="70" t="s">
        <v>6027</v>
      </c>
    </row>
    <row r="1963" spans="1:5">
      <c r="A1963" s="69">
        <v>1835</v>
      </c>
      <c r="E1963" s="70" t="s">
        <v>6796</v>
      </c>
    </row>
    <row r="1964" spans="1:5">
      <c r="A1964" s="69">
        <v>1836</v>
      </c>
      <c r="E1964" s="70" t="s">
        <v>6797</v>
      </c>
    </row>
    <row r="1965" spans="1:5">
      <c r="A1965" s="69">
        <v>1837</v>
      </c>
      <c r="E1965" s="70" t="s">
        <v>5591</v>
      </c>
    </row>
    <row r="1966" spans="1:5">
      <c r="A1966" s="69">
        <v>1838</v>
      </c>
      <c r="E1966" s="70" t="s">
        <v>5601</v>
      </c>
    </row>
    <row r="1967" spans="1:5">
      <c r="A1967" s="69">
        <v>1839</v>
      </c>
      <c r="E1967" s="71"/>
    </row>
    <row r="1968" spans="1:5">
      <c r="A1968" s="69">
        <v>1840</v>
      </c>
      <c r="E1968" s="70" t="s">
        <v>6798</v>
      </c>
    </row>
    <row r="1969" spans="1:5">
      <c r="A1969" s="69">
        <v>1841</v>
      </c>
      <c r="E1969" s="70" t="s">
        <v>6488</v>
      </c>
    </row>
    <row r="1970" spans="1:5">
      <c r="A1970" s="69">
        <v>1842</v>
      </c>
      <c r="E1970" s="70" t="s">
        <v>6799</v>
      </c>
    </row>
    <row r="1971" spans="1:5">
      <c r="A1971" s="69">
        <v>1843</v>
      </c>
      <c r="E1971" s="70" t="s">
        <v>6800</v>
      </c>
    </row>
    <row r="1972" spans="1:5">
      <c r="A1972" s="69">
        <v>1844</v>
      </c>
      <c r="E1972" s="70" t="s">
        <v>5601</v>
      </c>
    </row>
    <row r="1973" spans="1:5">
      <c r="A1973" s="69">
        <v>1845</v>
      </c>
      <c r="E1973" s="71"/>
    </row>
    <row r="1974" spans="1:5">
      <c r="A1974" s="69">
        <v>1846</v>
      </c>
      <c r="E1974" s="70" t="s">
        <v>5480</v>
      </c>
    </row>
    <row r="1975" spans="1:5">
      <c r="A1975" s="69">
        <v>1847</v>
      </c>
      <c r="E1975" s="70" t="s">
        <v>6801</v>
      </c>
    </row>
    <row r="1976" spans="1:5">
      <c r="A1976" s="69">
        <v>1848</v>
      </c>
      <c r="E1976" s="70" t="s">
        <v>5480</v>
      </c>
    </row>
    <row r="1977" spans="1:5">
      <c r="A1977" s="69">
        <v>1849</v>
      </c>
      <c r="E1977" s="70" t="s">
        <v>6802</v>
      </c>
    </row>
    <row r="1978" spans="1:5">
      <c r="A1978" s="69">
        <v>1850</v>
      </c>
      <c r="E1978" s="70" t="s">
        <v>6803</v>
      </c>
    </row>
    <row r="1979" spans="1:5">
      <c r="A1979" s="69">
        <v>1851</v>
      </c>
      <c r="E1979" s="70" t="s">
        <v>5601</v>
      </c>
    </row>
    <row r="1980" spans="1:5">
      <c r="A1980" s="69">
        <v>1852</v>
      </c>
      <c r="E1980" s="71"/>
    </row>
    <row r="1981" spans="1:5">
      <c r="A1981" s="69">
        <v>1853</v>
      </c>
      <c r="E1981" s="70" t="s">
        <v>6804</v>
      </c>
    </row>
    <row r="1982" spans="1:5">
      <c r="A1982" s="69">
        <v>1854</v>
      </c>
      <c r="E1982" s="70" t="s">
        <v>6805</v>
      </c>
    </row>
    <row r="1983" spans="1:5">
      <c r="A1983" s="69">
        <v>1855</v>
      </c>
      <c r="E1983" s="70" t="s">
        <v>6806</v>
      </c>
    </row>
    <row r="1984" spans="1:5">
      <c r="A1984" s="69">
        <v>1856</v>
      </c>
      <c r="E1984" s="70" t="s">
        <v>6807</v>
      </c>
    </row>
    <row r="1985" spans="1:5">
      <c r="A1985" s="69">
        <v>1857</v>
      </c>
      <c r="E1985" s="70" t="s">
        <v>6808</v>
      </c>
    </row>
    <row r="1986" spans="1:5">
      <c r="A1986" s="69">
        <v>1858</v>
      </c>
      <c r="E1986" s="70" t="s">
        <v>5549</v>
      </c>
    </row>
    <row r="1987" spans="1:5">
      <c r="A1987" s="69">
        <v>1859</v>
      </c>
      <c r="E1987" s="71"/>
    </row>
    <row r="1988" spans="1:5">
      <c r="A1988" s="69">
        <v>1860</v>
      </c>
      <c r="E1988" s="70" t="s">
        <v>6809</v>
      </c>
    </row>
    <row r="1989" spans="1:5">
      <c r="A1989" s="69">
        <v>1861</v>
      </c>
      <c r="E1989" s="70" t="s">
        <v>6810</v>
      </c>
    </row>
    <row r="1990" spans="1:5">
      <c r="A1990" s="69">
        <v>1862</v>
      </c>
      <c r="E1990" s="70" t="s">
        <v>6811</v>
      </c>
    </row>
    <row r="1991" spans="1:5">
      <c r="A1991" s="69">
        <v>1863</v>
      </c>
      <c r="E1991" s="70" t="s">
        <v>5601</v>
      </c>
    </row>
    <row r="1992" spans="1:5">
      <c r="A1992" s="69">
        <v>1864</v>
      </c>
      <c r="E1992" s="71"/>
    </row>
    <row r="1993" spans="1:5">
      <c r="A1993" s="69">
        <v>1865</v>
      </c>
      <c r="E1993" s="70" t="s">
        <v>6812</v>
      </c>
    </row>
    <row r="1994" spans="1:5">
      <c r="A1994" s="69">
        <v>1866</v>
      </c>
      <c r="E1994" s="70" t="s">
        <v>6813</v>
      </c>
    </row>
    <row r="1995" spans="1:5">
      <c r="A1995" s="69">
        <v>1867</v>
      </c>
      <c r="E1995" s="70" t="s">
        <v>5601</v>
      </c>
    </row>
    <row r="1996" spans="1:5">
      <c r="A1996" s="69">
        <v>1868</v>
      </c>
      <c r="E1996" s="71"/>
    </row>
    <row r="1997" spans="1:5">
      <c r="A1997" s="69">
        <v>1869</v>
      </c>
      <c r="E1997" s="70" t="s">
        <v>6814</v>
      </c>
    </row>
    <row r="1998" spans="1:5">
      <c r="A1998" s="69">
        <v>1870</v>
      </c>
      <c r="E1998" s="70" t="s">
        <v>6815</v>
      </c>
    </row>
    <row r="1999" spans="1:5">
      <c r="A1999" s="69">
        <v>1871</v>
      </c>
      <c r="E1999" s="70" t="s">
        <v>5605</v>
      </c>
    </row>
    <row r="2000" spans="1:5">
      <c r="A2000" s="69">
        <v>1872</v>
      </c>
      <c r="E2000" s="70" t="s">
        <v>6816</v>
      </c>
    </row>
    <row r="2001" spans="1:5">
      <c r="A2001" s="69">
        <v>1873</v>
      </c>
      <c r="E2001" s="70" t="s">
        <v>6817</v>
      </c>
    </row>
    <row r="2002" spans="1:5">
      <c r="A2002" s="69">
        <v>1874</v>
      </c>
      <c r="E2002" s="70" t="s">
        <v>6818</v>
      </c>
    </row>
    <row r="2003" spans="1:5">
      <c r="A2003" s="69">
        <v>1875</v>
      </c>
      <c r="E2003" s="70" t="s">
        <v>6819</v>
      </c>
    </row>
    <row r="2004" spans="1:5">
      <c r="A2004" s="69">
        <v>1876</v>
      </c>
      <c r="E2004" s="70" t="s">
        <v>6820</v>
      </c>
    </row>
    <row r="2005" spans="1:5">
      <c r="A2005" s="69">
        <v>1877</v>
      </c>
      <c r="E2005" s="70" t="s">
        <v>6821</v>
      </c>
    </row>
    <row r="2006" spans="1:5">
      <c r="A2006" s="69">
        <v>1878</v>
      </c>
      <c r="E2006" s="70" t="s">
        <v>6822</v>
      </c>
    </row>
    <row r="2007" spans="1:5">
      <c r="A2007" s="69">
        <v>1879</v>
      </c>
      <c r="E2007" s="70" t="s">
        <v>6823</v>
      </c>
    </row>
    <row r="2008" spans="1:5">
      <c r="A2008" s="69">
        <v>1880</v>
      </c>
      <c r="E2008" s="70" t="s">
        <v>5590</v>
      </c>
    </row>
    <row r="2009" spans="1:5">
      <c r="A2009" s="69">
        <v>1881</v>
      </c>
      <c r="E2009" s="70" t="s">
        <v>6447</v>
      </c>
    </row>
    <row r="2010" spans="1:5">
      <c r="A2010" s="69">
        <v>1882</v>
      </c>
      <c r="E2010" s="70" t="s">
        <v>5564</v>
      </c>
    </row>
    <row r="2011" spans="1:5">
      <c r="A2011" s="69">
        <v>1883</v>
      </c>
      <c r="E2011" s="70" t="s">
        <v>6824</v>
      </c>
    </row>
    <row r="2012" spans="1:5">
      <c r="A2012" s="69">
        <v>1884</v>
      </c>
      <c r="E2012" s="70" t="s">
        <v>6825</v>
      </c>
    </row>
    <row r="2013" spans="1:5">
      <c r="A2013" s="69">
        <v>1885</v>
      </c>
      <c r="E2013" s="70" t="s">
        <v>6826</v>
      </c>
    </row>
    <row r="2014" spans="1:5">
      <c r="A2014" s="69">
        <v>1886</v>
      </c>
      <c r="E2014" s="70" t="s">
        <v>6827</v>
      </c>
    </row>
    <row r="2015" spans="1:5">
      <c r="A2015" s="69">
        <v>1887</v>
      </c>
      <c r="E2015" s="70" t="s">
        <v>6828</v>
      </c>
    </row>
    <row r="2016" spans="1:5">
      <c r="A2016" s="69">
        <v>1888</v>
      </c>
      <c r="E2016" s="70" t="s">
        <v>5614</v>
      </c>
    </row>
    <row r="2017" spans="1:5">
      <c r="A2017" s="69">
        <v>1889</v>
      </c>
      <c r="E2017" s="70" t="s">
        <v>5601</v>
      </c>
    </row>
    <row r="2018" spans="1:5">
      <c r="A2018" s="69">
        <v>1890</v>
      </c>
      <c r="E2018" s="71"/>
    </row>
    <row r="2019" spans="1:5">
      <c r="A2019" s="69">
        <v>1891</v>
      </c>
      <c r="E2019" s="70" t="s">
        <v>6829</v>
      </c>
    </row>
    <row r="2020" spans="1:5">
      <c r="A2020" s="69">
        <v>1892</v>
      </c>
      <c r="E2020" s="70" t="s">
        <v>6830</v>
      </c>
    </row>
    <row r="2021" spans="1:5">
      <c r="A2021" s="69">
        <v>1893</v>
      </c>
      <c r="E2021" s="70" t="s">
        <v>6831</v>
      </c>
    </row>
    <row r="2022" spans="1:5">
      <c r="A2022" s="69">
        <v>1894</v>
      </c>
      <c r="E2022" s="70" t="s">
        <v>5605</v>
      </c>
    </row>
    <row r="2023" spans="1:5">
      <c r="A2023" s="69">
        <v>1895</v>
      </c>
      <c r="E2023" s="70" t="s">
        <v>6816</v>
      </c>
    </row>
    <row r="2024" spans="1:5">
      <c r="A2024" s="69">
        <v>1896</v>
      </c>
      <c r="E2024" s="70" t="s">
        <v>6832</v>
      </c>
    </row>
    <row r="2025" spans="1:5">
      <c r="A2025" s="69">
        <v>1897</v>
      </c>
      <c r="E2025" s="70" t="s">
        <v>6818</v>
      </c>
    </row>
    <row r="2026" spans="1:5">
      <c r="A2026" s="69">
        <v>1898</v>
      </c>
      <c r="E2026" s="70" t="s">
        <v>6833</v>
      </c>
    </row>
    <row r="2027" spans="1:5">
      <c r="A2027" s="69">
        <v>1899</v>
      </c>
      <c r="E2027" s="70" t="s">
        <v>6447</v>
      </c>
    </row>
    <row r="2028" spans="1:5">
      <c r="A2028" s="69">
        <v>1900</v>
      </c>
      <c r="E2028" s="70" t="s">
        <v>5564</v>
      </c>
    </row>
    <row r="2029" spans="1:5">
      <c r="A2029" s="69">
        <v>1901</v>
      </c>
      <c r="E2029" s="70" t="s">
        <v>6824</v>
      </c>
    </row>
    <row r="2030" spans="1:5">
      <c r="A2030" s="69">
        <v>1902</v>
      </c>
      <c r="E2030" s="70" t="s">
        <v>6834</v>
      </c>
    </row>
    <row r="2031" spans="1:5">
      <c r="A2031" s="69">
        <v>1903</v>
      </c>
      <c r="E2031" s="70" t="s">
        <v>6835</v>
      </c>
    </row>
    <row r="2032" spans="1:5">
      <c r="A2032" s="69">
        <v>1904</v>
      </c>
      <c r="E2032" s="70" t="s">
        <v>6836</v>
      </c>
    </row>
    <row r="2033" spans="1:5">
      <c r="A2033" s="69">
        <v>1905</v>
      </c>
      <c r="E2033" s="70" t="s">
        <v>6837</v>
      </c>
    </row>
    <row r="2034" spans="1:5">
      <c r="A2034" s="69">
        <v>1906</v>
      </c>
      <c r="E2034" s="70" t="s">
        <v>5612</v>
      </c>
    </row>
    <row r="2035" spans="1:5">
      <c r="A2035" s="69">
        <v>1907</v>
      </c>
      <c r="E2035" s="70" t="s">
        <v>5614</v>
      </c>
    </row>
    <row r="2036" spans="1:5">
      <c r="A2036" s="69">
        <v>1908</v>
      </c>
      <c r="E2036" s="70" t="s">
        <v>5601</v>
      </c>
    </row>
    <row r="2037" spans="1:5">
      <c r="A2037" s="69">
        <v>1909</v>
      </c>
      <c r="E2037" s="71"/>
    </row>
    <row r="2038" spans="1:5">
      <c r="A2038" s="69">
        <v>1910</v>
      </c>
      <c r="E2038" s="70" t="s">
        <v>6838</v>
      </c>
    </row>
    <row r="2039" spans="1:5">
      <c r="A2039" s="69">
        <v>1911</v>
      </c>
      <c r="E2039" s="70" t="s">
        <v>6839</v>
      </c>
    </row>
    <row r="2040" spans="1:5">
      <c r="A2040" s="69">
        <v>1912</v>
      </c>
      <c r="E2040" s="70" t="s">
        <v>6816</v>
      </c>
    </row>
    <row r="2041" spans="1:5">
      <c r="A2041" s="69">
        <v>1913</v>
      </c>
      <c r="E2041" s="70" t="s">
        <v>6840</v>
      </c>
    </row>
    <row r="2042" spans="1:5">
      <c r="A2042" s="69">
        <v>1914</v>
      </c>
      <c r="E2042" s="70" t="s">
        <v>6841</v>
      </c>
    </row>
    <row r="2043" spans="1:5">
      <c r="A2043" s="69">
        <v>1915</v>
      </c>
      <c r="E2043" s="70" t="s">
        <v>6842</v>
      </c>
    </row>
    <row r="2044" spans="1:5">
      <c r="A2044" s="69">
        <v>1916</v>
      </c>
      <c r="E2044" s="70" t="s">
        <v>5601</v>
      </c>
    </row>
    <row r="2045" spans="1:5">
      <c r="A2045" s="69">
        <v>1917</v>
      </c>
      <c r="E2045" s="71"/>
    </row>
    <row r="2046" spans="1:5">
      <c r="A2046" s="69">
        <v>1918</v>
      </c>
      <c r="E2046" s="70" t="s">
        <v>6843</v>
      </c>
    </row>
    <row r="2047" spans="1:5">
      <c r="A2047" s="69">
        <v>1919</v>
      </c>
      <c r="E2047" s="70" t="s">
        <v>6844</v>
      </c>
    </row>
    <row r="2048" spans="1:5">
      <c r="A2048" s="69">
        <v>1920</v>
      </c>
      <c r="E2048" s="70" t="s">
        <v>6845</v>
      </c>
    </row>
    <row r="2049" spans="1:5">
      <c r="A2049" s="69">
        <v>1921</v>
      </c>
      <c r="E2049" s="70" t="s">
        <v>6846</v>
      </c>
    </row>
    <row r="2050" spans="1:5">
      <c r="A2050" s="69">
        <v>1922</v>
      </c>
      <c r="E2050" s="70" t="s">
        <v>6847</v>
      </c>
    </row>
    <row r="2051" spans="1:5">
      <c r="A2051" s="69">
        <v>1923</v>
      </c>
      <c r="E2051" s="70" t="s">
        <v>6848</v>
      </c>
    </row>
    <row r="2052" spans="1:5">
      <c r="A2052" s="69">
        <v>1924</v>
      </c>
      <c r="E2052" s="70" t="s">
        <v>6849</v>
      </c>
    </row>
    <row r="2053" spans="1:5">
      <c r="A2053" s="69">
        <v>1925</v>
      </c>
      <c r="E2053" s="70" t="s">
        <v>6850</v>
      </c>
    </row>
    <row r="2054" spans="1:5">
      <c r="A2054" s="69">
        <v>1926</v>
      </c>
      <c r="E2054" s="70" t="s">
        <v>6851</v>
      </c>
    </row>
    <row r="2055" spans="1:5">
      <c r="A2055" s="69">
        <v>1927</v>
      </c>
      <c r="E2055" s="70" t="s">
        <v>5587</v>
      </c>
    </row>
    <row r="2056" spans="1:5">
      <c r="A2056" s="69">
        <v>1928</v>
      </c>
      <c r="E2056" s="70" t="s">
        <v>6852</v>
      </c>
    </row>
    <row r="2057" spans="1:5">
      <c r="A2057" s="69">
        <v>1929</v>
      </c>
      <c r="E2057" s="70" t="s">
        <v>5590</v>
      </c>
    </row>
    <row r="2058" spans="1:5">
      <c r="A2058" s="69">
        <v>1930</v>
      </c>
      <c r="E2058" s="70" t="s">
        <v>5591</v>
      </c>
    </row>
    <row r="2059" spans="1:5">
      <c r="A2059" s="69">
        <v>1931</v>
      </c>
      <c r="E2059" s="70" t="s">
        <v>6853</v>
      </c>
    </row>
    <row r="2060" spans="1:5">
      <c r="A2060" s="69">
        <v>1932</v>
      </c>
      <c r="E2060" s="70" t="s">
        <v>5601</v>
      </c>
    </row>
    <row r="2061" spans="1:5">
      <c r="A2061" s="69">
        <v>1933</v>
      </c>
      <c r="E2061" s="71"/>
    </row>
    <row r="2062" spans="1:5">
      <c r="A2062" s="69">
        <v>1934</v>
      </c>
      <c r="E2062" s="70" t="s">
        <v>6854</v>
      </c>
    </row>
    <row r="2063" spans="1:5">
      <c r="A2063" s="69">
        <v>1935</v>
      </c>
      <c r="E2063" s="70" t="s">
        <v>6855</v>
      </c>
    </row>
    <row r="2064" spans="1:5">
      <c r="A2064" s="69">
        <v>1936</v>
      </c>
      <c r="E2064" s="70" t="s">
        <v>6856</v>
      </c>
    </row>
    <row r="2065" spans="1:5">
      <c r="A2065" s="69">
        <v>1937</v>
      </c>
      <c r="E2065" s="70" t="s">
        <v>6857</v>
      </c>
    </row>
    <row r="2066" spans="1:5">
      <c r="A2066" s="69">
        <v>1938</v>
      </c>
      <c r="E2066" s="70" t="s">
        <v>5601</v>
      </c>
    </row>
    <row r="2067" spans="1:5">
      <c r="A2067" s="69">
        <v>1939</v>
      </c>
      <c r="E2067" s="71"/>
    </row>
    <row r="2068" spans="1:5">
      <c r="A2068" s="69">
        <v>1940</v>
      </c>
      <c r="E2068" s="70" t="s">
        <v>6858</v>
      </c>
    </row>
    <row r="2069" spans="1:5">
      <c r="A2069" s="69">
        <v>1941</v>
      </c>
      <c r="E2069" s="70" t="s">
        <v>6859</v>
      </c>
    </row>
    <row r="2070" spans="1:5">
      <c r="A2070" s="69">
        <v>1942</v>
      </c>
      <c r="E2070" s="70" t="s">
        <v>6860</v>
      </c>
    </row>
    <row r="2071" spans="1:5">
      <c r="A2071" s="69">
        <v>1943</v>
      </c>
      <c r="E2071" s="70" t="s">
        <v>6861</v>
      </c>
    </row>
    <row r="2072" spans="1:5">
      <c r="A2072" s="69">
        <v>1944</v>
      </c>
      <c r="E2072" s="70" t="s">
        <v>6862</v>
      </c>
    </row>
    <row r="2073" spans="1:5">
      <c r="A2073" s="69">
        <v>1945</v>
      </c>
      <c r="E2073" s="70" t="s">
        <v>6863</v>
      </c>
    </row>
    <row r="2074" spans="1:5">
      <c r="A2074" s="69">
        <v>1946</v>
      </c>
      <c r="E2074" s="70" t="s">
        <v>5601</v>
      </c>
    </row>
    <row r="2075" spans="1:5">
      <c r="A2075" s="69">
        <v>1947</v>
      </c>
      <c r="E2075" s="71"/>
    </row>
    <row r="2076" spans="1:5">
      <c r="A2076" s="69">
        <v>1948</v>
      </c>
      <c r="E2076" s="70" t="s">
        <v>6864</v>
      </c>
    </row>
    <row r="2077" spans="1:5">
      <c r="A2077" s="69">
        <v>1949</v>
      </c>
      <c r="E2077" s="70" t="s">
        <v>6865</v>
      </c>
    </row>
    <row r="2078" spans="1:5">
      <c r="A2078" s="69">
        <v>1950</v>
      </c>
      <c r="E2078" s="70" t="s">
        <v>6866</v>
      </c>
    </row>
    <row r="2079" spans="1:5">
      <c r="A2079" s="69">
        <v>1951</v>
      </c>
      <c r="E2079" s="70" t="s">
        <v>6867</v>
      </c>
    </row>
    <row r="2080" spans="1:5">
      <c r="A2080" s="69">
        <v>1952</v>
      </c>
      <c r="E2080" s="70" t="s">
        <v>6868</v>
      </c>
    </row>
    <row r="2081" spans="1:5">
      <c r="A2081" s="69">
        <v>1953</v>
      </c>
      <c r="E2081" s="70" t="s">
        <v>5601</v>
      </c>
    </row>
    <row r="2082" spans="1:5">
      <c r="A2082" s="69">
        <v>1954</v>
      </c>
      <c r="E2082" s="71"/>
    </row>
    <row r="2083" spans="1:5">
      <c r="A2083" s="69">
        <v>1955</v>
      </c>
      <c r="E2083" s="70" t="s">
        <v>6869</v>
      </c>
    </row>
    <row r="2084" spans="1:5">
      <c r="A2084" s="69">
        <v>1956</v>
      </c>
      <c r="E2084" s="70" t="s">
        <v>6870</v>
      </c>
    </row>
    <row r="2085" spans="1:5">
      <c r="A2085" s="69">
        <v>1957</v>
      </c>
      <c r="E2085" s="70" t="s">
        <v>5601</v>
      </c>
    </row>
    <row r="2086" spans="1:5">
      <c r="A2086" s="69">
        <v>1958</v>
      </c>
      <c r="E2086" s="71"/>
    </row>
    <row r="2087" spans="1:5">
      <c r="A2087" s="69">
        <v>1959</v>
      </c>
      <c r="E2087" s="70" t="s">
        <v>6871</v>
      </c>
    </row>
    <row r="2088" spans="1:5">
      <c r="A2088" s="69">
        <v>1960</v>
      </c>
      <c r="E2088" s="70" t="s">
        <v>6872</v>
      </c>
    </row>
    <row r="2089" spans="1:5">
      <c r="A2089" s="69">
        <v>1961</v>
      </c>
      <c r="E2089" s="70" t="s">
        <v>5601</v>
      </c>
    </row>
    <row r="2090" spans="1:5">
      <c r="A2090" s="69">
        <v>1962</v>
      </c>
      <c r="E2090" s="71"/>
    </row>
    <row r="2091" spans="1:5">
      <c r="A2091" s="69">
        <v>1963</v>
      </c>
      <c r="E2091" s="70" t="s">
        <v>6873</v>
      </c>
    </row>
    <row r="2092" spans="1:5">
      <c r="A2092" s="69">
        <v>1964</v>
      </c>
      <c r="E2092" s="70" t="s">
        <v>6874</v>
      </c>
    </row>
    <row r="2093" spans="1:5">
      <c r="A2093" s="69">
        <v>1965</v>
      </c>
      <c r="E2093" s="70" t="s">
        <v>6875</v>
      </c>
    </row>
    <row r="2094" spans="1:5">
      <c r="A2094" s="69">
        <v>1966</v>
      </c>
      <c r="E2094" s="70" t="s">
        <v>6876</v>
      </c>
    </row>
    <row r="2095" spans="1:5">
      <c r="A2095" s="69">
        <v>1967</v>
      </c>
      <c r="E2095" s="70" t="s">
        <v>6877</v>
      </c>
    </row>
    <row r="2096" spans="1:5">
      <c r="A2096" s="69">
        <v>1968</v>
      </c>
      <c r="E2096" s="70" t="s">
        <v>6878</v>
      </c>
    </row>
    <row r="2097" spans="1:5">
      <c r="A2097" s="69">
        <v>1969</v>
      </c>
      <c r="E2097" s="70" t="s">
        <v>6879</v>
      </c>
    </row>
    <row r="2098" spans="1:5">
      <c r="A2098" s="69">
        <v>1970</v>
      </c>
      <c r="E2098" s="70" t="s">
        <v>6880</v>
      </c>
    </row>
    <row r="2099" spans="1:5">
      <c r="A2099" s="69">
        <v>1971</v>
      </c>
      <c r="E2099" s="70" t="s">
        <v>6881</v>
      </c>
    </row>
    <row r="2100" spans="1:5">
      <c r="A2100" s="69">
        <v>1972</v>
      </c>
      <c r="E2100" s="70" t="s">
        <v>6882</v>
      </c>
    </row>
    <row r="2101" spans="1:5">
      <c r="A2101" s="69">
        <v>1973</v>
      </c>
      <c r="E2101" s="70" t="s">
        <v>5590</v>
      </c>
    </row>
    <row r="2102" spans="1:5">
      <c r="A2102" s="69">
        <v>1974</v>
      </c>
      <c r="E2102" s="70" t="s">
        <v>6634</v>
      </c>
    </row>
    <row r="2103" spans="1:5">
      <c r="A2103" s="69">
        <v>1975</v>
      </c>
      <c r="E2103" s="70" t="s">
        <v>6883</v>
      </c>
    </row>
    <row r="2104" spans="1:5">
      <c r="A2104" s="69">
        <v>1976</v>
      </c>
      <c r="E2104" s="70" t="s">
        <v>6884</v>
      </c>
    </row>
    <row r="2105" spans="1:5">
      <c r="A2105" s="69">
        <v>1977</v>
      </c>
      <c r="E2105" s="70" t="s">
        <v>5549</v>
      </c>
    </row>
    <row r="2106" spans="1:5">
      <c r="A2106" s="69">
        <v>1978</v>
      </c>
      <c r="E2106" s="71"/>
    </row>
    <row r="2107" spans="1:5">
      <c r="A2107" s="69">
        <v>1979</v>
      </c>
      <c r="E2107" s="70" t="s">
        <v>5480</v>
      </c>
    </row>
    <row r="2108" spans="1:5">
      <c r="A2108" s="69">
        <v>1980</v>
      </c>
      <c r="E2108" s="70" t="s">
        <v>6885</v>
      </c>
    </row>
    <row r="2109" spans="1:5">
      <c r="A2109" s="69">
        <v>1981</v>
      </c>
      <c r="E2109" s="70" t="s">
        <v>5480</v>
      </c>
    </row>
    <row r="2110" spans="1:5">
      <c r="A2110" s="69">
        <v>1982</v>
      </c>
      <c r="E2110" s="70" t="s">
        <v>6886</v>
      </c>
    </row>
    <row r="2111" spans="1:5">
      <c r="A2111" s="69">
        <v>1983</v>
      </c>
      <c r="E2111" s="70" t="s">
        <v>6887</v>
      </c>
    </row>
    <row r="2112" spans="1:5">
      <c r="A2112" s="69">
        <v>1984</v>
      </c>
      <c r="E2112" s="70" t="s">
        <v>5601</v>
      </c>
    </row>
    <row r="2113" spans="1:5">
      <c r="A2113" s="69">
        <v>1985</v>
      </c>
      <c r="E2113" s="71"/>
    </row>
    <row r="2114" spans="1:5">
      <c r="A2114" s="69">
        <v>1986</v>
      </c>
      <c r="E2114" s="70" t="s">
        <v>6888</v>
      </c>
    </row>
    <row r="2115" spans="1:5">
      <c r="A2115" s="69">
        <v>1987</v>
      </c>
      <c r="E2115" s="70" t="s">
        <v>6091</v>
      </c>
    </row>
    <row r="2116" spans="1:5">
      <c r="A2116" s="69">
        <v>1988</v>
      </c>
      <c r="E2116" s="70" t="s">
        <v>6889</v>
      </c>
    </row>
    <row r="2117" spans="1:5">
      <c r="A2117" s="69">
        <v>1989</v>
      </c>
      <c r="E2117" s="70" t="s">
        <v>5601</v>
      </c>
    </row>
    <row r="2118" spans="1:5">
      <c r="A2118" s="69">
        <v>1990</v>
      </c>
      <c r="E2118" s="71"/>
    </row>
    <row r="2119" spans="1:5">
      <c r="A2119" s="69">
        <v>1991</v>
      </c>
      <c r="E2119" s="70" t="s">
        <v>6890</v>
      </c>
    </row>
    <row r="2120" spans="1:5">
      <c r="A2120" s="69">
        <v>1992</v>
      </c>
      <c r="E2120" s="70" t="s">
        <v>6232</v>
      </c>
    </row>
    <row r="2121" spans="1:5">
      <c r="A2121" s="69">
        <v>1993</v>
      </c>
      <c r="E2121" s="70" t="s">
        <v>6091</v>
      </c>
    </row>
    <row r="2122" spans="1:5">
      <c r="A2122" s="69">
        <v>1994</v>
      </c>
      <c r="E2122" s="70" t="s">
        <v>6891</v>
      </c>
    </row>
    <row r="2123" spans="1:5">
      <c r="A2123" s="69">
        <v>1995</v>
      </c>
      <c r="E2123" s="70" t="s">
        <v>6892</v>
      </c>
    </row>
    <row r="2124" spans="1:5">
      <c r="A2124" s="69">
        <v>1996</v>
      </c>
      <c r="E2124" s="70" t="s">
        <v>5601</v>
      </c>
    </row>
    <row r="2125" spans="1:5">
      <c r="A2125" s="69">
        <v>1997</v>
      </c>
      <c r="E2125" s="71"/>
    </row>
    <row r="2126" spans="1:5">
      <c r="A2126" s="69">
        <v>1998</v>
      </c>
      <c r="E2126" s="70" t="s">
        <v>6893</v>
      </c>
    </row>
    <row r="2127" spans="1:5">
      <c r="A2127" s="69">
        <v>1999</v>
      </c>
      <c r="E2127" s="70" t="s">
        <v>6894</v>
      </c>
    </row>
    <row r="2128" spans="1:5">
      <c r="A2128" s="69">
        <v>2000</v>
      </c>
      <c r="E2128" s="70" t="s">
        <v>6895</v>
      </c>
    </row>
    <row r="2129" spans="1:5">
      <c r="A2129" s="69">
        <v>2001</v>
      </c>
      <c r="E2129" s="70" t="s">
        <v>6896</v>
      </c>
    </row>
    <row r="2130" spans="1:5">
      <c r="A2130" s="69">
        <v>2002</v>
      </c>
      <c r="E2130" s="70" t="s">
        <v>6897</v>
      </c>
    </row>
    <row r="2131" spans="1:5">
      <c r="A2131" s="69">
        <v>2003</v>
      </c>
      <c r="E2131" s="70" t="s">
        <v>5601</v>
      </c>
    </row>
    <row r="2132" spans="1:5">
      <c r="A2132" s="69">
        <v>2004</v>
      </c>
      <c r="E2132" s="71"/>
    </row>
    <row r="2133" spans="1:5">
      <c r="A2133" s="69">
        <v>2005</v>
      </c>
      <c r="E2133" s="70" t="s">
        <v>6898</v>
      </c>
    </row>
    <row r="2134" spans="1:5">
      <c r="A2134" s="69">
        <v>2006</v>
      </c>
      <c r="E2134" s="70" t="s">
        <v>6251</v>
      </c>
    </row>
    <row r="2135" spans="1:5">
      <c r="A2135" s="69">
        <v>2007</v>
      </c>
      <c r="E2135" s="70" t="s">
        <v>6899</v>
      </c>
    </row>
    <row r="2136" spans="1:5">
      <c r="A2136" s="69">
        <v>2008</v>
      </c>
      <c r="E2136" s="70" t="s">
        <v>6900</v>
      </c>
    </row>
    <row r="2137" spans="1:5">
      <c r="A2137" s="69">
        <v>2009</v>
      </c>
      <c r="E2137" s="70" t="s">
        <v>6901</v>
      </c>
    </row>
    <row r="2138" spans="1:5">
      <c r="A2138" s="69">
        <v>2010</v>
      </c>
      <c r="E2138" s="70" t="s">
        <v>6261</v>
      </c>
    </row>
    <row r="2139" spans="1:5">
      <c r="A2139" s="69">
        <v>2011</v>
      </c>
      <c r="E2139" s="70" t="s">
        <v>5549</v>
      </c>
    </row>
    <row r="2140" spans="1:5">
      <c r="A2140" s="69">
        <v>2012</v>
      </c>
      <c r="E2140" s="71"/>
    </row>
    <row r="2141" spans="1:5">
      <c r="A2141" s="69">
        <v>2013</v>
      </c>
      <c r="E2141" s="70" t="s">
        <v>6902</v>
      </c>
    </row>
    <row r="2142" spans="1:5">
      <c r="A2142" s="69">
        <v>2014</v>
      </c>
      <c r="E2142" s="70" t="s">
        <v>6903</v>
      </c>
    </row>
    <row r="2143" spans="1:5">
      <c r="A2143" s="69">
        <v>2015</v>
      </c>
      <c r="E2143" s="70" t="s">
        <v>6904</v>
      </c>
    </row>
    <row r="2144" spans="1:5">
      <c r="A2144" s="69">
        <v>2016</v>
      </c>
      <c r="E2144" s="70" t="s">
        <v>6905</v>
      </c>
    </row>
    <row r="2145" spans="1:5">
      <c r="A2145" s="69">
        <v>2017</v>
      </c>
      <c r="E2145" s="70" t="s">
        <v>6906</v>
      </c>
    </row>
    <row r="2146" spans="1:5">
      <c r="A2146" s="69">
        <v>2018</v>
      </c>
      <c r="E2146" s="70" t="s">
        <v>6907</v>
      </c>
    </row>
    <row r="2147" spans="1:5">
      <c r="A2147" s="69">
        <v>2019</v>
      </c>
      <c r="E2147" s="70" t="s">
        <v>5549</v>
      </c>
    </row>
    <row r="2148" spans="1:5">
      <c r="A2148" s="69">
        <v>2020</v>
      </c>
      <c r="E2148" s="71"/>
    </row>
    <row r="2149" spans="1:5">
      <c r="A2149" s="69">
        <v>2021</v>
      </c>
      <c r="E2149" s="70" t="s">
        <v>6908</v>
      </c>
    </row>
    <row r="2150" spans="1:5">
      <c r="A2150" s="69">
        <v>2022</v>
      </c>
      <c r="E2150" s="70" t="s">
        <v>6232</v>
      </c>
    </row>
    <row r="2151" spans="1:5">
      <c r="A2151" s="69">
        <v>2023</v>
      </c>
      <c r="E2151" s="71"/>
    </row>
    <row r="2152" spans="1:5">
      <c r="A2152" s="69">
        <v>2024</v>
      </c>
      <c r="E2152" s="70" t="s">
        <v>6909</v>
      </c>
    </row>
    <row r="2153" spans="1:5">
      <c r="A2153" s="69">
        <v>2025</v>
      </c>
      <c r="E2153" s="70" t="s">
        <v>6910</v>
      </c>
    </row>
    <row r="2154" spans="1:5">
      <c r="A2154" s="69">
        <v>2026</v>
      </c>
      <c r="E2154" s="70" t="s">
        <v>6911</v>
      </c>
    </row>
    <row r="2155" spans="1:5">
      <c r="A2155" s="69">
        <v>2027</v>
      </c>
      <c r="E2155" s="70" t="s">
        <v>6912</v>
      </c>
    </row>
    <row r="2156" spans="1:5">
      <c r="A2156" s="69">
        <v>2028</v>
      </c>
      <c r="E2156" s="70" t="s">
        <v>6913</v>
      </c>
    </row>
    <row r="2157" spans="1:5">
      <c r="A2157" s="69">
        <v>2029</v>
      </c>
      <c r="E2157" s="71"/>
    </row>
    <row r="2158" spans="1:5">
      <c r="A2158" s="69">
        <v>2030</v>
      </c>
      <c r="E2158" s="70" t="s">
        <v>6914</v>
      </c>
    </row>
    <row r="2159" spans="1:5">
      <c r="A2159" s="69">
        <v>2031</v>
      </c>
      <c r="E2159" s="70" t="s">
        <v>6915</v>
      </c>
    </row>
    <row r="2160" spans="1:5">
      <c r="A2160" s="69">
        <v>2032</v>
      </c>
      <c r="E2160" s="70" t="s">
        <v>6916</v>
      </c>
    </row>
    <row r="2161" spans="1:5">
      <c r="A2161" s="69">
        <v>2033</v>
      </c>
      <c r="E2161" s="70" t="s">
        <v>6917</v>
      </c>
    </row>
    <row r="2162" spans="1:5">
      <c r="A2162" s="69">
        <v>2034</v>
      </c>
      <c r="E2162" s="70" t="s">
        <v>6918</v>
      </c>
    </row>
    <row r="2163" spans="1:5">
      <c r="A2163" s="69">
        <v>2035</v>
      </c>
      <c r="E2163" s="70" t="s">
        <v>6919</v>
      </c>
    </row>
    <row r="2164" spans="1:5">
      <c r="A2164" s="69">
        <v>2036</v>
      </c>
      <c r="E2164" s="70" t="s">
        <v>6920</v>
      </c>
    </row>
    <row r="2165" spans="1:5">
      <c r="A2165" s="69">
        <v>2037</v>
      </c>
      <c r="E2165" s="70" t="s">
        <v>6921</v>
      </c>
    </row>
    <row r="2166" spans="1:5">
      <c r="A2166" s="69">
        <v>2038</v>
      </c>
      <c r="E2166" s="70" t="s">
        <v>5564</v>
      </c>
    </row>
    <row r="2167" spans="1:5">
      <c r="A2167" s="69">
        <v>2039</v>
      </c>
      <c r="E2167" s="71"/>
    </row>
    <row r="2168" spans="1:5">
      <c r="A2168" s="69">
        <v>2040</v>
      </c>
      <c r="E2168" s="70" t="s">
        <v>6922</v>
      </c>
    </row>
    <row r="2169" spans="1:5">
      <c r="A2169" s="69">
        <v>2041</v>
      </c>
      <c r="E2169" s="70" t="s">
        <v>6915</v>
      </c>
    </row>
    <row r="2170" spans="1:5">
      <c r="A2170" s="69">
        <v>2042</v>
      </c>
      <c r="E2170" s="70" t="s">
        <v>6923</v>
      </c>
    </row>
    <row r="2171" spans="1:5">
      <c r="A2171" s="69">
        <v>2043</v>
      </c>
      <c r="E2171" s="70" t="s">
        <v>6924</v>
      </c>
    </row>
    <row r="2172" spans="1:5">
      <c r="A2172" s="69">
        <v>2044</v>
      </c>
      <c r="E2172" s="70" t="s">
        <v>6925</v>
      </c>
    </row>
    <row r="2173" spans="1:5">
      <c r="A2173" s="69">
        <v>2045</v>
      </c>
      <c r="E2173" s="70" t="s">
        <v>6926</v>
      </c>
    </row>
    <row r="2174" spans="1:5">
      <c r="A2174" s="69">
        <v>2046</v>
      </c>
      <c r="E2174" s="70" t="s">
        <v>6927</v>
      </c>
    </row>
    <row r="2175" spans="1:5">
      <c r="A2175" s="69">
        <v>2047</v>
      </c>
      <c r="E2175" s="70" t="s">
        <v>6928</v>
      </c>
    </row>
    <row r="2176" spans="1:5">
      <c r="A2176" s="69">
        <v>2048</v>
      </c>
      <c r="E2176" s="70" t="s">
        <v>6929</v>
      </c>
    </row>
    <row r="2177" spans="1:5">
      <c r="A2177" s="69">
        <v>2049</v>
      </c>
      <c r="E2177" s="70" t="s">
        <v>5564</v>
      </c>
    </row>
    <row r="2178" spans="1:5">
      <c r="A2178" s="69">
        <v>2050</v>
      </c>
      <c r="E2178" s="71"/>
    </row>
    <row r="2179" spans="1:5">
      <c r="A2179" s="69">
        <v>2051</v>
      </c>
      <c r="E2179" s="70" t="s">
        <v>6930</v>
      </c>
    </row>
    <row r="2180" spans="1:5">
      <c r="A2180" s="69">
        <v>2052</v>
      </c>
      <c r="E2180" s="70" t="s">
        <v>6931</v>
      </c>
    </row>
    <row r="2181" spans="1:5">
      <c r="A2181" s="69">
        <v>2053</v>
      </c>
      <c r="E2181" s="71"/>
    </row>
    <row r="2182" spans="1:5">
      <c r="A2182" s="69">
        <v>2054</v>
      </c>
      <c r="E2182" s="70" t="s">
        <v>6932</v>
      </c>
    </row>
    <row r="2183" spans="1:5">
      <c r="A2183" s="69">
        <v>2055</v>
      </c>
      <c r="E2183" s="70" t="s">
        <v>6931</v>
      </c>
    </row>
    <row r="2184" spans="1:5">
      <c r="A2184" s="69">
        <v>2056</v>
      </c>
      <c r="E2184" s="71"/>
    </row>
    <row r="2185" spans="1:5">
      <c r="A2185" s="69">
        <v>2057</v>
      </c>
      <c r="E2185" s="70" t="s">
        <v>6933</v>
      </c>
    </row>
    <row r="2186" spans="1:5">
      <c r="A2186" s="69">
        <v>2058</v>
      </c>
      <c r="E2186" s="70" t="s">
        <v>6915</v>
      </c>
    </row>
    <row r="2187" spans="1:5">
      <c r="A2187" s="69">
        <v>2059</v>
      </c>
      <c r="E2187" s="70" t="s">
        <v>6934</v>
      </c>
    </row>
    <row r="2188" spans="1:5">
      <c r="A2188" s="69">
        <v>2060</v>
      </c>
      <c r="E2188" s="70" t="s">
        <v>6935</v>
      </c>
    </row>
    <row r="2189" spans="1:5">
      <c r="A2189" s="69">
        <v>2061</v>
      </c>
      <c r="E2189" s="70" t="s">
        <v>5564</v>
      </c>
    </row>
    <row r="2190" spans="1:5">
      <c r="A2190" s="69">
        <v>2062</v>
      </c>
      <c r="E2190" s="71"/>
    </row>
    <row r="2191" spans="1:5">
      <c r="A2191" s="69">
        <v>2063</v>
      </c>
      <c r="E2191" s="70" t="s">
        <v>6936</v>
      </c>
    </row>
    <row r="2192" spans="1:5">
      <c r="A2192" s="69">
        <v>2064</v>
      </c>
      <c r="E2192" s="70" t="s">
        <v>6915</v>
      </c>
    </row>
    <row r="2193" spans="1:5">
      <c r="A2193" s="69">
        <v>2065</v>
      </c>
      <c r="E2193" s="70" t="s">
        <v>6937</v>
      </c>
    </row>
    <row r="2194" spans="1:5">
      <c r="A2194" s="69">
        <v>2066</v>
      </c>
      <c r="E2194" s="70" t="s">
        <v>6938</v>
      </c>
    </row>
    <row r="2195" spans="1:5">
      <c r="A2195" s="69">
        <v>2067</v>
      </c>
      <c r="E2195" s="70" t="s">
        <v>6939</v>
      </c>
    </row>
    <row r="2196" spans="1:5">
      <c r="A2196" s="69">
        <v>2068</v>
      </c>
      <c r="E2196" s="70" t="s">
        <v>5564</v>
      </c>
    </row>
    <row r="2197" spans="1:5">
      <c r="A2197" s="69">
        <v>2069</v>
      </c>
      <c r="E2197" s="70" t="s">
        <v>6398</v>
      </c>
    </row>
    <row r="2198" spans="1:5">
      <c r="A2198" s="69">
        <v>2070</v>
      </c>
      <c r="E2198" s="70" t="s">
        <v>5549</v>
      </c>
    </row>
    <row r="2199" spans="1:5">
      <c r="A2199" s="69">
        <v>2071</v>
      </c>
      <c r="E2199" s="71"/>
    </row>
    <row r="2200" spans="1:5">
      <c r="A2200" s="69">
        <v>2072</v>
      </c>
      <c r="E2200" s="70" t="s">
        <v>6940</v>
      </c>
    </row>
    <row r="2201" spans="1:5">
      <c r="A2201" s="69">
        <v>2073</v>
      </c>
      <c r="E2201" s="70" t="s">
        <v>6941</v>
      </c>
    </row>
    <row r="2202" spans="1:5">
      <c r="A2202" s="69">
        <v>2074</v>
      </c>
      <c r="E2202" s="70" t="s">
        <v>6942</v>
      </c>
    </row>
    <row r="2203" spans="1:5">
      <c r="A2203" s="69">
        <v>2075</v>
      </c>
      <c r="E2203" s="70" t="s">
        <v>6943</v>
      </c>
    </row>
    <row r="2204" spans="1:5">
      <c r="A2204" s="69">
        <v>2076</v>
      </c>
      <c r="E2204" s="70" t="s">
        <v>6944</v>
      </c>
    </row>
    <row r="2205" spans="1:5">
      <c r="A2205" s="69">
        <v>2077</v>
      </c>
      <c r="E2205" s="70" t="s">
        <v>6945</v>
      </c>
    </row>
    <row r="2206" spans="1:5">
      <c r="A2206" s="69">
        <v>2078</v>
      </c>
      <c r="E2206" s="70" t="s">
        <v>6946</v>
      </c>
    </row>
    <row r="2207" spans="1:5">
      <c r="A2207" s="69">
        <v>2079</v>
      </c>
      <c r="E2207" s="70" t="s">
        <v>5591</v>
      </c>
    </row>
    <row r="2208" spans="1:5">
      <c r="A2208" s="69">
        <v>2080</v>
      </c>
      <c r="E2208" s="70" t="s">
        <v>6947</v>
      </c>
    </row>
    <row r="2209" spans="1:5">
      <c r="A2209" s="69">
        <v>2081</v>
      </c>
      <c r="E2209" s="70" t="s">
        <v>5601</v>
      </c>
    </row>
    <row r="2210" spans="1:5">
      <c r="A2210" s="69">
        <v>2082</v>
      </c>
      <c r="E2210" s="71"/>
    </row>
    <row r="2211" spans="1:5">
      <c r="A2211" s="69">
        <v>2083</v>
      </c>
      <c r="E2211" s="70" t="s">
        <v>6948</v>
      </c>
    </row>
    <row r="2212" spans="1:5">
      <c r="A2212" s="69">
        <v>2084</v>
      </c>
      <c r="E2212" s="70" t="s">
        <v>6949</v>
      </c>
    </row>
    <row r="2213" spans="1:5">
      <c r="A2213" s="69">
        <v>2085</v>
      </c>
      <c r="E2213" s="70" t="s">
        <v>6950</v>
      </c>
    </row>
    <row r="2214" spans="1:5">
      <c r="A2214" s="69">
        <v>2086</v>
      </c>
      <c r="E2214" s="70" t="s">
        <v>6951</v>
      </c>
    </row>
    <row r="2215" spans="1:5">
      <c r="A2215" s="69">
        <v>2087</v>
      </c>
      <c r="E2215" s="70" t="s">
        <v>5591</v>
      </c>
    </row>
    <row r="2216" spans="1:5">
      <c r="A2216" s="69">
        <v>2088</v>
      </c>
      <c r="E2216" s="70" t="s">
        <v>5549</v>
      </c>
    </row>
    <row r="2217" spans="1:5">
      <c r="A2217" s="69">
        <v>2089</v>
      </c>
      <c r="E2217" s="71"/>
    </row>
    <row r="2218" spans="1:5">
      <c r="A2218" s="69">
        <v>2090</v>
      </c>
      <c r="E2218" s="70" t="s">
        <v>6952</v>
      </c>
    </row>
    <row r="2219" spans="1:5">
      <c r="A2219" s="69">
        <v>2091</v>
      </c>
      <c r="E2219" s="70" t="s">
        <v>6953</v>
      </c>
    </row>
    <row r="2220" spans="1:5">
      <c r="A2220" s="69">
        <v>2092</v>
      </c>
      <c r="E2220" s="70" t="s">
        <v>6954</v>
      </c>
    </row>
    <row r="2221" spans="1:5">
      <c r="A2221" s="69">
        <v>2093</v>
      </c>
      <c r="E2221" s="70" t="s">
        <v>6955</v>
      </c>
    </row>
    <row r="2222" spans="1:5">
      <c r="A2222" s="69">
        <v>2094</v>
      </c>
      <c r="E2222" s="70" t="s">
        <v>6956</v>
      </c>
    </row>
    <row r="2223" spans="1:5">
      <c r="A2223" s="69">
        <v>2095</v>
      </c>
      <c r="E2223" s="70" t="s">
        <v>6957</v>
      </c>
    </row>
    <row r="2224" spans="1:5">
      <c r="A2224" s="69">
        <v>2096</v>
      </c>
      <c r="E2224" s="70" t="s">
        <v>6958</v>
      </c>
    </row>
    <row r="2225" spans="1:5">
      <c r="A2225" s="69">
        <v>2097</v>
      </c>
      <c r="E2225" s="70" t="s">
        <v>6959</v>
      </c>
    </row>
    <row r="2226" spans="1:5">
      <c r="A2226" s="69">
        <v>2098</v>
      </c>
      <c r="E2226" s="70" t="s">
        <v>6960</v>
      </c>
    </row>
    <row r="2227" spans="1:5">
      <c r="A2227" s="69">
        <v>2099</v>
      </c>
      <c r="E2227" s="70" t="s">
        <v>6961</v>
      </c>
    </row>
    <row r="2228" spans="1:5">
      <c r="A2228" s="69">
        <v>2100</v>
      </c>
      <c r="E2228" s="70" t="s">
        <v>6962</v>
      </c>
    </row>
    <row r="2229" spans="1:5">
      <c r="A2229" s="69">
        <v>2101</v>
      </c>
      <c r="E2229" s="70" t="s">
        <v>6963</v>
      </c>
    </row>
    <row r="2230" spans="1:5">
      <c r="A2230" s="69">
        <v>2102</v>
      </c>
      <c r="E2230" s="70" t="s">
        <v>6964</v>
      </c>
    </row>
    <row r="2231" spans="1:5">
      <c r="A2231" s="69">
        <v>2103</v>
      </c>
      <c r="E2231" s="70" t="s">
        <v>6965</v>
      </c>
    </row>
    <row r="2232" spans="1:5">
      <c r="A2232" s="69">
        <v>2104</v>
      </c>
      <c r="E2232" s="70" t="s">
        <v>6966</v>
      </c>
    </row>
    <row r="2233" spans="1:5">
      <c r="A2233" s="69">
        <v>2105</v>
      </c>
      <c r="E2233" s="70" t="s">
        <v>6159</v>
      </c>
    </row>
    <row r="2234" spans="1:5">
      <c r="A2234" s="69">
        <v>2106</v>
      </c>
      <c r="E2234" s="70" t="s">
        <v>6967</v>
      </c>
    </row>
    <row r="2235" spans="1:5">
      <c r="A2235" s="69">
        <v>2107</v>
      </c>
      <c r="E2235" s="70" t="s">
        <v>5549</v>
      </c>
    </row>
    <row r="2236" spans="1:5">
      <c r="A2236" s="69">
        <v>2108</v>
      </c>
      <c r="E2236" s="71"/>
    </row>
    <row r="2237" spans="1:5">
      <c r="A2237" s="69">
        <v>2109</v>
      </c>
      <c r="E2237" s="70" t="s">
        <v>6968</v>
      </c>
    </row>
    <row r="2238" spans="1:5">
      <c r="A2238" s="69">
        <v>2110</v>
      </c>
      <c r="E2238" s="70" t="s">
        <v>6969</v>
      </c>
    </row>
    <row r="2239" spans="1:5">
      <c r="A2239" s="69">
        <v>2111</v>
      </c>
      <c r="E2239" s="70" t="s">
        <v>6970</v>
      </c>
    </row>
    <row r="2240" spans="1:5">
      <c r="A2240" s="69">
        <v>2112</v>
      </c>
      <c r="E2240" s="70" t="s">
        <v>5809</v>
      </c>
    </row>
    <row r="2241" spans="1:5">
      <c r="A2241" s="69">
        <v>2113</v>
      </c>
      <c r="E2241" s="70" t="s">
        <v>6971</v>
      </c>
    </row>
    <row r="2242" spans="1:5">
      <c r="A2242" s="69">
        <v>2114</v>
      </c>
      <c r="E2242" s="70" t="s">
        <v>6091</v>
      </c>
    </row>
    <row r="2243" spans="1:5">
      <c r="A2243" s="69">
        <v>2115</v>
      </c>
      <c r="E2243" s="70" t="s">
        <v>6210</v>
      </c>
    </row>
    <row r="2244" spans="1:5">
      <c r="A2244" s="69">
        <v>2116</v>
      </c>
      <c r="E2244" s="70" t="s">
        <v>6972</v>
      </c>
    </row>
    <row r="2245" spans="1:5">
      <c r="A2245" s="69">
        <v>2117</v>
      </c>
      <c r="E2245" s="70" t="s">
        <v>6093</v>
      </c>
    </row>
    <row r="2246" spans="1:5">
      <c r="A2246" s="69">
        <v>2118</v>
      </c>
      <c r="E2246" s="70" t="s">
        <v>6973</v>
      </c>
    </row>
    <row r="2247" spans="1:5">
      <c r="A2247" s="69">
        <v>2119</v>
      </c>
      <c r="E2247" s="70" t="s">
        <v>6974</v>
      </c>
    </row>
    <row r="2248" spans="1:5">
      <c r="A2248" s="69">
        <v>2120</v>
      </c>
      <c r="E2248" s="70" t="s">
        <v>6975</v>
      </c>
    </row>
    <row r="2249" spans="1:5">
      <c r="A2249" s="69">
        <v>2121</v>
      </c>
      <c r="E2249" s="70" t="s">
        <v>6976</v>
      </c>
    </row>
    <row r="2250" spans="1:5">
      <c r="A2250" s="69">
        <v>2122</v>
      </c>
      <c r="E2250" s="70" t="s">
        <v>6977</v>
      </c>
    </row>
    <row r="2251" spans="1:5">
      <c r="A2251" s="69">
        <v>2123</v>
      </c>
      <c r="E2251" s="70" t="s">
        <v>6978</v>
      </c>
    </row>
    <row r="2252" spans="1:5">
      <c r="A2252" s="69">
        <v>2124</v>
      </c>
      <c r="E2252" s="71"/>
    </row>
    <row r="2253" spans="1:5">
      <c r="A2253" s="69">
        <v>2125</v>
      </c>
      <c r="E2253" s="70" t="s">
        <v>6979</v>
      </c>
    </row>
    <row r="2254" spans="1:5">
      <c r="A2254" s="69">
        <v>2126</v>
      </c>
      <c r="E2254" s="70" t="s">
        <v>6980</v>
      </c>
    </row>
    <row r="2255" spans="1:5">
      <c r="A2255" s="69">
        <v>2127</v>
      </c>
      <c r="E2255" s="70" t="s">
        <v>6981</v>
      </c>
    </row>
    <row r="2256" spans="1:5">
      <c r="A2256" s="69">
        <v>2128</v>
      </c>
      <c r="E2256" s="70" t="s">
        <v>6982</v>
      </c>
    </row>
    <row r="2257" spans="1:5">
      <c r="A2257" s="69">
        <v>2129</v>
      </c>
      <c r="E2257" s="70" t="s">
        <v>6983</v>
      </c>
    </row>
    <row r="2258" spans="1:5">
      <c r="A2258" s="69">
        <v>2130</v>
      </c>
      <c r="E2258" s="70" t="s">
        <v>6984</v>
      </c>
    </row>
    <row r="2259" spans="1:5">
      <c r="A2259" s="69">
        <v>2131</v>
      </c>
      <c r="E2259" s="70" t="s">
        <v>6985</v>
      </c>
    </row>
    <row r="2260" spans="1:5">
      <c r="A2260" s="69">
        <v>2132</v>
      </c>
      <c r="E2260" s="70" t="s">
        <v>6986</v>
      </c>
    </row>
    <row r="2261" spans="1:5">
      <c r="A2261" s="69">
        <v>2133</v>
      </c>
      <c r="E2261" s="71"/>
    </row>
    <row r="2262" spans="1:5">
      <c r="A2262" s="69">
        <v>2134</v>
      </c>
      <c r="E2262" s="70" t="s">
        <v>6987</v>
      </c>
    </row>
    <row r="2263" spans="1:5">
      <c r="A2263" s="69">
        <v>2135</v>
      </c>
      <c r="E2263" s="70" t="s">
        <v>6988</v>
      </c>
    </row>
    <row r="2264" spans="1:5">
      <c r="A2264" s="69">
        <v>2136</v>
      </c>
      <c r="E2264" s="70" t="s">
        <v>6989</v>
      </c>
    </row>
    <row r="2265" spans="1:5">
      <c r="A2265" s="69">
        <v>2137</v>
      </c>
      <c r="E2265" s="70" t="s">
        <v>6990</v>
      </c>
    </row>
    <row r="2266" spans="1:5">
      <c r="A2266" s="69">
        <v>2138</v>
      </c>
      <c r="E2266" s="70" t="s">
        <v>6991</v>
      </c>
    </row>
    <row r="2267" spans="1:5">
      <c r="A2267" s="69">
        <v>2139</v>
      </c>
      <c r="E2267" s="70" t="s">
        <v>6992</v>
      </c>
    </row>
    <row r="2268" spans="1:5">
      <c r="A2268" s="69">
        <v>2140</v>
      </c>
      <c r="E2268" s="70" t="s">
        <v>6993</v>
      </c>
    </row>
    <row r="2269" spans="1:5">
      <c r="A2269" s="69">
        <v>2141</v>
      </c>
      <c r="E2269" s="70" t="s">
        <v>6994</v>
      </c>
    </row>
    <row r="2270" spans="1:5">
      <c r="A2270" s="69">
        <v>2142</v>
      </c>
      <c r="E2270" s="70" t="s">
        <v>6995</v>
      </c>
    </row>
    <row r="2271" spans="1:5">
      <c r="A2271" s="69">
        <v>2143</v>
      </c>
      <c r="E2271" s="70" t="s">
        <v>6996</v>
      </c>
    </row>
    <row r="2272" spans="1:5">
      <c r="A2272" s="69">
        <v>2144</v>
      </c>
      <c r="E2272" s="70" t="s">
        <v>6997</v>
      </c>
    </row>
    <row r="2273" spans="1:5">
      <c r="A2273" s="69">
        <v>2145</v>
      </c>
      <c r="E2273" s="70" t="s">
        <v>6998</v>
      </c>
    </row>
    <row r="2274" spans="1:5">
      <c r="A2274" s="69">
        <v>2146</v>
      </c>
      <c r="E2274" s="70" t="s">
        <v>6999</v>
      </c>
    </row>
    <row r="2275" spans="1:5">
      <c r="A2275" s="69">
        <v>2147</v>
      </c>
      <c r="E2275" s="70" t="s">
        <v>7000</v>
      </c>
    </row>
    <row r="2276" spans="1:5">
      <c r="A2276" s="69">
        <v>2148</v>
      </c>
      <c r="E2276" s="70" t="s">
        <v>6994</v>
      </c>
    </row>
    <row r="2277" spans="1:5">
      <c r="A2277" s="69">
        <v>2149</v>
      </c>
      <c r="E2277" s="70" t="s">
        <v>7001</v>
      </c>
    </row>
    <row r="2278" spans="1:5">
      <c r="A2278" s="69">
        <v>2150</v>
      </c>
      <c r="E2278" s="70" t="s">
        <v>7002</v>
      </c>
    </row>
    <row r="2279" spans="1:5">
      <c r="A2279" s="69">
        <v>2151</v>
      </c>
      <c r="E2279" s="70" t="s">
        <v>7003</v>
      </c>
    </row>
    <row r="2280" spans="1:5">
      <c r="A2280" s="69">
        <v>2152</v>
      </c>
      <c r="E2280" s="70" t="s">
        <v>7004</v>
      </c>
    </row>
    <row r="2281" spans="1:5">
      <c r="A2281" s="69">
        <v>2153</v>
      </c>
      <c r="E2281" s="70" t="s">
        <v>6994</v>
      </c>
    </row>
    <row r="2282" spans="1:5">
      <c r="A2282" s="69">
        <v>2154</v>
      </c>
      <c r="E2282" s="70" t="s">
        <v>7005</v>
      </c>
    </row>
    <row r="2283" spans="1:5">
      <c r="A2283" s="69">
        <v>2155</v>
      </c>
      <c r="E2283" s="70" t="s">
        <v>7006</v>
      </c>
    </row>
    <row r="2284" spans="1:5">
      <c r="A2284" s="69">
        <v>2156</v>
      </c>
      <c r="E2284" s="70" t="s">
        <v>7007</v>
      </c>
    </row>
    <row r="2285" spans="1:5">
      <c r="A2285" s="69">
        <v>2157</v>
      </c>
      <c r="E2285" s="70" t="s">
        <v>6994</v>
      </c>
    </row>
    <row r="2286" spans="1:5">
      <c r="A2286" s="69">
        <v>2158</v>
      </c>
      <c r="E2286" s="70" t="s">
        <v>7008</v>
      </c>
    </row>
    <row r="2287" spans="1:5">
      <c r="A2287" s="69">
        <v>2159</v>
      </c>
      <c r="E2287" s="70" t="s">
        <v>7009</v>
      </c>
    </row>
    <row r="2288" spans="1:5">
      <c r="A2288" s="69">
        <v>2160</v>
      </c>
      <c r="E2288" s="70" t="s">
        <v>7010</v>
      </c>
    </row>
    <row r="2289" spans="1:5">
      <c r="A2289" s="69">
        <v>2161</v>
      </c>
      <c r="E2289" s="70" t="s">
        <v>7011</v>
      </c>
    </row>
    <row r="2290" spans="1:5">
      <c r="A2290" s="69">
        <v>2162</v>
      </c>
      <c r="E2290" s="70" t="s">
        <v>7012</v>
      </c>
    </row>
    <row r="2291" spans="1:5">
      <c r="A2291" s="69">
        <v>2163</v>
      </c>
      <c r="E2291" s="70" t="s">
        <v>7013</v>
      </c>
    </row>
    <row r="2292" spans="1:5">
      <c r="A2292" s="69">
        <v>2164</v>
      </c>
      <c r="E2292" s="70" t="s">
        <v>7014</v>
      </c>
    </row>
    <row r="2293" spans="1:5">
      <c r="A2293" s="69">
        <v>2165</v>
      </c>
      <c r="E2293" s="70" t="s">
        <v>7015</v>
      </c>
    </row>
    <row r="2294" spans="1:5">
      <c r="A2294" s="69">
        <v>2166</v>
      </c>
      <c r="E2294" s="70" t="s">
        <v>7016</v>
      </c>
    </row>
    <row r="2295" spans="1:5">
      <c r="A2295" s="69">
        <v>2167</v>
      </c>
      <c r="E2295" s="70" t="s">
        <v>7017</v>
      </c>
    </row>
    <row r="2296" spans="1:5">
      <c r="A2296" s="69">
        <v>2168</v>
      </c>
      <c r="E2296" s="70" t="s">
        <v>7018</v>
      </c>
    </row>
    <row r="2297" spans="1:5">
      <c r="A2297" s="69">
        <v>2169</v>
      </c>
      <c r="E2297" s="70" t="s">
        <v>5640</v>
      </c>
    </row>
    <row r="2298" spans="1:5">
      <c r="A2298" s="69">
        <v>2170</v>
      </c>
      <c r="E2298" s="70" t="s">
        <v>5591</v>
      </c>
    </row>
    <row r="2299" spans="1:5">
      <c r="A2299" s="69">
        <v>2171</v>
      </c>
      <c r="E2299" s="70" t="s">
        <v>5549</v>
      </c>
    </row>
    <row r="2300" spans="1:5">
      <c r="A2300" s="69">
        <v>2172</v>
      </c>
      <c r="E2300" s="71"/>
    </row>
    <row r="2301" spans="1:5">
      <c r="A2301" s="69">
        <v>2173</v>
      </c>
      <c r="E2301" s="70" t="s">
        <v>7019</v>
      </c>
    </row>
    <row r="2302" spans="1:5">
      <c r="A2302" s="69">
        <v>2174</v>
      </c>
      <c r="E2302" s="70" t="s">
        <v>6091</v>
      </c>
    </row>
    <row r="2303" spans="1:5">
      <c r="A2303" s="69">
        <v>2175</v>
      </c>
      <c r="E2303" s="70" t="s">
        <v>6210</v>
      </c>
    </row>
    <row r="2304" spans="1:5">
      <c r="A2304" s="69">
        <v>2176</v>
      </c>
      <c r="E2304" s="70" t="s">
        <v>7020</v>
      </c>
    </row>
    <row r="2305" spans="1:5">
      <c r="A2305" s="69">
        <v>2177</v>
      </c>
      <c r="E2305" s="70" t="s">
        <v>7021</v>
      </c>
    </row>
    <row r="2306" spans="1:5">
      <c r="A2306" s="69">
        <v>2178</v>
      </c>
      <c r="E2306" s="70" t="s">
        <v>7022</v>
      </c>
    </row>
    <row r="2307" spans="1:5">
      <c r="A2307" s="69">
        <v>2179</v>
      </c>
      <c r="E2307" s="70" t="s">
        <v>7023</v>
      </c>
    </row>
    <row r="2308" spans="1:5">
      <c r="A2308" s="69">
        <v>2180</v>
      </c>
      <c r="E2308" s="70" t="s">
        <v>5549</v>
      </c>
    </row>
    <row r="2309" spans="1:5">
      <c r="A2309" s="69">
        <v>2181</v>
      </c>
      <c r="E2309" s="71"/>
    </row>
    <row r="2310" spans="1:5">
      <c r="A2310" s="69">
        <v>2182</v>
      </c>
      <c r="E2310" s="70" t="s">
        <v>7024</v>
      </c>
    </row>
    <row r="2311" spans="1:5">
      <c r="A2311" s="69">
        <v>2183</v>
      </c>
      <c r="E2311" s="70" t="s">
        <v>7025</v>
      </c>
    </row>
    <row r="2312" spans="1:5">
      <c r="A2312" s="69">
        <v>2184</v>
      </c>
      <c r="E2312" s="70" t="s">
        <v>7026</v>
      </c>
    </row>
    <row r="2313" spans="1:5">
      <c r="A2313" s="69">
        <v>2185</v>
      </c>
      <c r="E2313" s="70" t="s">
        <v>5857</v>
      </c>
    </row>
    <row r="2314" spans="1:5">
      <c r="A2314" s="69">
        <v>2186</v>
      </c>
      <c r="E2314" s="70" t="s">
        <v>7027</v>
      </c>
    </row>
    <row r="2315" spans="1:5">
      <c r="A2315" s="69">
        <v>2187</v>
      </c>
      <c r="E2315" s="70" t="s">
        <v>5564</v>
      </c>
    </row>
    <row r="2316" spans="1:5">
      <c r="A2316" s="69">
        <v>2188</v>
      </c>
      <c r="E2316" s="70" t="s">
        <v>5549</v>
      </c>
    </row>
    <row r="2317" spans="1:5">
      <c r="A2317" s="69">
        <v>2189</v>
      </c>
      <c r="E2317" s="71"/>
    </row>
    <row r="2318" spans="1:5">
      <c r="A2318" s="69">
        <v>2190</v>
      </c>
      <c r="E2318" s="70" t="s">
        <v>5480</v>
      </c>
    </row>
    <row r="2319" spans="1:5">
      <c r="A2319" s="69">
        <v>2191</v>
      </c>
      <c r="E2319" s="70" t="s">
        <v>7028</v>
      </c>
    </row>
    <row r="2320" spans="1:5">
      <c r="A2320" s="69">
        <v>2192</v>
      </c>
      <c r="E2320" s="70" t="s">
        <v>5480</v>
      </c>
    </row>
    <row r="2321" spans="1:5">
      <c r="A2321" s="69">
        <v>2193</v>
      </c>
      <c r="E2321" s="70" t="s">
        <v>7029</v>
      </c>
    </row>
    <row r="2322" spans="1:5">
      <c r="A2322" s="69">
        <v>2194</v>
      </c>
      <c r="E2322" s="70" t="s">
        <v>6406</v>
      </c>
    </row>
    <row r="2323" spans="1:5">
      <c r="A2323" s="69">
        <v>2195</v>
      </c>
      <c r="E2323" s="70" t="s">
        <v>5574</v>
      </c>
    </row>
    <row r="2324" spans="1:5">
      <c r="A2324" s="69">
        <v>2196</v>
      </c>
      <c r="E2324" s="70" t="s">
        <v>7030</v>
      </c>
    </row>
    <row r="2325" spans="1:5">
      <c r="A2325" s="69">
        <v>2197</v>
      </c>
      <c r="E2325" s="70" t="s">
        <v>6409</v>
      </c>
    </row>
    <row r="2326" spans="1:5">
      <c r="A2326" s="69">
        <v>2198</v>
      </c>
      <c r="E2326" s="70" t="s">
        <v>5577</v>
      </c>
    </row>
    <row r="2327" spans="1:5">
      <c r="A2327" s="69">
        <v>2199</v>
      </c>
      <c r="E2327" s="70" t="s">
        <v>7031</v>
      </c>
    </row>
    <row r="2328" spans="1:5">
      <c r="A2328" s="69">
        <v>2200</v>
      </c>
      <c r="E2328" s="70" t="s">
        <v>7032</v>
      </c>
    </row>
    <row r="2329" spans="1:5">
      <c r="A2329" s="69">
        <v>2201</v>
      </c>
      <c r="E2329" s="70" t="s">
        <v>7033</v>
      </c>
    </row>
    <row r="2330" spans="1:5">
      <c r="A2330" s="69">
        <v>2202</v>
      </c>
      <c r="E2330" s="70" t="s">
        <v>7034</v>
      </c>
    </row>
    <row r="2331" spans="1:5">
      <c r="A2331" s="69">
        <v>2203</v>
      </c>
      <c r="E2331" s="70" t="s">
        <v>7035</v>
      </c>
    </row>
    <row r="2332" spans="1:5">
      <c r="A2332" s="69">
        <v>2204</v>
      </c>
      <c r="E2332" s="70" t="s">
        <v>7036</v>
      </c>
    </row>
    <row r="2333" spans="1:5">
      <c r="A2333" s="69">
        <v>2205</v>
      </c>
      <c r="E2333" s="70" t="s">
        <v>5591</v>
      </c>
    </row>
    <row r="2334" spans="1:5">
      <c r="A2334" s="69">
        <v>2206</v>
      </c>
      <c r="E2334" s="70" t="s">
        <v>6418</v>
      </c>
    </row>
    <row r="2335" spans="1:5">
      <c r="A2335" s="69">
        <v>2207</v>
      </c>
      <c r="E2335" s="70" t="s">
        <v>5594</v>
      </c>
    </row>
    <row r="2336" spans="1:5">
      <c r="A2336" s="69">
        <v>2208</v>
      </c>
      <c r="E2336" s="70" t="s">
        <v>5549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操作</vt:lpstr>
      <vt:lpstr>一覧_日別</vt:lpstr>
      <vt:lpstr>一覧_週別</vt:lpstr>
      <vt:lpstr>一覧_月別</vt:lpstr>
      <vt:lpstr>照合チェック</vt:lpstr>
      <vt:lpstr>マスタ_業務・標準</vt:lpstr>
      <vt:lpstr>マスタ_担当者</vt:lpstr>
      <vt:lpstr>マスタ保存</vt:lpstr>
      <vt:lpstr>元データ_稼働記録</vt:lpstr>
      <vt:lpstr>元データ_案件件数</vt:lpstr>
      <vt:lpstr>取込ログ</vt:lpstr>
      <vt:lpstr>マクロ保存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ちゅ ちなー</dc:creator>
  <cp:lastModifiedBy>ちゅ ちなー</cp:lastModifiedBy>
  <dcterms:created xsi:type="dcterms:W3CDTF">2026-10-06T13:26:20Z</dcterms:created>
  <dcterms:modified xsi:type="dcterms:W3CDTF">2026-10-06T22:53:14Z</dcterms:modified>
</cp:coreProperties>
</file>